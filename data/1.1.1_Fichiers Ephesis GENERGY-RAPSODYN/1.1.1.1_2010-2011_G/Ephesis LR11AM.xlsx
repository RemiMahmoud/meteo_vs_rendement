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_rels/sheet1.xml.rels" ContentType="application/vnd.openxmlformats-package.relationships+xml"/>
  <Override PartName="/xl/worksheets/_rels/sheet3.xml.rels" ContentType="application/vnd.openxmlformats-package.relationships+xml"/>
  <Override PartName="/xl/worksheets/_rels/sheet4.xml.rels" ContentType="application/vnd.openxmlformats-package.relationships+xml"/>
  <Override PartName="/xl/worksheets/_rels/sheet7.xml.rels" ContentType="application/vnd.openxmlformats-package.relationships+xml"/>
  <Override PartName="/xl/worksheets/_rels/sheet10.xml.rels" ContentType="application/vnd.openxmlformats-package.relationships+xml"/>
  <Override PartName="/xl/worksheets/_rels/sheet13.xml.rels" ContentType="application/vnd.openxmlformats-package.relationships+xml"/>
  <Override PartName="/xl/worksheets/_rels/sheet16.xml.rels" ContentType="application/vnd.openxmlformats-package.relationships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externalLinks/_rels/externalLink1.xml.rels" ContentType="application/vnd.openxmlformats-package.relationships+xml"/>
  <Override PartName="/xl/externalLinks/_rels/externalLink2.xml.rels" ContentType="application/vnd.openxmlformats-package.relationship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drawings/vmlDrawing2.vml" ContentType="application/vnd.openxmlformats-officedocument.vmlDrawing"/>
  <Override PartName="/xl/drawings/drawing2.xml" ContentType="application/vnd.openxmlformats-officedocument.drawing+xml"/>
  <Override PartName="/xl/drawings/vmlDrawing3.vml" ContentType="application/vnd.openxmlformats-officedocument.vmlDrawing"/>
  <Override PartName="/xl/drawings/vmlDrawing4.vml" ContentType="application/vnd.openxmlformats-officedocument.vmlDrawing"/>
  <Override PartName="/xl/drawings/_rels/drawing1.xml.rels" ContentType="application/vnd.openxmlformats-package.relationships+xml"/>
  <Override PartName="/xl/comments3.xml" ContentType="application/vnd.openxmlformats-officedocument.spreadsheetml.comments+xml"/>
  <Override PartName="/xl/comments7.xml" ContentType="application/vnd.openxmlformats-officedocument.spreadsheetml.comments+xml"/>
  <Override PartName="/xl/comments10.xml" ContentType="application/vnd.openxmlformats-officedocument.spreadsheetml.comments+xml"/>
  <Override PartName="/xl/media/image1.png" ContentType="image/png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8"/>
  </bookViews>
  <sheets>
    <sheet name="README" sheetId="1" state="visible" r:id="rId3"/>
    <sheet name="Trial" sheetId="2" state="visible" r:id="rId4"/>
    <sheet name="Site" sheetId="3" state="visible" r:id="rId5"/>
    <sheet name="Contact" sheetId="4" state="visible" r:id="rId6"/>
    <sheet name="Variable" sheetId="5" state="visible" r:id="rId7"/>
    <sheet name="PlantMaterial" sheetId="6" state="visible" r:id="rId8"/>
    <sheet name="Treatment" sheetId="7" state="visible" r:id="rId9"/>
    <sheet name="Level" sheetId="8" state="visible" r:id="rId10"/>
    <sheet name="Data" sheetId="9" state="visible" r:id="rId11"/>
    <sheet name="Files" sheetId="10" state="visible" r:id="rId12"/>
    <sheet name="ForestComplementaryInfo" sheetId="11" state="visible" r:id="rId13"/>
    <sheet name="StaticData" sheetId="12" state="visible" r:id="rId14"/>
    <sheet name="Meteo_Data" sheetId="13" state="visible" r:id="rId15"/>
    <sheet name="Soil_data" sheetId="14" state="visible" r:id="rId16"/>
    <sheet name="INN_Data" sheetId="15" state="visible" r:id="rId17"/>
    <sheet name="Parcellaire_data" sheetId="16" state="visible" r:id="rId18"/>
    <sheet name="ITK_data" sheetId="17" state="visible" r:id="rId19"/>
  </sheets>
  <externalReferences>
    <externalReference r:id="rId20"/>
    <externalReference r:id="rId21"/>
  </externalReferences>
  <definedNames>
    <definedName function="false" hidden="false" name="HoldingInstitution" vbProcedure="false">StaticData!$C$1:$C$21</definedName>
    <definedName function="false" hidden="false" name="InstitutionName" vbProcedure="false">StaticData!$B$1:$B$1457</definedName>
    <definedName function="false" hidden="false" name="ProjectAcronym" vbProcedure="false">StaticData!$D$1:$D$225</definedName>
    <definedName function="false" hidden="false" name="SiteName" vbProcedure="false">StaticData!$E$1:$E$24</definedName>
    <definedName function="false" hidden="false" name="TaxonScientificName" vbProcedure="false">StaticData!$A$1:$A$5470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Auteur inconnu</author>
  </authors>
  <commentList>
    <comment ref="E68" authorId="0">
      <text>
        <r>
          <rPr>
            <sz val="10"/>
            <rFont val="Arial"/>
            <family val="2"/>
          </rPr>
          <t xml:space="preserve">cpommier:
</t>
        </r>
        <r>
          <rPr>
            <sz val="9"/>
            <color rgb="FF000000"/>
            <rFont val="Tahoma"/>
            <family val="2"/>
            <charset val="1"/>
          </rPr>
          <t xml:space="preserve">Mandatory column which could be empty.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Tyfanie Bourlet</author>
  </authors>
  <commentList>
    <comment ref="B1" authorId="0">
      <text>
        <r>
          <rPr>
            <sz val="10"/>
            <rFont val="Arial"/>
            <family val="2"/>
          </rPr>
          <t xml:space="preserve">Tyfanie Bourlet:
</t>
        </r>
        <r>
          <rPr>
            <sz val="9"/>
            <color rgb="FF000000"/>
            <rFont val="Tahoma"/>
            <family val="2"/>
            <charset val="1"/>
          </rPr>
          <t xml:space="preserve">Mettre les coordonnées GPS http://www.lexilogos.com/calcul_distances.htm)</t>
        </r>
      </text>
    </comment>
    <comment ref="C1" authorId="0">
      <text>
        <r>
          <rPr>
            <sz val="10"/>
            <rFont val="Arial"/>
            <family val="2"/>
          </rPr>
          <t xml:space="preserve">Tyfanie Bourlet:
</t>
        </r>
        <r>
          <rPr>
            <sz val="9"/>
            <color rgb="FF000000"/>
            <rFont val="Tahoma"/>
            <family val="2"/>
            <charset val="1"/>
          </rPr>
          <t xml:space="preserve">Mettre les coordonnées GPS http://www.lexilogos.com/calcul_distances.htm)</t>
        </r>
      </text>
    </comment>
  </commentList>
</comments>
</file>

<file path=xl/comments7.xml><?xml version="1.0" encoding="utf-8"?>
<comments xmlns="http://schemas.openxmlformats.org/spreadsheetml/2006/main" xmlns:xdr="http://schemas.openxmlformats.org/drawingml/2006/spreadsheetDrawing">
  <authors>
    <author>Auteur inconnu</author>
  </authors>
  <commentList>
    <comment ref="A1" authorId="0">
      <text>
        <r>
          <rPr>
            <sz val="10"/>
            <rFont val="Arial"/>
            <family val="2"/>
          </rPr>
          <t xml:space="preserve">cpommier:
</t>
        </r>
        <r>
          <rPr>
            <sz val="9"/>
            <color rgb="FF000000"/>
            <rFont val="Tahoma"/>
            <family val="2"/>
            <charset val="1"/>
          </rPr>
          <t xml:space="preserve">Adonis : modalité</t>
        </r>
      </text>
    </comment>
  </commentList>
</comments>
</file>

<file path=xl/comments10.xml><?xml version="1.0" encoding="utf-8"?>
<comments xmlns="http://schemas.openxmlformats.org/spreadsheetml/2006/main" xmlns:xdr="http://schemas.openxmlformats.org/drawingml/2006/spreadsheetDrawing">
  <authors>
    <author>Tyfanie Bourlet</author>
  </authors>
  <commentList>
    <comment ref="A1" authorId="0">
      <text>
        <r>
          <rPr>
            <sz val="10"/>
            <rFont val="Arial"/>
            <family val="2"/>
          </rPr>
          <t xml:space="preserve">Tyfanie Bourlet:
</t>
        </r>
        <r>
          <rPr>
            <sz val="9"/>
            <color rgb="FF000000"/>
            <rFont val="Tahoma"/>
            <family val="2"/>
            <charset val="1"/>
          </rPr>
          <t xml:space="preserve">Insérer les fichiers comme : 
ITK, INN, Dispositif expérimental, Météo, Tensiométrie</t>
        </r>
      </text>
    </comment>
  </commentList>
</comments>
</file>

<file path=xl/sharedStrings.xml><?xml version="1.0" encoding="utf-8"?>
<sst xmlns="http://schemas.openxmlformats.org/spreadsheetml/2006/main" count="11463" uniqueCount="8323">
  <si>
    <t xml:space="preserve">GnpISVersionNumber</t>
  </si>
  <si>
    <t xml:space="preserve">14_1</t>
  </si>
  <si>
    <t xml:space="preserve">StaticDataExtraction</t>
  </si>
  <si>
    <t xml:space="preserve">SubmissionType</t>
  </si>
  <si>
    <t xml:space="preserve">Ephesis</t>
  </si>
  <si>
    <t xml:space="preserve">This worksheet is used for submit phenotyping data.</t>
  </si>
  <si>
    <t xml:space="preserve">SUBMIT NOTE</t>
  </si>
  <si>
    <r>
      <rPr>
        <b val="true"/>
        <sz val="10"/>
        <color rgb="FFFF0000"/>
        <rFont val="Arial"/>
        <family val="2"/>
        <charset val="1"/>
      </rPr>
      <t xml:space="preserve">RED</t>
    </r>
    <r>
      <rPr>
        <sz val="10"/>
        <rFont val="Arial"/>
        <family val="2"/>
        <charset val="1"/>
      </rPr>
      <t xml:space="preserve"> names indicate </t>
    </r>
    <r>
      <rPr>
        <b val="true"/>
        <sz val="10"/>
        <rFont val="Arial"/>
        <family val="2"/>
        <charset val="1"/>
      </rPr>
      <t xml:space="preserve">fields / sheets required</t>
    </r>
    <r>
      <rPr>
        <sz val="10"/>
        <rFont val="Arial"/>
        <family val="2"/>
        <charset val="1"/>
      </rPr>
      <t xml:space="preserve"> for submission, must not be empty.</t>
    </r>
  </si>
  <si>
    <r>
      <rPr>
        <b val="true"/>
        <sz val="10"/>
        <rFont val="Arial"/>
        <family val="2"/>
        <charset val="1"/>
      </rPr>
      <t xml:space="preserve">BLACK</t>
    </r>
    <r>
      <rPr>
        <sz val="10"/>
        <rFont val="Arial"/>
        <family val="2"/>
        <charset val="1"/>
      </rPr>
      <t xml:space="preserve"> names indicate </t>
    </r>
    <r>
      <rPr>
        <b val="true"/>
        <sz val="10"/>
        <rFont val="Arial"/>
        <family val="2"/>
        <charset val="1"/>
      </rPr>
      <t xml:space="preserve">fields / sheets that are optional</t>
    </r>
    <r>
      <rPr>
        <sz val="10"/>
        <rFont val="Arial"/>
        <family val="2"/>
        <charset val="1"/>
      </rPr>
      <t xml:space="preserve"> for submission, may be empty.</t>
    </r>
  </si>
  <si>
    <r>
      <rPr>
        <b val="true"/>
        <sz val="10"/>
        <color rgb="FF0000FF"/>
        <rFont val="Arial"/>
        <family val="2"/>
        <charset val="1"/>
      </rPr>
      <t xml:space="preserve">BLUE</t>
    </r>
    <r>
      <rPr>
        <sz val="10"/>
        <color rgb="FF00CCFF"/>
        <rFont val="Arial"/>
        <family val="2"/>
        <charset val="1"/>
      </rPr>
      <t xml:space="preserve"> </t>
    </r>
    <r>
      <rPr>
        <sz val="10"/>
        <rFont val="Arial"/>
        <family val="2"/>
        <charset val="1"/>
      </rPr>
      <t xml:space="preserve">names indicate</t>
    </r>
    <r>
      <rPr>
        <b val="true"/>
        <sz val="10"/>
        <rFont val="Arial"/>
        <family val="2"/>
        <charset val="1"/>
      </rPr>
      <t xml:space="preserve"> specific fields / sheets </t>
    </r>
    <r>
      <rPr>
        <sz val="10"/>
        <rFont val="Arial"/>
        <family val="2"/>
        <charset val="1"/>
      </rPr>
      <t xml:space="preserve">for submission. Column can be empty but must not be deleted.</t>
    </r>
  </si>
  <si>
    <t xml:space="preserve">DOCUMENTATION</t>
  </si>
  <si>
    <t xml:space="preserve">TRIAL</t>
  </si>
  <si>
    <t xml:space="preserve">General information on the trial</t>
  </si>
  <si>
    <t xml:space="preserve">TrialName</t>
  </si>
  <si>
    <t xml:space="preserve">TrialCode</t>
  </si>
  <si>
    <t xml:space="preserve">DateBegin</t>
  </si>
  <si>
    <t xml:space="preserve">DateEnd</t>
  </si>
  <si>
    <t xml:space="preserve">TrialGoal</t>
  </si>
  <si>
    <t xml:space="preserve">TrialComments</t>
  </si>
  <si>
    <t xml:space="preserve">PhenotypingCampain</t>
  </si>
  <si>
    <t xml:space="preserve">PMID</t>
  </si>
  <si>
    <t xml:space="preserve">X</t>
  </si>
  <si>
    <t xml:space="preserve">Y</t>
  </si>
  <si>
    <t xml:space="preserve">PreviousCrop</t>
  </si>
  <si>
    <t xml:space="preserve">TrialDesign</t>
  </si>
  <si>
    <t xml:space="preserve">TrialHistory</t>
  </si>
  <si>
    <t xml:space="preserve">ProjectAcronym</t>
  </si>
  <si>
    <t xml:space="preserve">TrialSet</t>
  </si>
  <si>
    <t xml:space="preserve">TrialSetType</t>
  </si>
  <si>
    <t xml:space="preserve">Description</t>
  </si>
  <si>
    <t xml:space="preserve">Free naming of the trial/assay</t>
  </si>
  <si>
    <t xml:space="preserve">Trial identification. Used for data integrity and update so must be unique</t>
  </si>
  <si>
    <t xml:space="preserve">Beginning date of this trial</t>
  </si>
  <si>
    <t xml:space="preserve">End date of this trial</t>
  </si>
  <si>
    <t xml:space="preserve">The main objectives of this experimentation</t>
  </si>
  <si>
    <t xml:space="preserve">Comments on this trial</t>
  </si>
  <si>
    <t xml:space="preserve">Name/Tag of a group of observations within the Trial. For instance all 2012 observations for a multiannual perenial plant trial.</t>
  </si>
  <si>
    <t xml:space="preserve">Comma separated list of publication's PMID.</t>
  </si>
  <si>
    <r>
      <rPr>
        <sz val="10"/>
        <rFont val="Arial"/>
        <family val="2"/>
        <charset val="1"/>
      </rPr>
      <t xml:space="preserve">Description of the </t>
    </r>
    <r>
      <rPr>
        <b val="true"/>
        <sz val="10"/>
        <rFont val="Arial"/>
        <family val="2"/>
        <charset val="1"/>
      </rPr>
      <t xml:space="preserve">X</t>
    </r>
    <r>
      <rPr>
        <sz val="10"/>
        <rFont val="Arial"/>
        <family val="2"/>
        <charset val="1"/>
      </rPr>
      <t xml:space="preserve"> of the</t>
    </r>
    <r>
      <rPr>
        <b val="true"/>
        <sz val="10"/>
        <rFont val="Arial"/>
        <family val="2"/>
        <charset val="1"/>
      </rPr>
      <t xml:space="preserve"> Data sheet</t>
    </r>
  </si>
  <si>
    <r>
      <rPr>
        <sz val="10"/>
        <rFont val="Arial"/>
        <family val="2"/>
        <charset val="1"/>
      </rPr>
      <t xml:space="preserve">Description of the</t>
    </r>
    <r>
      <rPr>
        <b val="true"/>
        <sz val="10"/>
        <rFont val="Arial"/>
        <family val="2"/>
        <charset val="1"/>
      </rPr>
      <t xml:space="preserve"> Y</t>
    </r>
    <r>
      <rPr>
        <sz val="10"/>
        <rFont val="Arial"/>
        <family val="2"/>
        <charset val="1"/>
      </rPr>
      <t xml:space="preserve"> of the </t>
    </r>
    <r>
      <rPr>
        <b val="true"/>
        <sz val="10"/>
        <rFont val="Arial"/>
        <family val="2"/>
        <charset val="1"/>
      </rPr>
      <t xml:space="preserve">Data sheet</t>
    </r>
  </si>
  <si>
    <t xml:space="preserve">Crop installed on this site before this trial</t>
  </si>
  <si>
    <t xml:space="preserve">Design of the trial</t>
  </si>
  <si>
    <t xml:space="preserve">Identification of previous contacts and/or owners</t>
  </si>
  <si>
    <t xml:space="preserve">Acronym of the project in which the experiment was made</t>
  </si>
  <si>
    <t xml:space="preserve">Name of the trial group</t>
  </si>
  <si>
    <t xml:space="preserve">Type of the trial group</t>
  </si>
  <si>
    <t xml:space="preserve">Example</t>
  </si>
  <si>
    <t xml:space="preserve">mon test</t>
  </si>
  <si>
    <t xml:space="preserve">MON_TEST</t>
  </si>
  <si>
    <t xml:space="preserve">22/03/2013</t>
  </si>
  <si>
    <t xml:space="preserve">2014</t>
  </si>
  <si>
    <t xml:space="preserve">Diversity analysis</t>
  </si>
  <si>
    <t xml:space="preserve">Essai test</t>
  </si>
  <si>
    <t xml:space="preserve">15608279,2052071</t>
  </si>
  <si>
    <t xml:space="preserve">row</t>
  </si>
  <si>
    <t xml:space="preserve">column</t>
  </si>
  <si>
    <t xml:space="preserve">Come from BORDEAUX (Louvet)</t>
  </si>
  <si>
    <t xml:space="preserve">myGroup</t>
  </si>
  <si>
    <t xml:space="preserve">Replication</t>
  </si>
  <si>
    <t xml:space="preserve">Data type</t>
  </si>
  <si>
    <t xml:space="preserve">String</t>
  </si>
  <si>
    <t xml:space="preserve">Date: dd/mm/yyyy
Date: mm/yyyy
Date: yyyy</t>
  </si>
  <si>
    <t xml:space="preserve">Number</t>
  </si>
  <si>
    <t xml:space="preserve">SITE</t>
  </si>
  <si>
    <t xml:space="preserve">General information on the experimental site</t>
  </si>
  <si>
    <t xml:space="preserve">SiteName</t>
  </si>
  <si>
    <t xml:space="preserve">Latitude</t>
  </si>
  <si>
    <t xml:space="preserve">Longitude</t>
  </si>
  <si>
    <t xml:space="preserve">Elevation</t>
  </si>
  <si>
    <t xml:space="preserve">Exposure</t>
  </si>
  <si>
    <t xml:space="preserve">Slope</t>
  </si>
  <si>
    <t xml:space="preserve">CityOrRegionOrCountry</t>
  </si>
  <si>
    <t xml:space="preserve">SiteStatus</t>
  </si>
  <si>
    <t xml:space="preserve">Landowner</t>
  </si>
  <si>
    <t xml:space="preserve">Comment</t>
  </si>
  <si>
    <t xml:space="preserve">MeteoStationCode</t>
  </si>
  <si>
    <t xml:space="preserve">MeteoStationNetwork</t>
  </si>
  <si>
    <t xml:space="preserve">Name of the experimental site (Plateform name, Field identification, etc…)</t>
  </si>
  <si>
    <t xml:space="preserve">Latitude of the experimental site (GPS).
Use decimal version of the coordinate (cf. http://www.lexilogos.com/calcul_distances.htm)</t>
  </si>
  <si>
    <t xml:space="preserve">Longitude of the experimental site (GPS).
Use decimal version of the coordinate (cf. http://www.lexilogos.com/calcul_distances.htm)</t>
  </si>
  <si>
    <t xml:space="preserve">Altitude of the experimental site</t>
  </si>
  <si>
    <t xml:space="preserve">Principal exposure of the experimental site</t>
  </si>
  <si>
    <t xml:space="preserve">Principal type of the slope of the experimental site</t>
  </si>
  <si>
    <t xml:space="preserve">Nearest city, region or country from the experimental site</t>
  </si>
  <si>
    <t xml:space="preserve">Property status of the experimental site</t>
  </si>
  <si>
    <t xml:space="preserve">Landowner of the experimental site</t>
  </si>
  <si>
    <t xml:space="preserve">Comment about the experimental site</t>
  </si>
  <si>
    <t xml:space="preserve">Code of the meteo station</t>
  </si>
  <si>
    <t xml:space="preserve">Name of the meteo station network</t>
  </si>
  <si>
    <t xml:space="preserve">Examples</t>
  </si>
  <si>
    <t xml:space="preserve">Bordeaux</t>
  </si>
  <si>
    <t xml:space="preserve">FRA</t>
  </si>
  <si>
    <t xml:space="preserve">S</t>
  </si>
  <si>
    <t xml:space="preserve">Forêt domaniale</t>
  </si>
  <si>
    <t xml:space="preserve">P (= Private property)
I (= INRA)
S (= Under a specific regime)</t>
  </si>
  <si>
    <t xml:space="preserve">CONTACT</t>
  </si>
  <si>
    <t xml:space="preserve">List of persons involved in this trial (scientific, submiter, landowner…)</t>
  </si>
  <si>
    <t xml:space="preserve">Type</t>
  </si>
  <si>
    <t xml:space="preserve">LastName</t>
  </si>
  <si>
    <t xml:space="preserve">FirstName</t>
  </si>
  <si>
    <t xml:space="preserve">Phone</t>
  </si>
  <si>
    <t xml:space="preserve">Fax</t>
  </si>
  <si>
    <t xml:space="preserve">Email</t>
  </si>
  <si>
    <t xml:space="preserve">Institution</t>
  </si>
  <si>
    <t xml:space="preserve">Laboratory</t>
  </si>
  <si>
    <t xml:space="preserve">Type of the contact.</t>
  </si>
  <si>
    <t xml:space="preserve">Contact name, in upper case.</t>
  </si>
  <si>
    <t xml:space="preserve">Contact first name, first letter in upper case.</t>
  </si>
  <si>
    <t xml:space="preserve">Following international phone number convention.</t>
  </si>
  <si>
    <t xml:space="preserve">Following international fax number convention</t>
  </si>
  <si>
    <t xml:space="preserve">Electronic mail.</t>
  </si>
  <si>
    <t xml:space="preserve">Institution name.</t>
  </si>
  <si>
    <t xml:space="preserve">Laboratory name.</t>
  </si>
  <si>
    <t xml:space="preserve">Submiter</t>
  </si>
  <si>
    <t xml:space="preserve">DUPOND</t>
  </si>
  <si>
    <t xml:space="preserve">Jacques</t>
  </si>
  <si>
    <t xml:space="preserve">+33 (0) 1 30 83 38 99</t>
  </si>
  <si>
    <t xml:space="preserve">+33 (0) 1 30 83 38 90</t>
  </si>
  <si>
    <t xml:space="preserve">jacques.dupond@email.com</t>
  </si>
  <si>
    <t xml:space="preserve">INRA</t>
  </si>
  <si>
    <t xml:space="preserve">URGI</t>
  </si>
  <si>
    <t xml:space="preserve">Phone number</t>
  </si>
  <si>
    <t xml:space="preserve">Fax number</t>
  </si>
  <si>
    <t xml:space="preserve">VARIABLE</t>
  </si>
  <si>
    <t xml:space="preserve">List of variables observed in this trial. Idealy they are part of a well identified ontology.</t>
  </si>
  <si>
    <t xml:space="preserve">Each variable is reused as a column in the Data sheet.</t>
  </si>
  <si>
    <t xml:space="preserve">OntologyName</t>
  </si>
  <si>
    <t xml:space="preserve">VariableCode</t>
  </si>
  <si>
    <t xml:space="preserve">VariableName</t>
  </si>
  <si>
    <t xml:space="preserve">MeasurmentUnit</t>
  </si>
  <si>
    <t xml:space="preserve">MeasurmentProtocol</t>
  </si>
  <si>
    <t xml:space="preserve">ParentVariable</t>
  </si>
  <si>
    <t xml:space="preserve">Full name of the ontology holding this variable</t>
  </si>
  <si>
    <r>
      <rPr>
        <sz val="10"/>
        <rFont val="Arial"/>
        <family val="2"/>
        <charset val="1"/>
      </rPr>
      <t xml:space="preserve">Identification of the variable. Unique within the ontology declared in O</t>
    </r>
    <r>
      <rPr>
        <b val="true"/>
        <sz val="10"/>
        <rFont val="Arial"/>
        <family val="2"/>
        <charset val="1"/>
      </rPr>
      <t xml:space="preserve">ntologyName</t>
    </r>
    <r>
      <rPr>
        <sz val="10"/>
        <rFont val="Arial"/>
        <family val="2"/>
        <charset val="1"/>
      </rPr>
      <t xml:space="preserve">. This code is used as header in the </t>
    </r>
    <r>
      <rPr>
        <b val="true"/>
        <sz val="10"/>
        <rFont val="Arial"/>
        <family val="2"/>
        <charset val="1"/>
      </rPr>
      <t xml:space="preserve">Data sheet</t>
    </r>
  </si>
  <si>
    <t xml:space="preserve">Name of the variable</t>
  </si>
  <si>
    <t xml:space="preserve">Full description of the variable</t>
  </si>
  <si>
    <t xml:space="preserve">Unit of the mesured variable</t>
  </si>
  <si>
    <t xml:space="preserve">Reference measurment protocol of the variable</t>
  </si>
  <si>
    <r>
      <rPr>
        <b val="true"/>
        <sz val="10"/>
        <rFont val="Arial"/>
        <family val="2"/>
        <charset val="1"/>
      </rPr>
      <t xml:space="preserve">VariableCode</t>
    </r>
    <r>
      <rPr>
        <sz val="10"/>
        <rFont val="Arial"/>
        <family val="2"/>
        <charset val="1"/>
      </rPr>
      <t xml:space="preserve"> of this variable's parent</t>
    </r>
  </si>
  <si>
    <t xml:space="preserve">Comments on the variable</t>
  </si>
  <si>
    <t xml:space="preserve">trait ontology</t>
  </si>
  <si>
    <t xml:space="preserve">haut</t>
  </si>
  <si>
    <t xml:space="preserve">hauteur</t>
  </si>
  <si>
    <t xml:space="preserve">cm</t>
  </si>
  <si>
    <t xml:space="preserve">PLANT MATERIAL</t>
  </si>
  <si>
    <t xml:space="preserve">List of genotypes. Should be preexisting in GnpIS. If not sure contact us.</t>
  </si>
  <si>
    <t xml:space="preserve">TaxonScientificName</t>
  </si>
  <si>
    <t xml:space="preserve">AccessionNumber</t>
  </si>
  <si>
    <t xml:space="preserve">AccessionName</t>
  </si>
  <si>
    <t xml:space="preserve">HoldingInstitution</t>
  </si>
  <si>
    <t xml:space="preserve">LotName</t>
  </si>
  <si>
    <t xml:space="preserve">Scientific name of the taxon</t>
  </si>
  <si>
    <t xml:space="preserve">Unique identification of the accession/genotype</t>
  </si>
  <si>
    <t xml:space="preserve">Full name of the accession</t>
  </si>
  <si>
    <t xml:space="preserve">Institution holding this accession</t>
  </si>
  <si>
    <r>
      <rPr>
        <sz val="10"/>
        <rFont val="Arial"/>
        <family val="2"/>
        <charset val="1"/>
      </rPr>
      <t xml:space="preserve">Identification of the physical plant(s) used in the trial : seeds, tree, ….
Used in the first column of the </t>
    </r>
    <r>
      <rPr>
        <b val="true"/>
        <sz val="10"/>
        <rFont val="Arial"/>
        <family val="2"/>
        <charset val="1"/>
      </rPr>
      <t xml:space="preserve">Data sheet</t>
    </r>
  </si>
  <si>
    <t xml:space="preserve">Triticum aestivum</t>
  </si>
  <si>
    <t xml:space="preserve">274Col49</t>
  </si>
  <si>
    <t xml:space="preserve">chargeur</t>
  </si>
  <si>
    <t xml:space="preserve">ch</t>
  </si>
  <si>
    <t xml:space="preserve">TREATMENT</t>
  </si>
  <si>
    <t xml:space="preserve">List of factor and modalities used in this trial. Treatments are  combination of modalities.</t>
  </si>
  <si>
    <t xml:space="preserve">Each factor is reused as a column in the Data sheet. The modalities of each factor are the authorised value for this factor/column.</t>
  </si>
  <si>
    <t xml:space="preserve">Factor</t>
  </si>
  <si>
    <t xml:space="preserve">ModeCode</t>
  </si>
  <si>
    <t xml:space="preserve">ModeName</t>
  </si>
  <si>
    <t xml:space="preserve">ModeDescription</t>
  </si>
  <si>
    <r>
      <rPr>
        <sz val="10"/>
        <rFont val="Arial"/>
        <family val="2"/>
        <charset val="1"/>
      </rPr>
      <t xml:space="preserve">Name of the factor.
This name is used as header in the </t>
    </r>
    <r>
      <rPr>
        <b val="true"/>
        <sz val="10"/>
        <rFont val="Arial"/>
        <family val="2"/>
        <charset val="1"/>
      </rPr>
      <t xml:space="preserve">Data sheet</t>
    </r>
  </si>
  <si>
    <r>
      <rPr>
        <sz val="10"/>
        <rFont val="Arial"/>
        <family val="2"/>
        <charset val="1"/>
      </rPr>
      <t xml:space="preserve">Unique identifier of the modality.
This code is used as value in the </t>
    </r>
    <r>
      <rPr>
        <b val="true"/>
        <sz val="10"/>
        <rFont val="Arial"/>
        <family val="2"/>
        <charset val="1"/>
      </rPr>
      <t xml:space="preserve">Data sheet</t>
    </r>
    <r>
      <rPr>
        <sz val="10"/>
        <rFont val="Arial"/>
        <family val="2"/>
        <charset val="1"/>
      </rPr>
      <t xml:space="preserve"> </t>
    </r>
    <r>
      <rPr>
        <b val="true"/>
        <sz val="10"/>
        <rFont val="Arial"/>
        <family val="2"/>
        <charset val="1"/>
      </rPr>
      <t xml:space="preserve">factor</t>
    </r>
    <r>
      <rPr>
        <sz val="10"/>
        <rFont val="Arial"/>
        <family val="2"/>
        <charset val="1"/>
      </rPr>
      <t xml:space="preserve">'s column</t>
    </r>
  </si>
  <si>
    <t xml:space="preserve">Full name of the modality</t>
  </si>
  <si>
    <t xml:space="preserve">Full description of the modality, possibly with a short description of its caracteristics like phenologic stade for a given treatment</t>
  </si>
  <si>
    <t xml:space="preserve">engrais</t>
  </si>
  <si>
    <t xml:space="preserve">N0</t>
  </si>
  <si>
    <t xml:space="preserve">azote 0</t>
  </si>
  <si>
    <t xml:space="preserve">ajout de 0 kilog/hectar de produitA a x concentration tous les mois.</t>
  </si>
  <si>
    <t xml:space="preserve">LEVEL</t>
  </si>
  <si>
    <t xml:space="preserve">Structure of the trial, for instance bloc &gt; plot &gt; plant. Can be empty if you want to store only genotype x factor data and no plot data. </t>
  </si>
  <si>
    <t xml:space="preserve">Each level is reused as a column in the Data sheet.</t>
  </si>
  <si>
    <t xml:space="preserve">Code</t>
  </si>
  <si>
    <t xml:space="preserve">Name</t>
  </si>
  <si>
    <t xml:space="preserve">ParentLevel</t>
  </si>
  <si>
    <r>
      <rPr>
        <sz val="10"/>
        <rFont val="Arial"/>
        <family val="2"/>
        <charset val="1"/>
      </rPr>
      <t xml:space="preserve">Unique identification of the level (plot, bloc, plant, …) within the trial.
This code is used as header in the </t>
    </r>
    <r>
      <rPr>
        <b val="true"/>
        <sz val="10"/>
        <rFont val="Arial"/>
        <family val="2"/>
        <charset val="1"/>
      </rPr>
      <t xml:space="preserve">Data sheet</t>
    </r>
  </si>
  <si>
    <t xml:space="preserve">Full name of the level</t>
  </si>
  <si>
    <t xml:space="preserve">Description of the level</t>
  </si>
  <si>
    <r>
      <rPr>
        <b val="true"/>
        <sz val="10"/>
        <rFont val="Arial"/>
        <family val="2"/>
        <charset val="1"/>
      </rPr>
      <t xml:space="preserve">Code</t>
    </r>
    <r>
      <rPr>
        <sz val="10"/>
        <rFont val="Arial"/>
        <family val="2"/>
        <charset val="1"/>
      </rPr>
      <t xml:space="preserve"> of this level parents. If you have X levels, this column must be filled for X-1 levels</t>
    </r>
  </si>
  <si>
    <t xml:space="preserve">Rep</t>
  </si>
  <si>
    <t xml:space="preserve">Repetition</t>
  </si>
  <si>
    <t xml:space="preserve">Bloc</t>
  </si>
  <si>
    <t xml:space="preserve">DATA</t>
  </si>
  <si>
    <t xml:space="preserve">Data matrix: hold any type of observation (phenotype, env, etc…)</t>
  </si>
  <si>
    <t xml:space="preserve">&lt;factors&gt;</t>
  </si>
  <si>
    <t xml:space="preserve">&lt;levels&gt;</t>
  </si>
  <si>
    <t xml:space="preserve">X(m)</t>
  </si>
  <si>
    <t xml:space="preserve">Y(m)</t>
  </si>
  <si>
    <t xml:space="preserve">&lt;variables&gt;_value</t>
  </si>
  <si>
    <t xml:space="preserve">&lt;variables&gt;_date</t>
  </si>
  <si>
    <r>
      <rPr>
        <sz val="10"/>
        <rFont val="Arial"/>
        <family val="2"/>
        <charset val="1"/>
      </rPr>
      <t xml:space="preserve">Identification of the genotype of the observed object.
Must be found in the </t>
    </r>
    <r>
      <rPr>
        <b val="true"/>
        <sz val="10"/>
        <rFont val="Arial"/>
        <family val="2"/>
        <charset val="1"/>
      </rPr>
      <t xml:space="preserve">VarietalList sheet</t>
    </r>
  </si>
  <si>
    <r>
      <rPr>
        <i val="true"/>
        <u val="single"/>
        <sz val="10"/>
        <rFont val="Arial"/>
        <family val="2"/>
        <charset val="1"/>
      </rPr>
      <t xml:space="preserve">headers:</t>
    </r>
    <r>
      <rPr>
        <sz val="10"/>
        <rFont val="Arial"/>
        <family val="2"/>
        <charset val="1"/>
      </rPr>
      <t xml:space="preserve"> all </t>
    </r>
    <r>
      <rPr>
        <b val="true"/>
        <sz val="10"/>
        <rFont val="Arial"/>
        <family val="2"/>
        <charset val="1"/>
      </rPr>
      <t xml:space="preserve">factors</t>
    </r>
    <r>
      <rPr>
        <sz val="10"/>
        <rFont val="Arial"/>
        <family val="2"/>
        <charset val="1"/>
      </rPr>
      <t xml:space="preserve"> declared in the </t>
    </r>
    <r>
      <rPr>
        <b val="true"/>
        <sz val="10"/>
        <rFont val="Arial"/>
        <family val="2"/>
        <charset val="1"/>
      </rPr>
      <t xml:space="preserve">Treatments sheet</t>
    </r>
  </si>
  <si>
    <r>
      <rPr>
        <i val="true"/>
        <u val="single"/>
        <sz val="10"/>
        <rFont val="Arial"/>
        <family val="2"/>
        <charset val="1"/>
      </rPr>
      <t xml:space="preserve">headers:</t>
    </r>
    <r>
      <rPr>
        <sz val="10"/>
        <rFont val="Arial"/>
        <family val="2"/>
        <charset val="1"/>
      </rPr>
      <t xml:space="preserve"> all </t>
    </r>
    <r>
      <rPr>
        <b val="true"/>
        <sz val="10"/>
        <rFont val="Arial"/>
        <family val="2"/>
        <charset val="1"/>
      </rPr>
      <t xml:space="preserve">levels</t>
    </r>
    <r>
      <rPr>
        <sz val="10"/>
        <rFont val="Arial"/>
        <family val="2"/>
        <charset val="1"/>
      </rPr>
      <t xml:space="preserve"> declared in the </t>
    </r>
    <r>
      <rPr>
        <b val="true"/>
        <sz val="10"/>
        <rFont val="Arial"/>
        <family val="2"/>
        <charset val="1"/>
      </rPr>
      <t xml:space="preserve">StudySubjectLevels sheet</t>
    </r>
  </si>
  <si>
    <t xml:space="preserve">X position of the observed object</t>
  </si>
  <si>
    <t xml:space="preserve">Y position of the observed object</t>
  </si>
  <si>
    <t xml:space="preserve">X position of the observed object in meters</t>
  </si>
  <si>
    <t xml:space="preserve">Y position of the observed object in meters</t>
  </si>
  <si>
    <r>
      <rPr>
        <i val="true"/>
        <u val="single"/>
        <sz val="10"/>
        <rFont val="Arial"/>
        <family val="2"/>
        <charset val="1"/>
      </rPr>
      <t xml:space="preserve">headers:</t>
    </r>
    <r>
      <rPr>
        <sz val="10"/>
        <rFont val="Arial"/>
        <family val="2"/>
        <charset val="1"/>
      </rPr>
      <t xml:space="preserve"> all </t>
    </r>
    <r>
      <rPr>
        <b val="true"/>
        <sz val="10"/>
        <rFont val="Arial"/>
        <family val="2"/>
        <charset val="1"/>
      </rPr>
      <t xml:space="preserve">variables</t>
    </r>
    <r>
      <rPr>
        <sz val="10"/>
        <rFont val="Arial"/>
        <family val="2"/>
        <charset val="1"/>
      </rPr>
      <t xml:space="preserve"> declared in the </t>
    </r>
    <r>
      <rPr>
        <b val="true"/>
        <sz val="10"/>
        <rFont val="Arial"/>
        <family val="2"/>
        <charset val="1"/>
      </rPr>
      <t xml:space="preserve">Variables sheet</t>
    </r>
  </si>
  <si>
    <r>
      <rPr>
        <i val="true"/>
        <u val="single"/>
        <sz val="10"/>
        <rFont val="Arial"/>
        <family val="2"/>
        <charset val="1"/>
      </rPr>
      <t xml:space="preserve">values</t>
    </r>
    <r>
      <rPr>
        <i val="true"/>
        <sz val="10"/>
        <rFont val="Arial"/>
        <family val="2"/>
        <charset val="1"/>
      </rPr>
      <t xml:space="preserve">:</t>
    </r>
    <r>
      <rPr>
        <sz val="10"/>
        <rFont val="Arial"/>
        <family val="2"/>
        <charset val="1"/>
      </rPr>
      <t xml:space="preserve"> all </t>
    </r>
    <r>
      <rPr>
        <b val="true"/>
        <sz val="10"/>
        <rFont val="Arial"/>
        <family val="2"/>
        <charset val="1"/>
      </rPr>
      <t xml:space="preserve">mode_code</t>
    </r>
    <r>
      <rPr>
        <sz val="10"/>
        <rFont val="Arial"/>
        <family val="2"/>
        <charset val="1"/>
      </rPr>
      <t xml:space="preserve"> declared in the </t>
    </r>
    <r>
      <rPr>
        <b val="true"/>
        <sz val="10"/>
        <rFont val="Arial"/>
        <family val="2"/>
        <charset val="1"/>
      </rPr>
      <t xml:space="preserve">Treatment sheet</t>
    </r>
  </si>
  <si>
    <r>
      <rPr>
        <i val="true"/>
        <u val="single"/>
        <sz val="10"/>
        <rFont val="Arial"/>
        <family val="2"/>
        <charset val="1"/>
      </rPr>
      <t xml:space="preserve">values</t>
    </r>
    <r>
      <rPr>
        <i val="true"/>
        <sz val="10"/>
        <rFont val="Arial"/>
        <family val="2"/>
        <charset val="1"/>
      </rPr>
      <t xml:space="preserve">:</t>
    </r>
    <r>
      <rPr>
        <sz val="10"/>
        <rFont val="Arial"/>
        <family val="2"/>
        <charset val="1"/>
      </rPr>
      <t xml:space="preserve"> levels identifiers</t>
    </r>
  </si>
  <si>
    <r>
      <rPr>
        <i val="true"/>
        <u val="single"/>
        <sz val="10"/>
        <rFont val="Arial"/>
        <family val="2"/>
        <charset val="1"/>
      </rPr>
      <t xml:space="preserve">values</t>
    </r>
    <r>
      <rPr>
        <i val="true"/>
        <sz val="10"/>
        <rFont val="Arial"/>
        <family val="2"/>
        <charset val="1"/>
      </rPr>
      <t xml:space="preserve">:</t>
    </r>
    <r>
      <rPr>
        <sz val="10"/>
        <rFont val="Arial"/>
        <family val="2"/>
        <charset val="1"/>
      </rPr>
      <t xml:space="preserve"> value of the variable for the observed object</t>
    </r>
  </si>
  <si>
    <r>
      <rPr>
        <i val="true"/>
        <u val="single"/>
        <sz val="10"/>
        <rFont val="Arial"/>
        <family val="2"/>
        <charset val="1"/>
      </rPr>
      <t xml:space="preserve">values</t>
    </r>
    <r>
      <rPr>
        <i val="true"/>
        <sz val="10"/>
        <rFont val="Arial"/>
        <family val="2"/>
        <charset val="1"/>
      </rPr>
      <t xml:space="preserve">:</t>
    </r>
    <r>
      <rPr>
        <sz val="10"/>
        <rFont val="Arial"/>
        <family val="2"/>
        <charset val="1"/>
      </rPr>
      <t xml:space="preserve"> observation date of the variable</t>
    </r>
  </si>
  <si>
    <r>
      <rPr>
        <i val="true"/>
        <u val="single"/>
        <sz val="10"/>
        <rFont val="Arial"/>
        <family val="2"/>
        <charset val="1"/>
      </rPr>
      <t xml:space="preserve">header</t>
    </r>
    <r>
      <rPr>
        <sz val="10"/>
        <rFont val="Arial"/>
        <family val="2"/>
        <charset val="1"/>
      </rPr>
      <t xml:space="preserve">: engrais
</t>
    </r>
    <r>
      <rPr>
        <i val="true"/>
        <sz val="10"/>
        <rFont val="Arial"/>
        <family val="2"/>
        <charset val="1"/>
      </rPr>
      <t xml:space="preserve">value:</t>
    </r>
    <r>
      <rPr>
        <sz val="10"/>
        <rFont val="Arial"/>
        <family val="2"/>
        <charset val="1"/>
      </rPr>
      <t xml:space="preserve"> N0</t>
    </r>
  </si>
  <si>
    <r>
      <rPr>
        <i val="true"/>
        <u val="single"/>
        <sz val="10"/>
        <rFont val="Arial"/>
        <family val="2"/>
        <charset val="1"/>
      </rPr>
      <t xml:space="preserve">header</t>
    </r>
    <r>
      <rPr>
        <sz val="10"/>
        <rFont val="Arial"/>
        <family val="2"/>
        <charset val="1"/>
      </rPr>
      <t xml:space="preserve">: bloc
</t>
    </r>
    <r>
      <rPr>
        <i val="true"/>
        <sz val="10"/>
        <rFont val="Arial"/>
        <family val="2"/>
        <charset val="1"/>
      </rPr>
      <t xml:space="preserve">value:</t>
    </r>
    <r>
      <rPr>
        <sz val="10"/>
        <rFont val="Arial"/>
        <family val="2"/>
        <charset val="1"/>
      </rPr>
      <t xml:space="preserve"> bloc1</t>
    </r>
  </si>
  <si>
    <r>
      <rPr>
        <i val="true"/>
        <u val="single"/>
        <sz val="10"/>
        <rFont val="Arial"/>
        <family val="2"/>
        <charset val="1"/>
      </rPr>
      <t xml:space="preserve">header</t>
    </r>
    <r>
      <rPr>
        <sz val="10"/>
        <rFont val="Arial"/>
        <family val="2"/>
        <charset val="1"/>
      </rPr>
      <t xml:space="preserve">: haut_value
</t>
    </r>
    <r>
      <rPr>
        <i val="true"/>
        <sz val="10"/>
        <rFont val="Arial"/>
        <family val="2"/>
        <charset val="1"/>
      </rPr>
      <t xml:space="preserve">value:</t>
    </r>
    <r>
      <rPr>
        <sz val="10"/>
        <rFont val="Arial"/>
        <family val="2"/>
        <charset val="1"/>
      </rPr>
      <t xml:space="preserve"> 15</t>
    </r>
  </si>
  <si>
    <r>
      <rPr>
        <i val="true"/>
        <u val="single"/>
        <sz val="10"/>
        <rFont val="Arial"/>
        <family val="2"/>
        <charset val="1"/>
      </rPr>
      <t xml:space="preserve">header</t>
    </r>
    <r>
      <rPr>
        <sz val="10"/>
        <rFont val="Arial"/>
        <family val="2"/>
        <charset val="1"/>
      </rPr>
      <t xml:space="preserve">: haut_date
</t>
    </r>
    <r>
      <rPr>
        <i val="true"/>
        <sz val="10"/>
        <rFont val="Arial"/>
        <family val="2"/>
        <charset val="1"/>
      </rPr>
      <t xml:space="preserve">value:</t>
    </r>
    <r>
      <rPr>
        <sz val="10"/>
        <rFont val="Arial"/>
        <family val="2"/>
        <charset val="1"/>
      </rPr>
      <t xml:space="preserve"> </t>
    </r>
  </si>
  <si>
    <t xml:space="preserve">String or Number</t>
  </si>
  <si>
    <t xml:space="preserve">Date</t>
  </si>
  <si>
    <t xml:space="preserve">FILES</t>
  </si>
  <si>
    <t xml:space="preserve">FileName</t>
  </si>
  <si>
    <t xml:space="preserve">Link</t>
  </si>
  <si>
    <t xml:space="preserve">FileType</t>
  </si>
  <si>
    <t xml:space="preserve">FileSize</t>
  </si>
  <si>
    <t xml:space="preserve">CreationDate</t>
  </si>
  <si>
    <t xml:space="preserve">Name of the file</t>
  </si>
  <si>
    <t xml:space="preserve">URL where the file can be found (file repository)</t>
  </si>
  <si>
    <t xml:space="preserve">File type</t>
  </si>
  <si>
    <t xml:space="preserve">File size</t>
  </si>
  <si>
    <t xml:space="preserve">Creation date of the file</t>
  </si>
  <si>
    <t xml:space="preserve">Description of the file</t>
  </si>
  <si>
    <t xml:space="preserve">MeteoWholeTrial.txt
ITK.xls
Plan.xls</t>
  </si>
  <si>
    <t xml:space="preserve">http://urgi.versailles.inra.fr/Species/Wheat/Sequence-Repository</t>
  </si>
  <si>
    <t xml:space="preserve">xls</t>
  </si>
  <si>
    <t xml:space="preserve">xls
csv
txt</t>
  </si>
  <si>
    <t xml:space="preserve">Date: dd/mm/yyyy</t>
  </si>
  <si>
    <t xml:space="preserve">FOREST COMPLEMENTARY INFO</t>
  </si>
  <si>
    <r>
      <rPr>
        <b val="true"/>
        <sz val="10"/>
        <rFont val="Arial"/>
        <family val="2"/>
        <charset val="1"/>
      </rPr>
      <t xml:space="preserve">Additional fields. </t>
    </r>
    <r>
      <rPr>
        <b val="true"/>
        <sz val="10"/>
        <color rgb="FFFF0000"/>
        <rFont val="Arial"/>
        <family val="2"/>
        <charset val="1"/>
      </rPr>
      <t xml:space="preserve">Mandatory</t>
    </r>
    <r>
      <rPr>
        <b val="true"/>
        <sz val="10"/>
        <rFont val="Arial"/>
        <family val="2"/>
        <charset val="1"/>
      </rPr>
      <t xml:space="preserve"> tab for forest submissions.</t>
    </r>
  </si>
  <si>
    <t xml:space="preserve">TrialType</t>
  </si>
  <si>
    <t xml:space="preserve">TrialStatus</t>
  </si>
  <si>
    <t xml:space="preserve">DataFormat</t>
  </si>
  <si>
    <t xml:space="preserve">Type of this trial</t>
  </si>
  <si>
    <t xml:space="preserve">State and monitoring level of this trial</t>
  </si>
  <si>
    <t xml:space="preserve">Which format is used to store the data ?</t>
  </si>
  <si>
    <t xml:space="preserve">Digital</t>
  </si>
  <si>
    <t xml:space="preserve">1 (= provenances comparison)
2 (= maternal descendants comparison)
3 (= two-parents descendants comparison)
4 (= species comparison)
5 (=clones seeds orchard)
6 (=clonal comparison)
7 (= clonal park)
8 (= juveniles comparison)
9 (= other)</t>
  </si>
  <si>
    <t xml:space="preserve">A (= abandoned/ruined)
1 (= weakly active)
2 (= moderately active)
3 (= active)
4 (= very active)
9 (= unknown)</t>
  </si>
  <si>
    <t xml:space="preserve">Paper
Scan
Digital
Unknown</t>
  </si>
  <si>
    <t xml:space="preserve">AM_LR11</t>
  </si>
  <si>
    <t xml:space="preserve">AM11LR</t>
  </si>
  <si>
    <t xml:space="preserve">16/09/2010</t>
  </si>
  <si>
    <t xml:space="preserve">01/07/2011</t>
  </si>
  <si>
    <t xml:space="preserve">2010-2011</t>
  </si>
  <si>
    <t xml:space="preserve">split-plot</t>
  </si>
  <si>
    <t xml:space="preserve">GENERGY</t>
  </si>
  <si>
    <t xml:space="preserve">Le Rheu</t>
  </si>
  <si>
    <t xml:space="preserve">48_x0003_8021.6300N</t>
  </si>
  <si>
    <t xml:space="preserve">1_x0003_4809.2600O</t>
  </si>
  <si>
    <t xml:space="preserve">FRA_35_LR</t>
  </si>
  <si>
    <t xml:space="preserve">Nesi</t>
  </si>
  <si>
    <t xml:space="preserve">Nathalie</t>
  </si>
  <si>
    <t xml:space="preserve">nathalie.nesi@rennes.inra.fr</t>
  </si>
  <si>
    <t xml:space="preserve">IGEPP</t>
  </si>
  <si>
    <t xml:space="preserve">INRA Brassica Experimental Ontology</t>
  </si>
  <si>
    <t xml:space="preserve">PLANTDENS</t>
  </si>
  <si>
    <t xml:space="preserve">Plant_Density</t>
  </si>
  <si>
    <t xml:space="preserve">Number of viable plants counted per surface unit. </t>
  </si>
  <si>
    <t xml:space="preserve">Plant nb.m-²</t>
  </si>
  <si>
    <t xml:space="preserve">Count the number of plants on linear sections defined in each sowing line at the exception of the border lines.  PLANTDENS = (Total nb of plants counted) / (Ls x Nc x E). Where Ls = length of a linear section in m (1 m or more when plant density is variable within a plot),                                                                                                                    Nc = nb of sowing lines chosen for plant counting, E = inter-line spacing.</t>
  </si>
  <si>
    <t xml:space="preserve">REGSTAND</t>
  </si>
  <si>
    <t xml:space="preserve">Regularity_Stand</t>
  </si>
  <si>
    <t xml:space="preserve">Scoring of the regularity of the plant stand.</t>
  </si>
  <si>
    <t xml:space="preserve">Note</t>
  </si>
  <si>
    <t xml:space="preserve">Visual notations (scale 0 - 9). 0 = NA, 1 = high irregular, 3 = irregular, 5 = moderately regular, 7 = regular, 9 = perfectly regular.</t>
  </si>
  <si>
    <t xml:space="preserve">PLOTHARVEST</t>
  </si>
  <si>
    <t xml:space="preserve">Plot_Harvest_Weight</t>
  </si>
  <si>
    <t xml:space="preserve">Weight (kg) of raw materials harvested by plot.</t>
  </si>
  <si>
    <t xml:space="preserve">kg</t>
  </si>
  <si>
    <t xml:space="preserve">A measurement of the amount (in kg) of raw material that was harvested per plot as determined by on-board weighing on the harvester. </t>
  </si>
  <si>
    <t xml:space="preserve">HI</t>
  </si>
  <si>
    <t xml:space="preserve">Harvest_Index</t>
  </si>
  <si>
    <t xml:space="preserve">Proportion of seed biomass respect to the total plant biomass (including shoot and root).</t>
  </si>
  <si>
    <t xml:space="preserve">%</t>
  </si>
  <si>
    <t xml:space="preserve">Collect plants over 1 m2, separate the plants into 3 fractions as follows: shoots + pods, seeds and roots. Samples are dried at 70°C for 48 hrs and then immediately weighted to get the dry weight of each fraction.                                                                                                        HI = (Seed DW / Total DW ) x 100</t>
  </si>
  <si>
    <t xml:space="preserve">NHI</t>
  </si>
  <si>
    <t xml:space="preserve">Nitrogen_Harvest_Index</t>
  </si>
  <si>
    <t xml:space="preserve">Proportion of N accumulated in seed to N accumulated in the total plant (including shoot and root).</t>
  </si>
  <si>
    <t xml:space="preserve">Samples from HI assay are analysed for N_%DW in the different fractions.                                                                                                                               NHI = (N_%DW_Seed / N_%DW_Plant) x 100</t>
  </si>
  <si>
    <t xml:space="preserve">OY</t>
  </si>
  <si>
    <t xml:space="preserve">Oil_Yield</t>
  </si>
  <si>
    <t xml:space="preserve">Oil yield per ha.</t>
  </si>
  <si>
    <t xml:space="preserve">q.ha-1</t>
  </si>
  <si>
    <t xml:space="preserve"> OY = (O x SY) </t>
  </si>
  <si>
    <t xml:space="preserve">PLOTSURF</t>
  </si>
  <si>
    <t xml:space="preserve">Plot_Surface</t>
  </si>
  <si>
    <t xml:space="preserve">Surface of the elementary experimental plot.</t>
  </si>
  <si>
    <t xml:space="preserve">m2</t>
  </si>
  <si>
    <t xml:space="preserve">Surface is determined by the experimental design.                                                              PLOTSURF = L x N x E. Where L = length of the sowing line, N = Nb of sowing lines, E = inter-line spacing.</t>
  </si>
  <si>
    <t xml:space="preserve">PODSHAT</t>
  </si>
  <si>
    <t xml:space="preserve">Pod_shattering</t>
  </si>
  <si>
    <t xml:space="preserve">Scoring of pods open just before harvest.</t>
  </si>
  <si>
    <t xml:space="preserve">Visual notations (scale 0 - 9). 0 = NA, 1 = high PODSHAT &gt; 90%, 3 = 60-90%, 5 = 30-60%, 7 = 10-30%, 9 = &lt; 10%.</t>
  </si>
  <si>
    <t xml:space="preserve">PrY</t>
  </si>
  <si>
    <t xml:space="preserve">Prot_Yield</t>
  </si>
  <si>
    <t xml:space="preserve">Protein yield per ha.</t>
  </si>
  <si>
    <t xml:space="preserve"> PrY = (Pr x SY) </t>
  </si>
  <si>
    <t xml:space="preserve">SN</t>
  </si>
  <si>
    <t xml:space="preserve">Seed_Nb_Surface</t>
  </si>
  <si>
    <t xml:space="preserve">Number of seeds per square meter.</t>
  </si>
  <si>
    <t xml:space="preserve">Seed nb.m-²</t>
  </si>
  <si>
    <t xml:space="preserve"> SN = (SY / TSW) x 10000</t>
  </si>
  <si>
    <t xml:space="preserve">SY</t>
  </si>
  <si>
    <t xml:space="preserve">Seed_Yield_q/ha  </t>
  </si>
  <si>
    <t xml:space="preserve">Weight (q) of seeds that was harvested per ha calculated with moisture and impurity contents at 0% each.</t>
  </si>
  <si>
    <t xml:space="preserve"> SY = (PLOTHARVEST / PLOTSURF) x (((100 - SEEDH2O_HARV or LAB)/100) x ((100 - SEEDIMPUR)/100)) x 100</t>
  </si>
  <si>
    <t xml:space="preserve">SYNORM</t>
  </si>
  <si>
    <t xml:space="preserve">Seed_Yield_Normalized_q/ha  </t>
  </si>
  <si>
    <t xml:space="preserve">Weight (q) of seeds that was harvested per ha with moisture and impurity contents standardized with commercial values at 9% (SEEDH2ONorm) and 2% (SEEDIMPURNorm) respectively.</t>
  </si>
  <si>
    <t xml:space="preserve"> SYNORM = (PLOTHARVEST / PLOTSURF) x (((100 - SEEDH2O_HARV or LAB)/(100 - SEEDH2ONorm)) x ((100 - SEEDIMPUR)/(100 - SEEDIMPURNorm))) x 100</t>
  </si>
  <si>
    <t xml:space="preserve">TSW</t>
  </si>
  <si>
    <t xml:space="preserve">1000_Seed_Weight</t>
  </si>
  <si>
    <t xml:space="preserve">Determination of the weight of 1000 well-developed mature and dry seeds after harvest.</t>
  </si>
  <si>
    <t xml:space="preserve">g</t>
  </si>
  <si>
    <t xml:space="preserve">The seed sample for SEEDH2O_LAB determination is used for seed counting (NBSEED_sample) using a precision counter.                                                                            TSW = (SEEDH2O_LAB / NBSEED_sample) x 1000</t>
  </si>
  <si>
    <t xml:space="preserve">PLANTSIZE</t>
  </si>
  <si>
    <t xml:space="preserve">Plant_Size</t>
  </si>
  <si>
    <t xml:space="preserve">Height of plants in an experimental plot.</t>
  </si>
  <si>
    <t xml:space="preserve">Height is measured from ground to the top of the plants using a dipstick graduated in cm.                                                              </t>
  </si>
  <si>
    <t xml:space="preserve">GRWSTG_C1</t>
  </si>
  <si>
    <t xml:space="preserve">Growth_Stage_C1</t>
  </si>
  <si>
    <t xml:space="preserve">Bolting date when the first inter-node appears, corresponds to growth stage C1 (CETIOM) or 31 (BBCH scale).</t>
  </si>
  <si>
    <t xml:space="preserve">Nb of calendar days from the 1st of January (+ or - if stage occurs in December).</t>
  </si>
  <si>
    <t xml:space="preserve">Visual notations of the day when growth stage is reached by 50% of the plants in a given plot. </t>
  </si>
  <si>
    <t xml:space="preserve">GRWSTG_F1</t>
  </si>
  <si>
    <t xml:space="preserve">Growth_Stage_F1</t>
  </si>
  <si>
    <t xml:space="preserve">First flowers are open, corresponds to growth stage F1 (CETIOM) or 60 (BBCH scale).</t>
  </si>
  <si>
    <t xml:space="preserve">Nb of calendar days from the 1st of January.</t>
  </si>
  <si>
    <t xml:space="preserve">GRWSTG_F2</t>
  </si>
  <si>
    <t xml:space="preserve">Growth_Stage_F2</t>
  </si>
  <si>
    <t xml:space="preserve">10% of the flowers are open on the main inflorescence, elongation of the main inflorescence. Corresponds to growth stage F2 (CETIOM) or 61 (BBCH scale).</t>
  </si>
  <si>
    <t xml:space="preserve">GRWSTG_FLO</t>
  </si>
  <si>
    <t xml:space="preserve">Growth_Stage_Flowering</t>
  </si>
  <si>
    <t xml:space="preserve">Additional flowering stages according to the BBCH scale (62-65).</t>
  </si>
  <si>
    <t xml:space="preserve">When GRWSTG_F1 or GWRSTG_F2 are not observed, it is possible to note additional stages according to the BBCH scale such as : 62 = 20% of flowers are open on the main inflorescence, 63 = 30% of flowers are open on the main inflorescence, 64 = 40% of flowers are open on the main inflorescence, 65 = 50% of flowers are open on the main inflorescence (full flowering). Visual notations of the day when growth stage is reached by 50% of the plants in a given plot. </t>
  </si>
  <si>
    <t xml:space="preserve">GRWSTG_ENDFLO</t>
  </si>
  <si>
    <t xml:space="preserve">Growth_Stage_End_Flowering</t>
  </si>
  <si>
    <t xml:space="preserve">End of flowering on the main inflorescence, corresponds to growth stage 69 (BBCH scale).</t>
  </si>
  <si>
    <t xml:space="preserve">GRWSTG_G1</t>
  </si>
  <si>
    <t xml:space="preserve">Growth_Stage_G1</t>
  </si>
  <si>
    <t xml:space="preserve">10% of the pods have reached their final size, flowering of secondary inflorescences. Corresponds to growth stage G1 (CETIOM) or 71 (BBCH scale).</t>
  </si>
  <si>
    <t xml:space="preserve">GRWSTG_G4</t>
  </si>
  <si>
    <t xml:space="preserve">Growth_Stage_G4</t>
  </si>
  <si>
    <t xml:space="preserve">30% of the pods have reached their final size, flowering of secondary inflorescences. Corresponds to growth stage G4 (CETIOM) or 73 (BBCH scale).</t>
  </si>
  <si>
    <t xml:space="preserve">GRWSTG_PODDEV</t>
  </si>
  <si>
    <t xml:space="preserve">Growth_Stage_Pod_Development</t>
  </si>
  <si>
    <t xml:space="preserve">Additional stages for pod development according to the BBCH scale (72-79).</t>
  </si>
  <si>
    <t xml:space="preserve">When GRWSTG_G1 or GWRSTG_G4 are not observed, it is possible to note additional stages according to the BBCH scale such as : 72 = 20% of the pods have reached their final size, 74 = 40%, 75 = 50%, 76 = 60%, 77 = 70%, 78 = 80%, 79 = almost all pods. Visual notations of the day when growth stage is reached by 50% of the plants in a given plot. </t>
  </si>
  <si>
    <t xml:space="preserve">GRWSTG_G5</t>
  </si>
  <si>
    <t xml:space="preserve">Growth_Stage_G5</t>
  </si>
  <si>
    <t xml:space="preserve">10% of the seeds have reached maturity, seeds are brown and hard. Corresponds to growth stage G5 (CETIOM) or 81 (BBCH scale).</t>
  </si>
  <si>
    <t xml:space="preserve">GRWSTG_PODMATURITY</t>
  </si>
  <si>
    <t xml:space="preserve">Growth_Stage_Pod_Maturity</t>
  </si>
  <si>
    <t xml:space="preserve">Additional stages for pod maturity according to the BBCH scale (82-99).</t>
  </si>
  <si>
    <t xml:space="preserve">When GRWSTG_G5 is not observed, it is possible to note additional stages according to the BBCH scale such as : 82 = 20% of the pods have reached maturity and seeds are brown and hard, 83 = 30%, 84 = 40%, 85 = 50%, 86 = 60%, 87 = 70%, 88 = 80%, 89 = pod maturity is complete. Visual notations of the day when growth stage is reached by 50% of the plants in a given plot. </t>
  </si>
  <si>
    <t xml:space="preserve">EMERG</t>
  </si>
  <si>
    <t xml:space="preserve">Plant_Emergence</t>
  </si>
  <si>
    <t xml:space="preserve">Percentage of seeds that emerge. </t>
  </si>
  <si>
    <t xml:space="preserve">Plant counting on a line.                                                                                     EMERG = (Number of plants obtained / Number of seeds sown) x 100</t>
  </si>
  <si>
    <t xml:space="preserve">ERUCIC</t>
  </si>
  <si>
    <t xml:space="preserve">Erucic_Acid</t>
  </si>
  <si>
    <t xml:space="preserve">Content of erucic acid in seeds determined by NIRS.</t>
  </si>
  <si>
    <t xml:space="preserve">% total fatty acids</t>
  </si>
  <si>
    <t xml:space="preserve">NIRS assay. XXX calibration.</t>
  </si>
  <si>
    <t xml:space="preserve">PALMITIC</t>
  </si>
  <si>
    <t xml:space="preserve">Palmitic_Acid </t>
  </si>
  <si>
    <t xml:space="preserve">Content of palmitic acid in seeds determined by NIRS.</t>
  </si>
  <si>
    <t xml:space="preserve">STEARIC</t>
  </si>
  <si>
    <t xml:space="preserve">Stearic_Acid</t>
  </si>
  <si>
    <t xml:space="preserve">Content of stearic acid in seeds determined by NIRS.</t>
  </si>
  <si>
    <t xml:space="preserve">OLEIC</t>
  </si>
  <si>
    <t xml:space="preserve">Oleic_Acid </t>
  </si>
  <si>
    <t xml:space="preserve">Content of oleic acid in seeds determined by NIRS.</t>
  </si>
  <si>
    <t xml:space="preserve">LINOLEIC</t>
  </si>
  <si>
    <t xml:space="preserve">Linoleic_Acid </t>
  </si>
  <si>
    <t xml:space="preserve">Content of linoleic acid in seedsdetermined by NIRS.</t>
  </si>
  <si>
    <t xml:space="preserve">LINOLENIC</t>
  </si>
  <si>
    <t xml:space="preserve">Linolenic_Acid </t>
  </si>
  <si>
    <t xml:space="preserve">Content of linolenic acid in seeds determined by NIRS.</t>
  </si>
  <si>
    <t xml:space="preserve">O</t>
  </si>
  <si>
    <t xml:space="preserve">Oil_%</t>
  </si>
  <si>
    <t xml:space="preserve">Content of oil in seeds determined by NIRS.</t>
  </si>
  <si>
    <t xml:space="preserve">% of Seed Dry Weight</t>
  </si>
  <si>
    <t xml:space="preserve">Pr</t>
  </si>
  <si>
    <t xml:space="preserve">Protein_%</t>
  </si>
  <si>
    <t xml:space="preserve">Content of proteins in seeds determined by NIRS.</t>
  </si>
  <si>
    <t xml:space="preserve">GLS</t>
  </si>
  <si>
    <t xml:space="preserve">Glucosinolates</t>
  </si>
  <si>
    <t xml:space="preserve">Content of glucosinolates in seeds determined by NIRS.</t>
  </si>
  <si>
    <t xml:space="preserve">μmol.g-1MS</t>
  </si>
  <si>
    <t xml:space="preserve">SEEDH2O_NIRS</t>
  </si>
  <si>
    <t xml:space="preserve">Seed_Moisture_NIRS</t>
  </si>
  <si>
    <t xml:space="preserve">Moisture content in a sample of seeds determined by NIRS.</t>
  </si>
  <si>
    <t xml:space="preserve">PRMEAL</t>
  </si>
  <si>
    <t xml:space="preserve">Protein_Meal_%</t>
  </si>
  <si>
    <t xml:space="preserve">Content of proteins in the meal determined by NIRS.</t>
  </si>
  <si>
    <t xml:space="preserve">SEEDH2O_HARV</t>
  </si>
  <si>
    <t xml:space="preserve">Seed_Moisture_Harvest</t>
  </si>
  <si>
    <t xml:space="preserve">Moisture content in a sample of seeds determined by humiditer.</t>
  </si>
  <si>
    <t xml:space="preserve">Humidimeter. Rapeseed calibration.</t>
  </si>
  <si>
    <t xml:space="preserve">SEEDH2O_LAB</t>
  </si>
  <si>
    <t xml:space="preserve">Seed_Moisture_Lab</t>
  </si>
  <si>
    <t xml:space="preserve">Moisture content in a sample of cleaned seeds determined by weighing.</t>
  </si>
  <si>
    <t xml:space="preserve">Differential weighing. A sample of around 5 grammes of cleaned dry mature seeds is weighted before and after drying at 103°C for  15 hours in order to determine the fresh weight (FWg) and the dry weight (DWg) respectively.                                             SEEDH2O_LAB = ((FWg – DWg) / FWg) x 100 </t>
  </si>
  <si>
    <t xml:space="preserve">SEEDIMPUR</t>
  </si>
  <si>
    <t xml:space="preserve">Seed_Impurities</t>
  </si>
  <si>
    <t xml:space="preserve">Percentage of impurities in a sample of seeds determined by weighing.</t>
  </si>
  <si>
    <t xml:space="preserve">Differential weighing. A sample of around 200 grammes of dry mature seeds is weighted before and after cleaning using a column in order to determine the gross weight (GWg) and the net weight (NWg) respectively.                                                                         SEEDIMPUR = ((GWg – NWg) / GWg) x 100 </t>
  </si>
  <si>
    <t xml:space="preserve">BIOTIC</t>
  </si>
  <si>
    <t xml:space="preserve">Biotic_Stress</t>
  </si>
  <si>
    <t xml:space="preserve">Biotic attack during the crop cycle.</t>
  </si>
  <si>
    <t xml:space="preserve">Comment about all relevant biotic stresses.</t>
  </si>
  <si>
    <t xml:space="preserve">Visual observations. </t>
  </si>
  <si>
    <t xml:space="preserve">CROP</t>
  </si>
  <si>
    <t xml:space="preserve">Crop</t>
  </si>
  <si>
    <t xml:space="preserve">Crop problems during the cycle.</t>
  </si>
  <si>
    <t xml:space="preserve">Comment about all relevant pbs during the cycle.</t>
  </si>
  <si>
    <t xml:space="preserve">CLIMATIC</t>
  </si>
  <si>
    <t xml:space="preserve">Climatic_Stress</t>
  </si>
  <si>
    <t xml:space="preserve">Climatic incidents during the crop cycle</t>
  </si>
  <si>
    <t xml:space="preserve">Comment about all relevant abiotic stresses.</t>
  </si>
  <si>
    <t xml:space="preserve">LODGING</t>
  </si>
  <si>
    <t xml:space="preserve">Plant_Lodging</t>
  </si>
  <si>
    <t xml:space="preserve">Scoring of the plant lodging of the plot.</t>
  </si>
  <si>
    <t xml:space="preserve">Visual notation is attributed to the plants for each plot, taking into account the surface and the intensity of lodging   
 LODGING  =  0 : NA                                                                                                            1 : No lodging                                                                                                                       2 : Culture leaning, without impact                                                                     5 : Average loding, low impact                                                                                    7 : High lodging, serious impact                                                                              9 : Total lodging, compromised harvest</t>
  </si>
  <si>
    <t xml:space="preserve">Brassica napus L.</t>
  </si>
  <si>
    <t xml:space="preserve">G-003</t>
  </si>
  <si>
    <t xml:space="preserve">AM014</t>
  </si>
  <si>
    <t xml:space="preserve">G_003</t>
  </si>
  <si>
    <t xml:space="preserve">G-004</t>
  </si>
  <si>
    <t xml:space="preserve">AM015</t>
  </si>
  <si>
    <t xml:space="preserve">G_004</t>
  </si>
  <si>
    <t xml:space="preserve">G-005</t>
  </si>
  <si>
    <t xml:space="preserve">AM016</t>
  </si>
  <si>
    <t xml:space="preserve">G_005</t>
  </si>
  <si>
    <t xml:space="preserve">G-006</t>
  </si>
  <si>
    <t xml:space="preserve">AM017</t>
  </si>
  <si>
    <t xml:space="preserve">G_006</t>
  </si>
  <si>
    <t xml:space="preserve">G-007</t>
  </si>
  <si>
    <t xml:space="preserve">AM018</t>
  </si>
  <si>
    <t xml:space="preserve">G_007</t>
  </si>
  <si>
    <t xml:space="preserve">G-008</t>
  </si>
  <si>
    <t xml:space="preserve">AM019</t>
  </si>
  <si>
    <t xml:space="preserve">G_008</t>
  </si>
  <si>
    <t xml:space="preserve">G-009</t>
  </si>
  <si>
    <t xml:space="preserve">AM020</t>
  </si>
  <si>
    <t xml:space="preserve">G_009</t>
  </si>
  <si>
    <t xml:space="preserve">G-010</t>
  </si>
  <si>
    <t xml:space="preserve">AM022</t>
  </si>
  <si>
    <t xml:space="preserve">G_010</t>
  </si>
  <si>
    <t xml:space="preserve">G-011</t>
  </si>
  <si>
    <t xml:space="preserve">AM027</t>
  </si>
  <si>
    <t xml:space="preserve">G_011</t>
  </si>
  <si>
    <t xml:space="preserve">G-012</t>
  </si>
  <si>
    <t xml:space="preserve">AM028</t>
  </si>
  <si>
    <t xml:space="preserve">G_012</t>
  </si>
  <si>
    <t xml:space="preserve">G-013</t>
  </si>
  <si>
    <t xml:space="preserve">AM030</t>
  </si>
  <si>
    <t xml:space="preserve">G_013</t>
  </si>
  <si>
    <t xml:space="preserve">G-014</t>
  </si>
  <si>
    <t xml:space="preserve">AM031</t>
  </si>
  <si>
    <t xml:space="preserve">G_014</t>
  </si>
  <si>
    <t xml:space="preserve">G-015</t>
  </si>
  <si>
    <t xml:space="preserve">AM032</t>
  </si>
  <si>
    <t xml:space="preserve">G_015</t>
  </si>
  <si>
    <t xml:space="preserve">G-016</t>
  </si>
  <si>
    <t xml:space="preserve">AM033</t>
  </si>
  <si>
    <t xml:space="preserve">G_016</t>
  </si>
  <si>
    <t xml:space="preserve">G-017</t>
  </si>
  <si>
    <t xml:space="preserve">AM034</t>
  </si>
  <si>
    <t xml:space="preserve">G_017</t>
  </si>
  <si>
    <t xml:space="preserve">G-018</t>
  </si>
  <si>
    <t xml:space="preserve">AM035</t>
  </si>
  <si>
    <t xml:space="preserve">G_018</t>
  </si>
  <si>
    <t xml:space="preserve">G-019</t>
  </si>
  <si>
    <t xml:space="preserve">AM036</t>
  </si>
  <si>
    <t xml:space="preserve">G_019</t>
  </si>
  <si>
    <t xml:space="preserve">G-020</t>
  </si>
  <si>
    <t xml:space="preserve">AM037</t>
  </si>
  <si>
    <t xml:space="preserve">G_020</t>
  </si>
  <si>
    <t xml:space="preserve">G-021</t>
  </si>
  <si>
    <t xml:space="preserve">AM038</t>
  </si>
  <si>
    <t xml:space="preserve">G_021</t>
  </si>
  <si>
    <t xml:space="preserve">G-022</t>
  </si>
  <si>
    <t xml:space="preserve">AM039</t>
  </si>
  <si>
    <t xml:space="preserve">G_022</t>
  </si>
  <si>
    <t xml:space="preserve">G-023</t>
  </si>
  <si>
    <t xml:space="preserve">AM040</t>
  </si>
  <si>
    <t xml:space="preserve">G_023</t>
  </si>
  <si>
    <t xml:space="preserve">G-024</t>
  </si>
  <si>
    <t xml:space="preserve">AM042</t>
  </si>
  <si>
    <t xml:space="preserve">G_024</t>
  </si>
  <si>
    <t xml:space="preserve">G-025</t>
  </si>
  <si>
    <t xml:space="preserve">AM045</t>
  </si>
  <si>
    <t xml:space="preserve">G_025</t>
  </si>
  <si>
    <t xml:space="preserve">G-026</t>
  </si>
  <si>
    <t xml:space="preserve">AM046</t>
  </si>
  <si>
    <t xml:space="preserve">G_026</t>
  </si>
  <si>
    <t xml:space="preserve">G-027</t>
  </si>
  <si>
    <t xml:space="preserve">AM048</t>
  </si>
  <si>
    <t xml:space="preserve">G_027</t>
  </si>
  <si>
    <t xml:space="preserve">G-028</t>
  </si>
  <si>
    <t xml:space="preserve">AM049</t>
  </si>
  <si>
    <t xml:space="preserve">G_028</t>
  </si>
  <si>
    <t xml:space="preserve">G-029</t>
  </si>
  <si>
    <t xml:space="preserve">AM050</t>
  </si>
  <si>
    <t xml:space="preserve">G_029</t>
  </si>
  <si>
    <t xml:space="preserve">G-030</t>
  </si>
  <si>
    <t xml:space="preserve">AM052</t>
  </si>
  <si>
    <t xml:space="preserve">G_030</t>
  </si>
  <si>
    <t xml:space="preserve">G-031</t>
  </si>
  <si>
    <t xml:space="preserve">AM053</t>
  </si>
  <si>
    <t xml:space="preserve">G_031</t>
  </si>
  <si>
    <t xml:space="preserve">G-032</t>
  </si>
  <si>
    <t xml:space="preserve">AM055</t>
  </si>
  <si>
    <t xml:space="preserve">G_032</t>
  </si>
  <si>
    <t xml:space="preserve">G-033</t>
  </si>
  <si>
    <t xml:space="preserve">AM056</t>
  </si>
  <si>
    <t xml:space="preserve">G_033</t>
  </si>
  <si>
    <t xml:space="preserve">G-034</t>
  </si>
  <si>
    <t xml:space="preserve">AM057</t>
  </si>
  <si>
    <t xml:space="preserve">G_034</t>
  </si>
  <si>
    <t xml:space="preserve">G-035</t>
  </si>
  <si>
    <t xml:space="preserve">AM058</t>
  </si>
  <si>
    <t xml:space="preserve">G_035</t>
  </si>
  <si>
    <t xml:space="preserve">G-036</t>
  </si>
  <si>
    <t xml:space="preserve">AM059</t>
  </si>
  <si>
    <t xml:space="preserve">G_036</t>
  </si>
  <si>
    <t xml:space="preserve">G-037</t>
  </si>
  <si>
    <t xml:space="preserve">AM060</t>
  </si>
  <si>
    <t xml:space="preserve">G_037</t>
  </si>
  <si>
    <t xml:space="preserve">G-038</t>
  </si>
  <si>
    <t xml:space="preserve">AM061</t>
  </si>
  <si>
    <t xml:space="preserve">G_038</t>
  </si>
  <si>
    <t xml:space="preserve">G-039</t>
  </si>
  <si>
    <t xml:space="preserve">AM062</t>
  </si>
  <si>
    <t xml:space="preserve">G_039</t>
  </si>
  <si>
    <t xml:space="preserve">G-040</t>
  </si>
  <si>
    <t xml:space="preserve">AM063</t>
  </si>
  <si>
    <t xml:space="preserve">G_040</t>
  </si>
  <si>
    <t xml:space="preserve">G-041</t>
  </si>
  <si>
    <t xml:space="preserve">AM064</t>
  </si>
  <si>
    <t xml:space="preserve">G_041</t>
  </si>
  <si>
    <t xml:space="preserve">G-042</t>
  </si>
  <si>
    <t xml:space="preserve">AM066</t>
  </si>
  <si>
    <t xml:space="preserve">G_042</t>
  </si>
  <si>
    <t xml:space="preserve">G-043</t>
  </si>
  <si>
    <t xml:space="preserve">AM067</t>
  </si>
  <si>
    <t xml:space="preserve">G_043</t>
  </si>
  <si>
    <t xml:space="preserve">G-044</t>
  </si>
  <si>
    <t xml:space="preserve">AM068</t>
  </si>
  <si>
    <t xml:space="preserve">G_044</t>
  </si>
  <si>
    <t xml:space="preserve">G-045</t>
  </si>
  <si>
    <t xml:space="preserve">AM069</t>
  </si>
  <si>
    <t xml:space="preserve">G_045</t>
  </si>
  <si>
    <t xml:space="preserve">G-046</t>
  </si>
  <si>
    <t xml:space="preserve">AM070</t>
  </si>
  <si>
    <t xml:space="preserve">G_046</t>
  </si>
  <si>
    <t xml:space="preserve">G-047</t>
  </si>
  <si>
    <t xml:space="preserve">AM071</t>
  </si>
  <si>
    <t xml:space="preserve">G_047</t>
  </si>
  <si>
    <t xml:space="preserve">G-048</t>
  </si>
  <si>
    <t xml:space="preserve">AM073</t>
  </si>
  <si>
    <t xml:space="preserve">G_048</t>
  </si>
  <si>
    <t xml:space="preserve">G-049</t>
  </si>
  <si>
    <t xml:space="preserve">AM074</t>
  </si>
  <si>
    <t xml:space="preserve">G_049</t>
  </si>
  <si>
    <t xml:space="preserve">G-050</t>
  </si>
  <si>
    <t xml:space="preserve">AM076</t>
  </si>
  <si>
    <t xml:space="preserve">G_050</t>
  </si>
  <si>
    <t xml:space="preserve">G-051</t>
  </si>
  <si>
    <t xml:space="preserve">AM078</t>
  </si>
  <si>
    <t xml:space="preserve">G_051</t>
  </si>
  <si>
    <t xml:space="preserve">G-052</t>
  </si>
  <si>
    <t xml:space="preserve">AM080</t>
  </si>
  <si>
    <t xml:space="preserve">G_052</t>
  </si>
  <si>
    <t xml:space="preserve">G-053</t>
  </si>
  <si>
    <t xml:space="preserve">AM082</t>
  </si>
  <si>
    <t xml:space="preserve">G_053</t>
  </si>
  <si>
    <t xml:space="preserve">G-054</t>
  </si>
  <si>
    <t xml:space="preserve">AM083</t>
  </si>
  <si>
    <t xml:space="preserve">G_054</t>
  </si>
  <si>
    <t xml:space="preserve">G-055</t>
  </si>
  <si>
    <t xml:space="preserve">AM084</t>
  </si>
  <si>
    <t xml:space="preserve">G_055</t>
  </si>
  <si>
    <t xml:space="preserve">G-056</t>
  </si>
  <si>
    <t xml:space="preserve">AM085</t>
  </si>
  <si>
    <t xml:space="preserve">G_056</t>
  </si>
  <si>
    <t xml:space="preserve">G-057</t>
  </si>
  <si>
    <t xml:space="preserve">AM086</t>
  </si>
  <si>
    <t xml:space="preserve">G_057</t>
  </si>
  <si>
    <t xml:space="preserve">G-058</t>
  </si>
  <si>
    <t xml:space="preserve">AM087</t>
  </si>
  <si>
    <t xml:space="preserve">G_058</t>
  </si>
  <si>
    <t xml:space="preserve">G-059</t>
  </si>
  <si>
    <t xml:space="preserve">AM088</t>
  </si>
  <si>
    <t xml:space="preserve">G_059</t>
  </si>
  <si>
    <t xml:space="preserve">G-060</t>
  </si>
  <si>
    <t xml:space="preserve">AM089</t>
  </si>
  <si>
    <t xml:space="preserve">G_060</t>
  </si>
  <si>
    <t xml:space="preserve">G-061</t>
  </si>
  <si>
    <t xml:space="preserve">AM090</t>
  </si>
  <si>
    <t xml:space="preserve">G_061</t>
  </si>
  <si>
    <t xml:space="preserve">G-062</t>
  </si>
  <si>
    <t xml:space="preserve">AM091</t>
  </si>
  <si>
    <t xml:space="preserve">G_062</t>
  </si>
  <si>
    <t xml:space="preserve">G-063</t>
  </si>
  <si>
    <t xml:space="preserve">AM092</t>
  </si>
  <si>
    <t xml:space="preserve">G_063</t>
  </si>
  <si>
    <t xml:space="preserve">G-064</t>
  </si>
  <si>
    <t xml:space="preserve">AM093</t>
  </si>
  <si>
    <t xml:space="preserve">G_064</t>
  </si>
  <si>
    <t xml:space="preserve">G-065</t>
  </si>
  <si>
    <t xml:space="preserve">AM094</t>
  </si>
  <si>
    <t xml:space="preserve">G_065</t>
  </si>
  <si>
    <t xml:space="preserve">G-066</t>
  </si>
  <si>
    <t xml:space="preserve">AM096</t>
  </si>
  <si>
    <t xml:space="preserve">G_066</t>
  </si>
  <si>
    <t xml:space="preserve">G-067</t>
  </si>
  <si>
    <t xml:space="preserve">AM098</t>
  </si>
  <si>
    <t xml:space="preserve">G_067</t>
  </si>
  <si>
    <t xml:space="preserve">G-068</t>
  </si>
  <si>
    <t xml:space="preserve">AM100</t>
  </si>
  <si>
    <t xml:space="preserve">G_068</t>
  </si>
  <si>
    <t xml:space="preserve">G-069</t>
  </si>
  <si>
    <t xml:space="preserve">AM101</t>
  </si>
  <si>
    <t xml:space="preserve">G_069</t>
  </si>
  <si>
    <t xml:space="preserve">G-070</t>
  </si>
  <si>
    <t xml:space="preserve">AM106</t>
  </si>
  <si>
    <t xml:space="preserve">G_070</t>
  </si>
  <si>
    <t xml:space="preserve">G-071</t>
  </si>
  <si>
    <t xml:space="preserve">AM107</t>
  </si>
  <si>
    <t xml:space="preserve">G_071</t>
  </si>
  <si>
    <t xml:space="preserve">G-072</t>
  </si>
  <si>
    <t xml:space="preserve">AM109</t>
  </si>
  <si>
    <t xml:space="preserve">G_072</t>
  </si>
  <si>
    <t xml:space="preserve">G-073</t>
  </si>
  <si>
    <t xml:space="preserve">AM111</t>
  </si>
  <si>
    <t xml:space="preserve">G_073</t>
  </si>
  <si>
    <t xml:space="preserve">G-074</t>
  </si>
  <si>
    <t xml:space="preserve">AM120</t>
  </si>
  <si>
    <t xml:space="preserve">G_074</t>
  </si>
  <si>
    <t xml:space="preserve">G-075</t>
  </si>
  <si>
    <t xml:space="preserve">AM123</t>
  </si>
  <si>
    <t xml:space="preserve">G_075</t>
  </si>
  <si>
    <t xml:space="preserve">G-076</t>
  </si>
  <si>
    <t xml:space="preserve">AM124</t>
  </si>
  <si>
    <t xml:space="preserve">G_076</t>
  </si>
  <si>
    <t xml:space="preserve">G-077</t>
  </si>
  <si>
    <t xml:space="preserve">AM125</t>
  </si>
  <si>
    <t xml:space="preserve">G_077</t>
  </si>
  <si>
    <t xml:space="preserve">G-078</t>
  </si>
  <si>
    <t xml:space="preserve">AM127</t>
  </si>
  <si>
    <t xml:space="preserve">G_078</t>
  </si>
  <si>
    <t xml:space="preserve">G-079</t>
  </si>
  <si>
    <t xml:space="preserve">AM129</t>
  </si>
  <si>
    <t xml:space="preserve">G_079</t>
  </si>
  <si>
    <t xml:space="preserve">G-080</t>
  </si>
  <si>
    <t xml:space="preserve">AM130</t>
  </si>
  <si>
    <t xml:space="preserve">G_080</t>
  </si>
  <si>
    <t xml:space="preserve">G-081</t>
  </si>
  <si>
    <t xml:space="preserve">AM131</t>
  </si>
  <si>
    <t xml:space="preserve">G_081</t>
  </si>
  <si>
    <t xml:space="preserve">G-082</t>
  </si>
  <si>
    <t xml:space="preserve">AM133</t>
  </si>
  <si>
    <t xml:space="preserve">G_082</t>
  </si>
  <si>
    <t xml:space="preserve">G-083</t>
  </si>
  <si>
    <t xml:space="preserve">AM137</t>
  </si>
  <si>
    <t xml:space="preserve">G_083</t>
  </si>
  <si>
    <t xml:space="preserve">G-084</t>
  </si>
  <si>
    <t xml:space="preserve">AM138</t>
  </si>
  <si>
    <t xml:space="preserve">G_084</t>
  </si>
  <si>
    <t xml:space="preserve">G-085</t>
  </si>
  <si>
    <t xml:space="preserve">AM139</t>
  </si>
  <si>
    <t xml:space="preserve">G_085</t>
  </si>
  <si>
    <t xml:space="preserve">G-086</t>
  </si>
  <si>
    <t xml:space="preserve">AM140</t>
  </si>
  <si>
    <t xml:space="preserve">G_086</t>
  </si>
  <si>
    <t xml:space="preserve">G-087</t>
  </si>
  <si>
    <t xml:space="preserve">AM141</t>
  </si>
  <si>
    <t xml:space="preserve">G_087</t>
  </si>
  <si>
    <t xml:space="preserve">G-088</t>
  </si>
  <si>
    <t xml:space="preserve">AM143</t>
  </si>
  <si>
    <t xml:space="preserve">G_088</t>
  </si>
  <si>
    <t xml:space="preserve">G-089</t>
  </si>
  <si>
    <t xml:space="preserve">AM144</t>
  </si>
  <si>
    <t xml:space="preserve">G_089</t>
  </si>
  <si>
    <t xml:space="preserve">G-090</t>
  </si>
  <si>
    <t xml:space="preserve">AM145</t>
  </si>
  <si>
    <t xml:space="preserve">G_090</t>
  </si>
  <si>
    <t xml:space="preserve">G-091</t>
  </si>
  <si>
    <t xml:space="preserve">AM146</t>
  </si>
  <si>
    <t xml:space="preserve">G_091</t>
  </si>
  <si>
    <t xml:space="preserve">G-092</t>
  </si>
  <si>
    <t xml:space="preserve">AM147</t>
  </si>
  <si>
    <t xml:space="preserve">G_092</t>
  </si>
  <si>
    <t xml:space="preserve">G-093</t>
  </si>
  <si>
    <t xml:space="preserve">AM148</t>
  </si>
  <si>
    <t xml:space="preserve">G_093</t>
  </si>
  <si>
    <t xml:space="preserve">G-094</t>
  </si>
  <si>
    <t xml:space="preserve">AM149</t>
  </si>
  <si>
    <t xml:space="preserve">G_094</t>
  </si>
  <si>
    <t xml:space="preserve">G-095</t>
  </si>
  <si>
    <t xml:space="preserve">AM156</t>
  </si>
  <si>
    <t xml:space="preserve">G_095</t>
  </si>
  <si>
    <t xml:space="preserve">G-096</t>
  </si>
  <si>
    <t xml:space="preserve">AM158</t>
  </si>
  <si>
    <t xml:space="preserve">G_096</t>
  </si>
  <si>
    <t xml:space="preserve">G-097</t>
  </si>
  <si>
    <t xml:space="preserve">AM161</t>
  </si>
  <si>
    <t xml:space="preserve">G_097</t>
  </si>
  <si>
    <t xml:space="preserve">G-098</t>
  </si>
  <si>
    <t xml:space="preserve">AM164</t>
  </si>
  <si>
    <t xml:space="preserve">G_098</t>
  </si>
  <si>
    <t xml:space="preserve">G-099</t>
  </si>
  <si>
    <t xml:space="preserve">AM165</t>
  </si>
  <si>
    <t xml:space="preserve">G_099</t>
  </si>
  <si>
    <t xml:space="preserve">G-100</t>
  </si>
  <si>
    <t xml:space="preserve">AM166</t>
  </si>
  <si>
    <t xml:space="preserve">G_100</t>
  </si>
  <si>
    <t xml:space="preserve">G-101</t>
  </si>
  <si>
    <t xml:space="preserve">AM167</t>
  </si>
  <si>
    <t xml:space="preserve">G_101</t>
  </si>
  <si>
    <t xml:space="preserve">G-102</t>
  </si>
  <si>
    <t xml:space="preserve">AM168</t>
  </si>
  <si>
    <t xml:space="preserve">G_102</t>
  </si>
  <si>
    <t xml:space="preserve">G-103</t>
  </si>
  <si>
    <t xml:space="preserve">AM169</t>
  </si>
  <si>
    <t xml:space="preserve">G_103</t>
  </si>
  <si>
    <t xml:space="preserve">G-104</t>
  </si>
  <si>
    <t xml:space="preserve">AM170</t>
  </si>
  <si>
    <t xml:space="preserve">G_104</t>
  </si>
  <si>
    <t xml:space="preserve">G-105</t>
  </si>
  <si>
    <t xml:space="preserve">AM171</t>
  </si>
  <si>
    <t xml:space="preserve">G_105</t>
  </si>
  <si>
    <t xml:space="preserve">G-106</t>
  </si>
  <si>
    <t xml:space="preserve">AM172</t>
  </si>
  <si>
    <t xml:space="preserve">G_106</t>
  </si>
  <si>
    <t xml:space="preserve">G-107</t>
  </si>
  <si>
    <t xml:space="preserve">AM173</t>
  </si>
  <si>
    <t xml:space="preserve">G_107</t>
  </si>
  <si>
    <t xml:space="preserve">G-108</t>
  </si>
  <si>
    <t xml:space="preserve">AM174</t>
  </si>
  <si>
    <t xml:space="preserve">G_108</t>
  </si>
  <si>
    <t xml:space="preserve">G-109</t>
  </si>
  <si>
    <t xml:space="preserve">AM183</t>
  </si>
  <si>
    <t xml:space="preserve">G_109</t>
  </si>
  <si>
    <t xml:space="preserve">G-110</t>
  </si>
  <si>
    <t xml:space="preserve">AM185</t>
  </si>
  <si>
    <t xml:space="preserve">G_110</t>
  </si>
  <si>
    <t xml:space="preserve">G-111</t>
  </si>
  <si>
    <t xml:space="preserve">AM186</t>
  </si>
  <si>
    <t xml:space="preserve">G_111</t>
  </si>
  <si>
    <t xml:space="preserve">G-112</t>
  </si>
  <si>
    <t xml:space="preserve">AM188</t>
  </si>
  <si>
    <t xml:space="preserve">G_112</t>
  </si>
  <si>
    <t xml:space="preserve">G-113</t>
  </si>
  <si>
    <t xml:space="preserve">AM189</t>
  </si>
  <si>
    <t xml:space="preserve">G_113</t>
  </si>
  <si>
    <t xml:space="preserve">G-114</t>
  </si>
  <si>
    <t xml:space="preserve">AM193</t>
  </si>
  <si>
    <t xml:space="preserve">G_114</t>
  </si>
  <si>
    <t xml:space="preserve">G-115</t>
  </si>
  <si>
    <t xml:space="preserve">AM195</t>
  </si>
  <si>
    <t xml:space="preserve">G_115</t>
  </si>
  <si>
    <t xml:space="preserve">G-116</t>
  </si>
  <si>
    <t xml:space="preserve">AM197</t>
  </si>
  <si>
    <t xml:space="preserve">G_116</t>
  </si>
  <si>
    <t xml:space="preserve">G-117</t>
  </si>
  <si>
    <t xml:space="preserve">AM198</t>
  </si>
  <si>
    <t xml:space="preserve">G_117</t>
  </si>
  <si>
    <t xml:space="preserve">G-001</t>
  </si>
  <si>
    <t xml:space="preserve">Aviso</t>
  </si>
  <si>
    <t xml:space="preserve">G_001</t>
  </si>
  <si>
    <t xml:space="preserve">G-002</t>
  </si>
  <si>
    <t xml:space="preserve">Montego</t>
  </si>
  <si>
    <t xml:space="preserve">G_002</t>
  </si>
  <si>
    <t xml:space="preserve">Azote</t>
  </si>
  <si>
    <t xml:space="preserve">N1</t>
  </si>
  <si>
    <t xml:space="preserve">azote limitant</t>
  </si>
  <si>
    <t xml:space="preserve">Fertilisation limitante (40 kg N/ha)</t>
  </si>
  <si>
    <t xml:space="preserve">N2</t>
  </si>
  <si>
    <t xml:space="preserve">azote optimal</t>
  </si>
  <si>
    <t xml:space="preserve">Fertilisation optimale (130 kg N/ha)</t>
  </si>
  <si>
    <t xml:space="preserve">bloc</t>
  </si>
  <si>
    <t xml:space="preserve">plot</t>
  </si>
  <si>
    <t xml:space="preserve">parcelle</t>
  </si>
  <si>
    <t xml:space="preserve">rep</t>
  </si>
  <si>
    <t xml:space="preserve">répétition</t>
  </si>
  <si>
    <t xml:space="preserve">Parcelle</t>
  </si>
  <si>
    <t xml:space="preserve">PLANTDENS_value</t>
  </si>
  <si>
    <t xml:space="preserve">PLANTDENS_date</t>
  </si>
  <si>
    <t xml:space="preserve">REGSTAND_value</t>
  </si>
  <si>
    <t xml:space="preserve">REGSTAND_date</t>
  </si>
  <si>
    <t xml:space="preserve">PLOTHARVEST_value</t>
  </si>
  <si>
    <t xml:space="preserve">PLOTHARVEST_date</t>
  </si>
  <si>
    <t xml:space="preserve">HI_value</t>
  </si>
  <si>
    <t xml:space="preserve">HI_date</t>
  </si>
  <si>
    <t xml:space="preserve">NHI_value</t>
  </si>
  <si>
    <t xml:space="preserve">NHI_date</t>
  </si>
  <si>
    <t xml:space="preserve">OY_value</t>
  </si>
  <si>
    <t xml:space="preserve">OY_date</t>
  </si>
  <si>
    <t xml:space="preserve">PLOTSURF_value</t>
  </si>
  <si>
    <t xml:space="preserve">PLOTSURF_date</t>
  </si>
  <si>
    <t xml:space="preserve">PODSHAT_value</t>
  </si>
  <si>
    <t xml:space="preserve">PODSHAT_date</t>
  </si>
  <si>
    <t xml:space="preserve">PrY_value</t>
  </si>
  <si>
    <t xml:space="preserve">PrY_date</t>
  </si>
  <si>
    <t xml:space="preserve">SN_value</t>
  </si>
  <si>
    <t xml:space="preserve">SN_date</t>
  </si>
  <si>
    <t xml:space="preserve">SY_value</t>
  </si>
  <si>
    <t xml:space="preserve">SY-date</t>
  </si>
  <si>
    <t xml:space="preserve">SYNORM_value</t>
  </si>
  <si>
    <t xml:space="preserve">SYNORM_date</t>
  </si>
  <si>
    <t xml:space="preserve">TSW_value</t>
  </si>
  <si>
    <t xml:space="preserve">TSW_date</t>
  </si>
  <si>
    <t xml:space="preserve">PLANTSIZE_value</t>
  </si>
  <si>
    <t xml:space="preserve">PLANTSIZE_date</t>
  </si>
  <si>
    <t xml:space="preserve">GRWSTG_C1_value</t>
  </si>
  <si>
    <t xml:space="preserve">GRWSTG_C1_date</t>
  </si>
  <si>
    <t xml:space="preserve">GRWSTG_F1_value</t>
  </si>
  <si>
    <t xml:space="preserve">GRWSTG_F1_date</t>
  </si>
  <si>
    <t xml:space="preserve">GRWSTG_F2_value</t>
  </si>
  <si>
    <t xml:space="preserve">GRWSTG_F2_date</t>
  </si>
  <si>
    <t xml:space="preserve">GRWSTG_FLO_value</t>
  </si>
  <si>
    <t xml:space="preserve">GRWSTG_FLO_date</t>
  </si>
  <si>
    <t xml:space="preserve">GRWSTG_ENDFLO_value</t>
  </si>
  <si>
    <t xml:space="preserve">GRWSTG_ENDFLO_date</t>
  </si>
  <si>
    <t xml:space="preserve">GRWSTG_G1_value</t>
  </si>
  <si>
    <t xml:space="preserve">GRWSTG_G1_date</t>
  </si>
  <si>
    <t xml:space="preserve">GRWSTG_G4_value</t>
  </si>
  <si>
    <t xml:space="preserve">GRWSTG_G4_date</t>
  </si>
  <si>
    <t xml:space="preserve">GRWSTG_PODDEV_value</t>
  </si>
  <si>
    <t xml:space="preserve">GRWSTG_PODDEV_date</t>
  </si>
  <si>
    <t xml:space="preserve">GRWSTG_G5_value</t>
  </si>
  <si>
    <t xml:space="preserve">GRWSTG_G5_date</t>
  </si>
  <si>
    <t xml:space="preserve">GRWSTG_PODMATURITY_value</t>
  </si>
  <si>
    <t xml:space="preserve">GRWSTG_PODMATURITY_date</t>
  </si>
  <si>
    <t xml:space="preserve">EMERG_value</t>
  </si>
  <si>
    <t xml:space="preserve">EMERG_date</t>
  </si>
  <si>
    <t xml:space="preserve">ERUCIC_value</t>
  </si>
  <si>
    <t xml:space="preserve">ERUCIC_date</t>
  </si>
  <si>
    <t xml:space="preserve">PALMITIC_value</t>
  </si>
  <si>
    <t xml:space="preserve">PALMITIC-date</t>
  </si>
  <si>
    <t xml:space="preserve">STEARIC_value</t>
  </si>
  <si>
    <t xml:space="preserve">STEARIC_date</t>
  </si>
  <si>
    <t xml:space="preserve">OLEIC_value</t>
  </si>
  <si>
    <t xml:space="preserve">OLEIC_date</t>
  </si>
  <si>
    <t xml:space="preserve">LINOLEIC_value</t>
  </si>
  <si>
    <t xml:space="preserve">LINOLEIC_date</t>
  </si>
  <si>
    <t xml:space="preserve">LINOLENIC_value</t>
  </si>
  <si>
    <t xml:space="preserve">LINOLENIC_date</t>
  </si>
  <si>
    <t xml:space="preserve">O_value</t>
  </si>
  <si>
    <t xml:space="preserve">O_date</t>
  </si>
  <si>
    <t xml:space="preserve">Pr_value</t>
  </si>
  <si>
    <t xml:space="preserve">Pr_date</t>
  </si>
  <si>
    <t xml:space="preserve">GLS_value</t>
  </si>
  <si>
    <t xml:space="preserve">GLS_date</t>
  </si>
  <si>
    <t xml:space="preserve">SEEDH2O_NIRS_value</t>
  </si>
  <si>
    <t xml:space="preserve">SEEDH2O_NIRS_date</t>
  </si>
  <si>
    <t xml:space="preserve">PRMEAL_value</t>
  </si>
  <si>
    <t xml:space="preserve">PRMEAL_date</t>
  </si>
  <si>
    <t xml:space="preserve">SEEDH2O_HARV_value</t>
  </si>
  <si>
    <t xml:space="preserve">SEEDH2O_HARV_date</t>
  </si>
  <si>
    <t xml:space="preserve">SEEDH2O_LAB_value</t>
  </si>
  <si>
    <t xml:space="preserve">SEEDH2O_LAB_date</t>
  </si>
  <si>
    <t xml:space="preserve">SEEDIMPUR_value</t>
  </si>
  <si>
    <t xml:space="preserve">SEEDIMPUR_date</t>
  </si>
  <si>
    <t xml:space="preserve">LODGING_value</t>
  </si>
  <si>
    <t xml:space="preserve">LODGING_date</t>
  </si>
  <si>
    <t xml:space="preserve">montego</t>
  </si>
  <si>
    <t xml:space="preserve">b1</t>
  </si>
  <si>
    <t xml:space="preserve">b2</t>
  </si>
  <si>
    <t xml:space="preserve">b3</t>
  </si>
  <si>
    <t xml:space="preserve">aviso</t>
  </si>
  <si>
    <t xml:space="preserve">NA</t>
  </si>
  <si>
    <t xml:space="preserve">Meteo_data</t>
  </si>
  <si>
    <t xml:space="preserve">See tab</t>
  </si>
  <si>
    <t xml:space="preserve">Excel</t>
  </si>
  <si>
    <t xml:space="preserve">Soil_data</t>
  </si>
  <si>
    <t xml:space="preserve">INN_data</t>
  </si>
  <si>
    <t xml:space="preserve">Parcellaire_data</t>
  </si>
  <si>
    <t xml:space="preserve">ITK_data</t>
  </si>
  <si>
    <t xml:space="preserve">InstitutionName</t>
  </si>
  <si>
    <t xml:space="preserve">Acareosperma Gagnep.</t>
  </si>
  <si>
    <t xml:space="preserve">A &amp; I University</t>
  </si>
  <si>
    <t xml:space="preserve">Conservatoire Botanique National Méditerranéen de Porquerolles</t>
  </si>
  <si>
    <t xml:space="preserve">AF 1999 018</t>
  </si>
  <si>
    <t xml:space="preserve">Arvalis-Chalons</t>
  </si>
  <si>
    <t xml:space="preserve">Acareosperma spireanum Gagnep.</t>
  </si>
  <si>
    <t xml:space="preserve">Abed Plant Breeding Station</t>
  </si>
  <si>
    <t xml:space="preserve">Gautier Semences</t>
  </si>
  <si>
    <t xml:space="preserve">AF 1999 046</t>
  </si>
  <si>
    <t xml:space="preserve">Arvalis-Greoux</t>
  </si>
  <si>
    <t xml:space="preserve">Acyrthosiphon magnoliae</t>
  </si>
  <si>
    <t xml:space="preserve">Abteilung Biochemie</t>
  </si>
  <si>
    <t xml:space="preserve">Institut Jean-Pierre Bourgin</t>
  </si>
  <si>
    <t xml:space="preserve">AF 1999 064</t>
  </si>
  <si>
    <t xml:space="preserve">Bergheim</t>
  </si>
  <si>
    <t xml:space="preserve">Acyrthosiphon pisum</t>
  </si>
  <si>
    <t xml:space="preserve">Abteilung Traub</t>
  </si>
  <si>
    <t xml:space="preserve">Pépinière du Mas d'Auge</t>
  </si>
  <si>
    <t xml:space="preserve">AF 2001 001</t>
  </si>
  <si>
    <t xml:space="preserve">BGAMDV</t>
  </si>
  <si>
    <t xml:space="preserve">Aegilops</t>
  </si>
  <si>
    <t xml:space="preserve">ADIS DNA core facility at MPIZ</t>
  </si>
  <si>
    <t xml:space="preserve">Pépinières Rey</t>
  </si>
  <si>
    <t xml:space="preserve">AF 2001 009</t>
  </si>
  <si>
    <t xml:space="preserve">Aegilops aucheri Boiss.</t>
  </si>
  <si>
    <t xml:space="preserve">ADT</t>
  </si>
  <si>
    <t xml:space="preserve">UE Ressources Génétiques végétales en Conditions Océaniques, INRA-Rennes, Site de Ploudaniel</t>
  </si>
  <si>
    <t xml:space="preserve">AF 2001 019-031</t>
  </si>
  <si>
    <t xml:space="preserve">Clermont-Ferrand</t>
  </si>
  <si>
    <t xml:space="preserve">Aegilops bicornis</t>
  </si>
  <si>
    <t xml:space="preserve">Agricultural and Agri-Food Canada</t>
  </si>
  <si>
    <t xml:space="preserve">UMR Amélioration Génétique et Adaptation des Plantes, INRA-Montpellier</t>
  </si>
  <si>
    <t xml:space="preserve">AF 2001 024</t>
  </si>
  <si>
    <t xml:space="preserve">Colmar</t>
  </si>
  <si>
    <t xml:space="preserve">Aegilops bicornis (Forsk.) Jaub. &amp; Spach.</t>
  </si>
  <si>
    <t xml:space="preserve">Agricultural and Technological Research Centre</t>
  </si>
  <si>
    <t xml:space="preserve">UMR Développement et Amélioration des Plantes, INRA-Montpellier</t>
  </si>
  <si>
    <t xml:space="preserve">AF 2001 030</t>
  </si>
  <si>
    <t xml:space="preserve">Dijon</t>
  </si>
  <si>
    <t xml:space="preserve">Aegilops comosa</t>
  </si>
  <si>
    <t xml:space="preserve">Agricultural Biotechnology R&amp;D,  Life Technologies,  Inc.</t>
  </si>
  <si>
    <t xml:space="preserve">UMR Écophysiologie et Génomique Fonctionnelle de la Vigne, INRA-Bordeaux</t>
  </si>
  <si>
    <t xml:space="preserve">AF 2001 032</t>
  </si>
  <si>
    <t xml:space="preserve">Estrees-Mons</t>
  </si>
  <si>
    <t xml:space="preserve">Aegilops comosa Sibth. &amp; Sm.</t>
  </si>
  <si>
    <t xml:space="preserve">Agricultural Experiment Station University of the District of Columbia</t>
  </si>
  <si>
    <t xml:space="preserve">UMR Génétique, Diversité et Ecophysiologie des Céréales, INRA-Clermont</t>
  </si>
  <si>
    <t xml:space="preserve">AF 2001 047</t>
  </si>
  <si>
    <t xml:space="preserve">Estrées-Mons</t>
  </si>
  <si>
    <t xml:space="preserve">Aegilops crassa Boiss.</t>
  </si>
  <si>
    <t xml:space="preserve">Agricultural Genomics</t>
  </si>
  <si>
    <t xml:space="preserve">UMR Génétique et Écophysiologie des Légumineuses à Graines, INRA-Dijon</t>
  </si>
  <si>
    <t xml:space="preserve">AF 2001 051</t>
  </si>
  <si>
    <t xml:space="preserve">Fertreve - Foret de Vincence</t>
  </si>
  <si>
    <t xml:space="preserve">Aegilops crassa Boiss. subsp. vavilovi Zhuk.</t>
  </si>
  <si>
    <t xml:space="preserve">Agricultural Institute Krizevci</t>
  </si>
  <si>
    <t xml:space="preserve">UMR Institut de Génétique, Environnement et Protection des Plantes, INRA-Rennes, Site de Ploudaniel</t>
  </si>
  <si>
    <t xml:space="preserve">AF 2001 073</t>
  </si>
  <si>
    <t xml:space="preserve">FLORIMOND DESPREZ</t>
  </si>
  <si>
    <t xml:space="preserve">Aegilops crassa var. palaestina</t>
  </si>
  <si>
    <t xml:space="preserve">Agricultural Institute Osijek</t>
  </si>
  <si>
    <t xml:space="preserve">UMR Santé de la Vigne et Qualité du Vin, INRA-Colmar</t>
  </si>
  <si>
    <t xml:space="preserve">Ag_EST</t>
  </si>
  <si>
    <t xml:space="preserve">IPGPAS</t>
  </si>
  <si>
    <t xml:space="preserve">Aegilops crassa var. vavilovi</t>
  </si>
  <si>
    <t xml:space="preserve">Agricultural Research &amp; Advisory Station, Dept. of Agriculture</t>
  </si>
  <si>
    <t xml:space="preserve">Unité Expérimentale du Domaine de Vassal, INRA-Montpellier</t>
  </si>
  <si>
    <t xml:space="preserve">AIP_P00272</t>
  </si>
  <si>
    <t xml:space="preserve">Le Moulon</t>
  </si>
  <si>
    <t xml:space="preserve">Aegilops cylindrica Host</t>
  </si>
  <si>
    <t xml:space="preserve">Agricultural Research Centre - Mtwapa</t>
  </si>
  <si>
    <t xml:space="preserve">Unité Expérimentale Vigne et Vin, INRA-Montreuil Bellay</t>
  </si>
  <si>
    <t xml:space="preserve">ANR-06- GPLA-016</t>
  </si>
  <si>
    <t xml:space="preserve">LLC</t>
  </si>
  <si>
    <t xml:space="preserve">Aegilops juvenalis (Thell.) Eig</t>
  </si>
  <si>
    <t xml:space="preserve">Agricultural Research Institute for East Brazil</t>
  </si>
  <si>
    <t xml:space="preserve">UR AgroSystèmes TROpicaux, INRA Antilles-Guyane</t>
  </si>
  <si>
    <t xml:space="preserve">Ap_EST_Riken</t>
  </si>
  <si>
    <t xml:space="preserve">Lusignan</t>
  </si>
  <si>
    <t xml:space="preserve">Aegilops longissima</t>
  </si>
  <si>
    <t xml:space="preserve">Agricultural Research Institute Hungarian Academy of Sciences</t>
  </si>
  <si>
    <t xml:space="preserve">UR Espèces Fruitières, INRA-Bordeaux</t>
  </si>
  <si>
    <t xml:space="preserve">AS-2005</t>
  </si>
  <si>
    <t xml:space="preserve">Maule</t>
  </si>
  <si>
    <t xml:space="preserve">Aegilops longissima Schweinf. &amp; Muschli in Muschli</t>
  </si>
  <si>
    <t xml:space="preserve">Agricultural Research Institute Kromeriz, Co. Ltd.</t>
  </si>
  <si>
    <t xml:space="preserve">UR Génétique et Amélioration des Fruits et Légumes, INRA-Avignon</t>
  </si>
  <si>
    <t xml:space="preserve">ATH_AfNO1999032</t>
  </si>
  <si>
    <t xml:space="preserve">MOMONT</t>
  </si>
  <si>
    <t xml:space="preserve">Aegilops lorentii</t>
  </si>
  <si>
    <t xml:space="preserve">Agricultural Research Institute of Taihu Prefecture</t>
  </si>
  <si>
    <t xml:space="preserve">UR Génétique et Écophysiologie de la Qualité des Agrumes, INRA-Corse</t>
  </si>
  <si>
    <t xml:space="preserve">ATH_RI_NASC</t>
  </si>
  <si>
    <t xml:space="preserve">Orgeval</t>
  </si>
  <si>
    <t xml:space="preserve">Aegilops mutica Boiss.</t>
  </si>
  <si>
    <t xml:space="preserve">Agricultural Research Institute, Uyole</t>
  </si>
  <si>
    <t xml:space="preserve">URP Prairies et Plantes Fourragères, INRA-Lusignan</t>
  </si>
  <si>
    <t xml:space="preserve">AtPhy</t>
  </si>
  <si>
    <t xml:space="preserve">Reclainville</t>
  </si>
  <si>
    <t xml:space="preserve">Aegilops ovata L.</t>
  </si>
  <si>
    <t xml:space="preserve">Agricultural Research Organization Volcani Centre</t>
  </si>
  <si>
    <t xml:space="preserve">BcLTF1</t>
  </si>
  <si>
    <t xml:space="preserve">Rennes</t>
  </si>
  <si>
    <t xml:space="preserve">Aegilops ovata var. anatolica Eig</t>
  </si>
  <si>
    <t xml:space="preserve">Agricultural Research Station - Ghana</t>
  </si>
  <si>
    <t xml:space="preserve">BCVEL1</t>
  </si>
  <si>
    <t xml:space="preserve">Saint-Laurent - Foret domaniale de Vierzon</t>
  </si>
  <si>
    <t xml:space="preserve">Aegilops peregrina</t>
  </si>
  <si>
    <t xml:space="preserve">Agricultural Research Station - Greece</t>
  </si>
  <si>
    <t xml:space="preserve">BcYOH1</t>
  </si>
  <si>
    <t xml:space="preserve">Saint-Symphorien - Foret domaniale de la Petite Charnie</t>
  </si>
  <si>
    <t xml:space="preserve">Aegilops recta</t>
  </si>
  <si>
    <t xml:space="preserve">Agricultural Research Station Lovrin-Timis</t>
  </si>
  <si>
    <t xml:space="preserve">BerrySize</t>
  </si>
  <si>
    <t xml:space="preserve">Aegilops searsii Feldman &amp; Kislev</t>
  </si>
  <si>
    <t xml:space="preserve">Agriculture &amp; Animal Production State Research Farm</t>
  </si>
  <si>
    <t xml:space="preserve">BGI_EST_OS</t>
  </si>
  <si>
    <t xml:space="preserve">Aegilops sharonensis</t>
  </si>
  <si>
    <t xml:space="preserve">Agri-obtentions Clermont-Ferrand</t>
  </si>
  <si>
    <t xml:space="preserve">BIEP</t>
  </si>
  <si>
    <t xml:space="preserve">Aegilops speltoides</t>
  </si>
  <si>
    <t xml:space="preserve">Agri-Obtentions, Guyancourt</t>
  </si>
  <si>
    <t xml:space="preserve">BotPathoINRA</t>
  </si>
  <si>
    <t xml:space="preserve">Aegilops squarrosa auct., p. p., non. L.</t>
  </si>
  <si>
    <t xml:space="preserve">Agripro Seeds Inc.</t>
  </si>
  <si>
    <t xml:space="preserve">Botrytis_on_Sunflower_2008</t>
  </si>
  <si>
    <t xml:space="preserve">Aegilops squarrosa L.</t>
  </si>
  <si>
    <t xml:space="preserve">Agrogene</t>
  </si>
  <si>
    <t xml:space="preserve">B1</t>
  </si>
  <si>
    <t xml:space="preserve">Aegilops subulata Pomel</t>
  </si>
  <si>
    <t xml:space="preserve">Agrolit S.A.</t>
  </si>
  <si>
    <t xml:space="preserve">Cabomba_EST</t>
  </si>
  <si>
    <t xml:space="preserve">Aegilops tauschii</t>
  </si>
  <si>
    <t xml:space="preserve">Agronomy</t>
  </si>
  <si>
    <t xml:space="preserve">CANDIDATE_GENES_BIOGECO</t>
  </si>
  <si>
    <t xml:space="preserve">Aegilops tauschii subsp. tauschii x Triticum turgidum subsp.</t>
  </si>
  <si>
    <t xml:space="preserve">A.H. Whitmore Foundation Farm</t>
  </si>
  <si>
    <t xml:space="preserve">Chlorose</t>
  </si>
  <si>
    <t xml:space="preserve">Aegilops triuncialis L.</t>
  </si>
  <si>
    <t xml:space="preserve">Alata Horticultural Research Institute</t>
  </si>
  <si>
    <t xml:space="preserve">CI1999 076</t>
  </si>
  <si>
    <t xml:space="preserve">Aegilops turcomanica</t>
  </si>
  <si>
    <t xml:space="preserve">Alibert</t>
  </si>
  <si>
    <t xml:space="preserve">CI1999 088</t>
  </si>
  <si>
    <t xml:space="preserve">Aegilops variabilis Eig</t>
  </si>
  <si>
    <t xml:space="preserve">All-Union Institute for Vegetable Breeding and Seed Production</t>
  </si>
  <si>
    <t xml:space="preserve">CI2000 005</t>
  </si>
  <si>
    <t xml:space="preserve">Aegilops vavilovi</t>
  </si>
  <si>
    <t xml:space="preserve">Alternate Crops and  Systems Laboratory</t>
  </si>
  <si>
    <t xml:space="preserve">CI2001 002</t>
  </si>
  <si>
    <t xml:space="preserve">Aegilops ventricosa Tausch</t>
  </si>
  <si>
    <t xml:space="preserve">Amélioration des plantes et biotechnologies végétales</t>
  </si>
  <si>
    <t xml:space="preserve">CM2006-var4</t>
  </si>
  <si>
    <t xml:space="preserve">Allium cepa L.</t>
  </si>
  <si>
    <t xml:space="preserve">Amélioration des Semences Légumières</t>
  </si>
  <si>
    <t xml:space="preserve">CNVmaize</t>
  </si>
  <si>
    <t xml:space="preserve">Allium cepa L. groupe aggregatum</t>
  </si>
  <si>
    <t xml:space="preserve">Amelioration et Sante des Plantes</t>
  </si>
  <si>
    <t xml:space="preserve">CP1</t>
  </si>
  <si>
    <t xml:space="preserve">Allium L.</t>
  </si>
  <si>
    <t xml:space="preserve">AMIS/BIOTROP</t>
  </si>
  <si>
    <t xml:space="preserve">CP1P1</t>
  </si>
  <si>
    <t xml:space="preserve">Allium sativum L.</t>
  </si>
  <si>
    <t xml:space="preserve">André Pichot</t>
  </si>
  <si>
    <t xml:space="preserve">CP1p2</t>
  </si>
  <si>
    <t xml:space="preserve">Allium sativum longicuspis</t>
  </si>
  <si>
    <t xml:space="preserve">Applied Biotechnology Center,  CIMMYT</t>
  </si>
  <si>
    <t xml:space="preserve">CP1p3</t>
  </si>
  <si>
    <t xml:space="preserve">Allium sativum sativum</t>
  </si>
  <si>
    <t xml:space="preserve">ARC Interfruitec - Nietvoorbij, Stellenbosch - South Africa</t>
  </si>
  <si>
    <t xml:space="preserve">CP1p4</t>
  </si>
  <si>
    <t xml:space="preserve">Ampelopsis aconitifolia Bunge</t>
  </si>
  <si>
    <t xml:space="preserve">ARCHIVE</t>
  </si>
  <si>
    <t xml:space="preserve">CP1p5</t>
  </si>
  <si>
    <t xml:space="preserve">Ampelopsis aegirophylla Planch.</t>
  </si>
  <si>
    <t xml:space="preserve">Arizona Genomics Institute</t>
  </si>
  <si>
    <t xml:space="preserve">CP1p7</t>
  </si>
  <si>
    <t xml:space="preserve">Ampelopsis bipinnata Michx.</t>
  </si>
  <si>
    <t xml:space="preserve">Arkansas Agricultural Experiment Station, University of Arkansas</t>
  </si>
  <si>
    <t xml:space="preserve">CP2p1</t>
  </si>
  <si>
    <t xml:space="preserve">Ampelopsis bodinieri (H.Lév. &amp; Vaniot) Rehder</t>
  </si>
  <si>
    <t xml:space="preserve">Armenian Institute of Agriculture Armanskaja SSR</t>
  </si>
  <si>
    <t xml:space="preserve">CP3</t>
  </si>
  <si>
    <t xml:space="preserve">Ampelopsis brevipedunculata (Maxim.) Trautv.</t>
  </si>
  <si>
    <t xml:space="preserve">Arvalis-Institut du végétal</t>
  </si>
  <si>
    <t xml:space="preserve">CP4</t>
  </si>
  <si>
    <t xml:space="preserve">Ampelopsis chaffanjonii (H.Lév.) Rehder</t>
  </si>
  <si>
    <t xml:space="preserve">ASGROW</t>
  </si>
  <si>
    <t xml:space="preserve">CP4P2</t>
  </si>
  <si>
    <t xml:space="preserve">Ampelopsis citrulloïdes Lebas</t>
  </si>
  <si>
    <t xml:space="preserve">Asociacion de Nuevos Alquimistas</t>
  </si>
  <si>
    <t xml:space="preserve">CSIRO</t>
  </si>
  <si>
    <t xml:space="preserve">Ampelopsis cordata Michx.</t>
  </si>
  <si>
    <t xml:space="preserve">Association Cap Vert</t>
  </si>
  <si>
    <t xml:space="preserve">CSIRO-INRA_1</t>
  </si>
  <si>
    <t xml:space="preserve">Ampelopsis delavayana Planch.</t>
  </si>
  <si>
    <t xml:space="preserve">Association des Créateurs de Variétés Fourragères</t>
  </si>
  <si>
    <t xml:space="preserve">C2008-14-RGA</t>
  </si>
  <si>
    <t xml:space="preserve">Ampelopsis heterophylla Blume</t>
  </si>
  <si>
    <t xml:space="preserve">Association française interprofessionnelle de l'olive</t>
  </si>
  <si>
    <t xml:space="preserve">DayLength</t>
  </si>
  <si>
    <t xml:space="preserve">Ampelopsis megalophylla Diels &amp; Gilg</t>
  </si>
  <si>
    <t xml:space="preserve">Association Fruits Oubliés</t>
  </si>
  <si>
    <t xml:space="preserve">DBESTARABI</t>
  </si>
  <si>
    <t xml:space="preserve">Ampelopsis Michx.</t>
  </si>
  <si>
    <t xml:space="preserve">Association Les Croqueurs de Pommes du territoire du Jarez</t>
  </si>
  <si>
    <t xml:space="preserve">DBESTMAIZE</t>
  </si>
  <si>
    <t xml:space="preserve">Ampelopsis orientalis Planch.</t>
  </si>
  <si>
    <t xml:space="preserve">Association Les Croqueurs de Pommes du territoire du Jarez, Domaine de la Cantonnière</t>
  </si>
  <si>
    <t xml:space="preserve">DBESTPEA</t>
  </si>
  <si>
    <t xml:space="preserve">Ampelopsis serjaniifolia Bunge</t>
  </si>
  <si>
    <t xml:space="preserve">Association Les Croqueurs de Pommes du territoire du Jarez, Verger de Pleyne</t>
  </si>
  <si>
    <t xml:space="preserve">DBESTPOPLAR</t>
  </si>
  <si>
    <t xml:space="preserve">Ampelopsis vitifolia Planch.</t>
  </si>
  <si>
    <t xml:space="preserve">Association Technique Viticole de Bourgogne</t>
  </si>
  <si>
    <t xml:space="preserve">DBESTRAPE</t>
  </si>
  <si>
    <t xml:space="preserve">Aphis fabae</t>
  </si>
  <si>
    <t xml:space="preserve">ATAV Hérault</t>
  </si>
  <si>
    <t xml:space="preserve">DBESTRICE</t>
  </si>
  <si>
    <t xml:space="preserve">Aphis gossypii</t>
  </si>
  <si>
    <t xml:space="preserve">ATAV Val de Loire</t>
  </si>
  <si>
    <t xml:space="preserve">DBESTSUNFLOWER</t>
  </si>
  <si>
    <t xml:space="preserve">Aphis nerii</t>
  </si>
  <si>
    <t xml:space="preserve">Australian Medicago Genetic Resource Center</t>
  </si>
  <si>
    <t xml:space="preserve">DBESTWHEAT</t>
  </si>
  <si>
    <t xml:space="preserve">Apium graveolens</t>
  </si>
  <si>
    <t xml:space="preserve">Australian Winter Cereals Collection Agricultural Research Centre</t>
  </si>
  <si>
    <t xml:space="preserve">DBESTZINNIA</t>
  </si>
  <si>
    <t xml:space="preserve">Arabidopsis Heynh.</t>
  </si>
  <si>
    <t xml:space="preserve">Aventis CropScience</t>
  </si>
  <si>
    <t xml:space="preserve">D_noxia_KU</t>
  </si>
  <si>
    <t xml:space="preserve">Arabidopsis thaliana</t>
  </si>
  <si>
    <t xml:space="preserve">Ballard's Nurseries</t>
  </si>
  <si>
    <t xml:space="preserve">EGRAM</t>
  </si>
  <si>
    <t xml:space="preserve">Asteraceae</t>
  </si>
  <si>
    <t xml:space="preserve">Banco de Germoplasm de Trigo, Centro Internacional de Mejoramiento de Maíz y Trigo</t>
  </si>
  <si>
    <t xml:space="preserve">eIF4E</t>
  </si>
  <si>
    <t xml:space="preserve">Atalantia ceylanica (Arn.) Oliv.</t>
  </si>
  <si>
    <t xml:space="preserve">Banco de Germoplasma de El Encín</t>
  </si>
  <si>
    <t xml:space="preserve">ERECTA</t>
  </si>
  <si>
    <t xml:space="preserve">Atalantia Corrêa</t>
  </si>
  <si>
    <t xml:space="preserve">Banglasdesh Agricultural Research Institute</t>
  </si>
  <si>
    <t xml:space="preserve">EXEGESE-BLE</t>
  </si>
  <si>
    <t xml:space="preserve">Aurantioideae</t>
  </si>
  <si>
    <t xml:space="preserve">Barajev Kazakhstan Sciences Research Institute</t>
  </si>
  <si>
    <t xml:space="preserve">Fleshless</t>
  </si>
  <si>
    <t xml:space="preserve">Avena sativa</t>
  </si>
  <si>
    <t xml:space="preserve">Barani Agricultural Research Institute</t>
  </si>
  <si>
    <t xml:space="preserve">GABI-PLANT</t>
  </si>
  <si>
    <t xml:space="preserve">Botryotinia fuckeliana</t>
  </si>
  <si>
    <t xml:space="preserve">Bavaria Saat Muenchen BGB GmbH</t>
  </si>
  <si>
    <t xml:space="preserve">GCP 2006-02</t>
  </si>
  <si>
    <t xml:space="preserve">Brachypodium distachyon</t>
  </si>
  <si>
    <t xml:space="preserve">BAYER CROP SCIENCE</t>
  </si>
  <si>
    <t xml:space="preserve">Genoble</t>
  </si>
  <si>
    <t xml:space="preserve">Brassica carinata A. Braun</t>
  </si>
  <si>
    <t xml:space="preserve">Bayer CropScience</t>
  </si>
  <si>
    <t xml:space="preserve">GEN107_PTGS</t>
  </si>
  <si>
    <t xml:space="preserve">Brassica juncea (L.) Czern.</t>
  </si>
  <si>
    <t xml:space="preserve">Bayerische Pflanzenzuchtgesellschaft eG &amp; Co. KG</t>
  </si>
  <si>
    <t xml:space="preserve">GnpSeq</t>
  </si>
  <si>
    <t xml:space="preserve">Brassica L.</t>
  </si>
  <si>
    <t xml:space="preserve">Beatson RA, Nelson - New Zealand</t>
  </si>
  <si>
    <t xml:space="preserve">GNP05013C</t>
  </si>
  <si>
    <t xml:space="preserve">Beijing Academy of Agriculture and Forestry Sciences</t>
  </si>
  <si>
    <t xml:space="preserve">GNP3-B4</t>
  </si>
  <si>
    <t xml:space="preserve">Brassica napus var. napobrassica (L.) Rchb</t>
  </si>
  <si>
    <t xml:space="preserve">Beijing Agricultural University - Departement of Agriculture</t>
  </si>
  <si>
    <t xml:space="preserve">GOP A1</t>
  </si>
  <si>
    <t xml:space="preserve">Brassica napus var. napus L.</t>
  </si>
  <si>
    <t xml:space="preserve">Bejo</t>
  </si>
  <si>
    <t xml:space="preserve">GOP PEA-A</t>
  </si>
  <si>
    <t xml:space="preserve">Brassica nigra (L.) W. D. J. Koch</t>
  </si>
  <si>
    <t xml:space="preserve">Belloy et Compagnie</t>
  </si>
  <si>
    <t xml:space="preserve">GOP PEA-B</t>
  </si>
  <si>
    <t xml:space="preserve">Brassica oleracea L.</t>
  </si>
  <si>
    <t xml:space="preserve">Benito Poggiali, Faenza - Italy</t>
  </si>
  <si>
    <t xml:space="preserve">GOP PEA-C</t>
  </si>
  <si>
    <t xml:space="preserve">Brassica oleracea var. acephala DC.</t>
  </si>
  <si>
    <t xml:space="preserve">Bergeron Gabrielle, St-Cyr-au-Mont-d'Or Lyon - France</t>
  </si>
  <si>
    <t xml:space="preserve">GOP PEA-G</t>
  </si>
  <si>
    <t xml:space="preserve">Brassica oleracea var. botrytis L.</t>
  </si>
  <si>
    <t xml:space="preserve">BGI</t>
  </si>
  <si>
    <t xml:space="preserve">GOP Q5</t>
  </si>
  <si>
    <t xml:space="preserve">Brassica oleracea var. capitata f. capitata</t>
  </si>
  <si>
    <t xml:space="preserve">Biochemistry</t>
  </si>
  <si>
    <t xml:space="preserve">GOP T6</t>
  </si>
  <si>
    <t xml:space="preserve">Brassica oleracea var. capitata f. pyramidalis</t>
  </si>
  <si>
    <t xml:space="preserve">Biochemistry,  Department of Natural Sciences</t>
  </si>
  <si>
    <t xml:space="preserve">GPiDB</t>
  </si>
  <si>
    <t xml:space="preserve">Brassica oleracea var. capitata f. rubra</t>
  </si>
  <si>
    <t xml:space="preserve">Biochemistry and  Biophysics,  Department of Chemistry, Lundberg Laboratory</t>
  </si>
  <si>
    <t xml:space="preserve">GPLA06027C</t>
  </si>
  <si>
    <t xml:space="preserve">Brassica oleracea var. capitata L.</t>
  </si>
  <si>
    <t xml:space="preserve">Biochemistry Department</t>
  </si>
  <si>
    <t xml:space="preserve">GrainGenes</t>
  </si>
  <si>
    <t xml:space="preserve">Brassica oleracea var. costata DC.</t>
  </si>
  <si>
    <t xml:space="preserve">Biochimie et Physiologie Moleculaire des plantes</t>
  </si>
  <si>
    <t xml:space="preserve">GRAPEGEN06</t>
  </si>
  <si>
    <t xml:space="preserve">Brassica oleracea var. gemmifera (DC.) Zenker</t>
  </si>
  <si>
    <t xml:space="preserve">BIOGECO</t>
  </si>
  <si>
    <t xml:space="preserve">GrapeReSeq</t>
  </si>
  <si>
    <t xml:space="preserve">Brassica oleracea var. gongylodes L.</t>
  </si>
  <si>
    <t xml:space="preserve">BIOGEMMA</t>
  </si>
  <si>
    <t xml:space="preserve">GRAPESEQ</t>
  </si>
  <si>
    <t xml:space="preserve">Brassica oleracea var. italica Plenck</t>
  </si>
  <si>
    <t xml:space="preserve">Biogemma</t>
  </si>
  <si>
    <t xml:space="preserve">GRMap</t>
  </si>
  <si>
    <t xml:space="preserve">Brassica oleracea var. medullosa Thell.</t>
  </si>
  <si>
    <t xml:space="preserve">BIOGEMMA Mondonville</t>
  </si>
  <si>
    <t xml:space="preserve">GTPases</t>
  </si>
  <si>
    <t xml:space="preserve">Brassica oleracea var. oleracea L.</t>
  </si>
  <si>
    <t xml:space="preserve">BIOGEMMA SAS</t>
  </si>
  <si>
    <t xml:space="preserve">HA_HG1_EST</t>
  </si>
  <si>
    <t xml:space="preserve">Brassica oleracea var. ramosa DC.</t>
  </si>
  <si>
    <t xml:space="preserve">BIOGER</t>
  </si>
  <si>
    <t xml:space="preserve">Hcyl</t>
  </si>
  <si>
    <t xml:space="preserve">Brassica oleracea var. sabauda L.</t>
  </si>
  <si>
    <t xml:space="preserve">BIOGER - Equipe Analyse Fonctionnelle du genome de Botrytis cinerea</t>
  </si>
  <si>
    <t xml:space="preserve">HG1</t>
  </si>
  <si>
    <t xml:space="preserve">Brassica rapa L.</t>
  </si>
  <si>
    <t xml:space="preserve">BioInformatics</t>
  </si>
  <si>
    <t xml:space="preserve">Brassica rapa subsp. chinensis (L.) Hanelt</t>
  </si>
  <si>
    <t xml:space="preserve">Bioinformatics</t>
  </si>
  <si>
    <t xml:space="preserve">INRA_AFGBC</t>
  </si>
  <si>
    <t xml:space="preserve">Brassica rapa subsp. dichotoma (Roxb.) Hanelt</t>
  </si>
  <si>
    <t xml:space="preserve">Bioinformatics Department</t>
  </si>
  <si>
    <t xml:space="preserve">INRA_BBSRC_NUEtraits</t>
  </si>
  <si>
    <t xml:space="preserve">Brassica rapa subsp. oleifera (DC.) Metzg</t>
  </si>
  <si>
    <t xml:space="preserve">Bioinformatics Team</t>
  </si>
  <si>
    <t xml:space="preserve">INRA_CIS</t>
  </si>
  <si>
    <t xml:space="preserve">Brassica rapa subsp. pekinensis (Lour.) Hanelt</t>
  </si>
  <si>
    <t xml:space="preserve">Biological Resources Division</t>
  </si>
  <si>
    <t xml:space="preserve">INRA_EVOL</t>
  </si>
  <si>
    <t xml:space="preserve">Brassica rapa subsp. rapa L.</t>
  </si>
  <si>
    <t xml:space="preserve">Biological Sciences</t>
  </si>
  <si>
    <t xml:space="preserve">INRA_mapping</t>
  </si>
  <si>
    <t xml:space="preserve">Brassica rapa subsp. ruvo L. H. Bailey</t>
  </si>
  <si>
    <t xml:space="preserve">Biologie Cellulaire</t>
  </si>
  <si>
    <t xml:space="preserve">INRA_nitrate</t>
  </si>
  <si>
    <t xml:space="preserve">Brassica rapa subsp. trilocularis (Roxb.) Hanelt</t>
  </si>
  <si>
    <t xml:space="preserve">Biologie cellulaire</t>
  </si>
  <si>
    <t xml:space="preserve">INRA_PEA_GAP</t>
  </si>
  <si>
    <t xml:space="preserve">Bromus secalinus</t>
  </si>
  <si>
    <t xml:space="preserve">Biologie Vegetale</t>
  </si>
  <si>
    <t xml:space="preserve">INRA_POPYOMICS1</t>
  </si>
  <si>
    <t xml:space="preserve">Cabomba aquatica</t>
  </si>
  <si>
    <t xml:space="preserve">Biology</t>
  </si>
  <si>
    <t xml:space="preserve">INRA_split</t>
  </si>
  <si>
    <t xml:space="preserve">Canis lupus familiaris</t>
  </si>
  <si>
    <t xml:space="preserve">Biology Department and  Biotechnology Institute</t>
  </si>
  <si>
    <t xml:space="preserve">INRA_URLEG_IPK</t>
  </si>
  <si>
    <t xml:space="preserve">Capsicum annuum L.</t>
  </si>
  <si>
    <t xml:space="preserve">Biometrics and  Bioinformatics Unit</t>
  </si>
  <si>
    <t xml:space="preserve">INRA_Wheat_Breeding_Network</t>
  </si>
  <si>
    <t xml:space="preserve">Capsicum baccatum L.</t>
  </si>
  <si>
    <t xml:space="preserve">BioPia</t>
  </si>
  <si>
    <t xml:space="preserve">INRA_Zm</t>
  </si>
  <si>
    <t xml:space="preserve">Capsicum cardenasii L.</t>
  </si>
  <si>
    <t xml:space="preserve">Bioplante</t>
  </si>
  <si>
    <t xml:space="preserve">INRA01</t>
  </si>
  <si>
    <t xml:space="preserve">Capsicum chacoense Heiser &amp; Sm.</t>
  </si>
  <si>
    <t xml:space="preserve">Biotech Research Center</t>
  </si>
  <si>
    <t xml:space="preserve">INRA02</t>
  </si>
  <si>
    <t xml:space="preserve">Capsicum chinense</t>
  </si>
  <si>
    <t xml:space="preserve">Biotechnology</t>
  </si>
  <si>
    <t xml:space="preserve">INRA03</t>
  </si>
  <si>
    <t xml:space="preserve">Capsicum eximium Jacq.</t>
  </si>
  <si>
    <t xml:space="preserve">Biotechnology Division</t>
  </si>
  <si>
    <t xml:space="preserve">INRA04</t>
  </si>
  <si>
    <t xml:space="preserve">Capsicum frutescens Hunziker</t>
  </si>
  <si>
    <t xml:space="preserve">Biotechnology Institute</t>
  </si>
  <si>
    <t xml:space="preserve">INRA05</t>
  </si>
  <si>
    <t xml:space="preserve">Capsicum galapagoense L.</t>
  </si>
  <si>
    <t xml:space="preserve">Biotechnology Section,  Agricultural Experiment Station</t>
  </si>
  <si>
    <t xml:space="preserve">INRA06</t>
  </si>
  <si>
    <t xml:space="preserve">Capsicum L.</t>
  </si>
  <si>
    <t xml:space="preserve">Biotechnology Team</t>
  </si>
  <si>
    <t xml:space="preserve">INRA07</t>
  </si>
  <si>
    <t xml:space="preserve">Capsicum microcarpum</t>
  </si>
  <si>
    <t xml:space="preserve">Biotrop</t>
  </si>
  <si>
    <t xml:space="preserve">IN_SILICO_INFINIUM_OAK</t>
  </si>
  <si>
    <t xml:space="preserve">Capsicum praetermissum Cav.</t>
  </si>
  <si>
    <t xml:space="preserve">BiO3P</t>
  </si>
  <si>
    <t xml:space="preserve">Interop</t>
  </si>
  <si>
    <t xml:space="preserve">Capsicum pubescens</t>
  </si>
  <si>
    <t xml:space="preserve">Blanc Marie Thérèse et Jean-Claude Beaumont, Monteux - France</t>
  </si>
  <si>
    <t xml:space="preserve">IN_VITRO_INFINIUM_OAK</t>
  </si>
  <si>
    <t xml:space="preserve">Carica papaya</t>
  </si>
  <si>
    <t xml:space="preserve">BLONDEAU (ETS A)</t>
  </si>
  <si>
    <t xml:space="preserve">IN_VITRO_PETRAEA_SNP</t>
  </si>
  <si>
    <t xml:space="preserve">Castanea crenata</t>
  </si>
  <si>
    <t xml:space="preserve">BMAS</t>
  </si>
  <si>
    <t xml:space="preserve">ITEC</t>
  </si>
  <si>
    <t xml:space="preserve">Castanea crenata x dentata</t>
  </si>
  <si>
    <t xml:space="preserve">Bois Marie France, St Gilles - France</t>
  </si>
  <si>
    <t xml:space="preserve">IWGSC Wheat Survey</t>
  </si>
  <si>
    <t xml:space="preserve">Castanea crenata x henryi</t>
  </si>
  <si>
    <t xml:space="preserve">Bolivian Institute for Agricultural Technology - Chinoli Experiment Station</t>
  </si>
  <si>
    <t xml:space="preserve">Map4</t>
  </si>
  <si>
    <t xml:space="preserve">Castanea crenata x mollissima</t>
  </si>
  <si>
    <t xml:space="preserve">Bonté H. et Cie, S.A.</t>
  </si>
  <si>
    <t xml:space="preserve">Melon-GAFL</t>
  </si>
  <si>
    <t xml:space="preserve">Castanea crenata x pumila</t>
  </si>
  <si>
    <t xml:space="preserve">Boreal Plant Breeding Ltd</t>
  </si>
  <si>
    <t xml:space="preserve">Muscares</t>
  </si>
  <si>
    <t xml:space="preserve">Castanea crenata x sativa</t>
  </si>
  <si>
    <t xml:space="preserve">Boret-Godineau (bought by Vilmorin)</t>
  </si>
  <si>
    <t xml:space="preserve">NO 2001 027</t>
  </si>
  <si>
    <t xml:space="preserve">Castanea crenata x seguinii</t>
  </si>
  <si>
    <t xml:space="preserve">Botany</t>
  </si>
  <si>
    <t xml:space="preserve">NoBi2001029</t>
  </si>
  <si>
    <t xml:space="preserve">Castanea dentata</t>
  </si>
  <si>
    <t xml:space="preserve">Botany and  Plant Genetics</t>
  </si>
  <si>
    <t xml:space="preserve">NovelTree</t>
  </si>
  <si>
    <t xml:space="preserve">Castanea dentata pumila</t>
  </si>
  <si>
    <t xml:space="preserve">Boulet Luc-Pierre,  Meynes - France</t>
  </si>
  <si>
    <t xml:space="preserve">NSF</t>
  </si>
  <si>
    <t xml:space="preserve">Castanea dentata seguinii</t>
  </si>
  <si>
    <t xml:space="preserve">Boyce Thompson Institute for Plant Research</t>
  </si>
  <si>
    <t xml:space="preserve">NSF DBI Grant</t>
  </si>
  <si>
    <t xml:space="preserve">Castanea dentata x henryi</t>
  </si>
  <si>
    <t xml:space="preserve">Bretagne Plants</t>
  </si>
  <si>
    <t xml:space="preserve">Okayama University Project</t>
  </si>
  <si>
    <t xml:space="preserve">Castanea dentata x mollissima</t>
  </si>
  <si>
    <t xml:space="preserve">Bretagne Plants &amp; Syndicat des Producteur de Plants de Pontivy</t>
  </si>
  <si>
    <t xml:space="preserve">OsChip</t>
  </si>
  <si>
    <t xml:space="preserve">Castanea dentata x sativa</t>
  </si>
  <si>
    <t xml:space="preserve">Bundesversuchswirtschaft Wieselburg</t>
  </si>
  <si>
    <t xml:space="preserve">OSCRGF</t>
  </si>
  <si>
    <t xml:space="preserve">Castanea henryi</t>
  </si>
  <si>
    <t xml:space="preserve">Bureau National Interprofessionnel du Cognac</t>
  </si>
  <si>
    <t xml:space="preserve">OSCRR1</t>
  </si>
  <si>
    <t xml:space="preserve">Castanea henryi  x seguinii</t>
  </si>
  <si>
    <t xml:space="preserve">Buryat Republican State Agricultural Experiment Station</t>
  </si>
  <si>
    <t xml:space="preserve">OSEST</t>
  </si>
  <si>
    <t xml:space="preserve">Castanea henryi x mollissima</t>
  </si>
  <si>
    <t xml:space="preserve">Bvumbwe Agricultural Research Station</t>
  </si>
  <si>
    <t xml:space="preserve">OsIRD</t>
  </si>
  <si>
    <t xml:space="preserve">Castanea henryi x pumila</t>
  </si>
  <si>
    <t xml:space="preserve">Cabel Hall Citrus Ltd.</t>
  </si>
  <si>
    <t xml:space="preserve">OsMU1</t>
  </si>
  <si>
    <t xml:space="preserve">Castanea henryi x sativa</t>
  </si>
  <si>
    <t xml:space="preserve">CACBA Avenue Gaston Phoebus</t>
  </si>
  <si>
    <t xml:space="preserve">Pea Consensus</t>
  </si>
  <si>
    <t xml:space="preserve">Castanea mollissima</t>
  </si>
  <si>
    <t xml:space="preserve">Cadoux (F)</t>
  </si>
  <si>
    <t xml:space="preserve">Pea_Aphid_EST</t>
  </si>
  <si>
    <t xml:space="preserve">Castanea mollissima x pumila</t>
  </si>
  <si>
    <t xml:space="preserve">CAES Genome Facility</t>
  </si>
  <si>
    <t xml:space="preserve">PeaPql</t>
  </si>
  <si>
    <t xml:space="preserve">Castanea mollissima x sativa</t>
  </si>
  <si>
    <t xml:space="preserve">CAILLARD</t>
  </si>
  <si>
    <t xml:space="preserve">Phyto_EST_INRA</t>
  </si>
  <si>
    <t xml:space="preserve">Castanea mollissima x seguinii</t>
  </si>
  <si>
    <t xml:space="preserve">Caillard</t>
  </si>
  <si>
    <t xml:space="preserve">PlantaComp</t>
  </si>
  <si>
    <t xml:space="preserve">Castanea P. Mill.</t>
  </si>
  <si>
    <t xml:space="preserve">California Agricultural Experiment Station, University of California</t>
  </si>
  <si>
    <t xml:space="preserve">PN40024</t>
  </si>
  <si>
    <t xml:space="preserve">Castanea pumila</t>
  </si>
  <si>
    <t xml:space="preserve">California Citrus Exp. Sta.</t>
  </si>
  <si>
    <t xml:space="preserve">PoplarMap</t>
  </si>
  <si>
    <t xml:space="preserve">Castanea pumila x sativa</t>
  </si>
  <si>
    <t xml:space="preserve">California nursery</t>
  </si>
  <si>
    <t xml:space="preserve">POPSEC</t>
  </si>
  <si>
    <t xml:space="preserve">Castanea pumila x seguinii</t>
  </si>
  <si>
    <t xml:space="preserve">California State University</t>
  </si>
  <si>
    <t xml:space="preserve">private_mRNA</t>
  </si>
  <si>
    <t xml:space="preserve">Castanea sativa</t>
  </si>
  <si>
    <t xml:space="preserve">CAMBIER FRERES</t>
  </si>
  <si>
    <t xml:space="preserve">private_mRNA_WH</t>
  </si>
  <si>
    <t xml:space="preserve">Castanea sativa x seguinii</t>
  </si>
  <si>
    <t xml:space="preserve">Cambridge Science Park</t>
  </si>
  <si>
    <t xml:space="preserve">private_mRNA_ZE</t>
  </si>
  <si>
    <t xml:space="preserve">Castanea seguinii</t>
  </si>
  <si>
    <t xml:space="preserve">Canadian Clonal Genebank, Greenhouse and Processing Crops Research Centre, Agriculture and Agri-Food Canada</t>
  </si>
  <si>
    <t xml:space="preserve">priv_ATH_mRNA</t>
  </si>
  <si>
    <t xml:space="preserve">Cissus aralioides Planch.</t>
  </si>
  <si>
    <t xml:space="preserve">Canterbury Agriculture and Science Centre - DSIR - Crop Research Division</t>
  </si>
  <si>
    <t xml:space="preserve">Priv01</t>
  </si>
  <si>
    <t xml:space="preserve">Cissus cactiformis Gilg</t>
  </si>
  <si>
    <t xml:space="preserve">Caussade Semences</t>
  </si>
  <si>
    <t xml:space="preserve">pub_ATH_mRNA</t>
  </si>
  <si>
    <t xml:space="preserve">Cissus L.</t>
  </si>
  <si>
    <t xml:space="preserve">Caussade semences</t>
  </si>
  <si>
    <t xml:space="preserve">Pub_Frag_EST</t>
  </si>
  <si>
    <t xml:space="preserve">Cissus quadrangularis L.</t>
  </si>
  <si>
    <t xml:space="preserve">C.C. Benoist</t>
  </si>
  <si>
    <t xml:space="preserve">Pub_Frag_mRNA</t>
  </si>
  <si>
    <t xml:space="preserve">Cissus rotundifolia Blume</t>
  </si>
  <si>
    <t xml:space="preserve">Cebeco Hande lsraad (Commercial Section)</t>
  </si>
  <si>
    <t xml:space="preserve">Pub_Hargo_EST</t>
  </si>
  <si>
    <t xml:space="preserve">Cissus sicyoides L.</t>
  </si>
  <si>
    <t xml:space="preserve">Cebeco Seed Innovations Ltd</t>
  </si>
  <si>
    <t xml:space="preserve">Pub_Hpara_EST</t>
  </si>
  <si>
    <t xml:space="preserve">(Citrange x Citrus paradisi Macf.)</t>
  </si>
  <si>
    <t xml:space="preserve">CeBiTec</t>
  </si>
  <si>
    <t xml:space="preserve">Public</t>
  </si>
  <si>
    <t xml:space="preserve">(Citrange x (Citrus reticulata var. austera ? x Fortunella sp))</t>
  </si>
  <si>
    <t xml:space="preserve">CEFEL</t>
  </si>
  <si>
    <t xml:space="preserve">Public EST Hcy1</t>
  </si>
  <si>
    <t xml:space="preserve">(Citrange x Citrus sinensis (L.) Osb.)</t>
  </si>
  <si>
    <t xml:space="preserve">Celera AgGen</t>
  </si>
  <si>
    <t xml:space="preserve">Public mRNA Hcy</t>
  </si>
  <si>
    <t xml:space="preserve">(Citrange x Eremocitrus glauca (Lindl.) Swing.)</t>
  </si>
  <si>
    <t xml:space="preserve">Celera Aggen</t>
  </si>
  <si>
    <t xml:space="preserve">public_Est_Ap</t>
  </si>
  <si>
    <t xml:space="preserve">(Citrange x Fortunella sp.)</t>
  </si>
  <si>
    <t xml:space="preserve">Cell Biology</t>
  </si>
  <si>
    <t xml:space="preserve">public_Est_Vn</t>
  </si>
  <si>
    <t xml:space="preserve">(Citrange x Poncirus trifoliata (L.) Raf.)</t>
  </si>
  <si>
    <t xml:space="preserve">Cell Physiology</t>
  </si>
  <si>
    <t xml:space="preserve">public_mRNA</t>
  </si>
  <si>
    <t xml:space="preserve">Citreae</t>
  </si>
  <si>
    <t xml:space="preserve">Cell Technologies</t>
  </si>
  <si>
    <t xml:space="preserve">public_mRNA_Ap</t>
  </si>
  <si>
    <t xml:space="preserve">Citrinae</t>
  </si>
  <si>
    <t xml:space="preserve">Center for Biotechnology</t>
  </si>
  <si>
    <t xml:space="preserve">public_mRNA_BN</t>
  </si>
  <si>
    <t xml:space="preserve">Citropsis daweana Swingle &amp; M. Kellerm.</t>
  </si>
  <si>
    <t xml:space="preserve">Center For Genetic Resource Information</t>
  </si>
  <si>
    <t xml:space="preserve">public_mRNA_Bot</t>
  </si>
  <si>
    <t xml:space="preserve">Citropsis Swingle &amp; Kellerm.</t>
  </si>
  <si>
    <t xml:space="preserve">Center of Forest Research</t>
  </si>
  <si>
    <t xml:space="preserve">public_mRNA_OS</t>
  </si>
  <si>
    <t xml:space="preserve">Citrus alata Tan.</t>
  </si>
  <si>
    <t xml:space="preserve">Central Agricultural Research Institute</t>
  </si>
  <si>
    <t xml:space="preserve">public_mRNA_Vn</t>
  </si>
  <si>
    <t xml:space="preserve">Citrus amblycarpa (Hassk.) Ochse</t>
  </si>
  <si>
    <t xml:space="preserve">Central Res. Lab.,  Life Sci. Res. Cent.</t>
  </si>
  <si>
    <t xml:space="preserve">public_mRNA_WH</t>
  </si>
  <si>
    <t xml:space="preserve">Citrus ampullacea Hort. ex Tan.</t>
  </si>
  <si>
    <t xml:space="preserve">Centre de coopération Internationale en Recherche Agronomique pour le Développement</t>
  </si>
  <si>
    <t xml:space="preserve">public_mRNA_ZE</t>
  </si>
  <si>
    <t xml:space="preserve">Citrus anonyma Hort. ex Y. Tan.</t>
  </si>
  <si>
    <t xml:space="preserve">Centre de Genetique Moleculaire</t>
  </si>
  <si>
    <t xml:space="preserve">public_PS_mRNA</t>
  </si>
  <si>
    <t xml:space="preserve">Citrus asahikan Hort. ex Tan.</t>
  </si>
  <si>
    <t xml:space="preserve">Centre de Montpellier</t>
  </si>
  <si>
    <t xml:space="preserve">Public_Rose_EST</t>
  </si>
  <si>
    <t xml:space="preserve">Citrus assamensis Dutta &amp; Bhatt.</t>
  </si>
  <si>
    <t xml:space="preserve">centre de montpellier</t>
  </si>
  <si>
    <t xml:space="preserve">public_SB_mRNA</t>
  </si>
  <si>
    <t xml:space="preserve">Citrus aurantiaca Hort. ex Tan.</t>
  </si>
  <si>
    <t xml:space="preserve">Centre de Recherche Agronomique de l'Etat, Station d'Amelioration des Plantes</t>
  </si>
  <si>
    <t xml:space="preserve">pub_MT_EST</t>
  </si>
  <si>
    <t xml:space="preserve">Citrus aurantifolia (Christm.) Swing</t>
  </si>
  <si>
    <t xml:space="preserve">Centre de Recherches Agronomiques,  Departement deBiotechnologie</t>
  </si>
  <si>
    <t xml:space="preserve">pub_MT_mRNA</t>
  </si>
  <si>
    <t xml:space="preserve">(Citrus aurantifolia (Christm.) Swing. x Fortunella sp.)</t>
  </si>
  <si>
    <t xml:space="preserve">Centre de Recherches Agronomiques d'Alsace</t>
  </si>
  <si>
    <t xml:space="preserve">Pub_Rose_mRNA</t>
  </si>
  <si>
    <t xml:space="preserve">Citrus aurantium L.</t>
  </si>
  <si>
    <t xml:space="preserve">Centre de recherches sur les cultures abritées et industrielles</t>
  </si>
  <si>
    <t xml:space="preserve">pub_SB_EST</t>
  </si>
  <si>
    <t xml:space="preserve">(Citrus aurantium L. x Poncirus trifoliata (L.) Raf.)</t>
  </si>
  <si>
    <t xml:space="preserve">Centre d'Etudes Techniques Agricoles (CETA), Domaine de M. Genier</t>
  </si>
  <si>
    <t xml:space="preserve">pub_SUNF_mRNA</t>
  </si>
  <si>
    <t xml:space="preserve">Citrus aurata Risso</t>
  </si>
  <si>
    <t xml:space="preserve">Centre for Forest Biology and Department of Biology</t>
  </si>
  <si>
    <t xml:space="preserve">QTL_LR4_QLS</t>
  </si>
  <si>
    <t xml:space="preserve">Citrus aurea Hort. ex Tan.</t>
  </si>
  <si>
    <t xml:space="preserve">Centre for Genetic Resources, the Netherlands</t>
  </si>
  <si>
    <t xml:space="preserve">QualityLegSeed</t>
  </si>
  <si>
    <t xml:space="preserve">Citrus balincolong Tan.</t>
  </si>
  <si>
    <t xml:space="preserve">Centre for Plant Conservation Genetics</t>
  </si>
  <si>
    <t xml:space="preserve">Resequencing of  S15 mutant</t>
  </si>
  <si>
    <t xml:space="preserve">Citrus balotina Poit. &amp; Turpin</t>
  </si>
  <si>
    <t xml:space="preserve">Centre for Plant Conservation Genetics,  Southern CrossUniversity</t>
  </si>
  <si>
    <t xml:space="preserve">RIL2</t>
  </si>
  <si>
    <t xml:space="preserve">Citrus benikoji Hort. ex Tan.</t>
  </si>
  <si>
    <t xml:space="preserve">Centre for Plant Molecular Biology</t>
  </si>
  <si>
    <t xml:space="preserve">RIL345</t>
  </si>
  <si>
    <t xml:space="preserve">Citrus bergamia Risso &amp; Poit.</t>
  </si>
  <si>
    <t xml:space="preserve">Centre National de Contôle et de Certification des Semences et Plants</t>
  </si>
  <si>
    <t xml:space="preserve">RIL9</t>
  </si>
  <si>
    <t xml:space="preserve">Citrus boholensis Tan.</t>
  </si>
  <si>
    <t xml:space="preserve">Centre National de la Recherche Scientifique</t>
  </si>
  <si>
    <t xml:space="preserve">ROOTEST-SSR</t>
  </si>
  <si>
    <t xml:space="preserve">Citrus canaliculata Hort. ex Y. Tan</t>
  </si>
  <si>
    <t xml:space="preserve">Centre Régional de Ressources Génétiques du Nord-Pas-de-Calais</t>
  </si>
  <si>
    <t xml:space="preserve">Rosa_EST_INRA</t>
  </si>
  <si>
    <t xml:space="preserve">Citrus celebica Koord.</t>
  </si>
  <si>
    <t xml:space="preserve">Centre Technique de l'Olivier</t>
  </si>
  <si>
    <t xml:space="preserve">Rose_Flowering_Genes</t>
  </si>
  <si>
    <t xml:space="preserve">Citrus chuana Hort. ex Tseng</t>
  </si>
  <si>
    <t xml:space="preserve">Centro Agronomico Tropical de Investigación y Enseñanza</t>
  </si>
  <si>
    <t xml:space="preserve">Rp_EST</t>
  </si>
  <si>
    <t xml:space="preserve">Citrus clementina Hort. ex Tan.</t>
  </si>
  <si>
    <t xml:space="preserve">Centro de Edafologia y Biologia Aplicada del Segura</t>
  </si>
  <si>
    <t xml:space="preserve">Sclerotinia_on_Sunflower_2008</t>
  </si>
  <si>
    <t xml:space="preserve">(Citrus clementina Hort. ex Tan. x Poncirus trifoliata (L.) Raf.)</t>
  </si>
  <si>
    <t xml:space="preserve">Centro de Edafologia y Biologia Aplicada del Segura - Caballero Jose Egea</t>
  </si>
  <si>
    <t xml:space="preserve">SCU</t>
  </si>
  <si>
    <t xml:space="preserve">Citrus combara Raf.</t>
  </si>
  <si>
    <t xml:space="preserve">Centro de Edafologia y Biologia Aplicada del Segura - Martinez Gomez Pedro</t>
  </si>
  <si>
    <t xml:space="preserve">Seedlessness</t>
  </si>
  <si>
    <t xml:space="preserve">Citrus crenatifolia Lush.</t>
  </si>
  <si>
    <t xml:space="preserve">Centro de Investigacion Palmira Corp. Colombiana Invest. Agropec</t>
  </si>
  <si>
    <t xml:space="preserve">SNPGrapeMap</t>
  </si>
  <si>
    <t xml:space="preserve">Citrus daoxianensis S.W. He &amp; G.F. Liu</t>
  </si>
  <si>
    <t xml:space="preserve">Centro de Investigaciones Agricolas 'Alberto Boerger'</t>
  </si>
  <si>
    <t xml:space="preserve">SSRGrapeIntMap</t>
  </si>
  <si>
    <t xml:space="preserve">Citrus davaoensis Tan.</t>
  </si>
  <si>
    <t xml:space="preserve">Centro de Investigaciones Agrícolas del Pacifico-Norte, INIA</t>
  </si>
  <si>
    <t xml:space="preserve">TACP1P3</t>
  </si>
  <si>
    <t xml:space="preserve">Citrus deliciosa Ten.</t>
  </si>
  <si>
    <t xml:space="preserve">Centro di Studio per il Miglioramento Genetico degli Agrumi</t>
  </si>
  <si>
    <t xml:space="preserve">TG</t>
  </si>
  <si>
    <t xml:space="preserve">Citrus depressa Hay.</t>
  </si>
  <si>
    <t xml:space="preserve">Centro Internacional de Mejoram de Maiz y Trigo - Turkey</t>
  </si>
  <si>
    <t xml:space="preserve">TomatoDive</t>
  </si>
  <si>
    <t xml:space="preserve">Citrus duttae Tan.</t>
  </si>
  <si>
    <t xml:space="preserve">Centro Internacional de Mejoramiento de Maiz y Trigo</t>
  </si>
  <si>
    <t xml:space="preserve">TRILAT-027</t>
  </si>
  <si>
    <t xml:space="preserve">Citrus erythrosa Hort. ex Tan.</t>
  </si>
  <si>
    <t xml:space="preserve">Centro Nacional de Investigaciones Agropecuarias, FONAIAP</t>
  </si>
  <si>
    <t xml:space="preserve">Triticarte</t>
  </si>
  <si>
    <t xml:space="preserve">Citrus excelsa Wester</t>
  </si>
  <si>
    <t xml:space="preserve">Centro Nacional de Pesquisa de Mandioca e Fruticultura</t>
  </si>
  <si>
    <t xml:space="preserve">Tritipol</t>
  </si>
  <si>
    <t xml:space="preserve">Citrus flavicarpa Hort. ex Tan.</t>
  </si>
  <si>
    <t xml:space="preserve">Centro Nacional de Recursos Geneticos e Biotecnologia</t>
  </si>
  <si>
    <t xml:space="preserve">TRI017</t>
  </si>
  <si>
    <t xml:space="preserve">Citrus funadoko Hort. ex Y. Tan.</t>
  </si>
  <si>
    <t xml:space="preserve">Centro regional andino Mendoza Argentina (Centro Regional de Investigaciones Científicas y Tecnológicas)</t>
  </si>
  <si>
    <t xml:space="preserve">Udine_SSR</t>
  </si>
  <si>
    <t xml:space="preserve">Citrus genshokan Hort. ex Tan.</t>
  </si>
  <si>
    <t xml:space="preserve">Centro Regional de Investigacion INIA La Platina</t>
  </si>
  <si>
    <t xml:space="preserve">UMR5667-PREST03</t>
  </si>
  <si>
    <t xml:space="preserve">Citrus glaberrima Hort. ex Tan.</t>
  </si>
  <si>
    <t xml:space="preserve">Cereal Crops Unit</t>
  </si>
  <si>
    <t xml:space="preserve">unknown</t>
  </si>
  <si>
    <t xml:space="preserve">Citrus hainanensis Tan.</t>
  </si>
  <si>
    <t xml:space="preserve">Cereal Institute, National Agricultural Research Foundation</t>
  </si>
  <si>
    <t xml:space="preserve">USDA CSREES-NRI Grant</t>
  </si>
  <si>
    <t xml:space="preserve">Citrus halimii Stone</t>
  </si>
  <si>
    <t xml:space="preserve">Cereal Research Centre,  Agriculture &amp; Agri-Foods Canada</t>
  </si>
  <si>
    <t xml:space="preserve">VAST</t>
  </si>
  <si>
    <t xml:space="preserve">Citrus hanaju Siebold ex Shirai</t>
  </si>
  <si>
    <t xml:space="preserve">Cereal Research Centre,  Agriculture and  Agri-food Canada</t>
  </si>
  <si>
    <t xml:space="preserve">VITAROMA</t>
  </si>
  <si>
    <t xml:space="preserve">Citrus haniana Hort. ex Tseng</t>
  </si>
  <si>
    <t xml:space="preserve">Cereal Research Centre, Agriculture and Agri-Food Canada</t>
  </si>
  <si>
    <t xml:space="preserve">VMC</t>
  </si>
  <si>
    <t xml:space="preserve">Citrus hassaku Hort. ex Tan.</t>
  </si>
  <si>
    <t xml:space="preserve">Cereal Research Institute</t>
  </si>
  <si>
    <t xml:space="preserve">VO0271V</t>
  </si>
  <si>
    <t xml:space="preserve">Citrus himekitsu Hort. ex Y. Tan.</t>
  </si>
  <si>
    <t xml:space="preserve">Cereals Group,  John Innes Centre</t>
  </si>
  <si>
    <t xml:space="preserve">VTP</t>
  </si>
  <si>
    <t xml:space="preserve">Citrus hiroshimana Hort. ex Y. Tan.</t>
  </si>
  <si>
    <t xml:space="preserve">Chair of Genome Research</t>
  </si>
  <si>
    <t xml:space="preserve">VVBACLib</t>
  </si>
  <si>
    <t xml:space="preserve">Citrus honghoensis Y. M. Ye et al.</t>
  </si>
  <si>
    <t xml:space="preserve">Chambre d'Agriculture de Dordogne</t>
  </si>
  <si>
    <t xml:space="preserve">VVMD</t>
  </si>
  <si>
    <t xml:space="preserve">Citrus hyalopulpa Tan.</t>
  </si>
  <si>
    <t xml:space="preserve">Chambre d'Agriculture de la Drôme</t>
  </si>
  <si>
    <t xml:space="preserve">VVPM</t>
  </si>
  <si>
    <t xml:space="preserve">Citrus hystrix DC.</t>
  </si>
  <si>
    <t xml:space="preserve">Chambre d'Agriculture de la Gironde</t>
  </si>
  <si>
    <t xml:space="preserve">VVS</t>
  </si>
  <si>
    <t xml:space="preserve">Citrus ichangensis Swing.</t>
  </si>
  <si>
    <t xml:space="preserve">Chambre d'Agriculture de la Haute-Garonne</t>
  </si>
  <si>
    <t xml:space="preserve">Wheat_ISBP_Markers</t>
  </si>
  <si>
    <t xml:space="preserve">(Citrus ichangensis Swing. x Citrus unshiu (Mak.) Marc.)</t>
  </si>
  <si>
    <t xml:space="preserve">Chambre d'Agriculture de l'Ardèche</t>
  </si>
  <si>
    <t xml:space="preserve">Wheat_SSR_Markers</t>
  </si>
  <si>
    <t xml:space="preserve">Citrus indica Tan.</t>
  </si>
  <si>
    <t xml:space="preserve">Chambre d'Agriculture de l'Aude</t>
  </si>
  <si>
    <t xml:space="preserve">WH_EST_resist</t>
  </si>
  <si>
    <t xml:space="preserve">Citrus inflata Hort. ex Tan.</t>
  </si>
  <si>
    <t xml:space="preserve">Chambre d'Agriculture de l'Hérault</t>
  </si>
  <si>
    <t xml:space="preserve">WMC</t>
  </si>
  <si>
    <t xml:space="preserve">Citrus inflato-rugosa Hort. ex Tan.</t>
  </si>
  <si>
    <t xml:space="preserve">Chambre d'Agriculture de Loire-Atlantique</t>
  </si>
  <si>
    <t xml:space="preserve">ZM_cornsensus</t>
  </si>
  <si>
    <t xml:space="preserve">Citrus intermedia Hort. ex Tan.</t>
  </si>
  <si>
    <t xml:space="preserve">Chambre d'Agriculture de l'Yonne</t>
  </si>
  <si>
    <t xml:space="preserve">ZMS1P1_DGT</t>
  </si>
  <si>
    <t xml:space="preserve">Citrus iriomotensis Hort. ex Tan.</t>
  </si>
  <si>
    <t xml:space="preserve">Chambre d'Agriculture de Saône-et-Loire</t>
  </si>
  <si>
    <t xml:space="preserve">ZmS1P2</t>
  </si>
  <si>
    <t xml:space="preserve">Citrus iwaikan Hort. ex Y. Tan.</t>
  </si>
  <si>
    <t xml:space="preserve">Chambre d'Agriculture de Savoie</t>
  </si>
  <si>
    <t xml:space="preserve">ZMS1P8</t>
  </si>
  <si>
    <t xml:space="preserve">Citrus iyo Hort. ex Tan.</t>
  </si>
  <si>
    <t xml:space="preserve">Chambre d'Agriculture des Bouches-du-Rhône</t>
  </si>
  <si>
    <t xml:space="preserve">ZmS1P9</t>
  </si>
  <si>
    <t xml:space="preserve">Citrus jambhiri Lush.</t>
  </si>
  <si>
    <t xml:space="preserve">Chambre d'Agriculture des Landes</t>
  </si>
  <si>
    <t xml:space="preserve">ZmS2P1</t>
  </si>
  <si>
    <t xml:space="preserve">Citrus javanica Blume</t>
  </si>
  <si>
    <t xml:space="preserve">Chambre d'Agriculture des Pyrénées-Atlantiques</t>
  </si>
  <si>
    <t xml:space="preserve">ZmS2P2</t>
  </si>
  <si>
    <t xml:space="preserve">Citrus junos Siebold ex Tan.</t>
  </si>
  <si>
    <t xml:space="preserve">Chambre d'Agriculture des Pyrénées-Orientales</t>
  </si>
  <si>
    <t xml:space="preserve">ZmS2P3</t>
  </si>
  <si>
    <t xml:space="preserve">Citrus karna Raf.</t>
  </si>
  <si>
    <t xml:space="preserve">Chambre d'Agriculture d'Indre-et-Loire</t>
  </si>
  <si>
    <t xml:space="preserve">ZMS3P1</t>
  </si>
  <si>
    <t xml:space="preserve">Citrus keraji Hort. ex Tan.</t>
  </si>
  <si>
    <t xml:space="preserve">Chambre d'Agriculture du Gard</t>
  </si>
  <si>
    <t xml:space="preserve">ZMS3P2</t>
  </si>
  <si>
    <t xml:space="preserve">Citrus kerrii Tan.</t>
  </si>
  <si>
    <t xml:space="preserve">Chambre d'Agriculture du Gers</t>
  </si>
  <si>
    <t xml:space="preserve">ZMS3P2-ZmDIGEST</t>
  </si>
  <si>
    <t xml:space="preserve">Citrus kinokuni Hort. ex Tan.</t>
  </si>
  <si>
    <t xml:space="preserve">Chambre d'Agriculture du Jura</t>
  </si>
  <si>
    <t xml:space="preserve">Rapsodyn</t>
  </si>
  <si>
    <t xml:space="preserve">Citrus kotokan Hayata</t>
  </si>
  <si>
    <t xml:space="preserve">Chambre d'Agriculture du Loir-et-Cher</t>
  </si>
  <si>
    <t xml:space="preserve">Citrus L.</t>
  </si>
  <si>
    <t xml:space="preserve">Chambre d'Agriculture du Lot</t>
  </si>
  <si>
    <t xml:space="preserve">Citrus latifolia Tan.</t>
  </si>
  <si>
    <t xml:space="preserve">Chambre d'Agriculture du Lot-et-Garonne</t>
  </si>
  <si>
    <t xml:space="preserve">Citrus latipes (Swing.) Tan.</t>
  </si>
  <si>
    <t xml:space="preserve">Chambre d'Agriculture du Maine-et-Loire</t>
  </si>
  <si>
    <t xml:space="preserve">Citrus leiocarpa Hort. ex Tan.</t>
  </si>
  <si>
    <t xml:space="preserve">Chambre d'Agriculture du Puy-de-Dôme</t>
  </si>
  <si>
    <t xml:space="preserve">Citrus limetta Risso</t>
  </si>
  <si>
    <t xml:space="preserve">Chambre d'Agriculture du Tarn</t>
  </si>
  <si>
    <t xml:space="preserve">Citrus limettioides Tan.</t>
  </si>
  <si>
    <t xml:space="preserve">Chambre d'Agriculture du Tarn-et-Garonne</t>
  </si>
  <si>
    <t xml:space="preserve">Citrus limon (L.) Burm.</t>
  </si>
  <si>
    <t xml:space="preserve">Chambre d'Agriculture du Var</t>
  </si>
  <si>
    <t xml:space="preserve">(Citrus limon (L.) Burm. x Citrus aurantifolia (Christm.) Swing.)</t>
  </si>
  <si>
    <t xml:space="preserve">Chambre d'Agriculture du Vaucluse</t>
  </si>
  <si>
    <t xml:space="preserve">(Citrus limon (L.) Burm. x Citrus reticulata Blanco)</t>
  </si>
  <si>
    <t xml:space="preserve">Chambre Régionale d'Agriculture d'Auvergne</t>
  </si>
  <si>
    <t xml:space="preserve">(Citrus limon (L.) Burm. x Citrus sinensis (L.) Osb.)</t>
  </si>
  <si>
    <t xml:space="preserve">Chaozhou Fruit Research Institute</t>
  </si>
  <si>
    <t xml:space="preserve">(Citrus limon (L.) Burm. x Fortunella sp.)</t>
  </si>
  <si>
    <t xml:space="preserve">Charlottetown Research Centre, Agriculture and Agri-Food Canada</t>
  </si>
  <si>
    <t xml:space="preserve">(Citrus limon (L.) Burm. x Poncirus trifoliata (L.) Raf.)</t>
  </si>
  <si>
    <t xml:space="preserve">Chiayi Agricultural Experiment Station</t>
  </si>
  <si>
    <t xml:space="preserve">Citrus limonia Osb.</t>
  </si>
  <si>
    <t xml:space="preserve">Chinese Academy of Agriculture Sciences</t>
  </si>
  <si>
    <t xml:space="preserve">Citrus limonimedica Lush.</t>
  </si>
  <si>
    <t xml:space="preserve">CIAT</t>
  </si>
  <si>
    <t xml:space="preserve">Citrus longilimon Tan.</t>
  </si>
  <si>
    <t xml:space="preserve">CIP</t>
  </si>
  <si>
    <t xml:space="preserve">Citrus longispina Wester</t>
  </si>
  <si>
    <t xml:space="preserve">CIRAD-FLHOR</t>
  </si>
  <si>
    <t xml:space="preserve">Citrus lumia Risso &amp; Poit.</t>
  </si>
  <si>
    <t xml:space="preserve">CIRAD-FLHOR - Guadeloupe</t>
  </si>
  <si>
    <t xml:space="preserve">Citrus luteo-turgida Hort. ex Tan.</t>
  </si>
  <si>
    <t xml:space="preserve">CIRAD-FLHOR - Réunion</t>
  </si>
  <si>
    <t xml:space="preserve">Citrus lycopersicaeformis (Lush.) Hort. ex Tan.</t>
  </si>
  <si>
    <t xml:space="preserve">CIRAD-FLHOR Martinique</t>
  </si>
  <si>
    <t xml:space="preserve">Citrus macrolimon Tan.</t>
  </si>
  <si>
    <t xml:space="preserve">Citrus &amp; Subtropical Fruit Research Institute</t>
  </si>
  <si>
    <t xml:space="preserve">Citrus macrophylla Wester</t>
  </si>
  <si>
    <t xml:space="preserve">Citrus &amp; Subtropical Hort. Research Station</t>
  </si>
  <si>
    <t xml:space="preserve">Citrus macroptera Montr.</t>
  </si>
  <si>
    <t xml:space="preserve">Citrus Budwood Registration Bureau</t>
  </si>
  <si>
    <t xml:space="preserve">Citrus maderaspatana Hort. ex Tan.</t>
  </si>
  <si>
    <t xml:space="preserve">Citrus Clonal Protection Program</t>
  </si>
  <si>
    <t xml:space="preserve">Citrus madurensis Lour.</t>
  </si>
  <si>
    <t xml:space="preserve">Citrus Experimental Station</t>
  </si>
  <si>
    <t xml:space="preserve">Citrus mangshanensis</t>
  </si>
  <si>
    <t xml:space="preserve">Citrus Research Center</t>
  </si>
  <si>
    <t xml:space="preserve">Citrus maxima (Burm.) Merr.</t>
  </si>
  <si>
    <t xml:space="preserve">Citrus Research Institute</t>
  </si>
  <si>
    <t xml:space="preserve">(Citrus maxima (Burm.) Merr. x Citrus ichangensis Swing.)</t>
  </si>
  <si>
    <t xml:space="preserve">Citrus Research Institute - Turquie</t>
  </si>
  <si>
    <t xml:space="preserve">Citrus medica L.</t>
  </si>
  <si>
    <t xml:space="preserve">CIVAM Région Corse</t>
  </si>
  <si>
    <t xml:space="preserve">Citrus medioglobosa Hort. ex Tan.</t>
  </si>
  <si>
    <t xml:space="preserve">Claeys-Luck</t>
  </si>
  <si>
    <t xml:space="preserve">Citrus megaloxycarpa Lush.</t>
  </si>
  <si>
    <t xml:space="preserve">Clause</t>
  </si>
  <si>
    <t xml:space="preserve">Citrus mellarosa Risso</t>
  </si>
  <si>
    <t xml:space="preserve">Clause semences</t>
  </si>
  <si>
    <t xml:space="preserve">Citrus meyeri Y. Tan.</t>
  </si>
  <si>
    <t xml:space="preserve">Clause Vegetable Seeds St Rémy</t>
  </si>
  <si>
    <t xml:space="preserve">Citrus miaray Wester</t>
  </si>
  <si>
    <t xml:space="preserve">Clause Vegetable Seeds Valence</t>
  </si>
  <si>
    <t xml:space="preserve">Citrus micrantha Wester</t>
  </si>
  <si>
    <t xml:space="preserve">Clemson University Genomics Institute</t>
  </si>
  <si>
    <t xml:space="preserve">Citrus mitsuharu Hort. ex Y. Tan.</t>
  </si>
  <si>
    <t xml:space="preserve">CNB</t>
  </si>
  <si>
    <t xml:space="preserve">Citrus montana Tan.</t>
  </si>
  <si>
    <t xml:space="preserve">CNB-CSIC</t>
  </si>
  <si>
    <t xml:space="preserve">Citrus myrtifolia Raf.</t>
  </si>
  <si>
    <t xml:space="preserve">CNRGV</t>
  </si>
  <si>
    <t xml:space="preserve">Citrus nana Tan.</t>
  </si>
  <si>
    <t xml:space="preserve">C.N.R.S.,  Institut des Sciences du Vegetal</t>
  </si>
  <si>
    <t xml:space="preserve">Citrus natsudaidai Hay.</t>
  </si>
  <si>
    <t xml:space="preserve">CNRS ALIMENTEC</t>
  </si>
  <si>
    <t xml:space="preserve">Citrus neo-aurantium Tan.</t>
  </si>
  <si>
    <t xml:space="preserve">CNRS ERS</t>
  </si>
  <si>
    <t xml:space="preserve">Citrus nippokoreana Tan.</t>
  </si>
  <si>
    <t xml:space="preserve">CNRS UMR 5096</t>
  </si>
  <si>
    <t xml:space="preserve">Citrus nobilis Lour.</t>
  </si>
  <si>
    <t xml:space="preserve">Coker's Pedigree Seed Co.</t>
  </si>
  <si>
    <t xml:space="preserve">Citrus oblonga Hort. ex Y. Tan.</t>
  </si>
  <si>
    <t xml:space="preserve">College of life science</t>
  </si>
  <si>
    <t xml:space="preserve">Citrus obovoidea Hort. ex Tak.</t>
  </si>
  <si>
    <t xml:space="preserve">Colorado Agricultural Experiment Station, Colorado State University</t>
  </si>
  <si>
    <t xml:space="preserve">Citrus obversa Hassk.</t>
  </si>
  <si>
    <t xml:space="preserve">Comité Interprofessionnel de Sélection de la Vigne de Savoie</t>
  </si>
  <si>
    <t xml:space="preserve">Citrus odorata Wester ex. Tan.</t>
  </si>
  <si>
    <t xml:space="preserve">Comité Interprofessionnel des Vins d'Alsace</t>
  </si>
  <si>
    <t xml:space="preserve">Citrus oleocarpa Hort. ex Tan.</t>
  </si>
  <si>
    <t xml:space="preserve">Comité Interprofessionnel des Vins de Champagne</t>
  </si>
  <si>
    <t xml:space="preserve">Citrus omikanto Hort. ex Y. Tan.</t>
  </si>
  <si>
    <t xml:space="preserve">Commonwealth Scientific and  Industrial Research OrganisationDivision of Plant Industry</t>
  </si>
  <si>
    <t xml:space="preserve">Citrus otachibana Hort. ex Y. Tan.</t>
  </si>
  <si>
    <t xml:space="preserve">Commonwealth Scientific and Industrial Research Organisation</t>
  </si>
  <si>
    <t xml:space="preserve">Citrus oto Hort. ex Y. Tan.</t>
  </si>
  <si>
    <t xml:space="preserve">Comparative Genetics Unit</t>
  </si>
  <si>
    <t xml:space="preserve">Citrus ovata Hassk.</t>
  </si>
  <si>
    <t xml:space="preserve">Complex Carbohydrate Research Center</t>
  </si>
  <si>
    <t xml:space="preserve">Citrus panuban (Wester) Tan.</t>
  </si>
  <si>
    <t xml:space="preserve">Consejo Superior de Investigaciones Científicas</t>
  </si>
  <si>
    <t xml:space="preserve">Citrus papaya Hassk.</t>
  </si>
  <si>
    <t xml:space="preserve">Conservatoire Botanique National de Bailleul</t>
  </si>
  <si>
    <t xml:space="preserve">Citrus papillaris Blanco</t>
  </si>
  <si>
    <t xml:space="preserve">Citrus paradisi Macf.</t>
  </si>
  <si>
    <t xml:space="preserve">Conservatoire Botanique National Méditerranéen de Porquerolles + INRA Montpellier</t>
  </si>
  <si>
    <t xml:space="preserve">(Citrus paradisi Macf. x Citrus sinensis (L.) Osb.)</t>
  </si>
  <si>
    <t xml:space="preserve">Conservatoire du Vignoble Charentais - IREO</t>
  </si>
  <si>
    <t xml:space="preserve">(Citrus paradisi Macf. x Poncirus trifoliata (L.) Raf.)</t>
  </si>
  <si>
    <t xml:space="preserve">Conservatoire Régional des Cépages de Midi-Pyrénées</t>
  </si>
  <si>
    <t xml:space="preserve">Citrus paratangerina Hort. ex Tan.</t>
  </si>
  <si>
    <t xml:space="preserve">Conservatoire Régional d'Espèces Fruitières Anciennes et de Vignes de Midi-Pyrénées</t>
  </si>
  <si>
    <t xml:space="preserve">Citrus pennivesiculata (Lush.) Tan.</t>
  </si>
  <si>
    <t xml:space="preserve">Conservatoire Végétal Régional d'Aquitaine</t>
  </si>
  <si>
    <t xml:space="preserve">Citrus peretta Risso</t>
  </si>
  <si>
    <t xml:space="preserve">Coopérative Agricole AGORA</t>
  </si>
  <si>
    <t xml:space="preserve">Citrus platymamma Hort. ex Tan.</t>
  </si>
  <si>
    <t xml:space="preserve">Coopérative Agricole Provence Languedoc</t>
  </si>
  <si>
    <t xml:space="preserve">Citrus ponki (Hayata) Hort. ex Tan.</t>
  </si>
  <si>
    <t xml:space="preserve">Coopérative de Lennon</t>
  </si>
  <si>
    <t xml:space="preserve">Citrus pseudo-aurantium Hort. ex Y. Tan.</t>
  </si>
  <si>
    <t xml:space="preserve">Coopérative Fleuron d'Anjou</t>
  </si>
  <si>
    <t xml:space="preserve">Citrus pseudograndis Hort. ex Shirai</t>
  </si>
  <si>
    <t xml:space="preserve">Cornell Agricultural Experiment Station, University of Cornell</t>
  </si>
  <si>
    <t xml:space="preserve">Citrus pseudogulgul Hort. ex Shirai</t>
  </si>
  <si>
    <t xml:space="preserve">Corporacion Colombiana de Investigacion Agropecuaria Tibaitata, CORPOICA</t>
  </si>
  <si>
    <t xml:space="preserve">Citrus pseudolimon Tan.</t>
  </si>
  <si>
    <t xml:space="preserve">Cowra Experiment Farm</t>
  </si>
  <si>
    <t xml:space="preserve">Citrus pseudolimonum Wester</t>
  </si>
  <si>
    <t xml:space="preserve">CRA-Unitá di Ricerca per la Maiscoltura</t>
  </si>
  <si>
    <t xml:space="preserve">Citrus pseudopapillaris Tan.</t>
  </si>
  <si>
    <t xml:space="preserve">CRA-Unitá di Ricerca per la Valorizzazione Qualitativa dei Cereali</t>
  </si>
  <si>
    <t xml:space="preserve">Citrus pseudoparadisi Hort. ex Y. Tan.</t>
  </si>
  <si>
    <t xml:space="preserve">Criadero Klein S.A.</t>
  </si>
  <si>
    <t xml:space="preserve">Citrus pseudosunki Hort. ex Tan.</t>
  </si>
  <si>
    <t xml:space="preserve">C.R.I.D.A.</t>
  </si>
  <si>
    <t xml:space="preserve">Citrus pyriformis Hassk.</t>
  </si>
  <si>
    <t xml:space="preserve">Crop &amp; Food Research</t>
  </si>
  <si>
    <t xml:space="preserve">Citrus reshni Hort. ex Tan.</t>
  </si>
  <si>
    <t xml:space="preserve">Crop Breeding Institute</t>
  </si>
  <si>
    <t xml:space="preserve">Citrus reticulata Blanco</t>
  </si>
  <si>
    <t xml:space="preserve">Crop Development Centre, University of Saskatchewan</t>
  </si>
  <si>
    <t xml:space="preserve">(Citrus reticulata Blanco x Citrus aurantium L.)</t>
  </si>
  <si>
    <t xml:space="preserve">Crop Experimental Station Rural Development Administration</t>
  </si>
  <si>
    <t xml:space="preserve">(Citrus reticulata Blanco x Citrus paradisi Macf.)</t>
  </si>
  <si>
    <t xml:space="preserve">Crop Genetics</t>
  </si>
  <si>
    <t xml:space="preserve">(Citrus reticulata Blanco x Citrus sinensis (L.) Osb.)</t>
  </si>
  <si>
    <t xml:space="preserve">Crop Performance and  Improvement Department</t>
  </si>
  <si>
    <t xml:space="preserve">(Citrus reticulata Blanco x Fortunella sp.)</t>
  </si>
  <si>
    <t xml:space="preserve">Crop Production &amp; Pest Control Research Unit</t>
  </si>
  <si>
    <t xml:space="preserve">(Citrus reticulata Blanco x Poncirus trifoliata (L.) Raf.)</t>
  </si>
  <si>
    <t xml:space="preserve">Crop Research Institute, Olomouc</t>
  </si>
  <si>
    <t xml:space="preserve">Citrus rissoi Risso</t>
  </si>
  <si>
    <t xml:space="preserve">Crop Research Institute Plant Genetic Resources Unit</t>
  </si>
  <si>
    <t xml:space="preserve">Citrus rokugatsu Hort. ex Y. Tan.</t>
  </si>
  <si>
    <t xml:space="preserve">Crop Science</t>
  </si>
  <si>
    <t xml:space="preserve">Citrus rugulosa Hort. ex Tan.</t>
  </si>
  <si>
    <t xml:space="preserve">Citrus sarbati Tan.</t>
  </si>
  <si>
    <t xml:space="preserve">CSIRO Plant Industry</t>
  </si>
  <si>
    <t xml:space="preserve">Citrus semperflorens Lush.</t>
  </si>
  <si>
    <t xml:space="preserve">CSIRO Production and Processing</t>
  </si>
  <si>
    <t xml:space="preserve">Citrus shunkokan Hort. ex Tan.</t>
  </si>
  <si>
    <t xml:space="preserve">CTIFL Centre Technique Interprofessionnel des Fruits et Légumes, Centre de Lanxade</t>
  </si>
  <si>
    <t xml:space="preserve">Citrus sinensis (L.) Osb.</t>
  </si>
  <si>
    <t xml:space="preserve">Danko Hodowla Ro'slin sp. z o.o.</t>
  </si>
  <si>
    <t xml:space="preserve">(Citrus sinensis (L.) Osb. x Poncirus trifoliata (L.) Raf.)</t>
  </si>
  <si>
    <t xml:space="preserve">Davao Experimental Station</t>
  </si>
  <si>
    <t xml:space="preserve">Citrus sinograndis Hort. ex Y. Tan.</t>
  </si>
  <si>
    <t xml:space="preserve">De Groot en Slot BV</t>
  </si>
  <si>
    <t xml:space="preserve">Citrus southwickii Wester</t>
  </si>
  <si>
    <t xml:space="preserve">De Regibus Christian,  Saxon - Suisse</t>
  </si>
  <si>
    <t xml:space="preserve">Citrus sp.</t>
  </si>
  <si>
    <t xml:space="preserve">De Voetakker BV</t>
  </si>
  <si>
    <t xml:space="preserve">Citrus sphaerocarpa Tan.</t>
  </si>
  <si>
    <t xml:space="preserve">DeKalb AgResearch Inc.</t>
  </si>
  <si>
    <t xml:space="preserve">Citrus suavissima Hort. ex Tan.</t>
  </si>
  <si>
    <t xml:space="preserve">Delaware Biotechnology Institute</t>
  </si>
  <si>
    <t xml:space="preserve">Citrus succosa Hort. ex Tan.</t>
  </si>
  <si>
    <t xml:space="preserve">Delley Samen und Pflanzen AG</t>
  </si>
  <si>
    <t xml:space="preserve">Citrus sudachi Hort. ex Shirai</t>
  </si>
  <si>
    <t xml:space="preserve">Denaiffe et Fils</t>
  </si>
  <si>
    <t xml:space="preserve">Citrus suhuiensis Hort. ex Tan.</t>
  </si>
  <si>
    <t xml:space="preserve">Dep. of Biological Science</t>
  </si>
  <si>
    <t xml:space="preserve">Citrus suizabon Tan.</t>
  </si>
  <si>
    <t xml:space="preserve">Departamento de Citricultura, Estação N. Fruticultura 'Vieira Natividade'</t>
  </si>
  <si>
    <t xml:space="preserve">Citrus sulcata Hort. ex Tak.</t>
  </si>
  <si>
    <t xml:space="preserve">Departamento Genetica Evolutiva</t>
  </si>
  <si>
    <t xml:space="preserve">Citrus sunki Hort. ex Tan.</t>
  </si>
  <si>
    <t xml:space="preserve">Departement de phytologie, Universite Laval</t>
  </si>
  <si>
    <t xml:space="preserve">Citrus tachibana (Mak.) Tan.</t>
  </si>
  <si>
    <t xml:space="preserve">Departement des Sciences biologiques</t>
  </si>
  <si>
    <t xml:space="preserve">Citrus taiwanica Tan. &amp; Shim.</t>
  </si>
  <si>
    <t xml:space="preserve">Department of Agricultural Botany</t>
  </si>
  <si>
    <t xml:space="preserve">Citrus takuma-sudachi Hort. ex Tan.</t>
  </si>
  <si>
    <t xml:space="preserve">Department of Agriculture</t>
  </si>
  <si>
    <t xml:space="preserve">Citrus tamurana Hort. ex Tan.</t>
  </si>
  <si>
    <t xml:space="preserve">Department of Agronomy</t>
  </si>
  <si>
    <t xml:space="preserve">Citrus tangerina Hort. ex Tan.</t>
  </si>
  <si>
    <t xml:space="preserve">Department of Agronomy and  Plant Genetics</t>
  </si>
  <si>
    <t xml:space="preserve">Citrus tankan Hay.</t>
  </si>
  <si>
    <t xml:space="preserve">Department of Agronomy and  Plant Genetics,  University ofMinnesota</t>
  </si>
  <si>
    <t xml:space="preserve">Citrus tardiferax Hort. ex Tan.</t>
  </si>
  <si>
    <t xml:space="preserve">Department of Agronomy and Range Science</t>
  </si>
  <si>
    <t xml:space="preserve">Citrus tardiva Hort. ex Shirai</t>
  </si>
  <si>
    <t xml:space="preserve">Department of Biochemistry</t>
  </si>
  <si>
    <t xml:space="preserve">Citrus tarogayo Hort. ex Y. Tan.</t>
  </si>
  <si>
    <t xml:space="preserve">Department of Biochemistry and  Biophysics</t>
  </si>
  <si>
    <t xml:space="preserve">Citrus temple Hort. ex Y. Tan.</t>
  </si>
  <si>
    <t xml:space="preserve">Department of Biological Sciences</t>
  </si>
  <si>
    <t xml:space="preserve">(Citrus temple Hort. ex Y. Tan. x Citrus paradisi Macf.)</t>
  </si>
  <si>
    <t xml:space="preserve">Department of Biological Sciences and  Howard Hughes MedicalInstitute</t>
  </si>
  <si>
    <t xml:space="preserve">Citrus tengu Hort. ex Tan.</t>
  </si>
  <si>
    <t xml:space="preserve">Department of Biology</t>
  </si>
  <si>
    <t xml:space="preserve">Citrus tosa-asahi Hort. ex Y. Tan.</t>
  </si>
  <si>
    <t xml:space="preserve">Department of Biology,  Faculty of Science</t>
  </si>
  <si>
    <t xml:space="preserve">Citrus truncata Hort. ex Tan.</t>
  </si>
  <si>
    <t xml:space="preserve">Department of Biology and Biocenter Oulu</t>
  </si>
  <si>
    <t xml:space="preserve">Citrus tumida Hort. ex Tan.</t>
  </si>
  <si>
    <t xml:space="preserve">Department of Biology/Plant Genetics Group</t>
  </si>
  <si>
    <t xml:space="preserve">Citrus ujukitsu Tan.</t>
  </si>
  <si>
    <t xml:space="preserve">Department of Biosciences, Plant Physiology</t>
  </si>
  <si>
    <t xml:space="preserve">Citrus unshiu (Mak.) Mar.</t>
  </si>
  <si>
    <t xml:space="preserve">Department of Biotechnology</t>
  </si>
  <si>
    <t xml:space="preserve">(Citrus unshiu (Mak.) Marc. x (F. japonica x F. margarita 'Meiwa'))</t>
  </si>
  <si>
    <t xml:space="preserve">Department of Biotechnology Graduate School of Engineering</t>
  </si>
  <si>
    <t xml:space="preserve">Citrus vitiensis Tan.</t>
  </si>
  <si>
    <t xml:space="preserve">Department of Botany and  Plant Pathology</t>
  </si>
  <si>
    <t xml:space="preserve">Citrus webberii Wester</t>
  </si>
  <si>
    <t xml:space="preserve">Department of Botany, Faculty of Science, Chulalongkorn University</t>
  </si>
  <si>
    <t xml:space="preserve">Citrus westeri Tan.</t>
  </si>
  <si>
    <t xml:space="preserve">Department of Cell biology</t>
  </si>
  <si>
    <t xml:space="preserve">Citrus wilsonii Tan.</t>
  </si>
  <si>
    <t xml:space="preserve">Department of Crop Science,  division of Biotechnology and Genetic Engineering</t>
  </si>
  <si>
    <t xml:space="preserve">Citrus yamabuki Hort. ex Y. Tan.</t>
  </si>
  <si>
    <t xml:space="preserve">Department of Crop Science Agricultural University of Norway</t>
  </si>
  <si>
    <t xml:space="preserve">Citrus yanbaruensis Hort. ex Tan.</t>
  </si>
  <si>
    <t xml:space="preserve">Department of Cytogenetics</t>
  </si>
  <si>
    <t xml:space="preserve">Citrus yatsushiro Hort. ex Tan.</t>
  </si>
  <si>
    <t xml:space="preserve">Department of Ecology &amp; Evolutionary Biology</t>
  </si>
  <si>
    <t xml:space="preserve">Citrus yuge-hyokan Hort. ex Y. Tan.</t>
  </si>
  <si>
    <t xml:space="preserve">Department of Ecology and  Evolutionary Biology</t>
  </si>
  <si>
    <t xml:space="preserve">Citrus yuko Hort. ex Tan.</t>
  </si>
  <si>
    <t xml:space="preserve">Department of Enthomology,  plant protection Institute</t>
  </si>
  <si>
    <t xml:space="preserve">Clausena Burm. f.</t>
  </si>
  <si>
    <t xml:space="preserve">Department of Entomology</t>
  </si>
  <si>
    <t xml:space="preserve">Clausena excavata Burm. f.</t>
  </si>
  <si>
    <t xml:space="preserve">Department of Forest Genetics and Plant Physiology</t>
  </si>
  <si>
    <t xml:space="preserve">Clausena lansium (Lour.) Skeels</t>
  </si>
  <si>
    <t xml:space="preserve">Department of Forestry</t>
  </si>
  <si>
    <t xml:space="preserve">Clauseneae</t>
  </si>
  <si>
    <t xml:space="preserve">Department of Genetics</t>
  </si>
  <si>
    <t xml:space="preserve">Clauseninae</t>
  </si>
  <si>
    <t xml:space="preserve">Department of Genetics and  Forestry and  AgriculturalBiotechnology Institute</t>
  </si>
  <si>
    <t xml:space="preserve">Clematicissus angustissima (F.Muell.) Planch.</t>
  </si>
  <si>
    <t xml:space="preserve">Department of Genetics and  Genomics - Trisaia ResearchCentre</t>
  </si>
  <si>
    <t xml:space="preserve">Clematicissus Planch.</t>
  </si>
  <si>
    <t xml:space="preserve">Department of Genetics and Plant Breeding, University of Agricultural Sciences</t>
  </si>
  <si>
    <t xml:space="preserve">Cucumis L.</t>
  </si>
  <si>
    <t xml:space="preserve">Department of Genomics,  evolution and  development</t>
  </si>
  <si>
    <t xml:space="preserve">Cucumis melo L.</t>
  </si>
  <si>
    <t xml:space="preserve">Department of Horticultural Sciences, Saga University</t>
  </si>
  <si>
    <t xml:space="preserve">Cucumis melo ssp. agrestis</t>
  </si>
  <si>
    <t xml:space="preserve">Department of Horticulture</t>
  </si>
  <si>
    <t xml:space="preserve">Cucumis melo ssp. agrestis f. Acidulus</t>
  </si>
  <si>
    <t xml:space="preserve">Department of Plant Biology</t>
  </si>
  <si>
    <t xml:space="preserve">Cucumis melo ssp. agrestis f. Chinensis</t>
  </si>
  <si>
    <t xml:space="preserve">Department of Plant Biotechnology</t>
  </si>
  <si>
    <t xml:space="preserve">Cucumis melo ssp. agrestis f. Conomon</t>
  </si>
  <si>
    <t xml:space="preserve">Department of Plant Genetics</t>
  </si>
  <si>
    <t xml:space="preserve">Cucumis melo ssp. agrestis f. Makuwa</t>
  </si>
  <si>
    <t xml:space="preserve">Department of Plant Molecular Biology</t>
  </si>
  <si>
    <t xml:space="preserve">Cucumis melo ssp. agrestis f. Momordica</t>
  </si>
  <si>
    <t xml:space="preserve">Department of Plant Pathology</t>
  </si>
  <si>
    <t xml:space="preserve">Cucumis melo ssp. agrestis f. Tibish</t>
  </si>
  <si>
    <t xml:space="preserve">Department of Plant Science</t>
  </si>
  <si>
    <t xml:space="preserve">Cucumis melo ssp. melo</t>
  </si>
  <si>
    <t xml:space="preserve">Department of Plant Sciences</t>
  </si>
  <si>
    <t xml:space="preserve">Cucumis melo ssp. melo f. Ameri</t>
  </si>
  <si>
    <t xml:space="preserve">Department of Plant Sciences,  School of Life Sciences</t>
  </si>
  <si>
    <t xml:space="preserve">Cucumis melo ssp. melo f. Cantalupensis</t>
  </si>
  <si>
    <t xml:space="preserve">Department of Primary Industries</t>
  </si>
  <si>
    <t xml:space="preserve">Cucumis melo ssp. melo f. Cantalupensis gr. Charentais</t>
  </si>
  <si>
    <t xml:space="preserve">Department of Scientific and Industrial Research</t>
  </si>
  <si>
    <t xml:space="preserve">Cucumis melo ssp. melo f. Chandalak</t>
  </si>
  <si>
    <t xml:space="preserve">Department of Soil&amp;Crops</t>
  </si>
  <si>
    <t xml:space="preserve">Cucumis melo ssp. melo f. Chate</t>
  </si>
  <si>
    <t xml:space="preserve">Department of Vegetable Crops,  R.W.Michelmore Lab</t>
  </si>
  <si>
    <t xml:space="preserve">Cucumis melo ssp. melo f. Dudaim</t>
  </si>
  <si>
    <t xml:space="preserve">Department of Viticulture and Enology</t>
  </si>
  <si>
    <t xml:space="preserve">Cucumis melo ssp. melo f. Flexuosus</t>
  </si>
  <si>
    <t xml:space="preserve">Dept. of Biochemistry &amp; Molecular Biology</t>
  </si>
  <si>
    <t xml:space="preserve">Cucumis melo ssp. melo f. Inodorus</t>
  </si>
  <si>
    <t xml:space="preserve">Dept. of Horticulture</t>
  </si>
  <si>
    <t xml:space="preserve">Cucumis melo ssp. melo f. Inodorus gr. Canari</t>
  </si>
  <si>
    <t xml:space="preserve">Dept of Molecular Biosciences</t>
  </si>
  <si>
    <t xml:space="preserve">Cucumis melo ssp. melo f. Inodorus gr. Honeydew</t>
  </si>
  <si>
    <t xml:space="preserve">Dept. of Plant and  Soil Science,  Montana State University</t>
  </si>
  <si>
    <t xml:space="preserve">Cucumis melo ssp. melo f. Inodorus gr. Piel de sapo</t>
  </si>
  <si>
    <t xml:space="preserve">Dept. of Plant Pathology</t>
  </si>
  <si>
    <t xml:space="preserve">Cucumis melo ssp. melo f. Inodorus gr. Rochet</t>
  </si>
  <si>
    <t xml:space="preserve">Dept Plant Breeding</t>
  </si>
  <si>
    <t xml:space="preserve">Cucumis melo ssp. melo f. Inodorus gr. Tendral</t>
  </si>
  <si>
    <t xml:space="preserve">Desprez</t>
  </si>
  <si>
    <t xml:space="preserve">Cucumis melo ssp. melo f. Reticulatus</t>
  </si>
  <si>
    <t xml:space="preserve">Deutsche Saatveredelung Lippstadt - France</t>
  </si>
  <si>
    <t xml:space="preserve">Cynara L.</t>
  </si>
  <si>
    <t xml:space="preserve">Deutsche Saatveredelung Lippstadt-Bremen GmbH</t>
  </si>
  <si>
    <t xml:space="preserve">Dactylis glomerata L.</t>
  </si>
  <si>
    <t xml:space="preserve">Deutsche Saatzucht-Gesellschaft Salzmuende (G. Riebesel)</t>
  </si>
  <si>
    <t xml:space="preserve">Dactylis glomerata subsp. castellata Stebbins &amp; Zohary</t>
  </si>
  <si>
    <t xml:space="preserve">DEVM</t>
  </si>
  <si>
    <t xml:space="preserve">Dactylis glomerata subsp. glomerata L.</t>
  </si>
  <si>
    <t xml:space="preserve">Devon Botanic Garden and Field Laboratory, Department of Botany, University of Alberta</t>
  </si>
  <si>
    <t xml:space="preserve">Dactylis glomerata subsp. hispanica (Roth) Nyman</t>
  </si>
  <si>
    <t xml:space="preserve">DiaPC</t>
  </si>
  <si>
    <t xml:space="preserve">Dactylis glomerata subsp. izcoi S.Ortiz &amp; J.Rodríguez_Oubina</t>
  </si>
  <si>
    <t xml:space="preserve">Dipartimento di Colture Arboree - C.M.V.F.- Università di Bologna (ITA)</t>
  </si>
  <si>
    <t xml:space="preserve">Dactylis glomerata subsp. lusitanica Stebbins &amp; Zohary</t>
  </si>
  <si>
    <t xml:space="preserve">Dipartimento di Colture Arboree - C.M.V.F.- Università di Bologna (ITA) - Bassi Daniele</t>
  </si>
  <si>
    <t xml:space="preserve">Dactylis glomerata subsp. mairei Zohary &amp; Stebbins</t>
  </si>
  <si>
    <t xml:space="preserve">Dipartimento di Scienze Agrarie e Ambientali</t>
  </si>
  <si>
    <t xml:space="preserve">Dactylis L.</t>
  </si>
  <si>
    <t xml:space="preserve">Dipartimento di Scienze Agrarie e Ambientali - Genetica</t>
  </si>
  <si>
    <t xml:space="preserve">Dioscorea</t>
  </si>
  <si>
    <t xml:space="preserve">Dipartimento Innovazione, Divisione Biotecnologie e Agricoltura, ENEA</t>
  </si>
  <si>
    <t xml:space="preserve">Dioscorea alata</t>
  </si>
  <si>
    <t xml:space="preserve">Direction Départementale de l'Agriculture, Service du Génie Rural des Eaux et des Forêts</t>
  </si>
  <si>
    <t xml:space="preserve">Dioscorea altissima</t>
  </si>
  <si>
    <t xml:space="preserve">Direction Scientifique des Productions Végétales, INRA</t>
  </si>
  <si>
    <t xml:space="preserve">Dioscorea bulbifera</t>
  </si>
  <si>
    <t xml:space="preserve">Div. of Plant Industry,  CSIRO</t>
  </si>
  <si>
    <t xml:space="preserve">Dioscorea burkiliana</t>
  </si>
  <si>
    <t xml:space="preserve">Diversity Arrays Technology P/L - Triticarte P/L</t>
  </si>
  <si>
    <t xml:space="preserve">Dioscorea cayenensis rotundata</t>
  </si>
  <si>
    <t xml:space="preserve">Division Agronomique-Génétique et Amélioration des Plantes</t>
  </si>
  <si>
    <t xml:space="preserve">Dioscorea cordata</t>
  </si>
  <si>
    <t xml:space="preserve">Division of Applied Bioscience,  Graduate School ofAgriculture</t>
  </si>
  <si>
    <t xml:space="preserve">Dioscorea esculenta</t>
  </si>
  <si>
    <t xml:space="preserve">Division of Biological Sciences</t>
  </si>
  <si>
    <t xml:space="preserve">Dioscorea hurtiflora</t>
  </si>
  <si>
    <t xml:space="preserve">Division of Biology</t>
  </si>
  <si>
    <t xml:space="preserve">Dioscorea minutiflora</t>
  </si>
  <si>
    <t xml:space="preserve">Division of Plant Industry</t>
  </si>
  <si>
    <t xml:space="preserve">Dioscorea numularia</t>
  </si>
  <si>
    <t xml:space="preserve">Domaine de Sainte-Marguerite</t>
  </si>
  <si>
    <t xml:space="preserve">Dioscorea pilosiuscula</t>
  </si>
  <si>
    <t xml:space="preserve">Domaines Agricoles</t>
  </si>
  <si>
    <t xml:space="preserve">Dioscorea polygonoïdes</t>
  </si>
  <si>
    <t xml:space="preserve">Domaines Royaux</t>
  </si>
  <si>
    <t xml:space="preserve">Dioscorea transversa</t>
  </si>
  <si>
    <t xml:space="preserve">Domaines Sunset</t>
  </si>
  <si>
    <t xml:space="preserve">Dioscorea trifida</t>
  </si>
  <si>
    <t xml:space="preserve">Doneczkij institut agropromyshlennogo proizvodstva NAAN, GP</t>
  </si>
  <si>
    <t xml:space="preserve">Diuraphis noxia</t>
  </si>
  <si>
    <t xml:space="preserve">Donneur inconnu à Escolives-Sainte-Camille</t>
  </si>
  <si>
    <t xml:space="preserve">Equus caballus</t>
  </si>
  <si>
    <t xml:space="preserve">Donneur inconnu à Remoulins</t>
  </si>
  <si>
    <t xml:space="preserve">Eremocitrus glauca (Lindl.) Swing.</t>
  </si>
  <si>
    <t xml:space="preserve">Dr. J. Ackermann &amp; Co Saatzucht Irlbach</t>
  </si>
  <si>
    <t xml:space="preserve">(Eremocitrus glauca (Lindl.) Swing. x Citrus aurantium L.)</t>
  </si>
  <si>
    <t xml:space="preserve">Dr. Joachim Messing s lab</t>
  </si>
  <si>
    <t xml:space="preserve">(Eremocitrus glauca (Lindl.) Swing. x Citrus limon (L.) Burm. ?)</t>
  </si>
  <si>
    <t xml:space="preserve">D.S.A. Vaucluse (84) - France</t>
  </si>
  <si>
    <t xml:space="preserve">(Eremocitrus glauca (Lindl.) Swing. x Citrus sinensis(L.) Osb.)</t>
  </si>
  <si>
    <t xml:space="preserve">DuPont Hybrinova</t>
  </si>
  <si>
    <t xml:space="preserve">Eremocitrus Swingle</t>
  </si>
  <si>
    <t xml:space="preserve">East Malling Research</t>
  </si>
  <si>
    <t xml:space="preserve">Fabaceae</t>
  </si>
  <si>
    <t xml:space="preserve">Eastern Cereal and  Oilseed Research Centre</t>
  </si>
  <si>
    <t xml:space="preserve">Festuca arundinacea  subsp. arundinacea var. letourneuxiana St.-Yves. (10x)</t>
  </si>
  <si>
    <t xml:space="preserve">École Nationale d'Ingénieurs de l'Horticulture et du Paysage de l'Institut National d'Horticulture</t>
  </si>
  <si>
    <t xml:space="preserve">Festuca arundinacea Schreb.</t>
  </si>
  <si>
    <t xml:space="preserve">Ecole Nationale Supérieure Agronomique de Montpellier</t>
  </si>
  <si>
    <t xml:space="preserve">Festuca arundinacea subsp. arundinacea Schreb.</t>
  </si>
  <si>
    <t xml:space="preserve">Ecole Nationale Supérieure Agronomique de Toulouse</t>
  </si>
  <si>
    <t xml:space="preserve">Festuca arundinacea subsp. arundinacea var. atlantigena sensu Markgr.Dann. (8x)</t>
  </si>
  <si>
    <t xml:space="preserve">Ecomusée de la Grande Lande (Marquèze)</t>
  </si>
  <si>
    <t xml:space="preserve">Festuca arundinacea subsp. arundinacea var. genuina Schreb. (6x)</t>
  </si>
  <si>
    <t xml:space="preserve">Ecophysiologie des Plantes sous Stress Environnementaux (LEPSE)</t>
  </si>
  <si>
    <t xml:space="preserve">Festuca arundinacea subsp. arundinacea var. glaucescens Boiss. (4x)</t>
  </si>
  <si>
    <t xml:space="preserve">Einsenhut Vivaio</t>
  </si>
  <si>
    <t xml:space="preserve">Festuca filiformis Pourret</t>
  </si>
  <si>
    <t xml:space="preserve">EMBRAPA Brazil</t>
  </si>
  <si>
    <t xml:space="preserve">Festuca L.</t>
  </si>
  <si>
    <t xml:space="preserve">Empresa Brasileira de Pesquisa Agropecuaria</t>
  </si>
  <si>
    <t xml:space="preserve">Festuca nigrescens Lam.</t>
  </si>
  <si>
    <t xml:space="preserve">Empresa Citricola Victoria</t>
  </si>
  <si>
    <t xml:space="preserve">Festuca nigrescens subsp. nigrescens Lam.</t>
  </si>
  <si>
    <t xml:space="preserve">ENSA - INRA Unité de Formation en Botanique et Pathologie Végétale, INRA-Montpellier</t>
  </si>
  <si>
    <t xml:space="preserve">Festuca ovina L. (2x)</t>
  </si>
  <si>
    <t xml:space="preserve">Environmental Biology Group/ Research School of Biological Sciences</t>
  </si>
  <si>
    <t xml:space="preserve">Festuca ovina L. (4x)</t>
  </si>
  <si>
    <t xml:space="preserve">Environmental Molecular Biology Laboratory</t>
  </si>
  <si>
    <t xml:space="preserve">Festuca ovina L. (6x)</t>
  </si>
  <si>
    <t xml:space="preserve">Environmental Sciences Division</t>
  </si>
  <si>
    <t xml:space="preserve">Festuca ovina L. (8x)</t>
  </si>
  <si>
    <t xml:space="preserve">Enza Zaden France</t>
  </si>
  <si>
    <t xml:space="preserve">Festuca ovina subsp. guestfalica (Reichenb.) K. Richter</t>
  </si>
  <si>
    <t xml:space="preserve">EPGV</t>
  </si>
  <si>
    <t xml:space="preserve">Festuca rubra L.</t>
  </si>
  <si>
    <t xml:space="preserve">EPLEFPA Poitiers-Venours, Etablissement d'enseignement général et technologique agricole</t>
  </si>
  <si>
    <t xml:space="preserve">Festuca rubra subsp. arenaria (Osbeck) Aresh</t>
  </si>
  <si>
    <t xml:space="preserve">Equipe Genetique Vigne UMR DiaPC</t>
  </si>
  <si>
    <t xml:space="preserve">Festuca rubra subsp. fallax (Thuill.) Nyman</t>
  </si>
  <si>
    <t xml:space="preserve">Equipe Genomique Ble et Mais</t>
  </si>
  <si>
    <t xml:space="preserve">Festuca rubra subsp. litoralis (G. Meyer) Auquier</t>
  </si>
  <si>
    <t xml:space="preserve">Equipe Ginomique de la vigne (URGV)</t>
  </si>
  <si>
    <t xml:space="preserve">Festuca rubra subsp. pruinosa (Hackel) Piper</t>
  </si>
  <si>
    <t xml:space="preserve">Escola Superior de Agricultura 'Luiz de Quiroz'</t>
  </si>
  <si>
    <t xml:space="preserve">Festuca rubra subsp. rubra L.</t>
  </si>
  <si>
    <t xml:space="preserve">Estaçao Experimental de Itajaí</t>
  </si>
  <si>
    <t xml:space="preserve">Festuca stricta Host.</t>
  </si>
  <si>
    <t xml:space="preserve">Estaçao Experimental Fitotécnica de Taquari</t>
  </si>
  <si>
    <t xml:space="preserve">Festuca stricta subsp. trachyphylla (hackel) Patzke</t>
  </si>
  <si>
    <t xml:space="preserve">Estacao Nacional Melhoramento</t>
  </si>
  <si>
    <t xml:space="preserve">Festuca trichophylla (Gaudin) K.Richter</t>
  </si>
  <si>
    <t xml:space="preserve">Estacion Exp. Fabio Baudrit Moreno</t>
  </si>
  <si>
    <t xml:space="preserve">Festuca trichophylla subsp. trichophylla Hackel</t>
  </si>
  <si>
    <t xml:space="preserve">Estacion Experimental</t>
  </si>
  <si>
    <t xml:space="preserve">Fortunella crassifolia Swing.</t>
  </si>
  <si>
    <t xml:space="preserve">Estacion Experimental Agroindustrial 'Obispo Colombres'</t>
  </si>
  <si>
    <t xml:space="preserve">Fortunella hindsii (Champ.) Swing.</t>
  </si>
  <si>
    <t xml:space="preserve">Estacion Experimental Agropecuaria Rafaela</t>
  </si>
  <si>
    <t xml:space="preserve">Fortunella japonica (Thunb.) Swing.</t>
  </si>
  <si>
    <t xml:space="preserve">Estacion Experimental 'Aula Dei' - Consejo Superior de Investigaciones Científicas</t>
  </si>
  <si>
    <t xml:space="preserve">Fortunella margarita (Lour.) Swing.</t>
  </si>
  <si>
    <t xml:space="preserve">Estación Experimental de la Facultad de Agronomia en Salto</t>
  </si>
  <si>
    <t xml:space="preserve">Fortunella obovata Hort. ex Tan.</t>
  </si>
  <si>
    <t xml:space="preserve">Estacion Experimental 'La Estanzuela'</t>
  </si>
  <si>
    <t xml:space="preserve">Fortunella polyandra (Ridl.) Tan.</t>
  </si>
  <si>
    <t xml:space="preserve">Estacion Experimental La Platina</t>
  </si>
  <si>
    <t xml:space="preserve">(Fortunella sp. x Poncirus trifoliata (L.) Raf.)</t>
  </si>
  <si>
    <t xml:space="preserve">Estacion Experimental Los Diamantes</t>
  </si>
  <si>
    <t xml:space="preserve">Fortunella Swingle</t>
  </si>
  <si>
    <t xml:space="preserve">Estacion Experimental Santa Catalina DENAREF, INIAP</t>
  </si>
  <si>
    <t xml:space="preserve">Fortunella swinglei Tan.</t>
  </si>
  <si>
    <t xml:space="preserve">Etablissements Leblond</t>
  </si>
  <si>
    <t xml:space="preserve">Fragaria grandiflora</t>
  </si>
  <si>
    <t xml:space="preserve">Etablissements Lemaire-Deffontaines</t>
  </si>
  <si>
    <t xml:space="preserve">Fragaria vesca</t>
  </si>
  <si>
    <t xml:space="preserve">Eteve Lambertin Marie-Laure, Bouillargues - France</t>
  </si>
  <si>
    <t xml:space="preserve">Fragaria vesca subsp. vesca</t>
  </si>
  <si>
    <t xml:space="preserve">Ets A Bataille</t>
  </si>
  <si>
    <t xml:space="preserve">Fragaria x ananassa</t>
  </si>
  <si>
    <t xml:space="preserve">Ets George Laurent</t>
  </si>
  <si>
    <t xml:space="preserve">Gallus gallus</t>
  </si>
  <si>
    <t xml:space="preserve">Ets Tharreau</t>
  </si>
  <si>
    <t xml:space="preserve">Glycine</t>
  </si>
  <si>
    <t xml:space="preserve">Etude du polymorphisme des genomes vegetaux</t>
  </si>
  <si>
    <t xml:space="preserve">Glycine max</t>
  </si>
  <si>
    <t xml:space="preserve">Euralis génétique</t>
  </si>
  <si>
    <t xml:space="preserve">Glycosmis Corrêa</t>
  </si>
  <si>
    <t xml:space="preserve">EURALIS SEMENCES</t>
  </si>
  <si>
    <t xml:space="preserve">Glycosmis pentaphylla (Retz.) Corrêa</t>
  </si>
  <si>
    <t xml:space="preserve">Eversole Associates</t>
  </si>
  <si>
    <t xml:space="preserve">Gossypium spp.</t>
  </si>
  <si>
    <t xml:space="preserve">Evolutionary Biology Centre</t>
  </si>
  <si>
    <t xml:space="preserve">Hebeloma cylindrosporum</t>
  </si>
  <si>
    <t xml:space="preserve">Experimental Breeding Station Choryn</t>
  </si>
  <si>
    <t xml:space="preserve">Helianthus annuus</t>
  </si>
  <si>
    <t xml:space="preserve">Experimental Institute of Cereal Research</t>
  </si>
  <si>
    <t xml:space="preserve">Helianthus argophyllus</t>
  </si>
  <si>
    <t xml:space="preserve">F. Levieil</t>
  </si>
  <si>
    <t xml:space="preserve">Helianthus L.</t>
  </si>
  <si>
    <t xml:space="preserve">F. Von Lochow-Petkus GmbH</t>
  </si>
  <si>
    <t xml:space="preserve">Helianthus paradoxus</t>
  </si>
  <si>
    <t xml:space="preserve">Fabre</t>
  </si>
  <si>
    <t xml:space="preserve">Hordeum</t>
  </si>
  <si>
    <t xml:space="preserve">Fac.of Agri.</t>
  </si>
  <si>
    <t xml:space="preserve">Hordeum agriocrithon Aberg</t>
  </si>
  <si>
    <t xml:space="preserve">Facoltà di Agraria</t>
  </si>
  <si>
    <t xml:space="preserve">Hordeum andicola Griseb.</t>
  </si>
  <si>
    <t xml:space="preserve">Faculdad de Agronomia</t>
  </si>
  <si>
    <t xml:space="preserve">Hordeum andinum Trin.</t>
  </si>
  <si>
    <t xml:space="preserve">Facultad de Ciencias Agropecuarias, Universidad de Panamá</t>
  </si>
  <si>
    <t xml:space="preserve">Hordeum bogdani</t>
  </si>
  <si>
    <t xml:space="preserve">Faculté d'Agronomie</t>
  </si>
  <si>
    <t xml:space="preserve">Hordeum bogdanii</t>
  </si>
  <si>
    <t xml:space="preserve">Faculty of Agriculture - Institute of Field Crops</t>
  </si>
  <si>
    <t xml:space="preserve">Hordeum brachyantherum Nevski s.l.</t>
  </si>
  <si>
    <t xml:space="preserve">Faculty of Agriculture,  Laboratory of Plant Breeding</t>
  </si>
  <si>
    <t xml:space="preserve">Hordeum brachyantherum ssp. brachyantherum Nevski</t>
  </si>
  <si>
    <t xml:space="preserve">Faculty of Agriculture, University of Manitoba</t>
  </si>
  <si>
    <t xml:space="preserve">Hordeum brevisubulatum ssp. brevisubulatum</t>
  </si>
  <si>
    <t xml:space="preserve">Faculty of Bioresources</t>
  </si>
  <si>
    <t xml:space="preserve">Hordeum brevisubulatum ssp. iranicum</t>
  </si>
  <si>
    <t xml:space="preserve">Fear CD, Cain DW, Mowrey BD, CA - USA</t>
  </si>
  <si>
    <t xml:space="preserve">Hordeum brevisubulatum ssp. nevskianum</t>
  </si>
  <si>
    <t xml:space="preserve">Fédération des Syndicats Bretons</t>
  </si>
  <si>
    <t xml:space="preserve">Hordeum brevisubulatum ssp. turkestani</t>
  </si>
  <si>
    <t xml:space="preserve">Fédération des Syndicats Bretons &amp; A. Person</t>
  </si>
  <si>
    <t xml:space="preserve">Hordeum brevisubulatum ssp. turkestanicum</t>
  </si>
  <si>
    <t xml:space="preserve">Fédération des Syndicats Bretons &amp; Bretagne Plants</t>
  </si>
  <si>
    <t xml:space="preserve">Hordeum brevisubulatum ssp. violaceum</t>
  </si>
  <si>
    <t xml:space="preserve">Fédération des Syndicats Bretons &amp; Coopérative de Pleyber-Christ</t>
  </si>
  <si>
    <t xml:space="preserve">Hordeum brevisubulatum (Trin.) Link ssp. brevisubulatum s.l.</t>
  </si>
  <si>
    <t xml:space="preserve">Fédération des Syndicats Bretons &amp; Coopérative des Agriculteurs de Bretagne</t>
  </si>
  <si>
    <t xml:space="preserve">Hordeum brevisubulatum (Trin.) Link ssp. iranicum Bothmer</t>
  </si>
  <si>
    <t xml:space="preserve">Fédération des Vins de Savoie</t>
  </si>
  <si>
    <t xml:space="preserve">Hordeum brevisubulatum (Trin.) Link ssp. nevskianum (Bowden) Tzvel.</t>
  </si>
  <si>
    <t xml:space="preserve">Fédération des Vins du Puy de Dôme</t>
  </si>
  <si>
    <t xml:space="preserve">Hordeum brevisubulatum (Trin.) Link ssp. turkestanicum (Nevski) Tzvel.</t>
  </si>
  <si>
    <t xml:space="preserve">Ferme de moulon</t>
  </si>
  <si>
    <t xml:space="preserve">Hordeum brevisubulatum (Trin.) Link ssp. violaceum (Boiss. &amp; Hohen.) Tzvel.</t>
  </si>
  <si>
    <t xml:space="preserve">Ferme d'Etat de Pucheng</t>
  </si>
  <si>
    <t xml:space="preserve">Hordeum bulbosum L.</t>
  </si>
  <si>
    <t xml:space="preserve">FERME ECOLE DE BESPLAS</t>
  </si>
  <si>
    <t xml:space="preserve">Hordeum caespitosum Scribn.</t>
  </si>
  <si>
    <t xml:space="preserve">Ferme Expérimentale de Grignon</t>
  </si>
  <si>
    <t xml:space="preserve">Hordeum californicum Covas &amp; Stebbins</t>
  </si>
  <si>
    <t xml:space="preserve">Firma H. O. Luebeck, Magdeburg</t>
  </si>
  <si>
    <t xml:space="preserve">Hordeum chilense Roem. &amp; Schult.</t>
  </si>
  <si>
    <t xml:space="preserve">Fleck Jacqueline / L626</t>
  </si>
  <si>
    <t xml:space="preserve">Hordeum comosum J. Presl</t>
  </si>
  <si>
    <t xml:space="preserve">Fleischmann Rudolph Agricultural Research Institute, University of Agricultural Sciences</t>
  </si>
  <si>
    <t xml:space="preserve">Hordeum compressum</t>
  </si>
  <si>
    <t xml:space="preserve">Florimond Desprez</t>
  </si>
  <si>
    <t xml:space="preserve">Hordeum compressum Griseb.</t>
  </si>
  <si>
    <t xml:space="preserve">Fontaine (bought by Jouffray-Drillaud)</t>
  </si>
  <si>
    <t xml:space="preserve">Hordeum cordobense Bothmer, N. Jacobsen &amp; Nicora</t>
  </si>
  <si>
    <t xml:space="preserve">Food Science Institute</t>
  </si>
  <si>
    <t xml:space="preserve">Hordeum deficiens</t>
  </si>
  <si>
    <t xml:space="preserve">Forschungsanstalt Agroscope Reckenholz-Tänikon</t>
  </si>
  <si>
    <t xml:space="preserve">Hordeum deficiens Steud.</t>
  </si>
  <si>
    <t xml:space="preserve">Fr. Strube Saatzucht KG Soellingen</t>
  </si>
  <si>
    <t xml:space="preserve">Hordeum depressum (Scribn. &amp; J.G. Sm.) Rydb.</t>
  </si>
  <si>
    <t xml:space="preserve">Fruit Tree Laboratory</t>
  </si>
  <si>
    <t xml:space="preserve">Hordeum europaeum</t>
  </si>
  <si>
    <t xml:space="preserve">Fruit Tree Research Station</t>
  </si>
  <si>
    <t xml:space="preserve">Hordeum flexuosum Steud.</t>
  </si>
  <si>
    <t xml:space="preserve">Fruit Trees Research Station, Kuchinotsu Branch</t>
  </si>
  <si>
    <t xml:space="preserve">Hordeum geniculatum</t>
  </si>
  <si>
    <t xml:space="preserve">FR2424, Station Biologique</t>
  </si>
  <si>
    <t xml:space="preserve">Hordeum gussoneanum</t>
  </si>
  <si>
    <t xml:space="preserve">Fudan University</t>
  </si>
  <si>
    <t xml:space="preserve">Hordeum gussoneanum Parl.</t>
  </si>
  <si>
    <t xml:space="preserve">Fungal Genomics Lab</t>
  </si>
  <si>
    <t xml:space="preserve">Hordeum hexaploidum</t>
  </si>
  <si>
    <t xml:space="preserve">G. Geertsema-Groningen B.V.</t>
  </si>
  <si>
    <t xml:space="preserve">Hordeum hexaploidum Covas</t>
  </si>
  <si>
    <t xml:space="preserve">GA</t>
  </si>
  <si>
    <t xml:space="preserve">Hordeum hexastichon L.</t>
  </si>
  <si>
    <t xml:space="preserve">Gautier</t>
  </si>
  <si>
    <t xml:space="preserve">Hordeum hrasdanicum Gandilyan</t>
  </si>
  <si>
    <t xml:space="preserve">Hordeum irregulare</t>
  </si>
  <si>
    <t xml:space="preserve">Genavenir</t>
  </si>
  <si>
    <t xml:space="preserve">Hordeum ithaburense Boiss.</t>
  </si>
  <si>
    <t xml:space="preserve">Gene Function and Maize Traits Group</t>
  </si>
  <si>
    <t xml:space="preserve">Hordeum jubatum</t>
  </si>
  <si>
    <t xml:space="preserve">Genebank, Leibniz Institute of Plant Genetics and Crop Plant Research</t>
  </si>
  <si>
    <t xml:space="preserve">Hordeum jubatum breviaristatum</t>
  </si>
  <si>
    <t xml:space="preserve">Genetic Resources and Mediterranean Medicago Plant Breeding Laboratory, INRA-Montpellier</t>
  </si>
  <si>
    <t xml:space="preserve">Hordeum jubatum jubatum</t>
  </si>
  <si>
    <t xml:space="preserve">Genetic Resources Department - Research Institute for Cereals and Industrial Crops</t>
  </si>
  <si>
    <t xml:space="preserve">Hordeum jubatum ssp. breviaristatum Bowden</t>
  </si>
  <si>
    <t xml:space="preserve">Genetics</t>
  </si>
  <si>
    <t xml:space="preserve">Hordeum jubatum ssp. intermedium Bowden</t>
  </si>
  <si>
    <t xml:space="preserve">Genetics of Environmental Stress Tolerance</t>
  </si>
  <si>
    <t xml:space="preserve">Hordeum kaufmannii Regel</t>
  </si>
  <si>
    <t xml:space="preserve">Genetique et Amelioration des Plantes</t>
  </si>
  <si>
    <t xml:space="preserve">Hordeum L.</t>
  </si>
  <si>
    <t xml:space="preserve">Genetique et amelioration des plantes</t>
  </si>
  <si>
    <t xml:space="preserve">Hordeum lechleri (Steud.) Schenck</t>
  </si>
  <si>
    <t xml:space="preserve">Genetique et ecophysiologie des legumineuses</t>
  </si>
  <si>
    <t xml:space="preserve">Hordeum leporinum var. simulans Bowden</t>
  </si>
  <si>
    <t xml:space="preserve">Genetique fonctionnelle des maladies des Epitheliums, U563, CPIP, CHU Purpan</t>
  </si>
  <si>
    <t xml:space="preserve">Hordeum macilentum Steud.</t>
  </si>
  <si>
    <t xml:space="preserve">Genetique Moleculaire d'Arabidopsis</t>
  </si>
  <si>
    <t xml:space="preserve">Hordeum marinum Huds. ssp. gussoneanum (Parl.) Thell.</t>
  </si>
  <si>
    <t xml:space="preserve">Genome BC Conifer Forest Health</t>
  </si>
  <si>
    <t xml:space="preserve">Hordeum marinum Huds. ssp. marinum</t>
  </si>
  <si>
    <t xml:space="preserve">Genome et developpement des plantes</t>
  </si>
  <si>
    <t xml:space="preserve">Hordeum marinum ssp. gussoneanum</t>
  </si>
  <si>
    <t xml:space="preserve">GENOME express</t>
  </si>
  <si>
    <t xml:space="preserve">Hordeum marinum ssp. gussoneanum (Parl.) Thell.</t>
  </si>
  <si>
    <t xml:space="preserve">Genome Express</t>
  </si>
  <si>
    <t xml:space="preserve">Hordeum marinum ssp. marinum</t>
  </si>
  <si>
    <t xml:space="preserve">Genome Science Laboratory</t>
  </si>
  <si>
    <t xml:space="preserve">Hordeum maritimum</t>
  </si>
  <si>
    <t xml:space="preserve">Genome Systems,  Inc.,  a wholly owned subsidiary of IncytePharmaceuticals,  Inc.</t>
  </si>
  <si>
    <t xml:space="preserve">Hordeum maritimum gussonianum</t>
  </si>
  <si>
    <t xml:space="preserve">Genomics and  Genetics Institute,  GreenGene Biotech Inc.;Division of Bioscience and  Bioinformatics,  MyongJiUniversity</t>
  </si>
  <si>
    <t xml:space="preserve">Hordeum murinum</t>
  </si>
  <si>
    <t xml:space="preserve">Genomique</t>
  </si>
  <si>
    <t xml:space="preserve">Hordeum murinum L. ssp. glaucum (Steud.) Tzvelev</t>
  </si>
  <si>
    <t xml:space="preserve">Genomique Ble et Mais</t>
  </si>
  <si>
    <t xml:space="preserve">Hordeum murinum L. ssp. leporinum (Link) Arcang.</t>
  </si>
  <si>
    <t xml:space="preserve">Genoplante-Info</t>
  </si>
  <si>
    <t xml:space="preserve">Hordeum murinum L. ssp. murinum</t>
  </si>
  <si>
    <t xml:space="preserve">GENOSCOPE</t>
  </si>
  <si>
    <t xml:space="preserve">Hordeum murinum murinum</t>
  </si>
  <si>
    <t xml:space="preserve">Genoscope</t>
  </si>
  <si>
    <t xml:space="preserve">Hordeum murinum ssp. glaucum</t>
  </si>
  <si>
    <t xml:space="preserve">Genoscope - Centre National de Sequencage</t>
  </si>
  <si>
    <t xml:space="preserve">Hordeum murinum ssp. glaucum (Steud.) Tzvelev</t>
  </si>
  <si>
    <t xml:space="preserve">Georgia State Agricultural Experiment Station</t>
  </si>
  <si>
    <t xml:space="preserve">Hordeum murinum ssp. leporinum</t>
  </si>
  <si>
    <t xml:space="preserve">Germicopa SA</t>
  </si>
  <si>
    <t xml:space="preserve">Hordeum murinum ssp. murinum</t>
  </si>
  <si>
    <t xml:space="preserve">Germicopa SAS</t>
  </si>
  <si>
    <t xml:space="preserve">Hordeum muticum J. Presl</t>
  </si>
  <si>
    <t xml:space="preserve">GGO</t>
  </si>
  <si>
    <t xml:space="preserve">Hordeum nevskianum Bowden</t>
  </si>
  <si>
    <t xml:space="preserve">GIE Ail Dromois</t>
  </si>
  <si>
    <t xml:space="preserve">Hordeum nodosum</t>
  </si>
  <si>
    <t xml:space="preserve">GIE Epi de France</t>
  </si>
  <si>
    <t xml:space="preserve">Hordeum nodosum L.</t>
  </si>
  <si>
    <t xml:space="preserve">GIE Legland</t>
  </si>
  <si>
    <t xml:space="preserve">Hordeum parodii Covas</t>
  </si>
  <si>
    <t xml:space="preserve">Gigot Claude / L512</t>
  </si>
  <si>
    <t xml:space="preserve">Hordeum patagonicum (Haum.) Covas s.l.</t>
  </si>
  <si>
    <t xml:space="preserve">Gilbert-Fayol</t>
  </si>
  <si>
    <t xml:space="preserve">Hordeum persicum</t>
  </si>
  <si>
    <t xml:space="preserve">Ginitique Diversiti Ecophysiologie des Ciriales</t>
  </si>
  <si>
    <t xml:space="preserve">Hordeum pratense Huds.</t>
  </si>
  <si>
    <t xml:space="preserve">Giza Agricultural Research Station</t>
  </si>
  <si>
    <t xml:space="preserve">Hordeum pubescens Guss.</t>
  </si>
  <si>
    <t xml:space="preserve">Glen Saint Mary Nursery Co.</t>
  </si>
  <si>
    <t xml:space="preserve">Hordeum pusillum Nutt.</t>
  </si>
  <si>
    <t xml:space="preserve">Glenellen Pty Ltd.</t>
  </si>
  <si>
    <t xml:space="preserve">Hordeum pussilum</t>
  </si>
  <si>
    <t xml:space="preserve">Gnts VNII Rastenievodstva Im.N.I.Vavilova</t>
  </si>
  <si>
    <t xml:space="preserve">Hordeum sativum</t>
  </si>
  <si>
    <t xml:space="preserve">Goggi</t>
  </si>
  <si>
    <t xml:space="preserve">Hordeum sibiricum Rosh.</t>
  </si>
  <si>
    <t xml:space="preserve">Grad. Sch. Agric. Life Sci.</t>
  </si>
  <si>
    <t xml:space="preserve">Hordeum spp</t>
  </si>
  <si>
    <t xml:space="preserve">Graduate School of Biological Sciences</t>
  </si>
  <si>
    <t xml:space="preserve">Hordeum strictum Desf.</t>
  </si>
  <si>
    <t xml:space="preserve">Grand Anse Experimental Centre, Ministry of Agriculture and Marine Resources</t>
  </si>
  <si>
    <t xml:space="preserve">Hordeum tetraploidum Covas</t>
  </si>
  <si>
    <t xml:space="preserve">Grand Island Nurseries, Inc.</t>
  </si>
  <si>
    <t xml:space="preserve">Hordeum tetrastichum</t>
  </si>
  <si>
    <t xml:space="preserve">Greenhouse for Trop. Crops, Inst. Prod/Nutr. Wordls Crops, Un. Kassel</t>
  </si>
  <si>
    <t xml:space="preserve">Hordeum vulgare</t>
  </si>
  <si>
    <t xml:space="preserve">Grocep</t>
  </si>
  <si>
    <t xml:space="preserve">Hordeum vulgare convar. distichon (L.) Alefeld</t>
  </si>
  <si>
    <t xml:space="preserve">Group 305</t>
  </si>
  <si>
    <t xml:space="preserve">Hordeum vulgare L.</t>
  </si>
  <si>
    <t xml:space="preserve">Groupe d'Etude et de Contrôle des Variétés et des Semences, Cavaillon</t>
  </si>
  <si>
    <t xml:space="preserve">Hordeum vulgare L. ssp. distichon (L.) Koernicke</t>
  </si>
  <si>
    <t xml:space="preserve">Groupement Agricole Essonnois</t>
  </si>
  <si>
    <t xml:space="preserve">Hordeum vulgare L. ssp. spontaneum (K. Koch) A. &amp; Gr.</t>
  </si>
  <si>
    <t xml:space="preserve">Groupement Interprofessionnel des Fleurs et Plantes A Parfun</t>
  </si>
  <si>
    <t xml:space="preserve">Hordeum vulgare L. ssp. vulgare</t>
  </si>
  <si>
    <t xml:space="preserve">Gruntzig Maria, Fuchs Egon Halle/Saale - Allemagne</t>
  </si>
  <si>
    <t xml:space="preserve">Hordeum vulgare spontaneum</t>
  </si>
  <si>
    <t xml:space="preserve">GTZ, German Fruit Tree Project</t>
  </si>
  <si>
    <t xml:space="preserve">Hordeum vulgare ssp. distichon var. spontaneum Kornicke</t>
  </si>
  <si>
    <t xml:space="preserve">Guangxi Citrus Research Institute</t>
  </si>
  <si>
    <t xml:space="preserve">Hordeum vulgare var. distichon</t>
  </si>
  <si>
    <t xml:space="preserve">Gyumri Breeding Station</t>
  </si>
  <si>
    <t xml:space="preserve">Hordeum vulgare vulgare</t>
  </si>
  <si>
    <t xml:space="preserve">H Blas JM Malmonté</t>
  </si>
  <si>
    <t xml:space="preserve">Juglans L.</t>
  </si>
  <si>
    <t xml:space="preserve">H. Demesmay</t>
  </si>
  <si>
    <t xml:space="preserve">Lactuca L.</t>
  </si>
  <si>
    <t xml:space="preserve">H. L. Hall &amp; Sons, Ltd.</t>
  </si>
  <si>
    <t xml:space="preserve">Lactuca sativa f. Laitue à couper</t>
  </si>
  <si>
    <t xml:space="preserve">Hankkija Plant Breeding Institute</t>
  </si>
  <si>
    <t xml:space="preserve">Lactuca sativa f. Laitue à couper gr. Feuille de chêne</t>
  </si>
  <si>
    <t xml:space="preserve">Harpool Seed Inc.</t>
  </si>
  <si>
    <t xml:space="preserve">Lactuca sativa f. Laitue à couper gr. Laitue multi-feuilles</t>
  </si>
  <si>
    <t xml:space="preserve">Head of Genomic Information</t>
  </si>
  <si>
    <t xml:space="preserve">Lactuca sativa f. Laitue à couper gr. Lollo</t>
  </si>
  <si>
    <t xml:space="preserve">Hebei Germplasm Resources Genebank Cereal &amp; Oil Crops Research Institute</t>
  </si>
  <si>
    <t xml:space="preserve">Lactuca sativa f. Laitue pommée</t>
  </si>
  <si>
    <t xml:space="preserve">Heine Peragis Getreidezucht GmbH</t>
  </si>
  <si>
    <t xml:space="preserve">Lactuca sativa f. Laitue pommée gr. Batavia</t>
  </si>
  <si>
    <t xml:space="preserve">Hirla Henri, Toulouges - France</t>
  </si>
  <si>
    <t xml:space="preserve">Lactuca sativa f. Laitue pommée gr. Batavia sgr. Batavia européenne</t>
  </si>
  <si>
    <t xml:space="preserve">Hodowla Roslin Polniczych 'Nasiona Kobierzyc'</t>
  </si>
  <si>
    <t xml:space="preserve">Lactuca sativa f. Laitue pommée gr. Batavia sgr. Iceberg</t>
  </si>
  <si>
    <t xml:space="preserve">Hodowla Roslin Pustkow</t>
  </si>
  <si>
    <t xml:space="preserve">Lactuca sativa f. Laitue pommée gr. Laitue beurre</t>
  </si>
  <si>
    <t xml:space="preserve">Hodowla Roslin Strzelce Sp. z o.o. Grupa IHAR</t>
  </si>
  <si>
    <t xml:space="preserve">Lactuca sativa f. Laitue pommée gr. Romaine/grasse</t>
  </si>
  <si>
    <t xml:space="preserve">Hort Research</t>
  </si>
  <si>
    <t xml:space="preserve">Lactuca sativa f. Laitue pommée gr. Romaine/grasse sgr. Grasse</t>
  </si>
  <si>
    <t xml:space="preserve">Horticultural Research &amp; Advisory Station, Dept. of Agriculture</t>
  </si>
  <si>
    <t xml:space="preserve">Lactuca sativa f. Laitue pommée gr. Romaine/grasse sgr. Romaine</t>
  </si>
  <si>
    <t xml:space="preserve">Horticultural Research Section Agricultural Research Corporation</t>
  </si>
  <si>
    <t xml:space="preserve">Lactuca sativa f. Laitue tige</t>
  </si>
  <si>
    <t xml:space="preserve">Horticultural Research Station</t>
  </si>
  <si>
    <t xml:space="preserve">Lactuca sativa L.</t>
  </si>
  <si>
    <t xml:space="preserve">Horticultural Sciences Department,  Plant Molecular and Cellular Biology Program</t>
  </si>
  <si>
    <t xml:space="preserve">Lepidium L.</t>
  </si>
  <si>
    <t xml:space="preserve">Horticulture Department</t>
  </si>
  <si>
    <t xml:space="preserve">Lepidium sativum L.</t>
  </si>
  <si>
    <t xml:space="preserve">HortResearch, Havelock North Research Centre - Malone M. Havelock North and  Davidson J. Tuamarina Blenheim - New Zealand</t>
  </si>
  <si>
    <t xml:space="preserve">(Limequat x Fortunella hindsii(Champ.) Swing.)</t>
  </si>
  <si>
    <t xml:space="preserve">HortResearch, Mt. Albert Research Centre</t>
  </si>
  <si>
    <t xml:space="preserve">Linum usitatissinum</t>
  </si>
  <si>
    <t xml:space="preserve">HybriTech Seed</t>
  </si>
  <si>
    <t xml:space="preserve">Lolium L.</t>
  </si>
  <si>
    <t xml:space="preserve">HYBRO Saatzucht GmbH &amp; Co. KG c/o Saaten-Union GmbH</t>
  </si>
  <si>
    <t xml:space="preserve">Lolium multiflorum Lam.</t>
  </si>
  <si>
    <t xml:space="preserve">IBP</t>
  </si>
  <si>
    <t xml:space="preserve">Lolium perenne</t>
  </si>
  <si>
    <t xml:space="preserve">IBVB</t>
  </si>
  <si>
    <t xml:space="preserve">Lolium perenne L.</t>
  </si>
  <si>
    <t xml:space="preserve">ICARDA</t>
  </si>
  <si>
    <t xml:space="preserve">Lolium xhybridum Hausskn.</t>
  </si>
  <si>
    <t xml:space="preserve">ICRISAT</t>
  </si>
  <si>
    <t xml:space="preserve">Lotus alpinus</t>
  </si>
  <si>
    <t xml:space="preserve">Idaho Agricultural Experiment Station, University of Idaho</t>
  </si>
  <si>
    <t xml:space="preserve">Lupinus L.</t>
  </si>
  <si>
    <t xml:space="preserve">Illinois Agricultural Experiment Station, University of Illinois</t>
  </si>
  <si>
    <t xml:space="preserve">Malus domestica</t>
  </si>
  <si>
    <t xml:space="preserve">Indian Agricultural Research Institute</t>
  </si>
  <si>
    <t xml:space="preserve">Malus P. Mill.</t>
  </si>
  <si>
    <t xml:space="preserve">Indian Institute of Horticultural Research</t>
  </si>
  <si>
    <t xml:space="preserve">Manihot esculenta</t>
  </si>
  <si>
    <t xml:space="preserve">Indiana Agricultural Experiment Station, Purdue University</t>
  </si>
  <si>
    <t xml:space="preserve">Medicago aculeata</t>
  </si>
  <si>
    <t xml:space="preserve">Indo-American Hybrid Seeds</t>
  </si>
  <si>
    <t xml:space="preserve">Medicago aculeata aculeata</t>
  </si>
  <si>
    <t xml:space="preserve">Medicago aculeata inermis</t>
  </si>
  <si>
    <t xml:space="preserve">INRA - Mauguio</t>
  </si>
  <si>
    <t xml:space="preserve">Medicago arabica (L.) Huds.</t>
  </si>
  <si>
    <t xml:space="preserve">INRA - Tours</t>
  </si>
  <si>
    <t xml:space="preserve">Medicago arborea L.</t>
  </si>
  <si>
    <t xml:space="preserve">INRA - UMR BIOGECO</t>
  </si>
  <si>
    <t xml:space="preserve">Medicago asiatica</t>
  </si>
  <si>
    <t xml:space="preserve">INRA, Cirad/Amis</t>
  </si>
  <si>
    <t xml:space="preserve">Medicago blancheana Boiss.</t>
  </si>
  <si>
    <t xml:space="preserve">INRA de Crouel</t>
  </si>
  <si>
    <t xml:space="preserve">Medicago bonarotiana</t>
  </si>
  <si>
    <t xml:space="preserve">INRA, Domaine de Vassal (T. Lacombe) + IFV Institut Français de la Vigne et du Vin (L. Audeguin)</t>
  </si>
  <si>
    <t xml:space="preserve">Medicago cancellata Bieb.</t>
  </si>
  <si>
    <t xml:space="preserve">INRA GAFL Avignon + SICA Centrex</t>
  </si>
  <si>
    <t xml:space="preserve">Medicago carstiensis Jacq.</t>
  </si>
  <si>
    <t xml:space="preserve">INRA Guadeloupe</t>
  </si>
  <si>
    <t xml:space="preserve">Medicago constricta</t>
  </si>
  <si>
    <t xml:space="preserve">INRA Montpellier</t>
  </si>
  <si>
    <t xml:space="preserve">Medicago coronata</t>
  </si>
  <si>
    <t xml:space="preserve">INRA Rennes</t>
  </si>
  <si>
    <t xml:space="preserve">Medicago cretacea</t>
  </si>
  <si>
    <t xml:space="preserve">INRA Versailles</t>
  </si>
  <si>
    <t xml:space="preserve">Medicago daghestanica</t>
  </si>
  <si>
    <t xml:space="preserve">INRA-MycSA, UPR-1264</t>
  </si>
  <si>
    <t xml:space="preserve">Medicago disciformis</t>
  </si>
  <si>
    <t xml:space="preserve">INRAT, Tunisie + UR Génétique et Amélioration des Fruits et Légumes, INRA-Avignon</t>
  </si>
  <si>
    <t xml:space="preserve">Medicago dzhawakhetica</t>
  </si>
  <si>
    <t xml:space="preserve">Insect Biocontrol Lab</t>
  </si>
  <si>
    <t xml:space="preserve">Medicago eusativa</t>
  </si>
  <si>
    <t xml:space="preserve">INSIBIO</t>
  </si>
  <si>
    <t xml:space="preserve">Medicago glutinosa Bieb.</t>
  </si>
  <si>
    <t xml:space="preserve">Inst. Biologia Molecular y Celular de Plantas</t>
  </si>
  <si>
    <t xml:space="preserve">Medicago granadensis Willd.</t>
  </si>
  <si>
    <t xml:space="preserve">Institut Amélioration Plantes Cultivées Berlin</t>
  </si>
  <si>
    <t xml:space="preserve">Medicago heyniana</t>
  </si>
  <si>
    <t xml:space="preserve">Institut de Biologie Moleculair des Plantes du CNRS (IBMP)</t>
  </si>
  <si>
    <t xml:space="preserve">Medicago hybrida (Pourr.) Trautv.</t>
  </si>
  <si>
    <t xml:space="preserve">Institut de Biologie Moleculaire des Plantes</t>
  </si>
  <si>
    <t xml:space="preserve">Medicago intertexta ciliaris</t>
  </si>
  <si>
    <t xml:space="preserve">Institut de biologie moleculaire des plantes</t>
  </si>
  <si>
    <t xml:space="preserve">Medicago intertexta intertexta</t>
  </si>
  <si>
    <t xml:space="preserve">Institut de biotechnologie des plantes</t>
  </si>
  <si>
    <t xml:space="preserve">Medicago intertexta (L.) Mill.</t>
  </si>
  <si>
    <t xml:space="preserve">Institut de Recherche pour le Développement</t>
  </si>
  <si>
    <t xml:space="preserve">Medicago L.</t>
  </si>
  <si>
    <t xml:space="preserve">Institut de Recherches Agronomique</t>
  </si>
  <si>
    <t xml:space="preserve">Medicago laciniata (L.) Mill.</t>
  </si>
  <si>
    <t xml:space="preserve">Institut de Recherches Agronomiques et Forestières</t>
  </si>
  <si>
    <t xml:space="preserve">Medicago lanigera</t>
  </si>
  <si>
    <t xml:space="preserve">Institut de Recherches Agronomiques Tropicales et des cultures vivrières</t>
  </si>
  <si>
    <t xml:space="preserve">Medicago littoralis</t>
  </si>
  <si>
    <t xml:space="preserve">Institut de Recherches de Beibei</t>
  </si>
  <si>
    <t xml:space="preserve">Medicago lupulina L.</t>
  </si>
  <si>
    <t xml:space="preserve">Institut des forêts-Département Fruits et Agrumes</t>
  </si>
  <si>
    <t xml:space="preserve">Medicago marina L.</t>
  </si>
  <si>
    <t xml:space="preserve">Institut des Sciences du Vegetal (ISV)</t>
  </si>
  <si>
    <t xml:space="preserve">Medicago minima brevispina</t>
  </si>
  <si>
    <t xml:space="preserve">Institut des Sciences Vegetales</t>
  </si>
  <si>
    <t xml:space="preserve">Medicago minima (L.) L. ex Bartal.</t>
  </si>
  <si>
    <t xml:space="preserve">Institut for bioteknologi</t>
  </si>
  <si>
    <t xml:space="preserve">Medicago minima minima</t>
  </si>
  <si>
    <t xml:space="preserve">Institut Français de la Vigne et du Vin</t>
  </si>
  <si>
    <t xml:space="preserve">Medicago monantha (C.A. Mey.) Trautv.</t>
  </si>
  <si>
    <t xml:space="preserve">Institut Francais de Recherches Fruitières</t>
  </si>
  <si>
    <t xml:space="preserve">Medicago monspeliaca (L.) Trautv.</t>
  </si>
  <si>
    <t xml:space="preserve">Institut Francais de Recherches Fruitières - Martinique</t>
  </si>
  <si>
    <t xml:space="preserve">Medicago murex lesinsii</t>
  </si>
  <si>
    <t xml:space="preserve">Institut Francais de Recherches Fruitières - Réunion</t>
  </si>
  <si>
    <t xml:space="preserve">Medicago murex sphaerocarpos</t>
  </si>
  <si>
    <t xml:space="preserve">Institut fuer Entwicklungsbiologie und Molekularbiologie derPflanzen</t>
  </si>
  <si>
    <t xml:space="preserve">Medicago murex Willd.</t>
  </si>
  <si>
    <t xml:space="preserve">Institut für Biologie und Biotechnologie der Pflanzen (IBBP)</t>
  </si>
  <si>
    <t xml:space="preserve">Medicago muricoleptis</t>
  </si>
  <si>
    <t xml:space="preserve">Institut fur Pflanzengenetik und Kulturpflanzenforschung</t>
  </si>
  <si>
    <t xml:space="preserve">Medicago noeana Boiss.</t>
  </si>
  <si>
    <t xml:space="preserve">Institut für Pflanzengenetik und Kulturpflanzenforschung</t>
  </si>
  <si>
    <t xml:space="preserve">Medicago orbicularis biancae</t>
  </si>
  <si>
    <t xml:space="preserve">Medicago orbicularis (L.) Bartal.</t>
  </si>
  <si>
    <t xml:space="preserve">Institut National Agronomique Paris-Grignon</t>
  </si>
  <si>
    <t xml:space="preserve">Medicago orbicularis marginata</t>
  </si>
  <si>
    <t xml:space="preserve">Institut National de la Recherche Agronomique</t>
  </si>
  <si>
    <t xml:space="preserve">Medicago orthoceras</t>
  </si>
  <si>
    <t xml:space="preserve">Institut National de la Recherche Agronomique - Centre de Clermont-Ferrand</t>
  </si>
  <si>
    <t xml:space="preserve">Medicago papillosa Boiss.</t>
  </si>
  <si>
    <t xml:space="preserve">Institut National de la Recherche Agronomique - Centre de Montpellier</t>
  </si>
  <si>
    <t xml:space="preserve">Medicago pironae</t>
  </si>
  <si>
    <t xml:space="preserve">Institut National de la Recherche Agronomique d'Algerie</t>
  </si>
  <si>
    <t xml:space="preserve">Medicago platycarpa</t>
  </si>
  <si>
    <t xml:space="preserve">Institut National de la Recherche Agronomique de Tunisie</t>
  </si>
  <si>
    <t xml:space="preserve">Medicago polychroa Grossh.</t>
  </si>
  <si>
    <t xml:space="preserve">Institut National de la Recherche Agronomique du Maroc</t>
  </si>
  <si>
    <t xml:space="preserve">Medicago polymorpha brevispina</t>
  </si>
  <si>
    <t xml:space="preserve">Institut of Corn</t>
  </si>
  <si>
    <t xml:space="preserve">Medicago polymorpha L.</t>
  </si>
  <si>
    <t xml:space="preserve">Institut of Crop Germplasm Resources, Chinese Academy of Agricultural Sciences</t>
  </si>
  <si>
    <t xml:space="preserve">Medicago polymorpha polymorpha</t>
  </si>
  <si>
    <t xml:space="preserve">Institut of Subtropical Plants</t>
  </si>
  <si>
    <t xml:space="preserve">Medicago polymorpha vulgaris</t>
  </si>
  <si>
    <t xml:space="preserve">Institut ZA Povrtarstvo</t>
  </si>
  <si>
    <t xml:space="preserve">Medicago praecox DC.</t>
  </si>
  <si>
    <t xml:space="preserve">Institute Crop and Food Research Ltd. East Coast Technology Centre</t>
  </si>
  <si>
    <t xml:space="preserve">Medicago prostrata Jacq.</t>
  </si>
  <si>
    <t xml:space="preserve">Institute for Agrobotany</t>
  </si>
  <si>
    <t xml:space="preserve">Medicago quasifalcata</t>
  </si>
  <si>
    <t xml:space="preserve">Institute for Breeding and Production of Field Crops</t>
  </si>
  <si>
    <t xml:space="preserve">Medicago radiata</t>
  </si>
  <si>
    <t xml:space="preserve">Institute for Field and Vegetable Crops Novi Sad</t>
  </si>
  <si>
    <t xml:space="preserve">Medicago rhodopea Velen.</t>
  </si>
  <si>
    <t xml:space="preserve">Institute for Genome Research and Systems Biology / CeBiTec</t>
  </si>
  <si>
    <t xml:space="preserve">Medicago rigidula agrestis</t>
  </si>
  <si>
    <t xml:space="preserve">Institute for Grapevine Breeding</t>
  </si>
  <si>
    <t xml:space="preserve">Medicago rigidula cinerascens</t>
  </si>
  <si>
    <t xml:space="preserve">Institute for Plant Genetic Resources 'K. Malkov'</t>
  </si>
  <si>
    <t xml:space="preserve">Medicago rigidula (L.) All.</t>
  </si>
  <si>
    <t xml:space="preserve">Institute for Tropical ans Subtropical Crops</t>
  </si>
  <si>
    <t xml:space="preserve">Medicago rigidula rigidula</t>
  </si>
  <si>
    <t xml:space="preserve">Institute of Agriculture of the NAAS</t>
  </si>
  <si>
    <t xml:space="preserve">Medicago rigidula submitis</t>
  </si>
  <si>
    <t xml:space="preserve">Institute of Arable Crop Research</t>
  </si>
  <si>
    <t xml:space="preserve">Medicago rigiduloides</t>
  </si>
  <si>
    <t xml:space="preserve">Institute of Botany</t>
  </si>
  <si>
    <t xml:space="preserve">Medicago rotata Boiss.</t>
  </si>
  <si>
    <t xml:space="preserve">Institute of Citrus Research Chinese Academy of Agric. Sciences</t>
  </si>
  <si>
    <t xml:space="preserve">Medicago rugosa Desr.</t>
  </si>
  <si>
    <t xml:space="preserve">Institute of Crop Breeding and Cultivation, Chinese Academy of Agricultural Sciences</t>
  </si>
  <si>
    <t xml:space="preserve">Medicago rupestris</t>
  </si>
  <si>
    <t xml:space="preserve">Institute of Crop Research, Jilin Academy of Agricultural Sciences</t>
  </si>
  <si>
    <t xml:space="preserve">Medicago ruthenica (L.) Trautv.</t>
  </si>
  <si>
    <t xml:space="preserve">Institute of Crop Science, Federal Research Center for Agricult.(FAL)</t>
  </si>
  <si>
    <t xml:space="preserve">Medicago sativa caelurea</t>
  </si>
  <si>
    <t xml:space="preserve">Institute of Experimental Botany</t>
  </si>
  <si>
    <t xml:space="preserve">Medicago sativa falcata (L.) Arcang.</t>
  </si>
  <si>
    <t xml:space="preserve">Institute of Field Crops and Viticulture</t>
  </si>
  <si>
    <t xml:space="preserve">Medicago sativa gaetula</t>
  </si>
  <si>
    <t xml:space="preserve">Institute of forest genetics</t>
  </si>
  <si>
    <t xml:space="preserve">Medicago sativa glomerata (Balb.) Rouy</t>
  </si>
  <si>
    <t xml:space="preserve">Institute of Genetics,  Fudan University</t>
  </si>
  <si>
    <t xml:space="preserve">Medicago sativa L.</t>
  </si>
  <si>
    <t xml:space="preserve">Institute of Husbandry and Breeding of the National Academy of Sciences of Belarus</t>
  </si>
  <si>
    <t xml:space="preserve">Medicago sativa type mielga L.</t>
  </si>
  <si>
    <t xml:space="preserve">Institute of Mol. &amp; Cell. Bioscience,  Department of CellularFunction</t>
  </si>
  <si>
    <t xml:space="preserve">Medicago sauvagei</t>
  </si>
  <si>
    <t xml:space="preserve">Institute of Plant Breeding and Agricultural Research 'Nazareno Strampelli'</t>
  </si>
  <si>
    <t xml:space="preserve">Medicago saxatilis</t>
  </si>
  <si>
    <t xml:space="preserve">Institute of Plant Breeding, College of Agriculture, University of the Philippines, Los Baños College</t>
  </si>
  <si>
    <t xml:space="preserve">Medicago scutellata (L.) Mill.</t>
  </si>
  <si>
    <t xml:space="preserve">Institute of Plant Production n.a. V.Y. Yurjev of UAAS</t>
  </si>
  <si>
    <t xml:space="preserve">Medicago secundiflora</t>
  </si>
  <si>
    <t xml:space="preserve">Institute of Pomology, Jiangxi Academy of Agricultural Sciences</t>
  </si>
  <si>
    <t xml:space="preserve">Medicago shepardii Post ex Boiss.</t>
  </si>
  <si>
    <t xml:space="preserve">Institute of Wheat and Sunflower Dobroudja</t>
  </si>
  <si>
    <t xml:space="preserve">Medicago soleirolii Duby</t>
  </si>
  <si>
    <t xml:space="preserve">Institute Plant Biotechnology</t>
  </si>
  <si>
    <t xml:space="preserve">Medicago suffruticosa leiocarpa (Benth.) Urb</t>
  </si>
  <si>
    <t xml:space="preserve">InstitutionX</t>
  </si>
  <si>
    <t xml:space="preserve">Medicago suffruticosa Ramond ex DC.</t>
  </si>
  <si>
    <t xml:space="preserve">Instituto Agronomico de Campinas</t>
  </si>
  <si>
    <t xml:space="preserve">Medicago suffruticosa suffruticosa</t>
  </si>
  <si>
    <t xml:space="preserve">Instituto Agronomico de Parana</t>
  </si>
  <si>
    <t xml:space="preserve">Medicago tenoreana</t>
  </si>
  <si>
    <t xml:space="preserve">Instituto Canario de Investigaciones Agrarias</t>
  </si>
  <si>
    <t xml:space="preserve">Medicago tornata</t>
  </si>
  <si>
    <t xml:space="preserve">Instituto Colombiano Agropecuario</t>
  </si>
  <si>
    <t xml:space="preserve">Medicago tornata rugolosa</t>
  </si>
  <si>
    <t xml:space="preserve">Instituto de Biologia y Biotecnologia Vegetal</t>
  </si>
  <si>
    <t xml:space="preserve">Medicago tornata spinulosa</t>
  </si>
  <si>
    <t xml:space="preserve">Instituto de Biotecnologia,  CICVyA-CNIA</t>
  </si>
  <si>
    <t xml:space="preserve">Medicago tornata tornata</t>
  </si>
  <si>
    <t xml:space="preserve">Instituto de Investigacao Agronomica</t>
  </si>
  <si>
    <t xml:space="preserve">Medicago truncatula</t>
  </si>
  <si>
    <t xml:space="preserve">Instituto de Investigaciones de Citricos y otros Frutales</t>
  </si>
  <si>
    <t xml:space="preserve">Medicago truncatula longispina</t>
  </si>
  <si>
    <t xml:space="preserve">Instituto de Investigaciones Fundamentales en Agr. Tropical</t>
  </si>
  <si>
    <t xml:space="preserve">Medicago truncatula tricycla</t>
  </si>
  <si>
    <t xml:space="preserve">Instituto de Protecçao da Produçao Agro-Alimentar</t>
  </si>
  <si>
    <t xml:space="preserve">Medicago truncatula truncatula</t>
  </si>
  <si>
    <t xml:space="preserve">Instituto Fitogenetico 'Santa Catalina'</t>
  </si>
  <si>
    <t xml:space="preserve">Medicago turbinata (L.) All.</t>
  </si>
  <si>
    <t xml:space="preserve">Instituto Nacional de Ciencas Agr.</t>
  </si>
  <si>
    <t xml:space="preserve">Medicago varia Martyn</t>
  </si>
  <si>
    <t xml:space="preserve">Instituto Nacional de Investigação Agronomica</t>
  </si>
  <si>
    <t xml:space="preserve">Microcitrus australasica (F. Muell.) Swingle</t>
  </si>
  <si>
    <t xml:space="preserve">Instituto Nacional de Investigacion Agropecuaria</t>
  </si>
  <si>
    <t xml:space="preserve">(Microcitrus australasica (F. Muell.) Swingle x (Fortunella sp. x Citrus mitis))</t>
  </si>
  <si>
    <t xml:space="preserve">Instituto nacional de Investigaciones Agricolas Celaya Mexique</t>
  </si>
  <si>
    <t xml:space="preserve">(Microcitrus australasica (F. Muell.) Swingle x Microcitrus australis (Planch.) Swing.)</t>
  </si>
  <si>
    <t xml:space="preserve">Instituto Nacional de Investigaciones Forestales, Agrícolas y Pecuarias</t>
  </si>
  <si>
    <t xml:space="preserve">Microcitrus australis (A. Cunn. ex Mudie) Swingle</t>
  </si>
  <si>
    <t xml:space="preserve">Instituto Nacional de Tecnología Agropecuaria</t>
  </si>
  <si>
    <t xml:space="preserve">Microcitrus Swingle</t>
  </si>
  <si>
    <t xml:space="preserve">Instituto Nacional de Tecnología Agropecuaria Estacion Experimental Marcos Juárez</t>
  </si>
  <si>
    <t xml:space="preserve">Monodelphis domestica</t>
  </si>
  <si>
    <t xml:space="preserve">Instituto Nacional de Tecnología Agropecuaria Estacion Experimental Pergamino</t>
  </si>
  <si>
    <t xml:space="preserve">Murraya J. Koenig ex L.</t>
  </si>
  <si>
    <t xml:space="preserve">Instituto Valenciano de Investigaciones Agrarias</t>
  </si>
  <si>
    <t xml:space="preserve">Murraya paniculata (L.) Jack</t>
  </si>
  <si>
    <t xml:space="preserve">INTA</t>
  </si>
  <si>
    <t xml:space="preserve">Mus musculus</t>
  </si>
  <si>
    <t xml:space="preserve">INTA Estacion Experimental</t>
  </si>
  <si>
    <t xml:space="preserve">Muscadinia munsoniana Small</t>
  </si>
  <si>
    <t xml:space="preserve">Interactions Arbres/Microorganismes</t>
  </si>
  <si>
    <t xml:space="preserve">Muscadinia popenoei Fennell</t>
  </si>
  <si>
    <t xml:space="preserve">International Centre for Agricultural Research in Dry Areas</t>
  </si>
  <si>
    <t xml:space="preserve">Muscadinia rotundifolia cv. Carlos</t>
  </si>
  <si>
    <t xml:space="preserve">International Institute of Tropical Agriculture</t>
  </si>
  <si>
    <t xml:space="preserve">Muscadinia rotundifolia cv. Dulcet</t>
  </si>
  <si>
    <t xml:space="preserve">IPK</t>
  </si>
  <si>
    <t xml:space="preserve">Muscadinia rotundifolia cv. Fry</t>
  </si>
  <si>
    <t xml:space="preserve">IPMSV</t>
  </si>
  <si>
    <t xml:space="preserve">Muscadinia rotundifolia cv. Regale</t>
  </si>
  <si>
    <t xml:space="preserve">IRD</t>
  </si>
  <si>
    <t xml:space="preserve">Muscadinia rotundifolia cv. Trayshed</t>
  </si>
  <si>
    <t xml:space="preserve">IRISA</t>
  </si>
  <si>
    <t xml:space="preserve">Muscadinia rotundifolia cv. Yuga x Carlos</t>
  </si>
  <si>
    <t xml:space="preserve">IRRI</t>
  </si>
  <si>
    <t xml:space="preserve">Muscadinia rotundifolia Mchx.</t>
  </si>
  <si>
    <t xml:space="preserve">Istituto di Agronomia e Coltivazioni - Universita di Bologna</t>
  </si>
  <si>
    <t xml:space="preserve">Muscadinia Small</t>
  </si>
  <si>
    <t xml:space="preserve">Istituto di Genetica Vegetale, Consiglio Nazionale delle Richerche</t>
  </si>
  <si>
    <t xml:space="preserve">Myzus persicae</t>
  </si>
  <si>
    <t xml:space="preserve">Istituto di Scienze Biochimiche</t>
  </si>
  <si>
    <t xml:space="preserve">Olea europaea L.</t>
  </si>
  <si>
    <t xml:space="preserve">Istituto Sperimentale per lAgrumicoltura</t>
  </si>
  <si>
    <t xml:space="preserve">Onobrychis Hill.</t>
  </si>
  <si>
    <t xml:space="preserve">ISV-CNRS</t>
  </si>
  <si>
    <t xml:space="preserve">Onobrychis viciifolia Scop.</t>
  </si>
  <si>
    <t xml:space="preserve">J. Berthélémé</t>
  </si>
  <si>
    <t xml:space="preserve">Oryza barthii</t>
  </si>
  <si>
    <t xml:space="preserve">Jardin Botanico, Wilson Popenoe de Lancetilla</t>
  </si>
  <si>
    <t xml:space="preserve">Oryza glaberrima</t>
  </si>
  <si>
    <t xml:space="preserve">Jardin botanique de Bordeaux</t>
  </si>
  <si>
    <t xml:space="preserve">Oryza longistaminata</t>
  </si>
  <si>
    <t xml:space="preserve">Jiangsu Academy of Agricultural Sciences</t>
  </si>
  <si>
    <t xml:space="preserve">Oryza nivara</t>
  </si>
  <si>
    <t xml:space="preserve">JKI Julius Kühn-Institut</t>
  </si>
  <si>
    <t xml:space="preserve">Oryza rufipogon</t>
  </si>
  <si>
    <t xml:space="preserve">John Innes CentreNorwich Research Park</t>
  </si>
  <si>
    <t xml:space="preserve">Oryza sativa</t>
  </si>
  <si>
    <t xml:space="preserve">Jorion</t>
  </si>
  <si>
    <t xml:space="preserve">Oryzias latipes</t>
  </si>
  <si>
    <t xml:space="preserve">Jose Buck S.A.</t>
  </si>
  <si>
    <t xml:space="preserve">Pan troglodytes</t>
  </si>
  <si>
    <t xml:space="preserve">Joseph Nickerson Research Centre</t>
  </si>
  <si>
    <t xml:space="preserve">Parthenocissus henryana Graebn. ex Diels</t>
  </si>
  <si>
    <t xml:space="preserve">Jourdan Pierre,  Tain - France</t>
  </si>
  <si>
    <t xml:space="preserve">Parthenocissus Planch.</t>
  </si>
  <si>
    <t xml:space="preserve">Julius Kühn-Institut</t>
  </si>
  <si>
    <t xml:space="preserve">Parthenocissus quinquefolia (L.) Planch.</t>
  </si>
  <si>
    <t xml:space="preserve">Kaerntner Saatbaugenossenschaft/Carinthian Agricultural Company</t>
  </si>
  <si>
    <t xml:space="preserve">Parthenocissus tricuspidata Planch.</t>
  </si>
  <si>
    <t xml:space="preserve">Kagoshima University, Faculty of Agriculture, Laboratory of Horticultural Science</t>
  </si>
  <si>
    <t xml:space="preserve">Parthenocissus voineriana</t>
  </si>
  <si>
    <t xml:space="preserve">Kansas Agricultural Experiment Station, Kansas State University</t>
  </si>
  <si>
    <t xml:space="preserve">Phaseolus vulgaris</t>
  </si>
  <si>
    <t xml:space="preserve">Kansas State University</t>
  </si>
  <si>
    <t xml:space="preserve">Phleum L.</t>
  </si>
  <si>
    <t xml:space="preserve">Karaganda State Agricultural Experiment Station</t>
  </si>
  <si>
    <t xml:space="preserve">Phleum pratense L.</t>
  </si>
  <si>
    <t xml:space="preserve">Kazakh Research Institute of Agriculture</t>
  </si>
  <si>
    <t xml:space="preserve">Phytophthora parasitica</t>
  </si>
  <si>
    <t xml:space="preserve">Key Lab. of Crop Germplasm &amp; Biotechnology</t>
  </si>
  <si>
    <t xml:space="preserve">Picea abies</t>
  </si>
  <si>
    <t xml:space="preserve">Key Laboratory of Crop Germplasm &amp; Biotechnology</t>
  </si>
  <si>
    <t xml:space="preserve">Pinus pinaster</t>
  </si>
  <si>
    <t xml:space="preserve">Key Laboratory of Ministry of Education for PlantDevelopmental Biology</t>
  </si>
  <si>
    <t xml:space="preserve">Pinus sylvestris</t>
  </si>
  <si>
    <t xml:space="preserve">Key Laboratory Tree Genetic Engineering of Nanjing Forestry</t>
  </si>
  <si>
    <t xml:space="preserve">Pisum fulvum</t>
  </si>
  <si>
    <t xml:space="preserve">Kihara Institute for Biological Research,  Yokohama CityUniversity</t>
  </si>
  <si>
    <t xml:space="preserve">Pisum L.</t>
  </si>
  <si>
    <t xml:space="preserve">Kihara Institute for Biological Research, Yokohama City University</t>
  </si>
  <si>
    <t xml:space="preserve">Pisum sativum L.</t>
  </si>
  <si>
    <t xml:space="preserve">Kleinwanzlebener Saatzucht AG</t>
  </si>
  <si>
    <t xml:space="preserve">Pisum sativum subsp. abyssinicum</t>
  </si>
  <si>
    <t xml:space="preserve">Krasnyy Kut breeding station</t>
  </si>
  <si>
    <t xml:space="preserve">Pisum sativum subsp. elatius</t>
  </si>
  <si>
    <t xml:space="preserve">Kumho Life &amp; Environmental Science Laboratory (KLESL)</t>
  </si>
  <si>
    <t xml:space="preserve">Pisum sativum subsp. sativum</t>
  </si>
  <si>
    <t xml:space="preserve">KWS France</t>
  </si>
  <si>
    <t xml:space="preserve">Pisum sativum var. arvense</t>
  </si>
  <si>
    <t xml:space="preserve">KWS UK Ltd</t>
  </si>
  <si>
    <t xml:space="preserve">Pisum sativum var. choresmicum</t>
  </si>
  <si>
    <t xml:space="preserve">La. Agr. Exp. Sta.</t>
  </si>
  <si>
    <t xml:space="preserve">Pisum sativum var. pumilio</t>
  </si>
  <si>
    <t xml:space="preserve">Lab. Biol. Developpement des Plantes</t>
  </si>
  <si>
    <t xml:space="preserve">Pisum sativum var. tibetanicum</t>
  </si>
  <si>
    <t xml:space="preserve">Lab. Biotech. et Amelior. Plantes - Pole de Biotechnologie Vegetale</t>
  </si>
  <si>
    <t xml:space="preserve">Poncirus polyandra S. Q. Ding et al.</t>
  </si>
  <si>
    <t xml:space="preserve">Lab de Biochimie</t>
  </si>
  <si>
    <t xml:space="preserve">Poncirus Raf.</t>
  </si>
  <si>
    <t xml:space="preserve">Lab of Biotechnology</t>
  </si>
  <si>
    <t xml:space="preserve">Poncirus trifoliata (L.) Raf.</t>
  </si>
  <si>
    <t xml:space="preserve">Lab of Molecular Biology</t>
  </si>
  <si>
    <t xml:space="preserve">Populus alba</t>
  </si>
  <si>
    <t xml:space="preserve">Lab. of Plant Development Physiology and  Molecular Biology</t>
  </si>
  <si>
    <t xml:space="preserve">Populus alba x populus tremula var. glandulosa</t>
  </si>
  <si>
    <t xml:space="preserve">Lab of Plant Molecular Physiology</t>
  </si>
  <si>
    <t xml:space="preserve">Populus deltoides</t>
  </si>
  <si>
    <t xml:space="preserve">Laboratoire BAP</t>
  </si>
  <si>
    <t xml:space="preserve">Populus deltoides x Populus nigra</t>
  </si>
  <si>
    <t xml:space="preserve">Laboratoire de Biologie du Developpement des Plantes</t>
  </si>
  <si>
    <t xml:space="preserve">Populus deltoides x populus trichocarpa</t>
  </si>
  <si>
    <t xml:space="preserve">Laboratoire de Biologie du developpement des plantes</t>
  </si>
  <si>
    <t xml:space="preserve">Populus euphratica</t>
  </si>
  <si>
    <t xml:space="preserve">Laboratoire de Biologie Moleculaire</t>
  </si>
  <si>
    <t xml:space="preserve">Populus fremontii</t>
  </si>
  <si>
    <t xml:space="preserve">Laboratoire de Biotechnologie et Amelioration des Plantes</t>
  </si>
  <si>
    <t xml:space="preserve">Populus fremontii x populus angustifolia</t>
  </si>
  <si>
    <t xml:space="preserve">Laboratoire de Biotechnologie et d'amélioration des plantes</t>
  </si>
  <si>
    <t xml:space="preserve">Populus nigra</t>
  </si>
  <si>
    <t xml:space="preserve">Laboratoire de Génétique et Amélioration des Plantes, INRA-Lille</t>
  </si>
  <si>
    <t xml:space="preserve">Populus tomentiglandulosa</t>
  </si>
  <si>
    <t xml:space="preserve">Laboratoire de Genetique Moleculaire</t>
  </si>
  <si>
    <t xml:space="preserve">Populus tremula</t>
  </si>
  <si>
    <t xml:space="preserve">Laboratoire de Genomique et Bioinformatique</t>
  </si>
  <si>
    <t xml:space="preserve">Populus tremula x populus alba</t>
  </si>
  <si>
    <t xml:space="preserve">Laboratoire de Génomique et Bioinformatique</t>
  </si>
  <si>
    <t xml:space="preserve">Populus tremula x populus tremuloides</t>
  </si>
  <si>
    <t xml:space="preserve">Laboratoire de Mondonville</t>
  </si>
  <si>
    <t xml:space="preserve">Populus tremuloides</t>
  </si>
  <si>
    <t xml:space="preserve">Laboratoire de Nutrition Azotee des Plantes</t>
  </si>
  <si>
    <t xml:space="preserve">Populus trichocarpa</t>
  </si>
  <si>
    <t xml:space="preserve">Laboratoire de Pathologie Vegetale</t>
  </si>
  <si>
    <t xml:space="preserve">Populus trichocarpa x populus deltoides</t>
  </si>
  <si>
    <t xml:space="preserve">Laboratoire de Physiologie et Biologie MoleculairesVegetales,  URA CNRS 565</t>
  </si>
  <si>
    <t xml:space="preserve">Populus trichocarpa x Populus nigra</t>
  </si>
  <si>
    <t xml:space="preserve">Laboratoire de Phytoparasitologie</t>
  </si>
  <si>
    <t xml:space="preserve">Populus x canadensis</t>
  </si>
  <si>
    <t xml:space="preserve">Laboratoire de Phytopathologie Moleculaire ; SainsburyLaboratory</t>
  </si>
  <si>
    <t xml:space="preserve">Prunus armeniaca L.</t>
  </si>
  <si>
    <t xml:space="preserve">Laboratoire de Phytopathologie Moleculaire (LPPM)</t>
  </si>
  <si>
    <t xml:space="preserve">Prunus avium L.</t>
  </si>
  <si>
    <t xml:space="preserve">Laboratoire d'Organogenese Moleculaire Vegetale</t>
  </si>
  <si>
    <t xml:space="preserve">Prunus cerasus L.</t>
  </si>
  <si>
    <t xml:space="preserve">Laboratoire genome et developpement des plantes LGDP</t>
  </si>
  <si>
    <t xml:space="preserve">Prunus domestica L.</t>
  </si>
  <si>
    <t xml:space="preserve">Laboratoire Ginome et Diveloppement des Plantes</t>
  </si>
  <si>
    <t xml:space="preserve">Prunus dulcis (P. Mill.) D.A. Webber</t>
  </si>
  <si>
    <t xml:space="preserve">Laboratorio di Genetica Molecolare</t>
  </si>
  <si>
    <t xml:space="preserve">Prunus insititia L.</t>
  </si>
  <si>
    <t xml:space="preserve">Laboratory for Genomics and  Bioinformatics</t>
  </si>
  <si>
    <t xml:space="preserve">Prunus L.</t>
  </si>
  <si>
    <t xml:space="preserve">Laboratory of Biochemistry,  Department of Molecular Geneticsand</t>
  </si>
  <si>
    <t xml:space="preserve">Prunus semperflorens Ehrh.</t>
  </si>
  <si>
    <t xml:space="preserve">Laboratory of Functional Genetics</t>
  </si>
  <si>
    <t xml:space="preserve">Prunus x gondouinii (Poit. &amp; Turpin.) Schneid.</t>
  </si>
  <si>
    <t xml:space="preserve">Laboratory of Molecular Biology</t>
  </si>
  <si>
    <t xml:space="preserve">Pterocissus mirabilis Urb. &amp; Ekman</t>
  </si>
  <si>
    <t xml:space="preserve">Laboratory of Plant Biotechnology</t>
  </si>
  <si>
    <t xml:space="preserve">Pterocissus Urb. &amp; Ekman</t>
  </si>
  <si>
    <t xml:space="preserve">Laboratory of Plant Molecular Biology</t>
  </si>
  <si>
    <t xml:space="preserve">Pyrus L.</t>
  </si>
  <si>
    <t xml:space="preserve">Laboratory of Plant Molecular Breeding</t>
  </si>
  <si>
    <t xml:space="preserve">Quercus petraea</t>
  </si>
  <si>
    <t xml:space="preserve">Laboratory of Tropical Crop Improvement, Katholieke Universiteit Leuven</t>
  </si>
  <si>
    <t xml:space="preserve">Quercus robur</t>
  </si>
  <si>
    <t xml:space="preserve">Lacombe Research Centre Agriculture and Agri-Food Canada</t>
  </si>
  <si>
    <t xml:space="preserve">Rhopalosiphum padi</t>
  </si>
  <si>
    <t xml:space="preserve">Lafite, Ferme des Anglais</t>
  </si>
  <si>
    <t xml:space="preserve">Rosa chinensis</t>
  </si>
  <si>
    <t xml:space="preserve">Landbrugets Kornforaedling Sejet</t>
  </si>
  <si>
    <t xml:space="preserve">Rosa hybrida</t>
  </si>
  <si>
    <t xml:space="preserve">Landwirtschaftliche Lehranstalten Triesdorf</t>
  </si>
  <si>
    <t xml:space="preserve">Rosa wichuraiana</t>
  </si>
  <si>
    <t xml:space="preserve">Landwirtschaftsbetrieb Neuhof Rohrau, Pflanzenzucht</t>
  </si>
  <si>
    <t xml:space="preserve">Rutaceae</t>
  </si>
  <si>
    <t xml:space="preserve">Layne David - Summerland BC - Canada</t>
  </si>
  <si>
    <t xml:space="preserve">Saccharum officinarum</t>
  </si>
  <si>
    <t xml:space="preserve">LCB</t>
  </si>
  <si>
    <t xml:space="preserve">Saccharum spontaneum</t>
  </si>
  <si>
    <t xml:space="preserve">Lehrstuhl fuer Genetik</t>
  </si>
  <si>
    <t xml:space="preserve">Sclerotinia sclerotorium</t>
  </si>
  <si>
    <t xml:space="preserve">Leshan Citrus Association</t>
  </si>
  <si>
    <t xml:space="preserve">Secale cereale</t>
  </si>
  <si>
    <t xml:space="preserve">Lethbridge Research Station, Agriculture Canada</t>
  </si>
  <si>
    <t xml:space="preserve">Severinia buxifolia (Poir.) Ten.</t>
  </si>
  <si>
    <t xml:space="preserve">Letianxi Special Produce Station</t>
  </si>
  <si>
    <t xml:space="preserve">Severinia Ten. ex Endl.</t>
  </si>
  <si>
    <t xml:space="preserve">LG Molekulargenetik</t>
  </si>
  <si>
    <t xml:space="preserve">Solanum alandiae Cardenas</t>
  </si>
  <si>
    <t xml:space="preserve">Limagrain</t>
  </si>
  <si>
    <t xml:space="preserve">Solanum albicans Ochoa</t>
  </si>
  <si>
    <t xml:space="preserve">Limagrain Europe Riom</t>
  </si>
  <si>
    <t xml:space="preserve">Solanum andreanum Baker</t>
  </si>
  <si>
    <t xml:space="preserve">Limagrain Genetics</t>
  </si>
  <si>
    <t xml:space="preserve">Solanum avilesii Hawkes &amp; Hjert.</t>
  </si>
  <si>
    <t xml:space="preserve">Limagrain Iberica</t>
  </si>
  <si>
    <t xml:space="preserve">Solanum berthaultii Hawkes</t>
  </si>
  <si>
    <t xml:space="preserve">Limagrain UK Ltd</t>
  </si>
  <si>
    <t xml:space="preserve">Solanum brachistotrichum Rydb.</t>
  </si>
  <si>
    <t xml:space="preserve">Limagrain Verneuil Holding</t>
  </si>
  <si>
    <t xml:space="preserve">Solanum brevidens Phil.</t>
  </si>
  <si>
    <t xml:space="preserve">Limagrain-Nickerson GmbH</t>
  </si>
  <si>
    <t xml:space="preserve">Solanum bulbocastanum Dunal</t>
  </si>
  <si>
    <t xml:space="preserve">Lincoln University</t>
  </si>
  <si>
    <t xml:space="preserve">Solanum cardiophyllum Lindl.</t>
  </si>
  <si>
    <t xml:space="preserve">LIPM,  CNRS/INRA</t>
  </si>
  <si>
    <t xml:space="preserve">Solanum chacoense Bitter</t>
  </si>
  <si>
    <t xml:space="preserve">Lita Annenberg Hazen Genome Sequencing Center</t>
  </si>
  <si>
    <t xml:space="preserve">Solanum cheesmaniae</t>
  </si>
  <si>
    <t xml:space="preserve">Lithuanian Institute of Agriculture</t>
  </si>
  <si>
    <t xml:space="preserve">Solanum chmielewskii</t>
  </si>
  <si>
    <t xml:space="preserve">London Horticultural Society</t>
  </si>
  <si>
    <t xml:space="preserve">Solanum comersonii Poir.</t>
  </si>
  <si>
    <t xml:space="preserve">Louisiana State University USA</t>
  </si>
  <si>
    <t xml:space="preserve">Solanum demissum Lindl.</t>
  </si>
  <si>
    <t xml:space="preserve">Luigi Samoggia</t>
  </si>
  <si>
    <t xml:space="preserve">Solanum etuberosum Lindl.</t>
  </si>
  <si>
    <t xml:space="preserve">Luk'janenko Krasnodar Agricultural Research Institute</t>
  </si>
  <si>
    <t xml:space="preserve">Solanum fendleri A. Gray</t>
  </si>
  <si>
    <t xml:space="preserve">M. Alain Marcel</t>
  </si>
  <si>
    <t xml:space="preserve">Solanum gourlayi Hawkes</t>
  </si>
  <si>
    <t xml:space="preserve">M. Anderson Fred, CA - USA</t>
  </si>
  <si>
    <t xml:space="preserve">Solanum habrochaites</t>
  </si>
  <si>
    <t xml:space="preserve">M. Ballot</t>
  </si>
  <si>
    <t xml:space="preserve">Solanum hougasii Correll</t>
  </si>
  <si>
    <t xml:space="preserve">M. Bordes, Rivesaltes Pyrénées Orientales - France</t>
  </si>
  <si>
    <t xml:space="preserve">Solanum kurtzianum Bitter &amp; Wittm.</t>
  </si>
  <si>
    <t xml:space="preserve">M. Bouchot</t>
  </si>
  <si>
    <t xml:space="preserve">Solanum L.</t>
  </si>
  <si>
    <t xml:space="preserve">M. Boyat</t>
  </si>
  <si>
    <t xml:space="preserve">Solanum lycopersicum</t>
  </si>
  <si>
    <t xml:space="preserve">M. Briot</t>
  </si>
  <si>
    <t xml:space="preserve">Solanum lycopersicum var. cerasiforme</t>
  </si>
  <si>
    <t xml:space="preserve">M. Brun</t>
  </si>
  <si>
    <t xml:space="preserve">Solanum oplocense Hawkes</t>
  </si>
  <si>
    <t xml:space="preserve">M. Canino, Spain</t>
  </si>
  <si>
    <t xml:space="preserve">Solanum pennellii</t>
  </si>
  <si>
    <t xml:space="preserve">M. Carraut</t>
  </si>
  <si>
    <t xml:space="preserve">Solanum phureja Juz. &amp; Bukasov</t>
  </si>
  <si>
    <t xml:space="preserve">M. Chazotier</t>
  </si>
  <si>
    <t xml:space="preserve">Solanum pimpinellifolium</t>
  </si>
  <si>
    <t xml:space="preserve">M. Chorozé, pépiniériste</t>
  </si>
  <si>
    <t xml:space="preserve">Solanum polyadenium Greenm.</t>
  </si>
  <si>
    <t xml:space="preserve">M. Clanet</t>
  </si>
  <si>
    <t xml:space="preserve">Solanum polytrichon Rydb.</t>
  </si>
  <si>
    <t xml:space="preserve">M. Coste, Pyrénées Orientales - France</t>
  </si>
  <si>
    <t xml:space="preserve">Solanum schenckii Bitter</t>
  </si>
  <si>
    <t xml:space="preserve">M. Cunty</t>
  </si>
  <si>
    <t xml:space="preserve">Solanum sparsipilum Juz. &amp; Bukasov</t>
  </si>
  <si>
    <t xml:space="preserve">M. Duquesne</t>
  </si>
  <si>
    <t xml:space="preserve">Solanum spegazzinii Bitter</t>
  </si>
  <si>
    <t xml:space="preserve">M. Escudier, Aramon, Gard - France</t>
  </si>
  <si>
    <t xml:space="preserve">Solanum stenotonum Juz. &amp; Bukasov</t>
  </si>
  <si>
    <t xml:space="preserve">M. Flandin, pépiniériste</t>
  </si>
  <si>
    <t xml:space="preserve">Solanum stoloniferum Schltdl. &amp; Bouché</t>
  </si>
  <si>
    <t xml:space="preserve">M. Gidouin</t>
  </si>
  <si>
    <t xml:space="preserve">Solanum sucrense Hawkes</t>
  </si>
  <si>
    <t xml:space="preserve">M. Goepfert</t>
  </si>
  <si>
    <t xml:space="preserve">Solanum tarijense Hawkes</t>
  </si>
  <si>
    <t xml:space="preserve">M. Grassely</t>
  </si>
  <si>
    <t xml:space="preserve">Solanum trifidum Correll</t>
  </si>
  <si>
    <t xml:space="preserve">M. Guillaume</t>
  </si>
  <si>
    <t xml:space="preserve">Solanum tuberosum andigenum Juz. &amp; Bukasov</t>
  </si>
  <si>
    <t xml:space="preserve">M. Jaboulay</t>
  </si>
  <si>
    <t xml:space="preserve">Solanum tuberosum L.</t>
  </si>
  <si>
    <t xml:space="preserve">M. Kupper, arboriculteur</t>
  </si>
  <si>
    <t xml:space="preserve">Solanum tuberosum tuberosum L.</t>
  </si>
  <si>
    <t xml:space="preserve">M. Laboulfié</t>
  </si>
  <si>
    <t xml:space="preserve">Solanum vernei Bitter &amp; Wittm.</t>
  </si>
  <si>
    <t xml:space="preserve">M. Lerouzic</t>
  </si>
  <si>
    <t xml:space="preserve">Sorghum bicolor</t>
  </si>
  <si>
    <t xml:space="preserve">M. Luizet, Ecully, Rhone - France</t>
  </si>
  <si>
    <t xml:space="preserve">(Tangelo x Citrus paradisi Macf.)</t>
  </si>
  <si>
    <t xml:space="preserve">M. Malauzat, rue Château Trompette</t>
  </si>
  <si>
    <t xml:space="preserve">(Tangor x Citrus temple Hort. ex Y. Tan.)</t>
  </si>
  <si>
    <t xml:space="preserve">M. Maray-Meuilley</t>
  </si>
  <si>
    <t xml:space="preserve">Tetrastigma K.Schum.</t>
  </si>
  <si>
    <t xml:space="preserve">M. Merrand, St Etienne de Valoux, Ardeche - France</t>
  </si>
  <si>
    <t xml:space="preserve">Tetrastigma lanceolarium Planch.</t>
  </si>
  <si>
    <t xml:space="preserve">M. Moll</t>
  </si>
  <si>
    <t xml:space="preserve">Tetrastigma voinearium Pierre ex Gagnep.</t>
  </si>
  <si>
    <t xml:space="preserve">M. Murat</t>
  </si>
  <si>
    <t xml:space="preserve">Theobroma cacao</t>
  </si>
  <si>
    <t xml:space="preserve">M. Pejouan, Toulouges, Pyrénées Orientales  - France</t>
  </si>
  <si>
    <t xml:space="preserve">Thinopyrum ponticum (Podp.) Barkworth &amp; D.R. Dewey</t>
  </si>
  <si>
    <t xml:space="preserve">M. Pérès</t>
  </si>
  <si>
    <t xml:space="preserve">Toxoptera citricida</t>
  </si>
  <si>
    <t xml:space="preserve">M. Pierre Renoux</t>
  </si>
  <si>
    <t xml:space="preserve">Trifolium L.</t>
  </si>
  <si>
    <t xml:space="preserve">M. Poncet</t>
  </si>
  <si>
    <t xml:space="preserve">Trifolium pratense L.</t>
  </si>
  <si>
    <t xml:space="preserve">M. Popon</t>
  </si>
  <si>
    <t xml:space="preserve">Trifolium repens L.</t>
  </si>
  <si>
    <t xml:space="preserve">M. Ribelaygue, Pyrénées Orientales - France</t>
  </si>
  <si>
    <t xml:space="preserve">Trifolium resupinatum L.</t>
  </si>
  <si>
    <t xml:space="preserve">M. Riou Pierre, Francia</t>
  </si>
  <si>
    <t xml:space="preserve">Trifolium subterraneum</t>
  </si>
  <si>
    <t xml:space="preserve">M. Rohn</t>
  </si>
  <si>
    <t xml:space="preserve">Trifolium subterraneum brachicalycinum</t>
  </si>
  <si>
    <t xml:space="preserve">M. Roth</t>
  </si>
  <si>
    <t xml:space="preserve">Trifolium subterraneum subterraneum</t>
  </si>
  <si>
    <t xml:space="preserve">M. Roudier, Larnage - France</t>
  </si>
  <si>
    <t xml:space="preserve">Trifolium subterraneum yanninicum</t>
  </si>
  <si>
    <t xml:space="preserve">M. Rouget, Sernhac - France</t>
  </si>
  <si>
    <t xml:space="preserve">Triticeae</t>
  </si>
  <si>
    <t xml:space="preserve">M. Royère à 'Le Bicout'</t>
  </si>
  <si>
    <t xml:space="preserve">Triticum</t>
  </si>
  <si>
    <t xml:space="preserve">M. Saint-Germain</t>
  </si>
  <si>
    <t xml:space="preserve">Triticum aaronshii</t>
  </si>
  <si>
    <t xml:space="preserve">M. Schmidt</t>
  </si>
  <si>
    <t xml:space="preserve">Triticum aaronshii aaronshii</t>
  </si>
  <si>
    <t xml:space="preserve">M. Sigalas Antoine, Bordes-Hautes</t>
  </si>
  <si>
    <t xml:space="preserve">Triticum abyssinicum</t>
  </si>
  <si>
    <t xml:space="preserve">M. Soupa</t>
  </si>
  <si>
    <t xml:space="preserve">Triticum aegilopoides (Link) Bal.</t>
  </si>
  <si>
    <t xml:space="preserve">M. Stentzel</t>
  </si>
  <si>
    <t xml:space="preserve">M. Thomas</t>
  </si>
  <si>
    <t xml:space="preserve">Triticum aestivum aestivum</t>
  </si>
  <si>
    <t xml:space="preserve">M. Tisseyre, St Hyppolite Pyrénées Orientales - France</t>
  </si>
  <si>
    <t xml:space="preserve">Triticum aestivum compactum</t>
  </si>
  <si>
    <t xml:space="preserve">M. Wouters - Argentine</t>
  </si>
  <si>
    <t xml:space="preserve">Triticum aestivum fongicidum</t>
  </si>
  <si>
    <t xml:space="preserve">M. Zimandl</t>
  </si>
  <si>
    <t xml:space="preserve">Triticum aestivum group aestivum Bowden</t>
  </si>
  <si>
    <t xml:space="preserve">Maillard Arsène et Laurence, Elne - France</t>
  </si>
  <si>
    <t xml:space="preserve">Triticum aestivum group macha</t>
  </si>
  <si>
    <t xml:space="preserve">Maïsadour semences</t>
  </si>
  <si>
    <t xml:space="preserve">Triticum aestivum hisbis</t>
  </si>
  <si>
    <t xml:space="preserve">Maison Fernand Le Peuple</t>
  </si>
  <si>
    <t xml:space="preserve">Triticum aestivum L.</t>
  </si>
  <si>
    <t xml:space="preserve">Maize Group of National Key Labortory of Crop GeneticImprovement</t>
  </si>
  <si>
    <t xml:space="preserve">Triticum aestivum L. em. Thell.</t>
  </si>
  <si>
    <t xml:space="preserve">Maize Research Institute 'Zemin Polje'</t>
  </si>
  <si>
    <t xml:space="preserve">Triticum aestivum L. em. Thell. group aestivum</t>
  </si>
  <si>
    <t xml:space="preserve">Malang Research Institute for Food Crops, BALITAN</t>
  </si>
  <si>
    <t xml:space="preserve">Triticum aestivum L. em. Thell. group compactum (Host) Thell.</t>
  </si>
  <si>
    <t xml:space="preserve">Maliani Genetica di Maliani Cesare</t>
  </si>
  <si>
    <t xml:space="preserve">Triticum aestivum L. em. Thell. group spelta (L.) Thell.</t>
  </si>
  <si>
    <t xml:space="preserve">MAP</t>
  </si>
  <si>
    <t xml:space="preserve">Triticum aestivum L. em. Thell. group sphaerococcum (Perc.) Mac Key</t>
  </si>
  <si>
    <t xml:space="preserve">Marc CREPIN</t>
  </si>
  <si>
    <t xml:space="preserve">Triticum aestivum L. em. Thell. group vavilovii (Jakubz.) A. Love, stat. &amp; comb. nov</t>
  </si>
  <si>
    <t xml:space="preserve">Maryland Agricultural Experiment Station, University of Maryland</t>
  </si>
  <si>
    <t xml:space="preserve">Triticum aestivum L. em. Thell. subsp. compactum (Host.) MK.</t>
  </si>
  <si>
    <t xml:space="preserve">McNair Seed Company</t>
  </si>
  <si>
    <t xml:space="preserve">Triticum aestivum L. em. Thell. subsp. spelta (L.) Thell.</t>
  </si>
  <si>
    <t xml:space="preserve">Merckling</t>
  </si>
  <si>
    <t xml:space="preserve">Triticum aestivum L. em. Thell. subsp. sphaerococcum (Perc.) MK.</t>
  </si>
  <si>
    <t xml:space="preserve">Michigan Agricultural Experiment Station, Michigan State University</t>
  </si>
  <si>
    <t xml:space="preserve">Triticum aestivum L. em. Thell. subsp. vavilovi (Tuman.) Sears</t>
  </si>
  <si>
    <t xml:space="preserve">Microbiology and  Cell Biology</t>
  </si>
  <si>
    <t xml:space="preserve">Triticum aestivum L. group macha Bowden</t>
  </si>
  <si>
    <t xml:space="preserve">Microbiology and  Plant Phisiology</t>
  </si>
  <si>
    <t xml:space="preserve">Triticum aestivum L. ssp. hadropyrum (Flaksb.) Tzvelev</t>
  </si>
  <si>
    <t xml:space="preserve">Miln Masters Group Ltd</t>
  </si>
  <si>
    <t xml:space="preserve">Triticum aestivum L. ssp. macha (Dekapr. &amp; Menabde) Mac Key</t>
  </si>
  <si>
    <t xml:space="preserve">Minnesota Agricultural Experiment Station, University of Minnesota</t>
  </si>
  <si>
    <t xml:space="preserve">Triticum aestivum macha</t>
  </si>
  <si>
    <t xml:space="preserve">Minstry of Agriculture</t>
  </si>
  <si>
    <t xml:space="preserve">Triticum aestivum oasiculum</t>
  </si>
  <si>
    <t xml:space="preserve">Missouri Agricultural Experiment Station, University of Missouri</t>
  </si>
  <si>
    <t xml:space="preserve">Triticum aestivum petropavlovskyi</t>
  </si>
  <si>
    <t xml:space="preserve">Molecular and  Developmental Genetics</t>
  </si>
  <si>
    <t xml:space="preserve">Triticum aestivum spelta</t>
  </si>
  <si>
    <t xml:space="preserve">Molecular and Cell Biology</t>
  </si>
  <si>
    <t xml:space="preserve">Triticum aestivum sphaerococcum</t>
  </si>
  <si>
    <t xml:space="preserve">Molecular Biology</t>
  </si>
  <si>
    <t xml:space="preserve">Triticum aestivum ssp. aestivum</t>
  </si>
  <si>
    <t xml:space="preserve">Molecular Genetics</t>
  </si>
  <si>
    <t xml:space="preserve">Triticum aestivum ssp. hadropyrum</t>
  </si>
  <si>
    <t xml:space="preserve">Molecular Host plant resistance lab-Dr. C. Mike Smith</t>
  </si>
  <si>
    <t xml:space="preserve">Triticum aestivum var. compactum</t>
  </si>
  <si>
    <t xml:space="preserve">Molecular Plant Genetics</t>
  </si>
  <si>
    <t xml:space="preserve">Triticum aestivum var. compactum Bowden</t>
  </si>
  <si>
    <t xml:space="preserve">Triticum aestivum var. spelta</t>
  </si>
  <si>
    <t xml:space="preserve">Mons</t>
  </si>
  <si>
    <t xml:space="preserve">Triticum aestivum var. spelta Bowden</t>
  </si>
  <si>
    <t xml:space="preserve">Monsanto Company</t>
  </si>
  <si>
    <t xml:space="preserve">Triticum aestivum var. sphaerococcum</t>
  </si>
  <si>
    <t xml:space="preserve">Monsanto (Nîmes)</t>
  </si>
  <si>
    <t xml:space="preserve">Triticum aestivum var. sphaerococcum Bowden</t>
  </si>
  <si>
    <t xml:space="preserve">Monsanto semences</t>
  </si>
  <si>
    <t xml:space="preserve">Triticum aestivum var. vavilovii Bowden</t>
  </si>
  <si>
    <t xml:space="preserve">Monsanto (St Andiol)</t>
  </si>
  <si>
    <t xml:space="preserve">Triticum aestivum vavilovi</t>
  </si>
  <si>
    <t xml:space="preserve">Montana Agricultural Experiment Station, Montana State University</t>
  </si>
  <si>
    <t xml:space="preserve">Triticum amyleum</t>
  </si>
  <si>
    <t xml:space="preserve">Montanari Domenico, Faenza - Italy</t>
  </si>
  <si>
    <t xml:space="preserve">Triticum araraticum</t>
  </si>
  <si>
    <t xml:space="preserve">Monteux Caillet René, Mouries - France</t>
  </si>
  <si>
    <t xml:space="preserve">Triticum araraticum Jakubz.</t>
  </si>
  <si>
    <t xml:space="preserve">Montpellier SupAgro</t>
  </si>
  <si>
    <t xml:space="preserve">Triticum armeniacum (Jakubz.) A. Loeve &amp; D. Loeve</t>
  </si>
  <si>
    <t xml:space="preserve">Morphogenesis Research Group</t>
  </si>
  <si>
    <t xml:space="preserve">Triticum asiaticum Kudr.</t>
  </si>
  <si>
    <t xml:space="preserve">Morstar a.s., Breeding Station</t>
  </si>
  <si>
    <t xml:space="preserve">Triticum baeoticum</t>
  </si>
  <si>
    <t xml:space="preserve">Mr. Mazéas</t>
  </si>
  <si>
    <t xml:space="preserve">Triticum boeoticum ssp. boeoticum</t>
  </si>
  <si>
    <t xml:space="preserve">MSU-DOE Plant Research Laboratory</t>
  </si>
  <si>
    <t xml:space="preserve">Triticum boeoticum ssp. thaoudar</t>
  </si>
  <si>
    <t xml:space="preserve">MUCL Culture Collection</t>
  </si>
  <si>
    <t xml:space="preserve">Triticum cereale Schrank</t>
  </si>
  <si>
    <t xml:space="preserve">Murdoch University</t>
  </si>
  <si>
    <t xml:space="preserve">Triticum columnare</t>
  </si>
  <si>
    <t xml:space="preserve">Muséum d'histoire naturelle de Grenoble</t>
  </si>
  <si>
    <t xml:space="preserve">Triticum comosum</t>
  </si>
  <si>
    <t xml:space="preserve">Museum National d'Histoire Naturelle de Paris</t>
  </si>
  <si>
    <t xml:space="preserve">Triticum compositum</t>
  </si>
  <si>
    <t xml:space="preserve">Mutation breeding</t>
  </si>
  <si>
    <t xml:space="preserve">Triticum compositum L.</t>
  </si>
  <si>
    <t xml:space="preserve">NARO Hokkaido Agricultural Research Center</t>
  </si>
  <si>
    <t xml:space="preserve">Triticum crassum</t>
  </si>
  <si>
    <t xml:space="preserve">NARO Tohoku Agricultural Research Center</t>
  </si>
  <si>
    <t xml:space="preserve">Triticum cylindricum</t>
  </si>
  <si>
    <t xml:space="preserve">NASC</t>
  </si>
  <si>
    <t xml:space="preserve">Triticum dichasians</t>
  </si>
  <si>
    <t xml:space="preserve">National Biological Institute</t>
  </si>
  <si>
    <t xml:space="preserve">Triticum dicoccoides (Korn. ex Aschers. &amp; Graebn.) Aarons</t>
  </si>
  <si>
    <t xml:space="preserve">National Bureau of Plant Genetic Resources</t>
  </si>
  <si>
    <t xml:space="preserve">Triticum dicoccoides (Korn. ex Aschers. et Graebn.) Schweinf.</t>
  </si>
  <si>
    <t xml:space="preserve">National Center for Agricultural research and Technology Transfer</t>
  </si>
  <si>
    <t xml:space="preserve">Triticum dicoccoides Korn. ex Schweinf.</t>
  </si>
  <si>
    <t xml:space="preserve">National Center for Gene Research</t>
  </si>
  <si>
    <t xml:space="preserve">Triticum dicoccoides Korn. in litt. in Schweinf.</t>
  </si>
  <si>
    <t xml:space="preserve">National Citrus Research Programme</t>
  </si>
  <si>
    <t xml:space="preserve">Triticum dicoccoides race orientale Percival</t>
  </si>
  <si>
    <t xml:space="preserve">National Clonal Germplasm Repository - Orlando, USDA-ARS</t>
  </si>
  <si>
    <t xml:space="preserve">Triticum dicoccoides var. nudiglumis</t>
  </si>
  <si>
    <t xml:space="preserve">National Crop Experiment Station Seodundong</t>
  </si>
  <si>
    <t xml:space="preserve">Triticum dicoccoides var. nudiglumis Nabalek</t>
  </si>
  <si>
    <t xml:space="preserve">National Genebank of Kenya, Crop Plant Genetic Resources Centre - Muguga</t>
  </si>
  <si>
    <t xml:space="preserve">Triticum dicoccoides var. pyramidale Percival</t>
  </si>
  <si>
    <t xml:space="preserve">National Horticultural Research Institute</t>
  </si>
  <si>
    <t xml:space="preserve">Triticum dicoccoides var. timopheevii Zhuk.</t>
  </si>
  <si>
    <t xml:space="preserve">National Institute of Agrobiological Resources</t>
  </si>
  <si>
    <t xml:space="preserve">Triticum dicoccon</t>
  </si>
  <si>
    <t xml:space="preserve">National Institute of Agrobiological Sciences</t>
  </si>
  <si>
    <t xml:space="preserve">Triticum dicoccon Schrank</t>
  </si>
  <si>
    <t xml:space="preserve">National Institute of Agro-Environmental Sciences</t>
  </si>
  <si>
    <t xml:space="preserve">Triticum dicoccon (Schrank) A. Love, comb. nov.</t>
  </si>
  <si>
    <t xml:space="preserve">National Institute of Fruit Tree Science</t>
  </si>
  <si>
    <t xml:space="preserve">Triticum dicoccum Schrank</t>
  </si>
  <si>
    <t xml:space="preserve">National Key Laboratory of Crop Genetic Improvement</t>
  </si>
  <si>
    <t xml:space="preserve">Triticum dimococcum</t>
  </si>
  <si>
    <t xml:space="preserve">National Plant Breeding Research Station</t>
  </si>
  <si>
    <t xml:space="preserve">Triticum durum (Desf.) A. Love, comb. nov.</t>
  </si>
  <si>
    <t xml:space="preserve">National Plant Genetic Resources Centre</t>
  </si>
  <si>
    <t xml:space="preserve">Triticum farrum Bayle-Bar.</t>
  </si>
  <si>
    <t xml:space="preserve">National Plant Germplasm Quarantine Laboratory, USDA-ARS</t>
  </si>
  <si>
    <t xml:space="preserve">Triticum fungicidum</t>
  </si>
  <si>
    <t xml:space="preserve">National Research Centre for Citrus</t>
  </si>
  <si>
    <t xml:space="preserve">Triticum fungicidum subsp. nigrum</t>
  </si>
  <si>
    <t xml:space="preserve">National Research Centre on Plant Biotechnology</t>
  </si>
  <si>
    <t xml:space="preserve">Triticum georgicum</t>
  </si>
  <si>
    <t xml:space="preserve">National White Clover Impr. Prog. Agricultural Research &amp; Adv. Stat.</t>
  </si>
  <si>
    <t xml:space="preserve">Triticum hybernum L.</t>
  </si>
  <si>
    <t xml:space="preserve">Natural Resource Sciences and Landscape Architecture</t>
  </si>
  <si>
    <t xml:space="preserve">Triticum ibericum Menabde</t>
  </si>
  <si>
    <t xml:space="preserve">Nebraska Agricultural Experiment Station, University of Nebraska</t>
  </si>
  <si>
    <t xml:space="preserve">Triticum jakubzineri</t>
  </si>
  <si>
    <t xml:space="preserve">NEIKER-Tecnalia</t>
  </si>
  <si>
    <t xml:space="preserve">Triticum junceum L.</t>
  </si>
  <si>
    <t xml:space="preserve">New Mexico State University USA</t>
  </si>
  <si>
    <t xml:space="preserve">Triticum juvenale</t>
  </si>
  <si>
    <t xml:space="preserve">New South Wales Agriculture</t>
  </si>
  <si>
    <t xml:space="preserve">Triticum juvenale Thell.</t>
  </si>
  <si>
    <t xml:space="preserve">New York State Agricultural Experiment Station, Cornell University</t>
  </si>
  <si>
    <t xml:space="preserve">Triticum karamyschevii Nevski</t>
  </si>
  <si>
    <t xml:space="preserve">New Zealand Institute for Crop and Food Research, Ltd.</t>
  </si>
  <si>
    <t xml:space="preserve">Triticum kiharae</t>
  </si>
  <si>
    <t xml:space="preserve">Newhall Land and Water Compagny</t>
  </si>
  <si>
    <t xml:space="preserve">Triticum kotschyi</t>
  </si>
  <si>
    <t xml:space="preserve">N.I. Vavilov All-Russian Scientific Research Institute of Plant Industry</t>
  </si>
  <si>
    <t xml:space="preserve">Triticum L.</t>
  </si>
  <si>
    <t xml:space="preserve">N.I. Vavilov Research Instituteof Plant Industry</t>
  </si>
  <si>
    <t xml:space="preserve">Triticum macrochaetum</t>
  </si>
  <si>
    <t xml:space="preserve">Nickerson</t>
  </si>
  <si>
    <t xml:space="preserve">Triticum monococcum</t>
  </si>
  <si>
    <t xml:space="preserve">Nimblegen Systems Inc</t>
  </si>
  <si>
    <t xml:space="preserve">Triticum monococcum boeoticum</t>
  </si>
  <si>
    <t xml:space="preserve">nite de Genetique et d'Amelioration des Fruits et Legumes</t>
  </si>
  <si>
    <t xml:space="preserve">Triticum monococcum L. subsp. boeoticum (Boiss.) MK.</t>
  </si>
  <si>
    <t xml:space="preserve">Njala University College</t>
  </si>
  <si>
    <t xml:space="preserve">Triticum monococcum monococcum</t>
  </si>
  <si>
    <t xml:space="preserve">Noiton Dominique, Hamilton - New Zealand</t>
  </si>
  <si>
    <t xml:space="preserve">Triticum monococcum ssp. boeoticum</t>
  </si>
  <si>
    <t xml:space="preserve">Nordic Genetic Resource Center</t>
  </si>
  <si>
    <t xml:space="preserve">Triticum monococcum urartu</t>
  </si>
  <si>
    <t xml:space="preserve">Nordostbayerischer Saatbauverband</t>
  </si>
  <si>
    <t xml:space="preserve">Triticum muticum</t>
  </si>
  <si>
    <t xml:space="preserve">North American Plant Breeders, Inc.</t>
  </si>
  <si>
    <t xml:space="preserve">Triticum neglectum</t>
  </si>
  <si>
    <t xml:space="preserve">North Carolina Agricultural Experiment Station, North Carolina State University</t>
  </si>
  <si>
    <t xml:space="preserve">Triticum orientale</t>
  </si>
  <si>
    <t xml:space="preserve">North Dakota Agricultural Experiment Station, North Dakota State University</t>
  </si>
  <si>
    <t xml:space="preserve">Triticum orientale Percival</t>
  </si>
  <si>
    <t xml:space="preserve">Northrup King &amp; Co.</t>
  </si>
  <si>
    <t xml:space="preserve">Triticum ovatum</t>
  </si>
  <si>
    <t xml:space="preserve">Northwest A&amp;F University</t>
  </si>
  <si>
    <t xml:space="preserve">Triticum palaeocolchicum Menabde</t>
  </si>
  <si>
    <t xml:space="preserve">Norwegian University for Life Sciences</t>
  </si>
  <si>
    <t xml:space="preserve">Triticum peregrinum</t>
  </si>
  <si>
    <t xml:space="preserve">Novodonskaya - Donetsk State Agricultural Experiment Station</t>
  </si>
  <si>
    <t xml:space="preserve">Triticum peregrinum Hackel</t>
  </si>
  <si>
    <t xml:space="preserve">Nunhems Spain (El Ejido)</t>
  </si>
  <si>
    <t xml:space="preserve">Triticum persicum</t>
  </si>
  <si>
    <t xml:space="preserve">Nunhems Spain (La Palma)</t>
  </si>
  <si>
    <t xml:space="preserve">Triticum persicum (Percival) Vavilov ex Zhukovsky</t>
  </si>
  <si>
    <t xml:space="preserve">Nutrition azote des plantes</t>
  </si>
  <si>
    <t xml:space="preserve">Triticum persicum Vav.</t>
  </si>
  <si>
    <t xml:space="preserve">N.V. Clovis Matton Plant Breeding Station, Kerkhove</t>
  </si>
  <si>
    <t xml:space="preserve">Triticum pyramidale Perc.</t>
  </si>
  <si>
    <t xml:space="preserve">N.V. Clovis Matton Plant Breeding Station, Tiegem</t>
  </si>
  <si>
    <t xml:space="preserve">Triticum rectum</t>
  </si>
  <si>
    <t xml:space="preserve">Occitane des Semences</t>
  </si>
  <si>
    <t xml:space="preserve">Triticum repens L.</t>
  </si>
  <si>
    <t xml:space="preserve">Odesa State Regional Agricultural Experimental Station</t>
  </si>
  <si>
    <t xml:space="preserve">Triticum sativum Lam.</t>
  </si>
  <si>
    <t xml:space="preserve">Ohio Agricultural Reasearch and Development Center, Ohio State University</t>
  </si>
  <si>
    <t xml:space="preserve">Triticum searsii</t>
  </si>
  <si>
    <t xml:space="preserve">Oklahoma Agricultural Experiment Station, Division of Agricultural Sciences &amp; Natural Resources</t>
  </si>
  <si>
    <t xml:space="preserve">Triticum secale Link</t>
  </si>
  <si>
    <t xml:space="preserve">Ontario Agricultural College, University of Guelph</t>
  </si>
  <si>
    <t xml:space="preserve">Triticum spelta</t>
  </si>
  <si>
    <t xml:space="preserve">Oregon Agricultural Experimental Sation, Oregon State University</t>
  </si>
  <si>
    <t xml:space="preserve">Triticum speltiforme</t>
  </si>
  <si>
    <t xml:space="preserve">Organisation Bretonne de Sélection</t>
  </si>
  <si>
    <t xml:space="preserve">Triticum speltoides</t>
  </si>
  <si>
    <t xml:space="preserve">Orsem S.A.</t>
  </si>
  <si>
    <t xml:space="preserve">Triticum speltoides (Tausch) Gre. ex Richter var. aucheri</t>
  </si>
  <si>
    <t xml:space="preserve">Osmab Tosum Gene Bank - Ankara University</t>
  </si>
  <si>
    <t xml:space="preserve">Triticum speltoides (Tausch) Gre. ex Richter var. ligustica</t>
  </si>
  <si>
    <t xml:space="preserve">Pajbjergfonden</t>
  </si>
  <si>
    <t xml:space="preserve">Triticum speltoides (Tausch) Gren. ex Richter var. aucheri</t>
  </si>
  <si>
    <t xml:space="preserve">Palais Carnolés</t>
  </si>
  <si>
    <t xml:space="preserve">Triticum speltoides (Tausch) Gren. ex Richter var. ligustica</t>
  </si>
  <si>
    <t xml:space="preserve">Parc Naturel Régional du Haut-Languedoc</t>
  </si>
  <si>
    <t xml:space="preserve">Triticum sphaerococcum Perc.</t>
  </si>
  <si>
    <t xml:space="preserve">Parc Naturel Régional du Luberon</t>
  </si>
  <si>
    <t xml:space="preserve">Triticum syriacum</t>
  </si>
  <si>
    <t xml:space="preserve">Parc Naturel Régional du Queyras</t>
  </si>
  <si>
    <t xml:space="preserve">Triticum syriacum Bowden</t>
  </si>
  <si>
    <t xml:space="preserve">PARTNERCHIP</t>
  </si>
  <si>
    <t xml:space="preserve">Triticum tauschii</t>
  </si>
  <si>
    <t xml:space="preserve">Peltier Graines (don't exist anymore)</t>
  </si>
  <si>
    <t xml:space="preserve">Triticum thaoudar</t>
  </si>
  <si>
    <t xml:space="preserve">Pennsylvania Agricultural Experiment Station, Pennsylvania State University</t>
  </si>
  <si>
    <t xml:space="preserve">Triticum timococcum</t>
  </si>
  <si>
    <t xml:space="preserve">Pépinière A. Pays</t>
  </si>
  <si>
    <t xml:space="preserve">Triticum timonovum</t>
  </si>
  <si>
    <t xml:space="preserve">Pépinière Burlat</t>
  </si>
  <si>
    <t xml:space="preserve">Triticum timopheevii</t>
  </si>
  <si>
    <t xml:space="preserve">Pépinière Cadoux</t>
  </si>
  <si>
    <t xml:space="preserve">Triticum timopheevii araraticum</t>
  </si>
  <si>
    <t xml:space="preserve">Pépinière Delbard</t>
  </si>
  <si>
    <t xml:space="preserve">Triticum timopheevii armeniacum</t>
  </si>
  <si>
    <t xml:space="preserve">Pépinière Dieudonné</t>
  </si>
  <si>
    <t xml:space="preserve">Triticum timopheevii L. var. zhukovskyi</t>
  </si>
  <si>
    <t xml:space="preserve">Pépinière Domingo Orero</t>
  </si>
  <si>
    <t xml:space="preserve">Triticum timopheevii ssp. araraticum</t>
  </si>
  <si>
    <t xml:space="preserve">Triticum timopheevii ssp. armeniacum</t>
  </si>
  <si>
    <t xml:space="preserve">Pépinière ESAT LEnvol</t>
  </si>
  <si>
    <t xml:space="preserve">Triticum timopheevii ssp. armeniacum (Jakubz.) van Slageren</t>
  </si>
  <si>
    <t xml:space="preserve">Pépinière Escande Benoit, Saint Vite - France</t>
  </si>
  <si>
    <t xml:space="preserve">Triticum timopheevii ssp. timopheevii</t>
  </si>
  <si>
    <t xml:space="preserve">Pépinière Fabre, Villeneuve s/Lot - France</t>
  </si>
  <si>
    <t xml:space="preserve">Triticum timopheevii timopheevii</t>
  </si>
  <si>
    <t xml:space="preserve">Pépinière Jouve-Racamond</t>
  </si>
  <si>
    <t xml:space="preserve">Triticum timopheevii var. zhukovskyi</t>
  </si>
  <si>
    <t xml:space="preserve">Pépinière Lambertin</t>
  </si>
  <si>
    <t xml:space="preserve">Triticum timopheevii Zhuk.</t>
  </si>
  <si>
    <t xml:space="preserve">Pépinière Lambertin - Nîmes - France</t>
  </si>
  <si>
    <t xml:space="preserve">Triticum timopheevii (Zhuk.) Zhuk.</t>
  </si>
  <si>
    <t xml:space="preserve">Pépinière Leroy</t>
  </si>
  <si>
    <t xml:space="preserve">Triticum timopheevii (Zhuk.) Zhuk. var. timopheevii</t>
  </si>
  <si>
    <t xml:space="preserve">Pépinière Martre</t>
  </si>
  <si>
    <t xml:space="preserve">Triticum timopheevii (Zhuk.) Zhuk. var. zhukovskii (Men. &amp; Er.) Morris &amp; Sears</t>
  </si>
  <si>
    <t xml:space="preserve">Pépinière Moreau</t>
  </si>
  <si>
    <t xml:space="preserve">Triticum timopheevii (Zhuk.) Zhuk. var. zhukovskii (Men. &amp; Er.) Morris &amp; Sears comb. nov.</t>
  </si>
  <si>
    <t xml:space="preserve">Pépinière Pinguet-Guindon</t>
  </si>
  <si>
    <t xml:space="preserve">Triticum timopheevii zhukovskyi</t>
  </si>
  <si>
    <t xml:space="preserve">Pépinière Taliani,  Garons - France</t>
  </si>
  <si>
    <t xml:space="preserve">Triticum triaristatum</t>
  </si>
  <si>
    <t xml:space="preserve">Pépinière Thuilleaux</t>
  </si>
  <si>
    <t xml:space="preserve">Triticum tripsacoides</t>
  </si>
  <si>
    <t xml:space="preserve">Pépinière Valla Georges SCEA, Valence - France</t>
  </si>
  <si>
    <t xml:space="preserve">Triticum turgidum</t>
  </si>
  <si>
    <t xml:space="preserve">Pépinière Veauvy</t>
  </si>
  <si>
    <t xml:space="preserve">Triticum turgidum aethiopicum</t>
  </si>
  <si>
    <t xml:space="preserve">Pépinières Bachelet-Charvot</t>
  </si>
  <si>
    <t xml:space="preserve">Triticum turgidum carthlicum</t>
  </si>
  <si>
    <t xml:space="preserve">Pépinières Baltet</t>
  </si>
  <si>
    <t xml:space="preserve">Triticum turgidum dicoccoïdes</t>
  </si>
  <si>
    <t xml:space="preserve">Pépinières Croux</t>
  </si>
  <si>
    <t xml:space="preserve">Triticum turgidum dicoccum</t>
  </si>
  <si>
    <t xml:space="preserve">Pépinières de La Tronche</t>
  </si>
  <si>
    <t xml:space="preserve">Triticum turgidum durum</t>
  </si>
  <si>
    <t xml:space="preserve">Pépinières Fabre</t>
  </si>
  <si>
    <t xml:space="preserve">Triticum turgidum group aethiopicum</t>
  </si>
  <si>
    <t xml:space="preserve">Pépinières Garbaye et Gravier</t>
  </si>
  <si>
    <t xml:space="preserve">Triticum turgidum group palaeocolchicum</t>
  </si>
  <si>
    <t xml:space="preserve">Pépinières L. Pin</t>
  </si>
  <si>
    <t xml:space="preserve">Triticum turgidum group turgidum</t>
  </si>
  <si>
    <t xml:space="preserve">Pépinières Lafitte</t>
  </si>
  <si>
    <t xml:space="preserve">Triticum turgidum ispahanicum</t>
  </si>
  <si>
    <t xml:space="preserve">Pépinières Levavasseur</t>
  </si>
  <si>
    <t xml:space="preserve">Triticum turgidum L. em. Bowden var. timopheevii (Zhuk.) Bowden f. timopheevii Bowden</t>
  </si>
  <si>
    <t xml:space="preserve">Pépinières Nomblot</t>
  </si>
  <si>
    <t xml:space="preserve">Triticum turgidum L. em. Bowden var. timopheevii (Zhuk.) Bowden f. zhukovskyi (Mem. &amp; Er.) Bowden</t>
  </si>
  <si>
    <t xml:space="preserve">Triticum turgidum L. em. Bowden var. tumanianii (Jakubz.) Bowden</t>
  </si>
  <si>
    <t xml:space="preserve">Pépinières Rolland Crosse</t>
  </si>
  <si>
    <t xml:space="preserve">Triticum turgidum L. em. Thell.</t>
  </si>
  <si>
    <t xml:space="preserve">Pépinières Simon</t>
  </si>
  <si>
    <t xml:space="preserve">Triticum turgidum L. group aethiopicum Bowden</t>
  </si>
  <si>
    <t xml:space="preserve">Petal Genomics</t>
  </si>
  <si>
    <t xml:space="preserve">Triticum turgidum L. group dicoccon (Schrank) Thell.</t>
  </si>
  <si>
    <t xml:space="preserve">Peter Henderson &amp; Co</t>
  </si>
  <si>
    <t xml:space="preserve">Triticum turgidum L. group durum (Desf.) Husnot</t>
  </si>
  <si>
    <t xml:space="preserve">Petoseed</t>
  </si>
  <si>
    <t xml:space="preserve">Triticum turgidum L. group palaeocolchicum Bowden</t>
  </si>
  <si>
    <t xml:space="preserve">Pflanzenzucht Dr. h.c. Carsten Inh. Erhardt Eger KG</t>
  </si>
  <si>
    <t xml:space="preserve">Triticum turgidum L. group polonicum Bowden</t>
  </si>
  <si>
    <t xml:space="preserve">Phu Guy Fruit Research Centre</t>
  </si>
  <si>
    <t xml:space="preserve">Triticum turgidum L. group turgidum Bowden</t>
  </si>
  <si>
    <t xml:space="preserve">Phu Ho Fruit Crops Research Centre</t>
  </si>
  <si>
    <t xml:space="preserve">Triticum turgidum L. (Nevski) group carthlicum Bowden</t>
  </si>
  <si>
    <t xml:space="preserve">Phytopathologie und Pflanzenschutz</t>
  </si>
  <si>
    <t xml:space="preserve">Triticum turgidum L. ssp. dicoccoides (Korn. ex Schweinf.) A. Love, comb. nov.</t>
  </si>
  <si>
    <t xml:space="preserve">Piast Hodowla Roslin Lagiewniki Sp. z o.o.</t>
  </si>
  <si>
    <t xml:space="preserve">Triticum turgidum L. ssp. dicoccoides (Korn.) Thell.</t>
  </si>
  <si>
    <t xml:space="preserve">Pioneer génétique</t>
  </si>
  <si>
    <t xml:space="preserve">Triticum turgidum L. ssp. palaeocolchicum (A. Love &amp; D. Love) A. Love, comb. nov.</t>
  </si>
  <si>
    <t xml:space="preserve">Pioneer Seed Co. Ltd.</t>
  </si>
  <si>
    <t xml:space="preserve">Triticum turgidum L. ssp. timopheevii (Zhuk.) A. Love &amp; D. Love</t>
  </si>
  <si>
    <t xml:space="preserve">Plant Biochemistry and  Molecular Biology Group,  Division ofBiochemical Sciences</t>
  </si>
  <si>
    <t xml:space="preserve">Triticum turgidum L. ssp. turanicum (Jakubz.) A. Love &amp; D. Love</t>
  </si>
  <si>
    <t xml:space="preserve">Plant Biology Division</t>
  </si>
  <si>
    <t xml:space="preserve">Triticum turgidum L. ssp. turanicum (Jakubz.) A. Love, comb. nov.</t>
  </si>
  <si>
    <t xml:space="preserve">Plant Biotech Research Center</t>
  </si>
  <si>
    <t xml:space="preserve">Triticum turgidum L. ssp. turgidum (L.) A. Love, comb. nov.</t>
  </si>
  <si>
    <t xml:space="preserve">Plant Biotechnology Institute,  National Research Council ofCanada</t>
  </si>
  <si>
    <t xml:space="preserve">Triticum turgidum (L.) Thell.</t>
  </si>
  <si>
    <t xml:space="preserve">Plant Biotechnology Institute,  National Research CouncilCanada</t>
  </si>
  <si>
    <t xml:space="preserve">Triticum turgidum (L.) Thell. subsp. carthlicum (Nevski) MK.</t>
  </si>
  <si>
    <t xml:space="preserve">Plant Biotechnology Key Laboratory</t>
  </si>
  <si>
    <t xml:space="preserve">Triticum turgidum (L.) Thell. subsp. dicoccoides (Korn.) Thell.</t>
  </si>
  <si>
    <t xml:space="preserve">Plant Breeding and Acclimatization Institute at Radzikow</t>
  </si>
  <si>
    <t xml:space="preserve">Triticum turgidum L. Thell. subsp. dicoccon (Schrank) Thell.</t>
  </si>
  <si>
    <t xml:space="preserve">Plant Breeding and Genetics Institute</t>
  </si>
  <si>
    <t xml:space="preserve">Triticum turgidum (L.) Thell. subsp. paleocolchicum Men.</t>
  </si>
  <si>
    <t xml:space="preserve">Plant Breeding Institute,  University of Sydney</t>
  </si>
  <si>
    <t xml:space="preserve">Triticum turgidum (L.) Thell. subsp. turgidum convar aethiopicum Jakubz.</t>
  </si>
  <si>
    <t xml:space="preserve">Plant Breeding International</t>
  </si>
  <si>
    <t xml:space="preserve">Triticum turgidum L. Thell. subsp. turgidum convar durum (Desf.) MK.</t>
  </si>
  <si>
    <t xml:space="preserve">Plant Breeding Station Laski</t>
  </si>
  <si>
    <t xml:space="preserve">Triticum turgidum L. Thell. subsp. turgidum convar polonicum (L.) MK.</t>
  </si>
  <si>
    <t xml:space="preserve">plant cellular biology laboratory/ Dr. STEINMETZ</t>
  </si>
  <si>
    <t xml:space="preserve">Triticum turgidum (L.) Thell. subsp. turgidum convar turanicum (Jakubz.) MK.</t>
  </si>
  <si>
    <t xml:space="preserve">Plant culture institute - Tammisto</t>
  </si>
  <si>
    <t xml:space="preserve">Triticum turgidum L. var. carthlicum (Nevski) A. Love &amp; D. Love</t>
  </si>
  <si>
    <t xml:space="preserve">Plant Development Biology</t>
  </si>
  <si>
    <t xml:space="preserve">Triticum turgidum L. var. dicoccoides (Korn. in litt. in Schweinf.) Bowden</t>
  </si>
  <si>
    <t xml:space="preserve">Plant Development Molecular Biology Lab</t>
  </si>
  <si>
    <t xml:space="preserve">Triticum turgidum L. var. polonicum (L.) A. Love &amp; D. Love</t>
  </si>
  <si>
    <t xml:space="preserve">Plant development molecular biology lab</t>
  </si>
  <si>
    <t xml:space="preserve">Triticum turgidum L. var. timopheevii</t>
  </si>
  <si>
    <t xml:space="preserve">Plant Developmental Genetics</t>
  </si>
  <si>
    <t xml:space="preserve">Triticum turgidum L. var. tumanianii</t>
  </si>
  <si>
    <t xml:space="preserve">Plant Functional Genomics Research Group</t>
  </si>
  <si>
    <t xml:space="preserve">Triticum turgidum paleocolchicum</t>
  </si>
  <si>
    <t xml:space="preserve">Plant Gene Expression Center</t>
  </si>
  <si>
    <t xml:space="preserve">Triticum turgidum polonicum</t>
  </si>
  <si>
    <t xml:space="preserve">Plant Gene Resources of Canada Central Exper. Farm, Agri. Canada</t>
  </si>
  <si>
    <t xml:space="preserve">Triticum turgidum ssp. carthlicum</t>
  </si>
  <si>
    <t xml:space="preserve">Plant Gene Resources of Canada, Saskatoon Research Centre, Agriculture and Agri-Food Canada</t>
  </si>
  <si>
    <t xml:space="preserve">Triticum turgidum ssp. dicoccoides</t>
  </si>
  <si>
    <t xml:space="preserve">Plant Genetic Resources Department</t>
  </si>
  <si>
    <t xml:space="preserve">Triticum turgidum ssp. dicoccon</t>
  </si>
  <si>
    <t xml:space="preserve">Plant Genetic Resources Unit</t>
  </si>
  <si>
    <t xml:space="preserve">Triticum turgidum ssp. durum</t>
  </si>
  <si>
    <t xml:space="preserve">Plant Genetics</t>
  </si>
  <si>
    <t xml:space="preserve">Triticum turgidum ssp. palaeocolchicum A. Love &amp; D. Love</t>
  </si>
  <si>
    <t xml:space="preserve">Plant Genetics and  Breeding</t>
  </si>
  <si>
    <t xml:space="preserve">Triticum turgidum ssp. paleocolchicum</t>
  </si>
  <si>
    <t xml:space="preserve">Plant Genome Center Co.,  Ltd</t>
  </si>
  <si>
    <t xml:space="preserve">Triticum turgidum ssp. polonicum</t>
  </si>
  <si>
    <t xml:space="preserve">Plant Genome Mapping Laboratory</t>
  </si>
  <si>
    <t xml:space="preserve">Triticum turgidum ssp. turanicum</t>
  </si>
  <si>
    <t xml:space="preserve">Plant Genomics Lab.,  Department of Crop,  Soil and Environmental Sciences</t>
  </si>
  <si>
    <t xml:space="preserve">Triticum turgidum ssp. turgidum</t>
  </si>
  <si>
    <t xml:space="preserve">Plant Molecular and Cellular Biology Program</t>
  </si>
  <si>
    <t xml:space="preserve">Triticum turgidum subsp. carthlicum x Secale strictum subsp.</t>
  </si>
  <si>
    <t xml:space="preserve">Plant Molecular Biology</t>
  </si>
  <si>
    <t xml:space="preserve">Triticum turgidum turanicum</t>
  </si>
  <si>
    <t xml:space="preserve">Plant Molecular Genetic Laboratory</t>
  </si>
  <si>
    <t xml:space="preserve">Triticum turgidum turgidum</t>
  </si>
  <si>
    <t xml:space="preserve">Plant Molecular Genetics</t>
  </si>
  <si>
    <t xml:space="preserve">Triticum turgidum var. carthlicum</t>
  </si>
  <si>
    <t xml:space="preserve">Plant Molecular Genetics Laboratory</t>
  </si>
  <si>
    <t xml:space="preserve">Triticum turgidum var. dicoccon</t>
  </si>
  <si>
    <t xml:space="preserve">Plant Molecular Physiology and  Functional Genomics</t>
  </si>
  <si>
    <t xml:space="preserve">Triticum turgidum var. dicoccon Bowden</t>
  </si>
  <si>
    <t xml:space="preserve">Plant Natural Products</t>
  </si>
  <si>
    <t xml:space="preserve">Triticum turgidum var. durum</t>
  </si>
  <si>
    <t xml:space="preserve">Plant Nematode Genetics Group</t>
  </si>
  <si>
    <t xml:space="preserve">Triticum turgidum var. durum Bowden</t>
  </si>
  <si>
    <t xml:space="preserve">Plant Pathology</t>
  </si>
  <si>
    <t xml:space="preserve">Triticum turgidum var. polonicum</t>
  </si>
  <si>
    <t xml:space="preserve">Plant Pathology Department</t>
  </si>
  <si>
    <t xml:space="preserve">Triticum umbellulatum</t>
  </si>
  <si>
    <t xml:space="preserve">Plant Protection Division I.C.I.</t>
  </si>
  <si>
    <t xml:space="preserve">Triticum uniaristatum</t>
  </si>
  <si>
    <t xml:space="preserve">Plant Research Institute</t>
  </si>
  <si>
    <t xml:space="preserve">Triticum urartu</t>
  </si>
  <si>
    <t xml:space="preserve">Plant Research International</t>
  </si>
  <si>
    <t xml:space="preserve">Triticum urartu Thumanian ex Gandilyan</t>
  </si>
  <si>
    <t xml:space="preserve">Plant Sciences</t>
  </si>
  <si>
    <t xml:space="preserve">Triticum vaillantianum</t>
  </si>
  <si>
    <t xml:space="preserve">PLANT SELECT, Ltd.</t>
  </si>
  <si>
    <t xml:space="preserve">Triticum vavilovii Jakubz.</t>
  </si>
  <si>
    <t xml:space="preserve">Plant Systems Biology</t>
  </si>
  <si>
    <t xml:space="preserve">Triticum vulgare ssp. hadropyrum Flaksb.</t>
  </si>
  <si>
    <t xml:space="preserve">plantechno srl</t>
  </si>
  <si>
    <t xml:space="preserve">Triticum vulgare ssp. irano-asiaticum Flaksb.</t>
  </si>
  <si>
    <t xml:space="preserve">Plantes legumineuses, DGAP</t>
  </si>
  <si>
    <t xml:space="preserve">Triticum vulgare var. dicoccon (Schrank) Korn</t>
  </si>
  <si>
    <t xml:space="preserve">PlantTec Biotechnologie</t>
  </si>
  <si>
    <t xml:space="preserve">Triticum vulgare Villars</t>
  </si>
  <si>
    <t xml:space="preserve">Plate-Forme de cytogÃ©nÃ©tique MolÃ©culaire</t>
  </si>
  <si>
    <t xml:space="preserve">Triticum zhukovskyi Menabde &amp; Ericzjan</t>
  </si>
  <si>
    <t xml:space="preserve">Plew Horticultural Experimental Station</t>
  </si>
  <si>
    <t xml:space="preserve">Vicia faba L.</t>
  </si>
  <si>
    <t xml:space="preserve">PMDV - Equipe Analyse fonctionnelle du genome de Botrytis cinerea</t>
  </si>
  <si>
    <t xml:space="preserve">Vicia faba subsp. equina</t>
  </si>
  <si>
    <t xml:space="preserve">Pole de biotechnologie vegetales UMR5546</t>
  </si>
  <si>
    <t xml:space="preserve">Vicia faba subsp. major</t>
  </si>
  <si>
    <t xml:space="preserve">Povolzhskii NII Selektsii i Semenovodstva Im. P.N. Konstantinova Ran</t>
  </si>
  <si>
    <t xml:space="preserve">Vicia faba subsp. minor</t>
  </si>
  <si>
    <t xml:space="preserve">Practical Scientific Institute of Plant Growing 'SELECTIA'</t>
  </si>
  <si>
    <t xml:space="preserve">Vicia faba subsp. paucijuga</t>
  </si>
  <si>
    <t xml:space="preserve">Probsdorfer Plant Breeding</t>
  </si>
  <si>
    <t xml:space="preserve">Vicia L.</t>
  </si>
  <si>
    <t xml:space="preserve">Programa de Recursos Genéticos Nicaragüenses  (REGEN)</t>
  </si>
  <si>
    <t xml:space="preserve">Vicia sativa L.</t>
  </si>
  <si>
    <t xml:space="preserve">Projet Arborea, Centre d'Etude de la Foret</t>
  </si>
  <si>
    <t xml:space="preserve">Vitaceae</t>
  </si>
  <si>
    <t xml:space="preserve">Propriété Saint Jean</t>
  </si>
  <si>
    <t xml:space="preserve">Vitis</t>
  </si>
  <si>
    <t xml:space="preserve">PROSEA Headquarters, Wageningen Agricultural University</t>
  </si>
  <si>
    <t xml:space="preserve">Vitis aestivalis Mchx.</t>
  </si>
  <si>
    <t xml:space="preserve">proteomique</t>
  </si>
  <si>
    <t xml:space="preserve">Vitis affinis Gagnep. ex Osmaston</t>
  </si>
  <si>
    <t xml:space="preserve">PSB Produccion Vegetal, Murcia - Spain</t>
  </si>
  <si>
    <t xml:space="preserve">Vitis amurensis Ruprecht</t>
  </si>
  <si>
    <t xml:space="preserve">Punjab Agricultural University</t>
  </si>
  <si>
    <t xml:space="preserve">Vitis apliniana Collett &amp; Hemsl.</t>
  </si>
  <si>
    <t xml:space="preserve">Queensland Wheat Research Institut Department of Primary Industries</t>
  </si>
  <si>
    <t xml:space="preserve">Vitis arizonica Engelm.</t>
  </si>
  <si>
    <t xml:space="preserve">RAGT</t>
  </si>
  <si>
    <t xml:space="preserve">Vitis armata Diels &amp; Gilg</t>
  </si>
  <si>
    <t xml:space="preserve">R.A.G.T. 2N</t>
  </si>
  <si>
    <t xml:space="preserve">Vitis aubertiana Gage</t>
  </si>
  <si>
    <t xml:space="preserve">Rapillard Charly, Conthey - Suisse</t>
  </si>
  <si>
    <t xml:space="preserve">Vitis austrokoreana Hatus.</t>
  </si>
  <si>
    <t xml:space="preserve">RDP (UMR5667 INRA/CNRS/ENSL/UCBL)</t>
  </si>
  <si>
    <t xml:space="preserve">Vitis baileyana Munson</t>
  </si>
  <si>
    <t xml:space="preserve">Redblush Nursery</t>
  </si>
  <si>
    <t xml:space="preserve">Vitis balansaeana Planch.</t>
  </si>
  <si>
    <t xml:space="preserve">Regional Fruit Research Station, PAU</t>
  </si>
  <si>
    <t xml:space="preserve">Vitis berlandieri Planch.</t>
  </si>
  <si>
    <t xml:space="preserve">Regional Station Shillong, NBPGR</t>
  </si>
  <si>
    <t xml:space="preserve">Vitis betulifolia Diels &amp; Gilg</t>
  </si>
  <si>
    <t xml:space="preserve">Reproduction et Developpement des Plantes</t>
  </si>
  <si>
    <t xml:space="preserve">Vitis bicolor Le Conte</t>
  </si>
  <si>
    <t xml:space="preserve">Research and Development Division</t>
  </si>
  <si>
    <t xml:space="preserve">Vitis blancoii Munson</t>
  </si>
  <si>
    <t xml:space="preserve">Research Branch Agriculture Canada</t>
  </si>
  <si>
    <t xml:space="preserve">Vitis bourgeana Planch.</t>
  </si>
  <si>
    <t xml:space="preserve">Research Institute for Bioresources</t>
  </si>
  <si>
    <t xml:space="preserve">Vitis bourquina Munson</t>
  </si>
  <si>
    <t xml:space="preserve">Research Institute for Cereals and Technical Plants Fundulea</t>
  </si>
  <si>
    <t xml:space="preserve">Vitis bryoniifolia Bunge</t>
  </si>
  <si>
    <t xml:space="preserve">Research Institute for Olive and Citrus Trees</t>
  </si>
  <si>
    <t xml:space="preserve">Vitis burmanica Collett &amp; Hemsl.</t>
  </si>
  <si>
    <t xml:space="preserve">Research Institute of Agricultural for South-East Region</t>
  </si>
  <si>
    <t xml:space="preserve">Vitis californica Bentham</t>
  </si>
  <si>
    <t xml:space="preserve">Research Institute of Crop Production</t>
  </si>
  <si>
    <t xml:space="preserve">Vitis candicans Engelm.</t>
  </si>
  <si>
    <t xml:space="preserve">Research Institute of Village Services</t>
  </si>
  <si>
    <t xml:space="preserve">Vitis caribaea D.C.</t>
  </si>
  <si>
    <t xml:space="preserve">Resistance des Plantes aux Bioagresseurs (RPB)</t>
  </si>
  <si>
    <t xml:space="preserve">Vitis champinii Planch.</t>
  </si>
  <si>
    <t xml:space="preserve">Resources Botany Research Center</t>
  </si>
  <si>
    <t xml:space="preserve">Vitis choii Hatus.</t>
  </si>
  <si>
    <t xml:space="preserve">Revol Jean-Pierre, Larnage - France</t>
  </si>
  <si>
    <t xml:space="preserve">Vitis chrysobotrys H.Lév. &amp; Vaniot</t>
  </si>
  <si>
    <t xml:space="preserve">RhoBio</t>
  </si>
  <si>
    <t xml:space="preserve">Vitis chunganensis Hu</t>
  </si>
  <si>
    <t xml:space="preserve">Rice Research Institute</t>
  </si>
  <si>
    <t xml:space="preserve">Vitis chungii F.P.Metcalf</t>
  </si>
  <si>
    <t xml:space="preserve">RICP Praha-Ruzyne Agricultural Research Station</t>
  </si>
  <si>
    <t xml:space="preserve">Vitis cinerea Engelm.</t>
  </si>
  <si>
    <t xml:space="preserve">Rijk Zwaan</t>
  </si>
  <si>
    <t xml:space="preserve">Vitis coignetiae cv. Ishikari</t>
  </si>
  <si>
    <t xml:space="preserve">Ringot</t>
  </si>
  <si>
    <t xml:space="preserve">Vitis coignetiae Pulliat</t>
  </si>
  <si>
    <t xml:space="preserve">Roberts WL, Grandview Washington - USA</t>
  </si>
  <si>
    <t xml:space="preserve">Vitis cordifolia cv. n°9 Couderc</t>
  </si>
  <si>
    <t xml:space="preserve">Roseworthy Agricultural College</t>
  </si>
  <si>
    <t xml:space="preserve">Vitis cordifolia Mchx.</t>
  </si>
  <si>
    <t xml:space="preserve">Royal Palm Nurseries</t>
  </si>
  <si>
    <t xml:space="preserve">Vitis coriacea Shuttl.</t>
  </si>
  <si>
    <t xml:space="preserve">Rubidoux laboratory</t>
  </si>
  <si>
    <t xml:space="preserve">Vitis davidii Romanet du Caillaud</t>
  </si>
  <si>
    <t xml:space="preserve">Rustica Prograin Genetique</t>
  </si>
  <si>
    <t xml:space="preserve">Vitis del rioi Galet</t>
  </si>
  <si>
    <t xml:space="preserve">Rutgers University - NJ - USA</t>
  </si>
  <si>
    <t xml:space="preserve">Vitis doaniana Munson</t>
  </si>
  <si>
    <t xml:space="preserve">Rutgers University - NJ - USA - M. Vinson P</t>
  </si>
  <si>
    <t xml:space="preserve">Vitis embergeri Galet</t>
  </si>
  <si>
    <t xml:space="preserve">Saatbau Linz / Oberoesterreichische Landessaatbaugenossenschaft</t>
  </si>
  <si>
    <t xml:space="preserve">Vitis ficifolioides Wang</t>
  </si>
  <si>
    <t xml:space="preserve">Saaten-Union France s.a.r.l - Saaten-Union Recherche s.a.s</t>
  </si>
  <si>
    <t xml:space="preserve">Vitis flexuosa Thunb.</t>
  </si>
  <si>
    <t xml:space="preserve">Saatzucht Bauer GmbH &amp; Co KG</t>
  </si>
  <si>
    <t xml:space="preserve">Vitis gigas Fennell</t>
  </si>
  <si>
    <t xml:space="preserve">Saatzucht Donau GesmbH. &amp; CoKG</t>
  </si>
  <si>
    <t xml:space="preserve">Vitis girdiana Munson</t>
  </si>
  <si>
    <t xml:space="preserve">Saatzucht Engelen Büchling Ohg</t>
  </si>
  <si>
    <t xml:space="preserve">Vitis glabrescens Fritsch</t>
  </si>
  <si>
    <t xml:space="preserve">Saatzucht Hans Schweiger &amp; Co. Ohg</t>
  </si>
  <si>
    <t xml:space="preserve">Vitis hancockii Hance</t>
  </si>
  <si>
    <t xml:space="preserve">Saatzucht Josef Breun GdbR</t>
  </si>
  <si>
    <t xml:space="preserve">Vitis helleri Small</t>
  </si>
  <si>
    <t xml:space="preserve">Saatzucht Piatti</t>
  </si>
  <si>
    <t xml:space="preserve">Vitis hexamera Gagnep.</t>
  </si>
  <si>
    <t xml:space="preserve">Saatzucht Streng GmbH &amp; Co. KG</t>
  </si>
  <si>
    <t xml:space="preserve">Vitis hissarica Vassilcz.</t>
  </si>
  <si>
    <t xml:space="preserve">Saatzuchtgesellschaft Nordsaat GmbH</t>
  </si>
  <si>
    <t xml:space="preserve">Vitis illex Bailey</t>
  </si>
  <si>
    <t xml:space="preserve">Saatzuchtwirtschaft Johann Firlbeck KG</t>
  </si>
  <si>
    <t xml:space="preserve">Vitis kelemgensis Momiyama</t>
  </si>
  <si>
    <t xml:space="preserve">Saatzuchtwirtschaft Lang-Doerfler</t>
  </si>
  <si>
    <t xml:space="preserve">Vitis kiusiama Momiyama</t>
  </si>
  <si>
    <t xml:space="preserve">Saatzuchtwirtschaft Otto Breustedt GmbH</t>
  </si>
  <si>
    <t xml:space="preserve">Vitis L.</t>
  </si>
  <si>
    <t xml:space="preserve">Sakata Seed France</t>
  </si>
  <si>
    <t xml:space="preserve">Vitis labrusca cv. Cambridge</t>
  </si>
  <si>
    <t xml:space="preserve">Samarskij Niish Im.N.M. Tulajkova</t>
  </si>
  <si>
    <t xml:space="preserve">Vitis labrusca cv. Caroline</t>
  </si>
  <si>
    <t xml:space="preserve">SantÃ© de la Vigne et QualitÃ© du Vin</t>
  </si>
  <si>
    <t xml:space="preserve">Vitis labrusca cv. Caywood</t>
  </si>
  <si>
    <t xml:space="preserve">Santé de la Vigne et Qualité du Vin</t>
  </si>
  <si>
    <t xml:space="preserve">Vitis labrusca cv. Concord</t>
  </si>
  <si>
    <t xml:space="preserve">S.A.S. Florimond Desprez</t>
  </si>
  <si>
    <t xml:space="preserve">Vitis labrusca cv. Creveling</t>
  </si>
  <si>
    <t xml:space="preserve">Satten-Ring Pfeuffer - Von Ruemker oHG</t>
  </si>
  <si>
    <t xml:space="preserve">Vitis labrusca cv. Early Victor</t>
  </si>
  <si>
    <t xml:space="preserve">SBAT El Ariana, Tunisie</t>
  </si>
  <si>
    <t xml:space="preserve">Vitis labrusca cv. Isabelle</t>
  </si>
  <si>
    <t xml:space="preserve">SCA - Agricultural Research Station Turda-Cluj</t>
  </si>
  <si>
    <t xml:space="preserve">Vitis labrusca cv. Israella</t>
  </si>
  <si>
    <t xml:space="preserve">SCA Adrien Momont et fils, S.A.</t>
  </si>
  <si>
    <t xml:space="preserve">Vitis labrusca cv. Ive's seedling</t>
  </si>
  <si>
    <t xml:space="preserve">Schnable Laboratory</t>
  </si>
  <si>
    <t xml:space="preserve">Vitis labrusca cv. Miles</t>
  </si>
  <si>
    <t xml:space="preserve">Schnable laboratory</t>
  </si>
  <si>
    <t xml:space="preserve">Vitis labrusca cv. Muncy</t>
  </si>
  <si>
    <t xml:space="preserve">School of Biological Sciences</t>
  </si>
  <si>
    <t xml:space="preserve">Vitis labrusca cv. North America</t>
  </si>
  <si>
    <t xml:space="preserve">Science de l'Horticulture, Rabat, Maroc</t>
  </si>
  <si>
    <t xml:space="preserve">Vitis labrusca cv. North Carolina</t>
  </si>
  <si>
    <t xml:space="preserve">Scott Research Farm</t>
  </si>
  <si>
    <t xml:space="preserve">Vitis labrusca cv. Pierce = California Concord</t>
  </si>
  <si>
    <t xml:space="preserve">SDR Fruit LLC, Boulder- CO - USA</t>
  </si>
  <si>
    <t xml:space="preserve">Vitis labrusca cv. Rentz</t>
  </si>
  <si>
    <t xml:space="preserve">Seagaga Research Station</t>
  </si>
  <si>
    <t xml:space="preserve">Vitis labrusca cv. Scarlett</t>
  </si>
  <si>
    <t xml:space="preserve">Seager Wheeler</t>
  </si>
  <si>
    <t xml:space="preserve">Vitis labrusca L.</t>
  </si>
  <si>
    <t xml:space="preserve">Secobra Saatzucht GmbH</t>
  </si>
  <si>
    <t xml:space="preserve">Vitis lanata Roxburgh</t>
  </si>
  <si>
    <t xml:space="preserve">Seed and Plant Improvement Institute</t>
  </si>
  <si>
    <t xml:space="preserve">Vitis lanceolata Roxb.</t>
  </si>
  <si>
    <t xml:space="preserve">Selekt Research and Breeding Institute</t>
  </si>
  <si>
    <t xml:space="preserve">Vitis leucocarpa Hayata</t>
  </si>
  <si>
    <t xml:space="preserve">SELGEN, Breeding Station Chlumec</t>
  </si>
  <si>
    <t xml:space="preserve">Vitis lincecumii Buckley</t>
  </si>
  <si>
    <t xml:space="preserve">SELGEN, Breeding Station Stupice</t>
  </si>
  <si>
    <t xml:space="preserve">Vitis longii Prince</t>
  </si>
  <si>
    <t xml:space="preserve">SELGEN, Breeding Station Uhretice</t>
  </si>
  <si>
    <t xml:space="preserve">Vitis monticola Buckley</t>
  </si>
  <si>
    <t xml:space="preserve">Semences Cargill, Centre de Recherches Céréales à Pailles et Colza</t>
  </si>
  <si>
    <t xml:space="preserve">Vitis novisinensis Vassilcz.</t>
  </si>
  <si>
    <t xml:space="preserve">Semences de Provence</t>
  </si>
  <si>
    <t xml:space="preserve">Vitis pedicellata M.A.Lawson</t>
  </si>
  <si>
    <t xml:space="preserve">Semiarid Prairie Agricultural Research Centre, Agriculture and Agri-Food Canada</t>
  </si>
  <si>
    <t xml:space="preserve">Vitis pentagona Diels &amp; Gilg</t>
  </si>
  <si>
    <t xml:space="preserve">Semillas Falco</t>
  </si>
  <si>
    <t xml:space="preserve">Vitis piasezkii cv. pagnuccii</t>
  </si>
  <si>
    <t xml:space="preserve">Seminis</t>
  </si>
  <si>
    <t xml:space="preserve">Vitis piasezkii Maximowicz</t>
  </si>
  <si>
    <t xml:space="preserve">Seoul National University</t>
  </si>
  <si>
    <t xml:space="preserve">Vitis piloso-nerva F.P.Metcalf</t>
  </si>
  <si>
    <t xml:space="preserve">SERASEM</t>
  </si>
  <si>
    <t xml:space="preserve">Vitis potanini Maxim.</t>
  </si>
  <si>
    <t xml:space="preserve">Servien Norbert et Pierre-Gilles - Granges lès Beaumont - France</t>
  </si>
  <si>
    <t xml:space="preserve">Vitis pseudoreticulata W.T.Wang</t>
  </si>
  <si>
    <t xml:space="preserve">Settore Biotecnologie e Agricoltura, Dipartimento Innovazione, ENEA</t>
  </si>
  <si>
    <t xml:space="preserve">Vitis punctata Raf.</t>
  </si>
  <si>
    <t xml:space="preserve">Seva Flora SRO, Valtice - République Tchèque</t>
  </si>
  <si>
    <t xml:space="preserve">Vitis reticulata Pamp.</t>
  </si>
  <si>
    <t xml:space="preserve">Shanghai Institute of Plant Physiology and  Ecology</t>
  </si>
  <si>
    <t xml:space="preserve">Vitis retordii Romanet du Caill. ex Planch.</t>
  </si>
  <si>
    <t xml:space="preserve">Shanxi Academy of Agricultural Sciences</t>
  </si>
  <si>
    <t xml:space="preserve">Vitis riparia cv. Riparia Gloire de Montpellier</t>
  </si>
  <si>
    <t xml:space="preserve">Shulaev's Lab</t>
  </si>
  <si>
    <t xml:space="preserve">Vitis riparia cv. Riparia grand glabre</t>
  </si>
  <si>
    <t xml:space="preserve">Siberian Research Institute of Agriculture</t>
  </si>
  <si>
    <t xml:space="preserve">Vitis riparia Mchx.</t>
  </si>
  <si>
    <t xml:space="preserve">SICA Centrex, Torreilles, France</t>
  </si>
  <si>
    <t xml:space="preserve">Vitis romanetii Romanet du Caillaud</t>
  </si>
  <si>
    <t xml:space="preserve">Sica La Tapy</t>
  </si>
  <si>
    <t xml:space="preserve">Vitis rubra cv. palmata</t>
  </si>
  <si>
    <t xml:space="preserve">Sica SE.CO.CE. Semences Dromigny et Hamel</t>
  </si>
  <si>
    <t xml:space="preserve">Vitis rubra Mchx.</t>
  </si>
  <si>
    <t xml:space="preserve">Sicarex Beaujolais</t>
  </si>
  <si>
    <t xml:space="preserve">Vitis rufotomentosa Small</t>
  </si>
  <si>
    <t xml:space="preserve">Sicarex du Sud-Ouest</t>
  </si>
  <si>
    <t xml:space="preserve">Vitis rupestris cv. Rupestris du Lot</t>
  </si>
  <si>
    <t xml:space="preserve">Signaling and  Plant Metabolism</t>
  </si>
  <si>
    <t xml:space="preserve">Vitis rupestris Sheele</t>
  </si>
  <si>
    <t xml:space="preserve">Signaux et messages cellulaires chez les vegetaux</t>
  </si>
  <si>
    <t xml:space="preserve">Vitis schumanniana Kuntze</t>
  </si>
  <si>
    <t xml:space="preserve">SIS - Societa Italiana Sementi</t>
  </si>
  <si>
    <t xml:space="preserve">Vitis seguinii H.Lév.</t>
  </si>
  <si>
    <t xml:space="preserve">Sladkovicovo Plant Breeding Station</t>
  </si>
  <si>
    <t xml:space="preserve">Vitis serroniana Glaz.</t>
  </si>
  <si>
    <t xml:space="preserve">Small Grains Research Centre, Agricultural Research Institute 'Serbia'</t>
  </si>
  <si>
    <t xml:space="preserve">Vitis shiragai Makino</t>
  </si>
  <si>
    <t xml:space="preserve">Societa Produttori Sementi</t>
  </si>
  <si>
    <t xml:space="preserve">Vitis silvestrii Pamp.</t>
  </si>
  <si>
    <t xml:space="preserve">Société de Viticulture du Jura</t>
  </si>
  <si>
    <t xml:space="preserve">Vitis simpsonii Munson</t>
  </si>
  <si>
    <t xml:space="preserve">Société Pomologique du Berry</t>
  </si>
  <si>
    <t xml:space="preserve">Vitis thunbergii Siebold &amp; Zucc.</t>
  </si>
  <si>
    <t xml:space="preserve">Société pour l'Encouragement de l'Orge de Brasserie</t>
  </si>
  <si>
    <t xml:space="preserve">Vitis treleasei Munson</t>
  </si>
  <si>
    <t xml:space="preserve">SOGROUP</t>
  </si>
  <si>
    <t xml:space="preserve">Vitis tsoii Merr.</t>
  </si>
  <si>
    <t xml:space="preserve">Solanum</t>
  </si>
  <si>
    <t xml:space="preserve">Vitis vicaryana Kurz</t>
  </si>
  <si>
    <t xml:space="preserve">Solanum Tourneur</t>
  </si>
  <si>
    <t xml:space="preserve">Vitis vinifera L.</t>
  </si>
  <si>
    <t xml:space="preserve">Solary Plant Breeding Station</t>
  </si>
  <si>
    <t xml:space="preserve">Vitis vinifera subsp sylvestris cv. Lambrusque métisse</t>
  </si>
  <si>
    <t xml:space="preserve">Sorghum genetics and  molecular biology lab</t>
  </si>
  <si>
    <t xml:space="preserve">Vitis vinifera subsp sylvestris cv. Lambrusque vraie</t>
  </si>
  <si>
    <t xml:space="preserve">South Dakota Agricultural Experiment Station, South Dakota State University</t>
  </si>
  <si>
    <t xml:space="preserve">Vitis vinifera subsp sylvestris L.</t>
  </si>
  <si>
    <t xml:space="preserve">Southwick Steve, El Macero, CA - USA</t>
  </si>
  <si>
    <t xml:space="preserve">Vitis vinifera subsp vinifera cv. A Kalatchel</t>
  </si>
  <si>
    <t xml:space="preserve">Special Research Centre,  Basic and  Applied Plant MolecularBiology</t>
  </si>
  <si>
    <t xml:space="preserve">Vitis vinifera subsp vinifera cv. A 406 SRLH</t>
  </si>
  <si>
    <t xml:space="preserve">SRA  INRA-CIRAD</t>
  </si>
  <si>
    <t xml:space="preserve">Vitis vinifera subsp vinifera cv. Abbuoto</t>
  </si>
  <si>
    <t xml:space="preserve">Star Fruit</t>
  </si>
  <si>
    <t xml:space="preserve">Vitis vinifera subsp vinifera cv. Abdjouch</t>
  </si>
  <si>
    <t xml:space="preserve">State Key Lab of Genetics</t>
  </si>
  <si>
    <t xml:space="preserve">Vitis vinifera subsp vinifera cv. Abondance</t>
  </si>
  <si>
    <t xml:space="preserve">State Lab of Plant Physiology and  Biochemistry</t>
  </si>
  <si>
    <t xml:space="preserve">Vitis vinifera subsp vinifera cv. Abondant</t>
  </si>
  <si>
    <t xml:space="preserve">State Lab of plant physiology and  biochemistry</t>
  </si>
  <si>
    <t xml:space="preserve">Vitis vinifera subsp vinifera cv. Abouhou</t>
  </si>
  <si>
    <t xml:space="preserve">Station Agrumicole de Lipa</t>
  </si>
  <si>
    <t xml:space="preserve">Vitis vinifera subsp vinifera cv. Abouriou</t>
  </si>
  <si>
    <t xml:space="preserve">Station Agrumicole de Nan</t>
  </si>
  <si>
    <t xml:space="preserve">Vitis vinifera subsp vinifera cv. Achlamiche</t>
  </si>
  <si>
    <t xml:space="preserve">Station Centrale de la Recherche sur les Agrumes, Institut National de la Recherche Agronomique du Maroc</t>
  </si>
  <si>
    <t xml:space="preserve">Vitis vinifera subsp vinifera cv. Adissi</t>
  </si>
  <si>
    <t xml:space="preserve">Station d'amelioration des arbres forestiers</t>
  </si>
  <si>
    <t xml:space="preserve">Vitis vinifera subsp vinifera cv. Admirable de Courtiller</t>
  </si>
  <si>
    <t xml:space="preserve">Station d'amelioration des plantes</t>
  </si>
  <si>
    <t xml:space="preserve">Vitis vinifera subsp vinifera cv. Aetoniki</t>
  </si>
  <si>
    <t xml:space="preserve">Station d'arboriculture de Poros - Trizinias (Grèce)</t>
  </si>
  <si>
    <t xml:space="preserve">Vitis vinifera subsp vinifera cv. Aetonychi kokkino</t>
  </si>
  <si>
    <t xml:space="preserve">Station de Betanimena</t>
  </si>
  <si>
    <t xml:space="preserve">Vitis vinifera subsp vinifera cv. Aetonychi mavro</t>
  </si>
  <si>
    <t xml:space="preserve">Station de cultures fruitières de Foulaya</t>
  </si>
  <si>
    <t xml:space="preserve">Vitis vinifera subsp vinifera cv. Aetonyki</t>
  </si>
  <si>
    <t xml:space="preserve">Station de Génétique et Amélioration des Plantes, INRA-Versailles</t>
  </si>
  <si>
    <t xml:space="preserve">Vitis vinifera subsp vinifera cv. Afarta pobres</t>
  </si>
  <si>
    <t xml:space="preserve">Station de Genetique et d'Amelioration des Plantes</t>
  </si>
  <si>
    <t xml:space="preserve">Vitis vinifera subsp vinifera cv. Affenthaler</t>
  </si>
  <si>
    <t xml:space="preserve">Station de Genetique et d'Amelioration des plantes</t>
  </si>
  <si>
    <t xml:space="preserve">Vitis vinifera subsp vinifera cv. Ag isioum</t>
  </si>
  <si>
    <t xml:space="preserve">Station de Génétique et d'Amélioration des Plantes, INRA-Dijon</t>
  </si>
  <si>
    <t xml:space="preserve">Vitis vinifera subsp vinifera cv. Ag Kiourdach</t>
  </si>
  <si>
    <t xml:space="preserve">Station de Genetique et dÕAmelioration des Plantes</t>
  </si>
  <si>
    <t xml:space="preserve">Vitis vinifera subsp vinifera cv. Agadaï</t>
  </si>
  <si>
    <t xml:space="preserve">Station de Genetique et dUAmelioration des Plantes</t>
  </si>
  <si>
    <t xml:space="preserve">Vitis vinifera subsp vinifera cv. Agapanthe</t>
  </si>
  <si>
    <t xml:space="preserve">Station de Genetique Vegetale</t>
  </si>
  <si>
    <t xml:space="preserve">Vitis vinifera subsp vinifera cv. Aghianniotico</t>
  </si>
  <si>
    <t xml:space="preserve">Station de Genetique Vegetale du Moulon</t>
  </si>
  <si>
    <t xml:space="preserve">Vitis vinifera subsp vinifera cv. Aghiorgitiko</t>
  </si>
  <si>
    <t xml:space="preserve">Station de Pathologie Vegetale</t>
  </si>
  <si>
    <t xml:space="preserve">Vitis vinifera subsp vinifera cv. Aglianico</t>
  </si>
  <si>
    <t xml:space="preserve">Station de Pathologie Végétale, INRA-Avignon</t>
  </si>
  <si>
    <t xml:space="preserve">Vitis vinifera subsp vinifera cv. Agostenga noir</t>
  </si>
  <si>
    <t xml:space="preserve">Station de recherche Agroscope Changins-Wädenswil</t>
  </si>
  <si>
    <t xml:space="preserve">Vitis vinifera subsp vinifera cv. Agourane</t>
  </si>
  <si>
    <t xml:space="preserve">Station de recherche Agroscope Changins-WÃ¤denswil</t>
  </si>
  <si>
    <t xml:space="preserve">Vitis vinifera subsp vinifera cv. Agrio mavro</t>
  </si>
  <si>
    <t xml:space="preserve">Station de Recherche du Comité Nord</t>
  </si>
  <si>
    <t xml:space="preserve">Vitis vinifera subsp vinifera cv. Aguyar</t>
  </si>
  <si>
    <t xml:space="preserve">Station de Recherche du Comité Nord &amp; GIPT</t>
  </si>
  <si>
    <t xml:space="preserve">Vitis vinifera subsp vinifera cv. Ahmar</t>
  </si>
  <si>
    <t xml:space="preserve">Station de Recherchedu Comité Nord &amp; GNIPTIT</t>
  </si>
  <si>
    <t xml:space="preserve">Vitis vinifera subsp vinifera cv. Ahmed</t>
  </si>
  <si>
    <t xml:space="preserve">Station Expérimentale Agronomique de Boufarik</t>
  </si>
  <si>
    <t xml:space="preserve">Vitis vinifera subsp vinifera cv. Ahmeh sal apyrène</t>
  </si>
  <si>
    <t xml:space="preserve">Station expérimentale de Oeiras Portugal</t>
  </si>
  <si>
    <t xml:space="preserve">Vitis vinifera subsp vinifera cv. Ahmeh Sal 9</t>
  </si>
  <si>
    <t xml:space="preserve">Station Régionale Horticole de Sefrou</t>
  </si>
  <si>
    <t xml:space="preserve">Vitis vinifera subsp vinifera cv. Ahmeur bou Ahmeur</t>
  </si>
  <si>
    <t xml:space="preserve">Statistique &amp; Genome</t>
  </si>
  <si>
    <t xml:space="preserve">Vitis vinifera subsp vinifera cv. Ahumat</t>
  </si>
  <si>
    <t xml:space="preserve">Statistique &amp; Génome</t>
  </si>
  <si>
    <t xml:space="preserve">Vitis vinifera subsp vinifera cv. Aïbatly</t>
  </si>
  <si>
    <t xml:space="preserve">Statiunea de Cercetare Dezvoltare Agricola Albota</t>
  </si>
  <si>
    <t xml:space="preserve">Vitis vinifera subsp vinifera cv. Aïda = Pirovano 233</t>
  </si>
  <si>
    <t xml:space="preserve">Ste Coopérative Agricole du Nord-Est de la Brie</t>
  </si>
  <si>
    <t xml:space="preserve">Vitis vinifera subsp vinifera cv. Aïdani mavro</t>
  </si>
  <si>
    <t xml:space="preserve">Stellenbosch University</t>
  </si>
  <si>
    <t xml:space="preserve">Vitis vinifera subsp vinifera cv. Aïn Begra</t>
  </si>
  <si>
    <t xml:space="preserve">Structure et Metabolisme des Plantes</t>
  </si>
  <si>
    <t xml:space="preserve">Vitis vinifera subsp vinifera cv. Aïn el Bouma</t>
  </si>
  <si>
    <t xml:space="preserve">Subtropical Horticultural Research Unit, National Germplasm Repository - Miami, USDA</t>
  </si>
  <si>
    <t xml:space="preserve">Vitis vinifera subsp vinifera cv. Aïn Kelba</t>
  </si>
  <si>
    <t xml:space="preserve">Suceava Genebank</t>
  </si>
  <si>
    <t xml:space="preserve">Vitis vinifera subsp vinifera cv. Airen</t>
  </si>
  <si>
    <t xml:space="preserve">Summerfield Nursery Co.</t>
  </si>
  <si>
    <t xml:space="preserve">Vitis vinifera subsp vinifera cv. Ak chekerek</t>
  </si>
  <si>
    <t xml:space="preserve">Sun World International - Bakersfield, CA - USA</t>
  </si>
  <si>
    <t xml:space="preserve">Vitis vinifera subsp vinifera cv. Ak ouzioum tagapskii</t>
  </si>
  <si>
    <t xml:space="preserve">Sunshine Nurseries</t>
  </si>
  <si>
    <t xml:space="preserve">Vitis vinifera subsp vinifera cv. Akiki</t>
  </si>
  <si>
    <t xml:space="preserve">Svalof Weibull AB Cereal Breeding Department</t>
  </si>
  <si>
    <t xml:space="preserve">Vitis vinifera subsp vinifera cv. Aklyk jaune</t>
  </si>
  <si>
    <t xml:space="preserve">SW Seed Hadmersleben GmbH</t>
  </si>
  <si>
    <t xml:space="preserve">Vitis vinifera subsp vinifera cv. Akominato</t>
  </si>
  <si>
    <t xml:space="preserve">Swedish University of Agricultural Sciences - Department of Plant Breeding Research</t>
  </si>
  <si>
    <t xml:space="preserve">Vitis vinifera subsp vinifera cv. Alabar noir</t>
  </si>
  <si>
    <t xml:space="preserve">Swiss Institute of Bioinformatics</t>
  </si>
  <si>
    <t xml:space="preserve">Vitis vinifera subsp vinifera cv. Alanttermö</t>
  </si>
  <si>
    <t xml:space="preserve">Syndicat de Producteurs de Marron de Charentes</t>
  </si>
  <si>
    <t xml:space="preserve">Vitis vinifera subsp vinifera cv. Alb rominesc</t>
  </si>
  <si>
    <t xml:space="preserve">Syndicat Général des Vignerons Réunis des Côtes-du-Rhône</t>
  </si>
  <si>
    <t xml:space="preserve">Vitis vinifera subsp vinifera cv. Alba aganin isioum</t>
  </si>
  <si>
    <t xml:space="preserve">Syngenta</t>
  </si>
  <si>
    <t xml:space="preserve">Vitis vinifera subsp vinifera cv. Alba imputotato</t>
  </si>
  <si>
    <t xml:space="preserve">Syngenta Seeds Ltd</t>
  </si>
  <si>
    <t xml:space="preserve">Vitis vinifera subsp vinifera cv. Alba magna = Pirovano 283</t>
  </si>
  <si>
    <t xml:space="preserve">Syngenta Seeds S.A.</t>
  </si>
  <si>
    <t xml:space="preserve">Vitis vinifera subsp vinifera cv. Albalonga = Würzburg B 51-2-1</t>
  </si>
  <si>
    <t xml:space="preserve">Syngenta Seeds S.A.S.</t>
  </si>
  <si>
    <t xml:space="preserve">Vitis vinifera subsp vinifera cv. Albana</t>
  </si>
  <si>
    <t xml:space="preserve">Takii recherche France</t>
  </si>
  <si>
    <t xml:space="preserve">Vitis vinifera subsp vinifera cv. Albanello</t>
  </si>
  <si>
    <t xml:space="preserve">Technisem</t>
  </si>
  <si>
    <t xml:space="preserve">Vitis vinifera subsp vinifera cv. Albaranzeuli bianco</t>
  </si>
  <si>
    <t xml:space="preserve">Technology Department</t>
  </si>
  <si>
    <t xml:space="preserve">Vitis vinifera subsp vinifera cv. Albarola</t>
  </si>
  <si>
    <t xml:space="preserve">Terr'Loire</t>
  </si>
  <si>
    <t xml:space="preserve">Vitis vinifera subsp vinifera cv. Albert Dientz</t>
  </si>
  <si>
    <t xml:space="preserve">Texas Agricultural Experiment Station, Texas A &amp; M University</t>
  </si>
  <si>
    <t xml:space="preserve">Vitis vinifera subsp vinifera cv. Albillo</t>
  </si>
  <si>
    <t xml:space="preserve">TEZIER S.A.</t>
  </si>
  <si>
    <t xml:space="preserve">Vitis vinifera subsp vinifera cv. Albino de Sousa</t>
  </si>
  <si>
    <t xml:space="preserve">The Agricultural Research Council - Grain Crops Institute</t>
  </si>
  <si>
    <t xml:space="preserve">Vitis vinifera subsp vinifera cv. Albourlah</t>
  </si>
  <si>
    <t xml:space="preserve">The Arabidopsis Information Resource</t>
  </si>
  <si>
    <t xml:space="preserve">Vitis vinifera subsp vinifera cv. Aléatico</t>
  </si>
  <si>
    <t xml:space="preserve">The Biotechnology Center</t>
  </si>
  <si>
    <t xml:space="preserve">Vitis vinifera subsp vinifera cv. Aledo</t>
  </si>
  <si>
    <t xml:space="preserve">The Citrus Nursery</t>
  </si>
  <si>
    <t xml:space="preserve">Vitis vinifera subsp vinifera cv. Alenky</t>
  </si>
  <si>
    <t xml:space="preserve">The First Laboratory for Plant Gene Research</t>
  </si>
  <si>
    <t xml:space="preserve">Vitis vinifera subsp vinifera cv. Alepou</t>
  </si>
  <si>
    <t xml:space="preserve">The Genome Analysis Centre</t>
  </si>
  <si>
    <t xml:space="preserve">Vitis vinifera subsp vinifera cv. Alexandroouli</t>
  </si>
  <si>
    <t xml:space="preserve">The Key Laboratory of Gene Engineering of Ministry ofEducation</t>
  </si>
  <si>
    <t xml:space="preserve">Vitis vinifera subsp vinifera cv. Alfrocheiro preto</t>
  </si>
  <si>
    <t xml:space="preserve">The Molecular Breeding Lab of Wheat Research Center - Henan Academy of Agricultural Sciences</t>
  </si>
  <si>
    <t xml:space="preserve">Vitis vinifera subsp vinifera cv. Algara</t>
  </si>
  <si>
    <t xml:space="preserve">The Rockefeller Foundation</t>
  </si>
  <si>
    <t xml:space="preserve">Vitis vinifera subsp vinifera cv. Alia boka</t>
  </si>
  <si>
    <t xml:space="preserve">The V.M. Remeslo Myronivka Institute for Wheat</t>
  </si>
  <si>
    <t xml:space="preserve">Vitis vinifera subsp vinifera cv. Alicante anglais blanc</t>
  </si>
  <si>
    <t xml:space="preserve">Tintori Nursery</t>
  </si>
  <si>
    <t xml:space="preserve">Vitis vinifera subsp vinifera cv. Alicante Bouschet érigé</t>
  </si>
  <si>
    <t xml:space="preserve">Top Semence</t>
  </si>
  <si>
    <t xml:space="preserve">Vitis vinifera subsp vinifera cv. Alicante Bouschet extra fertile</t>
  </si>
  <si>
    <t xml:space="preserve">Torbert Rocheford</t>
  </si>
  <si>
    <t xml:space="preserve">Vitis vinifera subsp vinifera cv. Alicante Bouschet n°1</t>
  </si>
  <si>
    <t xml:space="preserve">Toumelin (don't exist anymore)</t>
  </si>
  <si>
    <t xml:space="preserve">Vitis vinifera subsp vinifera cv. Alicante Bouschet n°2</t>
  </si>
  <si>
    <t xml:space="preserve">Tourneur Grandes Cultures Obtentions</t>
  </si>
  <si>
    <t xml:space="preserve">Vitis vinifera subsp vinifera cv. Alicante Bouschet n°7</t>
  </si>
  <si>
    <t xml:space="preserve">Trait and  Technology Development,  Agronomic Traits</t>
  </si>
  <si>
    <t xml:space="preserve">Vitis vinifera subsp vinifera cv. Alicante Bouschet n°8</t>
  </si>
  <si>
    <t xml:space="preserve">Trait and  Technology Development,  Food and  Feed Research</t>
  </si>
  <si>
    <t xml:space="preserve">Vitis vinifera subsp vinifera cv. Alicante Bouschet précoce (ou n°5)</t>
  </si>
  <si>
    <t xml:space="preserve">Transition Zone Agricultural Research Institute</t>
  </si>
  <si>
    <t xml:space="preserve">Vitis vinifera subsp vinifera cv. Alicante Bouschet tardif (ou n°6)</t>
  </si>
  <si>
    <t xml:space="preserve">TRANSPORT DES ASSIMILATS</t>
  </si>
  <si>
    <t xml:space="preserve">Vitis vinifera subsp vinifera cv. Alicante Bouschet x Piquepoul gris</t>
  </si>
  <si>
    <t xml:space="preserve">Trégor Sélection</t>
  </si>
  <si>
    <t xml:space="preserve">Vitis vinifera subsp vinifera cv. Alicante Bouschet x Piquepoul n°12</t>
  </si>
  <si>
    <t xml:space="preserve">Tribhuvan University</t>
  </si>
  <si>
    <t xml:space="preserve">Vitis vinifera subsp vinifera cv. Alicante Henri Bouschet</t>
  </si>
  <si>
    <t xml:space="preserve">Tropical Agricultural Research Station, Clonal Repository USDA/ARS</t>
  </si>
  <si>
    <t xml:space="preserve">Vitis vinifera subsp vinifera cv. Alicante rosa</t>
  </si>
  <si>
    <t xml:space="preserve">Tropical Crops Experimental Station</t>
  </si>
  <si>
    <t xml:space="preserve">Vitis vinifera subsp vinifera cv. Aligoté</t>
  </si>
  <si>
    <t xml:space="preserve">Truffaut</t>
  </si>
  <si>
    <t xml:space="preserve">Vitis vinifera subsp vinifera cv. Alii tierskii</t>
  </si>
  <si>
    <t xml:space="preserve">Tsukuba Life Science Center</t>
  </si>
  <si>
    <t xml:space="preserve">Vitis vinifera subsp vinifera cv. Alimchak</t>
  </si>
  <si>
    <t xml:space="preserve">T&amp;TD,  Agronomic Traits,  Yield Stability</t>
  </si>
  <si>
    <t xml:space="preserve">Vitis vinifera subsp vinifera cv. Almafre</t>
  </si>
  <si>
    <t xml:space="preserve">Tulun State Plant Breeding Station</t>
  </si>
  <si>
    <t xml:space="preserve">Vitis vinifera subsp vinifera cv. Alnwick seedling</t>
  </si>
  <si>
    <t xml:space="preserve">Turkmen Academy of Agricultural Sciences</t>
  </si>
  <si>
    <t xml:space="preserve">Vitis vinifera subsp vinifera cv. Alphonse Lavallée</t>
  </si>
  <si>
    <t xml:space="preserve">Twyford Plant Laborences (NPBGR), North Carolina State University</t>
  </si>
  <si>
    <t xml:space="preserve">Vitis vinifera subsp vinifera cv. Altesse</t>
  </si>
  <si>
    <t xml:space="preserve">Tystofte-Forsoggstation</t>
  </si>
  <si>
    <t xml:space="preserve">Vitis vinifera subsp vinifera cv. Alva</t>
  </si>
  <si>
    <t xml:space="preserve">UAGPF</t>
  </si>
  <si>
    <t xml:space="preserve">Vitis vinifera subsp vinifera cv. Alval = INRA 1552-24</t>
  </si>
  <si>
    <t xml:space="preserve">UCOPAC - Verneuil - Recherches</t>
  </si>
  <si>
    <t xml:space="preserve">Vitis vinifera subsp vinifera cv. Alvarelhao</t>
  </si>
  <si>
    <t xml:space="preserve">UE arboricole, INRA-Toulenne et INRA-Bourran</t>
  </si>
  <si>
    <t xml:space="preserve">Vitis vinifera subsp vinifera cv. Alvarinho</t>
  </si>
  <si>
    <t xml:space="preserve">UE Diascope, INRA-Montpellier</t>
  </si>
  <si>
    <t xml:space="preserve">Vitis vinifera subsp vinifera cv. Alvina = INRA 2121-61</t>
  </si>
  <si>
    <t xml:space="preserve">UE Maïs, INRA-Saint-Martin-de-Hinx</t>
  </si>
  <si>
    <t xml:space="preserve">Vitis vinifera subsp vinifera cv. Alwan</t>
  </si>
  <si>
    <t xml:space="preserve">Vitis vinifera subsp vinifera cv. Amaral</t>
  </si>
  <si>
    <t xml:space="preserve">UIPMSV</t>
  </si>
  <si>
    <t xml:space="preserve">Vitis vinifera subsp vinifera cv. Amaral branco</t>
  </si>
  <si>
    <t xml:space="preserve">ULICE</t>
  </si>
  <si>
    <t xml:space="preserve">Vitis vinifera subsp vinifera cv. Ambary</t>
  </si>
  <si>
    <t xml:space="preserve">Umea Plant Science Center</t>
  </si>
  <si>
    <t xml:space="preserve">Vitis vinifera subsp vinifera cv. Amellal</t>
  </si>
  <si>
    <t xml:space="preserve">Umea Plant Science Center, Department of Plant Physiology</t>
  </si>
  <si>
    <t xml:space="preserve">Vitis vinifera subsp vinifera cv. Amessasse</t>
  </si>
  <si>
    <t xml:space="preserve">UMR AGAP Amélioration Génétique et Adaptation des Plantes méditerranéennes et Tropicales</t>
  </si>
  <si>
    <t xml:space="preserve">Vitis vinifera subsp vinifera cv. Amfioni</t>
  </si>
  <si>
    <t xml:space="preserve">UMR Amélioration des Plantes et Biotechnologies Végétales, INRA-Rennes</t>
  </si>
  <si>
    <t xml:space="preserve">Vitis vinifera subsp vinifera cv. Amigne</t>
  </si>
  <si>
    <t xml:space="preserve">Vitis vinifera subsp vinifera cv. Amokrane</t>
  </si>
  <si>
    <t xml:space="preserve">UMR APBV</t>
  </si>
  <si>
    <t xml:space="preserve">Vitis vinifera subsp vinifera cv. Ampelakiotico galano</t>
  </si>
  <si>
    <t xml:space="preserve">UMR ASP 1095</t>
  </si>
  <si>
    <t xml:space="preserve">Vitis vinifera subsp vinifera cv. Ancellota</t>
  </si>
  <si>
    <t xml:space="preserve">UMR ASP 1095 (Amelioration et Sante des Plantes)</t>
  </si>
  <si>
    <t xml:space="preserve">Vitis vinifera subsp vinifera cv. Ancorat</t>
  </si>
  <si>
    <t xml:space="preserve">UMR BiO3P</t>
  </si>
  <si>
    <t xml:space="preserve">Vitis vinifera subsp vinifera cv. Aneb ben Koreli</t>
  </si>
  <si>
    <t xml:space="preserve">UMR CNRS/INRA 215</t>
  </si>
  <si>
    <t xml:space="preserve">Vitis vinifera subsp vinifera cv. Aneb bou Bezzoul</t>
  </si>
  <si>
    <t xml:space="preserve">UMR DAP 1098</t>
  </si>
  <si>
    <t xml:space="preserve">Vitis vinifera subsp vinifera cv. Aneb el Amar</t>
  </si>
  <si>
    <t xml:space="preserve">UMR de Genetique vegetale</t>
  </si>
  <si>
    <t xml:space="preserve">Vitis vinifera subsp vinifera cv. Angelo Longo = Pirovano 101</t>
  </si>
  <si>
    <t xml:space="preserve">UMR de Genetique Vegetale du Moulon</t>
  </si>
  <si>
    <t xml:space="preserve">Vitis vinifera subsp vinifera cv. Angelo Pirovano = Pirovano 2</t>
  </si>
  <si>
    <t xml:space="preserve">UMR de Ginitique Vigitale</t>
  </si>
  <si>
    <t xml:space="preserve">Vitis vinifera subsp vinifera cv. Angiola</t>
  </si>
  <si>
    <t xml:space="preserve">Vitis vinifera subsp vinifera cv. Angulato</t>
  </si>
  <si>
    <t xml:space="preserve">UMR DiaPC</t>
  </si>
  <si>
    <t xml:space="preserve">Vitis vinifera subsp vinifera cv. Annamaria</t>
  </si>
  <si>
    <t xml:space="preserve">UMR Diversité et Adaptation des Plantes Cultivées, INRA-Montpellier</t>
  </si>
  <si>
    <t xml:space="preserve">Vitis vinifera subsp vinifera cv. Antão vaz</t>
  </si>
  <si>
    <t xml:space="preserve">UMR Diversite et Genomes des Plantes Cultivees</t>
  </si>
  <si>
    <t xml:space="preserve">Vitis vinifera subsp vinifera cv. Aouillat</t>
  </si>
  <si>
    <t xml:space="preserve">Vitis vinifera subsp vinifera cv. Appley Towers</t>
  </si>
  <si>
    <t xml:space="preserve">Vitis vinifera subsp vinifera cv. Aprofeher</t>
  </si>
  <si>
    <t xml:space="preserve">Vitis vinifera subsp vinifera cv. Aptiche aga</t>
  </si>
  <si>
    <t xml:space="preserve">UMR Génétique et Horticulture GenHort, INRA-Angers</t>
  </si>
  <si>
    <t xml:space="preserve">Vitis vinifera subsp vinifera cv. Apyrène de Roussé</t>
  </si>
  <si>
    <t xml:space="preserve">UMR Génétique Végétale, INRA-Moulon</t>
  </si>
  <si>
    <t xml:space="preserve">Vitis vinifera subsp vinifera cv. Aragatzi</t>
  </si>
  <si>
    <t xml:space="preserve">UMR Génomique Végétale, INRA-Evry</t>
  </si>
  <si>
    <t xml:space="preserve">Vitis vinifera subsp vinifera cv. Araklinos</t>
  </si>
  <si>
    <t xml:space="preserve">UMR IaM - 1136</t>
  </si>
  <si>
    <t xml:space="preserve">Vitis vinifera subsp vinifera cv. Aramon</t>
  </si>
  <si>
    <t xml:space="preserve">UMR INRA 1088 Plante-Microbe-Environment</t>
  </si>
  <si>
    <t xml:space="preserve">Vitis vinifera subsp vinifera cv. Aramon blanc</t>
  </si>
  <si>
    <t xml:space="preserve">UMR INRA 1088/CNRS 5184/U. Bourgogne PME,  Inra</t>
  </si>
  <si>
    <t xml:space="preserve">Vitis vinifera subsp vinifera cv. Aramon blanc de la Calmette</t>
  </si>
  <si>
    <t xml:space="preserve">UMR INRA 1165 - CNRS 8114 - UEVE</t>
  </si>
  <si>
    <t xml:space="preserve">Vitis vinifera subsp vinifera cv. Aramon Bouschet n°1</t>
  </si>
  <si>
    <t xml:space="preserve">UMR INRA 1165 CNRS 8114 - UEVE</t>
  </si>
  <si>
    <t xml:space="preserve">Vitis vinifera subsp vinifera cv. Aramon Bouschet n°3</t>
  </si>
  <si>
    <t xml:space="preserve">UMR INRA-Agrocampus</t>
  </si>
  <si>
    <t xml:space="preserve">Vitis vinifera subsp vinifera cv. Aramon Bouschet n°5</t>
  </si>
  <si>
    <t xml:space="preserve">UMR INRA-ENSAR</t>
  </si>
  <si>
    <t xml:space="preserve">Vitis vinifera subsp vinifera cv. Aramon gris</t>
  </si>
  <si>
    <t xml:space="preserve">UMR INRA-INSA BF2I</t>
  </si>
  <si>
    <t xml:space="preserve">Vitis vinifera subsp vinifera cv. Aramon teinturier Bouschet</t>
  </si>
  <si>
    <t xml:space="preserve">UMR INRA-UBP Amilioration &amp; Santi des Plantes</t>
  </si>
  <si>
    <t xml:space="preserve">Vitis vinifera subsp vinifera cv. Aranel = INRA 1816-106</t>
  </si>
  <si>
    <t xml:space="preserve">UMR INRA-UHP 1137</t>
  </si>
  <si>
    <t xml:space="preserve">Vitis vinifera subsp vinifera cv. Aranyka sarga</t>
  </si>
  <si>
    <t xml:space="preserve">UMR Institut de Génétique, Environnement et Protection des Plantes, INRA-Rennes</t>
  </si>
  <si>
    <t xml:space="preserve">Vitis vinifera subsp vinifera cv. Ararati</t>
  </si>
  <si>
    <t xml:space="preserve">Vitis vinifera subsp vinifera cv. Araxeni tchernii</t>
  </si>
  <si>
    <t xml:space="preserve">UMR Institut de Génétique, Environnement et Protection des Plantes, INRA-Rennes, Site de Plougoulm</t>
  </si>
  <si>
    <t xml:space="preserve">Vitis vinifera subsp vinifera cv. Arbane</t>
  </si>
  <si>
    <t xml:space="preserve">UMR Peuplement Végétaux et Bioagresseurs en Milieu Tropical, CIRAD-Réunion</t>
  </si>
  <si>
    <t xml:space="preserve">Vitis vinifera subsp vinifera cv. Arbia</t>
  </si>
  <si>
    <t xml:space="preserve">Vitis vinifera subsp vinifera cv. Arbois rose</t>
  </si>
  <si>
    <t xml:space="preserve">UMR SPO</t>
  </si>
  <si>
    <t xml:space="preserve">Vitis vinifera subsp vinifera cv. Ardona = INRA 605-8</t>
  </si>
  <si>
    <t xml:space="preserve">UMR Stress Abiotiques et Différenciation des Végétaux Cultivés</t>
  </si>
  <si>
    <t xml:space="preserve">Vitis vinifera subsp vinifera cv. Ardonnet</t>
  </si>
  <si>
    <t xml:space="preserve">UMR UMR INRA 1165 - CNRS 8114 - UEVE</t>
  </si>
  <si>
    <t xml:space="preserve">Vitis vinifera subsp vinifera cv. Ardounet noir</t>
  </si>
  <si>
    <t xml:space="preserve">UMR UP-IRD-CNRS 5096</t>
  </si>
  <si>
    <t xml:space="preserve">Vitis vinifera subsp vinifera cv. Areni tchernii</t>
  </si>
  <si>
    <t xml:space="preserve">UMR USTL-INRA 1281 - Stress abiotique et difirenciation des vigitaux cultivis (SADV)</t>
  </si>
  <si>
    <t xml:space="preserve">Vitis vinifera subsp vinifera cv. Argant</t>
  </si>
  <si>
    <t xml:space="preserve">UMR 1095 INRA-UBP Amélioration &amp; Santé des Plantes</t>
  </si>
  <si>
    <t xml:space="preserve">Vitis vinifera subsp vinifera cv. Arinarnoa</t>
  </si>
  <si>
    <t xml:space="preserve">UMR 1095 INRA/UBP GDEC</t>
  </si>
  <si>
    <t xml:space="preserve">Vitis vinifera subsp vinifera cv. Ariño</t>
  </si>
  <si>
    <t xml:space="preserve">UMR 1095 INRA-UBP Génétique, Diversité et Ecophysiologie des Céréales</t>
  </si>
  <si>
    <t xml:space="preserve">Vitis vinifera subsp vinifera cv. Arinto de Bucelas</t>
  </si>
  <si>
    <t xml:space="preserve">UMR 1095 INRA-UBP Ginitique, Diversiti et Ecophysiologie des Ciriales</t>
  </si>
  <si>
    <t xml:space="preserve">Vitis vinifera subsp vinifera cv. Arinto du Dâo</t>
  </si>
  <si>
    <t xml:space="preserve">UMR 1096 / PIA</t>
  </si>
  <si>
    <t xml:space="preserve">Vitis vinifera subsp vinifera cv. Arizul</t>
  </si>
  <si>
    <t xml:space="preserve">UMR 1096 /PIA</t>
  </si>
  <si>
    <t xml:space="preserve">Vitis vinifera subsp vinifera cv. Armas</t>
  </si>
  <si>
    <t xml:space="preserve">UMR 1097 Vigne</t>
  </si>
  <si>
    <t xml:space="preserve">Vitis vinifera subsp vinifera cv. Armenia</t>
  </si>
  <si>
    <t xml:space="preserve">UMR 1136</t>
  </si>
  <si>
    <t xml:space="preserve">Vitis vinifera subsp vinifera cv. Arna guirna</t>
  </si>
  <si>
    <t xml:space="preserve">UMR 118 INRA-AgroCampus Rennes</t>
  </si>
  <si>
    <t xml:space="preserve">Vitis vinifera subsp vinifera cv. Arneis</t>
  </si>
  <si>
    <t xml:space="preserve">UMR 12 87 EGFV</t>
  </si>
  <si>
    <t xml:space="preserve">Vitis vinifera subsp vinifera cv. Aromatica = Pirovano 393</t>
  </si>
  <si>
    <t xml:space="preserve">UMR 320 Genetique Vegetale</t>
  </si>
  <si>
    <t xml:space="preserve">Vitis vinifera subsp vinifera cv. Aromriesling</t>
  </si>
  <si>
    <t xml:space="preserve">UMR 5004 laboratoire de physiologie et biologie moleculaire des plantes</t>
  </si>
  <si>
    <t xml:space="preserve">Vitis vinifera subsp vinifera cv. Arpad = Evêque Prohaszka</t>
  </si>
  <si>
    <t xml:space="preserve">UMR 5546 Pole de biotechnologies vegetales</t>
  </si>
  <si>
    <t xml:space="preserve">Vitis vinifera subsp vinifera cv. Arriloba</t>
  </si>
  <si>
    <t xml:space="preserve">UMR 619 - Equipe Biologie de la Vigne</t>
  </si>
  <si>
    <t xml:space="preserve">Vitis vinifera subsp vinifera cv. Arrouya</t>
  </si>
  <si>
    <t xml:space="preserve">UMR 8618 - Laboratoire Structure et Metabolisme des Plantes</t>
  </si>
  <si>
    <t xml:space="preserve">Vitis vinifera subsp vinifera cv. Arrufiac</t>
  </si>
  <si>
    <t xml:space="preserve">UMR-DAP</t>
  </si>
  <si>
    <t xml:space="preserve">Vitis vinifera subsp vinifera cv. Arturo Marescalchi = Pirovano 318</t>
  </si>
  <si>
    <t xml:space="preserve">UMR05 CNRS/INRA</t>
  </si>
  <si>
    <t xml:space="preserve">Vitis vinifera subsp vinifera cv. Arvesiniadu</t>
  </si>
  <si>
    <t xml:space="preserve">UMR1097 Vigne</t>
  </si>
  <si>
    <t xml:space="preserve">Vitis vinifera subsp vinifera cv. Arvignon</t>
  </si>
  <si>
    <t xml:space="preserve">UMR118 Amelioration des plantes</t>
  </si>
  <si>
    <t xml:space="preserve">Vitis vinifera subsp vinifera cv. Arvine</t>
  </si>
  <si>
    <t xml:space="preserve">UMR518 AgroParisTech/INRA</t>
  </si>
  <si>
    <t xml:space="preserve">Vitis vinifera subsp vinifera cv. Ascott Citronelle</t>
  </si>
  <si>
    <t xml:space="preserve">UMR759 Ecophysiologie des plantes sous stress environnementaux</t>
  </si>
  <si>
    <t xml:space="preserve">Vitis vinifera subsp vinifera cv. Askari</t>
  </si>
  <si>
    <t xml:space="preserve">UMR8576 CNRS/UST Lille</t>
  </si>
  <si>
    <t xml:space="preserve">Vitis vinifera subsp vinifera cv. Askeri</t>
  </si>
  <si>
    <t xml:space="preserve">UNCAC Cooperative Agricole Cereales</t>
  </si>
  <si>
    <t xml:space="preserve">Vitis vinifera subsp vinifera cv. Askudi</t>
  </si>
  <si>
    <t xml:space="preserve">UNCAC La Brosse Montceaux</t>
  </si>
  <si>
    <t xml:space="preserve">Vitis vinifera subsp vinifera cv. Asma</t>
  </si>
  <si>
    <t xml:space="preserve">Unicopa Clause</t>
  </si>
  <si>
    <t xml:space="preserve">Vitis vinifera subsp vinifera cv. Asmi assouad</t>
  </si>
  <si>
    <t xml:space="preserve">Unidad de Recursos Geneticos Universidad Autonoma de Chapingo</t>
  </si>
  <si>
    <t xml:space="preserve">Vitis vinifera subsp vinifera cv. Asmi blanc</t>
  </si>
  <si>
    <t xml:space="preserve">Union des Producteurs de Plaimont</t>
  </si>
  <si>
    <t xml:space="preserve">Vitis vinifera subsp vinifera cv. Aspiran Bouschet</t>
  </si>
  <si>
    <t xml:space="preserve">Unisigma Gie de Recherche et de Selection</t>
  </si>
  <si>
    <t xml:space="preserve">Vitis vinifera subsp vinifera cv. Aspiran rouge foncé</t>
  </si>
  <si>
    <t xml:space="preserve">Unit of Forest improvement, Genetics and Physiology</t>
  </si>
  <si>
    <t xml:space="preserve">Vitis vinifera subsp vinifera cv. Asprinio</t>
  </si>
  <si>
    <t xml:space="preserve">UnitÃ© AmÃ©lioration, GÃ©nÃ©tique et Physiologie ForestiÃ?res</t>
  </si>
  <si>
    <t xml:space="preserve">Vitis vinifera subsp vinifera cv. Asprouda de Santorini</t>
  </si>
  <si>
    <t xml:space="preserve">UnitC) de Nutrition AzotC)e des Plantes</t>
  </si>
  <si>
    <t xml:space="preserve">Vitis vinifera subsp vinifera cv. Asprouda Zakinthou</t>
  </si>
  <si>
    <t xml:space="preserve">Unite Centrale de la Miniere, GEVES</t>
  </si>
  <si>
    <t xml:space="preserve">Vitis vinifera subsp vinifera cv. Assali al arous</t>
  </si>
  <si>
    <t xml:space="preserve">Unite d'amelioration des plantes</t>
  </si>
  <si>
    <t xml:space="preserve">Vitis vinifera subsp vinifera cv. Assario roxo</t>
  </si>
  <si>
    <t xml:space="preserve">Unite de Biochime et Biologie Moleculaire des Cereales</t>
  </si>
  <si>
    <t xml:space="preserve">Vitis vinifera subsp vinifera cv. Assario Tinto</t>
  </si>
  <si>
    <t xml:space="preserve">Unite de Biochimie et Biologie Moleculaire des Cereales</t>
  </si>
  <si>
    <t xml:space="preserve">Vitis vinifera subsp vinifera cv. Assario (1)</t>
  </si>
  <si>
    <t xml:space="preserve">Unite de Genetique dt d amelioration des plantes fourrageres</t>
  </si>
  <si>
    <t xml:space="preserve">Vitis vinifera subsp vinifera cv. Assario (2)</t>
  </si>
  <si>
    <t xml:space="preserve">Unite de Genetique et d'Amelioration des Fruits et Legumes</t>
  </si>
  <si>
    <t xml:space="preserve">Vitis vinifera subsp vinifera cv. Asseli</t>
  </si>
  <si>
    <t xml:space="preserve">Unite de Genetique et d'Amelioration des Plantes Fourrageres (UGAPF)</t>
  </si>
  <si>
    <t xml:space="preserve">Vitis vinifera subsp vinifera cv. Asserghin</t>
  </si>
  <si>
    <t xml:space="preserve">Unite de Recherche des Produits de la Vigne</t>
  </si>
  <si>
    <t xml:space="preserve">Vitis vinifera subsp vinifera cv. Assouad Abou khislé</t>
  </si>
  <si>
    <t xml:space="preserve">Unite de Recherche en Genetique et Amelioration des plantes</t>
  </si>
  <si>
    <t xml:space="preserve">Vitis vinifera subsp vinifera cv. Assouad afranji</t>
  </si>
  <si>
    <t xml:space="preserve">Unite de Recherche en Genomique vegetale</t>
  </si>
  <si>
    <t xml:space="preserve">Vitis vinifera subsp vinifera cv. Assouad anouni</t>
  </si>
  <si>
    <t xml:space="preserve">Unite de Recherche Genomique-Info</t>
  </si>
  <si>
    <t xml:space="preserve">Vitis vinifera subsp vinifera cv. Assouad karech</t>
  </si>
  <si>
    <t xml:space="preserve">Unite de recherche sur les legumineuses (URLEG)</t>
  </si>
  <si>
    <t xml:space="preserve">Vitis vinifera subsp vinifera cv. Assoued kere</t>
  </si>
  <si>
    <t xml:space="preserve">Unite de Recherches en Sante Vegetale</t>
  </si>
  <si>
    <t xml:space="preserve">Vitis vinifera subsp vinifera cv. Assoued zeme</t>
  </si>
  <si>
    <t xml:space="preserve">Unite de recherches Interactions Plantes Microorganismes et Sante Vegetale</t>
  </si>
  <si>
    <t xml:space="preserve">Vitis vinifera subsp vinifera cv. Assul kara</t>
  </si>
  <si>
    <t xml:space="preserve">Unité Expérimentale du Domaine de Pech Rouge, INRA-Montpellier - UMR-SPO</t>
  </si>
  <si>
    <t xml:space="preserve">Vitis vinifera subsp vinifera cv. Assyrtico</t>
  </si>
  <si>
    <t xml:space="preserve">Vitis vinifera subsp vinifera cv. Athiri</t>
  </si>
  <si>
    <t xml:space="preserve">Unite experimentale du Magneraud, GEVES</t>
  </si>
  <si>
    <t xml:space="preserve">Vitis vinifera subsp vinifera cv. Athiri lefko</t>
  </si>
  <si>
    <t xml:space="preserve">Vitis vinifera subsp vinifera cv. Atomic</t>
  </si>
  <si>
    <t xml:space="preserve">Unite Genetique et amelioration des plantes</t>
  </si>
  <si>
    <t xml:space="preserve">Vitis vinifera subsp vinifera cv. Atomic apyrène</t>
  </si>
  <si>
    <t xml:space="preserve">Unite Interactions Plantes-Microorganismes et Sante Vegetale</t>
  </si>
  <si>
    <t xml:space="preserve">Vitis vinifera subsp vinifera cv. Attiki</t>
  </si>
  <si>
    <t xml:space="preserve">Unité mixte de recherche Génétique et ecophysiologie des légumineuses (UMRLEG)</t>
  </si>
  <si>
    <t xml:space="preserve">Vitis vinifera subsp vinifera cv. Attila</t>
  </si>
  <si>
    <t xml:space="preserve">Unité mixte de recherche Génétique et écophysiologie des légumineuses (UMRLEG)</t>
  </si>
  <si>
    <t xml:space="preserve">Vitis vinifera subsp vinifera cv. Attilio Ragioneri = Pirovano 150</t>
  </si>
  <si>
    <t xml:space="preserve">Unité mixte de recherche Physiologie Moléculaire des Semences (UMR PMS)</t>
  </si>
  <si>
    <t xml:space="preserve">Vitis vinifera subsp vinifera cv. Aubin</t>
  </si>
  <si>
    <t xml:space="preserve">United State Department of Agriculture by Agricultural Research Service, Washington - USA - Fogle H.</t>
  </si>
  <si>
    <t xml:space="preserve">Vitis vinifera subsp vinifera cv. Aubin vert</t>
  </si>
  <si>
    <t xml:space="preserve">United States Department of Agriculture Georgie USA</t>
  </si>
  <si>
    <t xml:space="preserve">Vitis vinifera subsp vinifera cv. Aubun</t>
  </si>
  <si>
    <t xml:space="preserve">Univ. Calif. Citrus Exp. Sta.</t>
  </si>
  <si>
    <t xml:space="preserve">Vitis vinifera subsp vinifera cv. Audibert</t>
  </si>
  <si>
    <t xml:space="preserve">Universidad de la Republica Oriental del Uruguay</t>
  </si>
  <si>
    <t xml:space="preserve">Vitis vinifera subsp vinifera cv. Augster blau</t>
  </si>
  <si>
    <t xml:space="preserve">Universidad Nacional Autonoma de Honduras</t>
  </si>
  <si>
    <t xml:space="preserve">Vitis vinifera subsp vinifera cv. Augster weisser</t>
  </si>
  <si>
    <t xml:space="preserve">Universidad Nacional Hermilio Abad del Cusco, Centro K'Ayra</t>
  </si>
  <si>
    <t xml:space="preserve">Vitis vinifera subsp vinifera cv. Aurata = Pirovano 110</t>
  </si>
  <si>
    <t xml:space="preserve">Universidade Federal do Rio Grande do Rio Grande</t>
  </si>
  <si>
    <t xml:space="preserve">Vitis vinifera subsp vinifera cv. Aurora = Pirovano 100</t>
  </si>
  <si>
    <t xml:space="preserve">Universita di Catania</t>
  </si>
  <si>
    <t xml:space="preserve">Vitis vinifera subsp vinifera cv. Autumn black</t>
  </si>
  <si>
    <t xml:space="preserve">Universitaet Hohenheim</t>
  </si>
  <si>
    <t xml:space="preserve">Vitis vinifera subsp vinifera cv. Autumn seedless</t>
  </si>
  <si>
    <t xml:space="preserve">Universite Grenoble Biologie moleculaire et vegetale</t>
  </si>
  <si>
    <t xml:space="preserve">Vitis vinifera subsp vinifera cv. Auxerrois</t>
  </si>
  <si>
    <t xml:space="preserve">University California USA</t>
  </si>
  <si>
    <t xml:space="preserve">Vitis vinifera subsp vinifera cv. Avana</t>
  </si>
  <si>
    <t xml:space="preserve">University Florida USA</t>
  </si>
  <si>
    <t xml:space="preserve">Vitis vinifera subsp vinifera cv. Avarengo</t>
  </si>
  <si>
    <t xml:space="preserve">University of Arizona</t>
  </si>
  <si>
    <t xml:space="preserve">Vitis vinifera subsp vinifera cv. Avassirkhva</t>
  </si>
  <si>
    <t xml:space="preserve">University of California</t>
  </si>
  <si>
    <t xml:space="preserve">Vitis vinifera subsp vinifera cv. Avesso</t>
  </si>
  <si>
    <t xml:space="preserve">University of Illinois,  Urbana-Champaign</t>
  </si>
  <si>
    <t xml:space="preserve">Vitis vinifera subsp vinifera cv. Avgoulato</t>
  </si>
  <si>
    <t xml:space="preserve">University of Pretoria</t>
  </si>
  <si>
    <t xml:space="preserve">Vitis vinifera subsp vinifera cv. Azal branco</t>
  </si>
  <si>
    <t xml:space="preserve">University of Puerto Rico</t>
  </si>
  <si>
    <t xml:space="preserve">Vitis vinifera subsp vinifera cv. Azal tinto</t>
  </si>
  <si>
    <t xml:space="preserve">University of Saskatchewan</t>
  </si>
  <si>
    <t xml:space="preserve">Vitis vinifera subsp vinifera cv. Azizi el Jaïa</t>
  </si>
  <si>
    <t xml:space="preserve">University of Sydney Plant Breeding Institute</t>
  </si>
  <si>
    <t xml:space="preserve">Vitis vinifera subsp vinifera cv. Azougah</t>
  </si>
  <si>
    <t xml:space="preserve">University of Udayana</t>
  </si>
  <si>
    <t xml:space="preserve">Vitis vinifera subsp vinifera cv. B 3-1</t>
  </si>
  <si>
    <t xml:space="preserve">University of Wuhan, Hubei</t>
  </si>
  <si>
    <t xml:space="preserve">Vitis vinifera subsp vinifera cv. B 5-6</t>
  </si>
  <si>
    <t xml:space="preserve">UNKNOWN</t>
  </si>
  <si>
    <t xml:space="preserve">Vitis vinifera subsp vinifera cv. Babeasca gris</t>
  </si>
  <si>
    <t xml:space="preserve">Vitis vinifera subsp vinifera cv. Babeasca neagra</t>
  </si>
  <si>
    <t xml:space="preserve">UPS Pole de Biotechnologie Vegetale</t>
  </si>
  <si>
    <t xml:space="preserve">Vitis vinifera subsp vinifera cv. Babic</t>
  </si>
  <si>
    <t xml:space="preserve">Vitis vinifera subsp vinifera cv. Bacchus = Geilweilerhof 33-29-133</t>
  </si>
  <si>
    <t xml:space="preserve">UR EFV</t>
  </si>
  <si>
    <t xml:space="preserve">Vitis vinifera subsp vinifera cv. Bacchus Bidault</t>
  </si>
  <si>
    <t xml:space="preserve">Vitis vinifera subsp vinifera cv. Bachet</t>
  </si>
  <si>
    <t xml:space="preserve">UR GAFL</t>
  </si>
  <si>
    <t xml:space="preserve">Vitis vinifera subsp vinifera cv. Badacsonyi Somzölö</t>
  </si>
  <si>
    <t xml:space="preserve">Vitis vinifera subsp vinifera cv. Baga</t>
  </si>
  <si>
    <t xml:space="preserve">Vitis vinifera subsp vinifera cv. Baïan Schirei</t>
  </si>
  <si>
    <t xml:space="preserve">Vitis vinifera subsp vinifera cv. Bakarka</t>
  </si>
  <si>
    <t xml:space="preserve">URGV</t>
  </si>
  <si>
    <t xml:space="preserve">Vitis vinifera subsp vinifera cv. Bakator kek</t>
  </si>
  <si>
    <t xml:space="preserve">URGV,  CNRS / INRA</t>
  </si>
  <si>
    <t xml:space="preserve">Vitis vinifera subsp vinifera cv. Bakator piros</t>
  </si>
  <si>
    <t xml:space="preserve">URGV - Plant Genomics Research Unit</t>
  </si>
  <si>
    <t xml:space="preserve">Vitis vinifera subsp vinifera cv. Bakator tüdöszinu</t>
  </si>
  <si>
    <t xml:space="preserve">Vitis vinifera subsp vinifera cv. Bakouri</t>
  </si>
  <si>
    <t xml:space="preserve">URP3F</t>
  </si>
  <si>
    <t xml:space="preserve">Vitis vinifera subsp vinifera cv. Balafant</t>
  </si>
  <si>
    <t xml:space="preserve">UR121 RIZ</t>
  </si>
  <si>
    <t xml:space="preserve">Vitis vinifera subsp vinifera cv. Balaton kincse</t>
  </si>
  <si>
    <t xml:space="preserve">UR254 Genetique et amelioration des plantes</t>
  </si>
  <si>
    <t xml:space="preserve">Vitis vinifera subsp vinifera cv. Balbut bijeli</t>
  </si>
  <si>
    <t xml:space="preserve">U.S. Date and Citrus Station</t>
  </si>
  <si>
    <t xml:space="preserve">Vitis vinifera subsp vinifera cv. Balint</t>
  </si>
  <si>
    <t xml:space="preserve">US Department of Agriculture,  Agriculture Research Service, Pacific West Area,  Western Regional Research Center</t>
  </si>
  <si>
    <t xml:space="preserve">Vitis vinifera subsp vinifera cv. Balouti</t>
  </si>
  <si>
    <t xml:space="preserve">US Department of Agriculture,  Agriculture Research Service, Plant Science and  Entomology Unit</t>
  </si>
  <si>
    <t xml:space="preserve">Vitis vinifera subsp vinifera cv. Balouzme</t>
  </si>
  <si>
    <t xml:space="preserve">U.S. Horticultural Field Station</t>
  </si>
  <si>
    <t xml:space="preserve">Vitis vinifera subsp vinifera cv. Balsamina nera</t>
  </si>
  <si>
    <t xml:space="preserve">U.S Horticultural Research</t>
  </si>
  <si>
    <t xml:space="preserve">Vitis vinifera subsp vinifera cv. Balsamino blanc</t>
  </si>
  <si>
    <t xml:space="preserve">US. Horticultural Research Lab,  Ft. Pierce,  FL</t>
  </si>
  <si>
    <t xml:space="preserve">Vitis vinifera subsp vinifera cv. Balzac blanc</t>
  </si>
  <si>
    <t xml:space="preserve">US Horticultural Research Laboratory</t>
  </si>
  <si>
    <t xml:space="preserve">Vitis vinifera subsp vinifera cv. Banati Rizling</t>
  </si>
  <si>
    <t xml:space="preserve">US Horticulture Research Laboratory, USDA/ARS</t>
  </si>
  <si>
    <t xml:space="preserve">Vitis vinifera subsp vinifera cv. Baratcsuha kek</t>
  </si>
  <si>
    <t xml:space="preserve">USDA, ARS Agricultural Research Service</t>
  </si>
  <si>
    <t xml:space="preserve">Vitis vinifera subsp vinifera cv. Baratcsuha szürke</t>
  </si>
  <si>
    <t xml:space="preserve">USDA, ARS, National Small Grains Collection</t>
  </si>
  <si>
    <t xml:space="preserve">Vitis vinifera subsp vinifera cv. Barbableu = Pirovano 81</t>
  </si>
  <si>
    <t xml:space="preserve">USDA, ARS, Plant Genetic Resources Unit, Cornell University, New York State Agricultural Experiment Station</t>
  </si>
  <si>
    <t xml:space="preserve">Vitis vinifera subsp vinifera cv. Barbaroux</t>
  </si>
  <si>
    <t xml:space="preserve">USDA, ARS, Washington State University, Irrigation Agricultural Research and Extension Center</t>
  </si>
  <si>
    <t xml:space="preserve">Vitis vinifera subsp vinifera cv. Barbera</t>
  </si>
  <si>
    <t xml:space="preserve">USDA, ARS, Western Regional Plant Introduction Station, Washington State University</t>
  </si>
  <si>
    <t xml:space="preserve">Vitis vinifera subsp vinifera cv. Barbera bianca</t>
  </si>
  <si>
    <t xml:space="preserve">USDA ARS WRRC</t>
  </si>
  <si>
    <t xml:space="preserve">Vitis vinifera subsp vinifera cv. Barcello</t>
  </si>
  <si>
    <t xml:space="preserve">USDA Beltsville Agricultural research Centre</t>
  </si>
  <si>
    <t xml:space="preserve">Vitis vinifera subsp vinifera cv. Barducis</t>
  </si>
  <si>
    <t xml:space="preserve">USDA/ARS Children's Nutrition Research Center</t>
  </si>
  <si>
    <t xml:space="preserve">Vitis vinifera subsp vinifera cv. Baresana</t>
  </si>
  <si>
    <t xml:space="preserve">USDA-ARS-JWDSRC</t>
  </si>
  <si>
    <t xml:space="preserve">Vitis vinifera subsp vinifera cv. Barlinka</t>
  </si>
  <si>
    <t xml:space="preserve">U.S.Department of Agriculture</t>
  </si>
  <si>
    <t xml:space="preserve">Vitis vinifera subsp vinifera cv. Barone dell Aterno = Pirovano 184</t>
  </si>
  <si>
    <t xml:space="preserve">U.S.Department of Agriculture - Agricultural Research Service</t>
  </si>
  <si>
    <t xml:space="preserve">Vitis vinifera subsp vinifera cv. Baroque</t>
  </si>
  <si>
    <t xml:space="preserve">Ustimovskaya Experimental Station for Plant Cultivation</t>
  </si>
  <si>
    <t xml:space="preserve">Vitis vinifera subsp vinifera cv. Baroque rose</t>
  </si>
  <si>
    <t xml:space="preserve">Utah Agricultural Experiment Station, Utah State University</t>
  </si>
  <si>
    <t xml:space="preserve">Vitis vinifera subsp vinifera cv. Barraquou</t>
  </si>
  <si>
    <t xml:space="preserve">Van borren, Tchécoslovaquie</t>
  </si>
  <si>
    <t xml:space="preserve">Vitis vinifera subsp vinifera cv. Barsaglina</t>
  </si>
  <si>
    <t xml:space="preserve">Van der Have GmbH</t>
  </si>
  <si>
    <t xml:space="preserve">Vitis vinifera subsp vinifera cv. Baserri</t>
  </si>
  <si>
    <t xml:space="preserve">Veg Saatzucht Hadmersleben</t>
  </si>
  <si>
    <t xml:space="preserve">Vitis vinifera subsp vinifera cv. Basicata</t>
  </si>
  <si>
    <t xml:space="preserve">Vegetable breeding station PEKIN</t>
  </si>
  <si>
    <t xml:space="preserve">Vitis vinifera subsp vinifera cv. Basicata faux</t>
  </si>
  <si>
    <t xml:space="preserve">Verger expérimental de l'Yonne (89) - France</t>
  </si>
  <si>
    <t xml:space="preserve">Vitis vinifera subsp vinifera cv. Basile Logothetis = Pirovano 77</t>
  </si>
  <si>
    <t xml:space="preserve">Villa Thuret</t>
  </si>
  <si>
    <t xml:space="preserve">Vitis vinifera subsp vinifera cv. Basilicumtraube</t>
  </si>
  <si>
    <t xml:space="preserve">Ville de Menton</t>
  </si>
  <si>
    <t xml:space="preserve">Vitis vinifera subsp vinifera cv. Bastardinho</t>
  </si>
  <si>
    <t xml:space="preserve">Vilmorin</t>
  </si>
  <si>
    <t xml:space="preserve">Vitis vinifera subsp vinifera cv. Bastardo Magaratchskii</t>
  </si>
  <si>
    <t xml:space="preserve">Vilmorin S.A.</t>
  </si>
  <si>
    <t xml:space="preserve">Vitis vinifera subsp vinifera cv. Batiki</t>
  </si>
  <si>
    <t xml:space="preserve">Vilmorin-Andrieux</t>
  </si>
  <si>
    <t xml:space="preserve">Vitis vinifera subsp vinifera cv. Batoca blanc</t>
  </si>
  <si>
    <t xml:space="preserve">Virginia Agricultural Experiment Station, Virginia Tech</t>
  </si>
  <si>
    <t xml:space="preserve">Vitis vinifera subsp vinifera cv. Battraube</t>
  </si>
  <si>
    <t xml:space="preserve">Vnii Sorgo I Drugih Zernovyh Kul'tur</t>
  </si>
  <si>
    <t xml:space="preserve">Vitis vinifera subsp vinifera cv. Batuta neagra</t>
  </si>
  <si>
    <t xml:space="preserve">Volcani Research Center</t>
  </si>
  <si>
    <t xml:space="preserve">Vitis vinifera subsp vinifera cv. Baude</t>
  </si>
  <si>
    <t xml:space="preserve">Waite Agricultural Research Institute University of Adelaide</t>
  </si>
  <si>
    <t xml:space="preserve">Vitis vinifera subsp vinifera cv. Baxtiori</t>
  </si>
  <si>
    <t xml:space="preserve">Wakayama Fruit Tree Experiment Station</t>
  </si>
  <si>
    <t xml:space="preserve">Vitis vinifera subsp vinifera cv. Bayad</t>
  </si>
  <si>
    <t xml:space="preserve">Washington State University Research Foundation - Pullman, WA - USA - Toyama TK</t>
  </si>
  <si>
    <t xml:space="preserve">Vitis vinifera subsp vinifera cv. Bayadi</t>
  </si>
  <si>
    <t xml:space="preserve">Washington State University Research Foundation, Pullman, WA - USA + Cot International, Generac - France</t>
  </si>
  <si>
    <t xml:space="preserve">Vitis vinifera subsp vinifera cv. Bayadi de Syrie</t>
  </si>
  <si>
    <t xml:space="preserve">Weizman Institute of Science</t>
  </si>
  <si>
    <t xml:space="preserve">Vitis vinifera subsp vinifera cv. Bayadi du Liban</t>
  </si>
  <si>
    <t xml:space="preserve">Western Australian Department of Agriculture</t>
  </si>
  <si>
    <t xml:space="preserve">Vitis vinifera subsp vinifera cv. BB 575-49 SRLH</t>
  </si>
  <si>
    <t xml:space="preserve">Wet-lowlands Islands Research Programme, Keravat</t>
  </si>
  <si>
    <t xml:space="preserve">Vitis vinifera subsp vinifera cv. Beala debela</t>
  </si>
  <si>
    <t xml:space="preserve">Wheat National Research Center</t>
  </si>
  <si>
    <t xml:space="preserve">Vitis vinifera subsp vinifera cv. Beaunoir</t>
  </si>
  <si>
    <t xml:space="preserve">Wheat Research Institute Ilam Research Centre</t>
  </si>
  <si>
    <t xml:space="preserve">Vitis vinifera subsp vinifera cv. Beauty seedless</t>
  </si>
  <si>
    <t xml:space="preserve">Wiersum Plant Breeding Station</t>
  </si>
  <si>
    <t xml:space="preserve">Vitis vinifera subsp vinifera cv. Béclan</t>
  </si>
  <si>
    <t xml:space="preserve">William James Farrer - Breeder</t>
  </si>
  <si>
    <t xml:space="preserve">Vitis vinifera subsp vinifera cv. Beid el Hamman</t>
  </si>
  <si>
    <t xml:space="preserve">Willits &amp; Newcomb Nurseries Co. Inc</t>
  </si>
  <si>
    <t xml:space="preserve">Vitis vinifera subsp vinifera cv. Beitamouni</t>
  </si>
  <si>
    <t xml:space="preserve">Winnipeg Research Station Agriculture Canada</t>
  </si>
  <si>
    <t xml:space="preserve">Vitis vinifera subsp vinifera cv. Belair</t>
  </si>
  <si>
    <t xml:space="preserve">Wisconsin Agricultural Experiment Station, University of Wisconsin</t>
  </si>
  <si>
    <t xml:space="preserve">Vitis vinifera subsp vinifera cv. Beldi x Ugni blanc</t>
  </si>
  <si>
    <t xml:space="preserve">World Seeds Inc.</t>
  </si>
  <si>
    <t xml:space="preserve">Vitis vinifera subsp vinifera cv. Beldi x Ugni blanc 36 L 4</t>
  </si>
  <si>
    <t xml:space="preserve">Yossef Ben-dor, Perot Oemashtalot Ltd. - Hama'ala - Israel</t>
  </si>
  <si>
    <t xml:space="preserve">Vitis vinifera subsp vinifera cv. Belle de Cegled</t>
  </si>
  <si>
    <t xml:space="preserve">Zaiger Floid, Modesto - CA - USA</t>
  </si>
  <si>
    <t xml:space="preserve">Vitis vinifera subsp vinifera cv. Bellevue</t>
  </si>
  <si>
    <t xml:space="preserve">Zelder B.V.</t>
  </si>
  <si>
    <t xml:space="preserve">Vitis vinifera subsp vinifera cv. Bellino</t>
  </si>
  <si>
    <t xml:space="preserve">Zeneca Seeds UK Limited - Plant Breeding and Research Centre</t>
  </si>
  <si>
    <t xml:space="preserve">Vitis vinifera subsp vinifera cv. Bellone</t>
  </si>
  <si>
    <t xml:space="preserve">Zeneca Wheat Improvement Centre,  Norwich Research Park</t>
  </si>
  <si>
    <t xml:space="preserve">Vitis vinifera subsp vinifera cv. Belz el Ansa</t>
  </si>
  <si>
    <t xml:space="preserve">Zhejiang University</t>
  </si>
  <si>
    <t xml:space="preserve">Vitis vinifera subsp vinifera cv. Bem tabornok = Général Bem</t>
  </si>
  <si>
    <t xml:space="preserve">Zjednocz. Hodowli Roslin i Nasiennictwa</t>
  </si>
  <si>
    <t xml:space="preserve">Vitis vinifera subsp vinifera cv. Ben Suilah</t>
  </si>
  <si>
    <t xml:space="preserve">ZMBP - Center for Molecular Biology of Plants</t>
  </si>
  <si>
    <t xml:space="preserve">Vitis vinifera subsp vinifera cv. Beneti noir</t>
  </si>
  <si>
    <t xml:space="preserve">Vitis vinifera subsp vinifera cv. Benicarlo</t>
  </si>
  <si>
    <t xml:space="preserve">Vitis vinifera subsp vinifera cv. Beogradska rana</t>
  </si>
  <si>
    <t xml:space="preserve">Vitis vinifera subsp vinifera cv. Béquignol</t>
  </si>
  <si>
    <t xml:space="preserve">Vitis vinifera subsp vinifera cv. Béquignol blanc</t>
  </si>
  <si>
    <t xml:space="preserve">Vitis vinifera subsp vinifera cv. Béquignol gris</t>
  </si>
  <si>
    <t xml:space="preserve">Vitis vinifera subsp vinifera cv. Beran</t>
  </si>
  <si>
    <t xml:space="preserve">Vitis vinifera subsp vinifera cv. Berbecel</t>
  </si>
  <si>
    <t xml:space="preserve">Vitis vinifera subsp vinifera cv. Berdomenel</t>
  </si>
  <si>
    <t xml:space="preserve">Vitis vinifera subsp vinifera cv. Beregi rozsas</t>
  </si>
  <si>
    <t xml:space="preserve">Vitis vinifera subsp vinifera cv. Beregi rozsas faux</t>
  </si>
  <si>
    <t xml:space="preserve">Vitis vinifera subsp vinifera cv. Bermestia bianca</t>
  </si>
  <si>
    <t xml:space="preserve">Vitis vinifera subsp vinifera cv. Bervedino</t>
  </si>
  <si>
    <t xml:space="preserve">Vitis vinifera subsp vinifera cv. Besgano nero</t>
  </si>
  <si>
    <t xml:space="preserve">Vitis vinifera subsp vinifera cv. Best's 22</t>
  </si>
  <si>
    <t xml:space="preserve">Vitis vinifera subsp vinifera cv. Bettlertraube</t>
  </si>
  <si>
    <t xml:space="preserve">Vitis vinifera subsp vinifera cv. Beylerce</t>
  </si>
  <si>
    <t xml:space="preserve">Vitis vinifera subsp vinifera cv. Bezoul el Aouda</t>
  </si>
  <si>
    <t xml:space="preserve">Vitis vinifera subsp vinifera cv. Bezoul el Kedima</t>
  </si>
  <si>
    <t xml:space="preserve">Vitis vinifera subsp vinifera cv. Bezoul el Kelba</t>
  </si>
  <si>
    <t xml:space="preserve">Vitis vinifera subsp vinifera cv. Bezoul el Khadem</t>
  </si>
  <si>
    <t xml:space="preserve">Vitis vinifera subsp vinifera cv. Bia blanc</t>
  </si>
  <si>
    <t xml:space="preserve">Vitis vinifera subsp vinifera cv. Biancame</t>
  </si>
  <si>
    <t xml:space="preserve">Vitis vinifera subsp vinifera cv. Biancazza</t>
  </si>
  <si>
    <t xml:space="preserve">Vitis vinifera subsp vinifera cv. Bianchetta genovese</t>
  </si>
  <si>
    <t xml:space="preserve">Vitis vinifera subsp vinifera cv. Bianchetta trevigiana</t>
  </si>
  <si>
    <t xml:space="preserve">Vitis vinifera subsp vinifera cv. Bianco d'Alessano</t>
  </si>
  <si>
    <t xml:space="preserve">Vitis vinifera subsp vinifera cv. Biancolella</t>
  </si>
  <si>
    <t xml:space="preserve">Vitis vinifera subsp vinifera cv. Biancone</t>
  </si>
  <si>
    <t xml:space="preserve">Vitis vinifera subsp vinifera cv. Biancu Gentile</t>
  </si>
  <si>
    <t xml:space="preserve">Vitis vinifera subsp vinifera cv. Bicane</t>
  </si>
  <si>
    <t xml:space="preserve">Vitis vinifera subsp vinifera cv. Bichtii</t>
  </si>
  <si>
    <t xml:space="preserve">Vitis vinifera subsp vinifera cv. Biczo balint emleke</t>
  </si>
  <si>
    <t xml:space="preserve">Vitis vinifera subsp vinifera cv. Biczö egon</t>
  </si>
  <si>
    <t xml:space="preserve">Vitis vinifera subsp vinifera cv. Bidaneh ghelmez</t>
  </si>
  <si>
    <t xml:space="preserve">Vitis vinifera subsp vinifera cv. Bien donné</t>
  </si>
  <si>
    <t xml:space="preserve">Vitis vinifera subsp vinifera cv. Big Perlon</t>
  </si>
  <si>
    <t xml:space="preserve">Vitis vinifera subsp vinifera cv. Bigasse</t>
  </si>
  <si>
    <t xml:space="preserve">Vitis vinifera subsp vinifera cv. Binisalem</t>
  </si>
  <si>
    <t xml:space="preserve">Vitis vinifera subsp vinifera cv. Black Alicante</t>
  </si>
  <si>
    <t xml:space="preserve">Vitis vinifera subsp vinifera cv. Black monukka</t>
  </si>
  <si>
    <t xml:space="preserve">Vitis vinifera subsp vinifera cv. Black Morocco</t>
  </si>
  <si>
    <t xml:space="preserve">Vitis vinifera subsp vinifera cv. Black Pearl Corrin</t>
  </si>
  <si>
    <t xml:space="preserve">Vitis vinifera subsp vinifera cv. Black Prince</t>
  </si>
  <si>
    <t xml:space="preserve">Vitis vinifera subsp vinifera cv. Black Rose = H 3-47</t>
  </si>
  <si>
    <t xml:space="preserve">Vitis vinifera subsp vinifera cv. Blanc Auba</t>
  </si>
  <si>
    <t xml:space="preserve">Vitis vinifera subsp vinifera cv. Blanc Cardon</t>
  </si>
  <si>
    <t xml:space="preserve">Vitis vinifera subsp vinifera cv. Blanc d'ambre</t>
  </si>
  <si>
    <t xml:space="preserve">Vitis vinifera subsp vinifera cv. Blanc Dame</t>
  </si>
  <si>
    <t xml:space="preserve">Vitis vinifera subsp vinifera cv. Blanc d'Automne</t>
  </si>
  <si>
    <t xml:space="preserve">Vitis vinifera subsp vinifera cv. Blanc de Creüe</t>
  </si>
  <si>
    <t xml:space="preserve">Vitis vinifera subsp vinifera cv. Blanc de Dellys</t>
  </si>
  <si>
    <t xml:space="preserve">Vitis vinifera subsp vinifera cv. Blanc de Dellys x Rhodites</t>
  </si>
  <si>
    <t xml:space="preserve">Vitis vinifera subsp vinifera cv. Blanc de Morgex</t>
  </si>
  <si>
    <t xml:space="preserve">Vitis vinifera subsp vinifera cv. Blanc de Rhafsaï</t>
  </si>
  <si>
    <t xml:space="preserve">Vitis vinifera subsp vinifera cv. Blanc Marquis</t>
  </si>
  <si>
    <t xml:space="preserve">Vitis vinifera subsp vinifera cv. Blanc Neyroud</t>
  </si>
  <si>
    <t xml:space="preserve">Vitis vinifera subsp vinifera cv. Blanc vert</t>
  </si>
  <si>
    <t xml:space="preserve">Vitis vinifera subsp vinifera cv. Blanca Gordal</t>
  </si>
  <si>
    <t xml:space="preserve">Vitis vinifera subsp vinifera cv. Blanca Superior para parral</t>
  </si>
  <si>
    <t xml:space="preserve">Vitis vinifera subsp vinifera cv. Blanca temprana Almeria</t>
  </si>
  <si>
    <t xml:space="preserve">Vitis vinifera subsp vinifera cv. Blancard</t>
  </si>
  <si>
    <t xml:space="preserve">Vitis vinifera subsp vinifera cv. Blanchier</t>
  </si>
  <si>
    <t xml:space="preserve">Vitis vinifera subsp vinifera cv. Blancorna</t>
  </si>
  <si>
    <t xml:space="preserve">Vitis vinifera subsp vinifera cv. Blank blauer</t>
  </si>
  <si>
    <t xml:space="preserve">Vitis vinifera subsp vinifera cv. Blanqueiron</t>
  </si>
  <si>
    <t xml:space="preserve">Vitis vinifera subsp vinifera cv. Blatina crna</t>
  </si>
  <si>
    <t xml:space="preserve">Vitis vinifera subsp vinifera cv. Blauburger</t>
  </si>
  <si>
    <t xml:space="preserve">Vitis vinifera subsp vinifera cv. Blauer Muskateller</t>
  </si>
  <si>
    <t xml:space="preserve">Vitis vinifera subsp vinifera cv. Blush seedless</t>
  </si>
  <si>
    <t xml:space="preserve">Vitis vinifera subsp vinifera cv. Boal cachudo</t>
  </si>
  <si>
    <t xml:space="preserve">Vitis vinifera subsp vinifera cv. Boal de Alicante Moscatel</t>
  </si>
  <si>
    <t xml:space="preserve">Vitis vinifera subsp vinifera cv. Boal de Madère</t>
  </si>
  <si>
    <t xml:space="preserve">Vitis vinifera subsp vinifera cv. Boal de Natura</t>
  </si>
  <si>
    <t xml:space="preserve">Vitis vinifera subsp vinifera cv. Boal molle</t>
  </si>
  <si>
    <t xml:space="preserve">Vitis vinifera subsp vinifera cv. Boal rosado</t>
  </si>
  <si>
    <t xml:space="preserve">Vitis vinifera subsp vinifera cv. Bobal</t>
  </si>
  <si>
    <t xml:space="preserve">Vitis vinifera subsp vinifera cv. Bocalilla</t>
  </si>
  <si>
    <t xml:space="preserve">Vitis vinifera subsp vinifera cv. Bogaz kere</t>
  </si>
  <si>
    <t xml:space="preserve">Vitis vinifera subsp vinifera cv. Bogdanusa</t>
  </si>
  <si>
    <t xml:space="preserve">Vitis vinifera subsp vinifera cv. Bogdanyi dinka</t>
  </si>
  <si>
    <t xml:space="preserve">Vitis vinifera subsp vinifera cv. Bogni 17 B</t>
  </si>
  <si>
    <t xml:space="preserve">Vitis vinifera subsp vinifera cv. Bogni 8</t>
  </si>
  <si>
    <t xml:space="preserve">Vitis vinifera subsp vinifera cv. Bombino bianco</t>
  </si>
  <si>
    <t xml:space="preserve">Vitis vinifera subsp vinifera cv. Bombino nero</t>
  </si>
  <si>
    <t xml:space="preserve">Vitis vinifera subsp vinifera cv. Bon blanc de Frangy</t>
  </si>
  <si>
    <t xml:space="preserve">Vitis vinifera subsp vinifera cv. Bonamico</t>
  </si>
  <si>
    <t xml:space="preserve">Vitis vinifera subsp vinifera cv. Bonarda piemontese</t>
  </si>
  <si>
    <t xml:space="preserve">Vitis vinifera subsp vinifera cv. Bonheur</t>
  </si>
  <si>
    <t xml:space="preserve">Vitis vinifera subsp vinifera cv. Bonne Vituaigne</t>
  </si>
  <si>
    <t xml:space="preserve">Vitis vinifera subsp vinifera cv. Bonnet de retord</t>
  </si>
  <si>
    <t xml:space="preserve">Vitis vinifera subsp vinifera cv. Bonnita</t>
  </si>
  <si>
    <t xml:space="preserve">Vitis vinifera subsp vinifera cv. Borba blanca</t>
  </si>
  <si>
    <t xml:space="preserve">Vitis vinifera subsp vinifera cv. Boriska</t>
  </si>
  <si>
    <t xml:space="preserve">Vitis vinifera subsp vinifera cv. Borraçal</t>
  </si>
  <si>
    <t xml:space="preserve">Vitis vinifera subsp vinifera cv. Borrado das moscas</t>
  </si>
  <si>
    <t xml:space="preserve">Vitis vinifera subsp vinifera cv. Bosco</t>
  </si>
  <si>
    <t xml:space="preserve">Vitis vinifera subsp vinifera cv. Boskokwi</t>
  </si>
  <si>
    <t xml:space="preserve">Vitis vinifera subsp vinifera cv. Botun</t>
  </si>
  <si>
    <t xml:space="preserve">Vitis vinifera subsp vinifera cv. Bou Khanzir blanc</t>
  </si>
  <si>
    <t xml:space="preserve">Vitis vinifera subsp vinifera cv. Bou Khanzir noir</t>
  </si>
  <si>
    <t xml:space="preserve">Vitis vinifera subsp vinifera cv. Bou Qsob faux</t>
  </si>
  <si>
    <t xml:space="preserve">Vitis vinifera subsp vinifera cv. Bou Rouguia</t>
  </si>
  <si>
    <t xml:space="preserve">Vitis vinifera subsp vinifera cv. Bouaki nor</t>
  </si>
  <si>
    <t xml:space="preserve">Vitis vinifera subsp vinifera cv. Bouaki tach</t>
  </si>
  <si>
    <t xml:space="preserve">Vitis vinifera subsp vinifera cv. Bouchalès</t>
  </si>
  <si>
    <t xml:space="preserve">Vitis vinifera subsp vinifera cv. Bouchereau</t>
  </si>
  <si>
    <t xml:space="preserve">Vitis vinifera subsp vinifera cv. Bouchouka</t>
  </si>
  <si>
    <t xml:space="preserve">Vitis vinifera subsp vinifera cv. Boudechouri tcherny</t>
  </si>
  <si>
    <t xml:space="preserve">Vitis vinifera subsp vinifera cv. Bouillan</t>
  </si>
  <si>
    <t xml:space="preserve">Vitis vinifera subsp vinifera cv. Bouillenc noir</t>
  </si>
  <si>
    <t xml:space="preserve">Vitis vinifera subsp vinifera cv. Bouillet</t>
  </si>
  <si>
    <t xml:space="preserve">Vitis vinifera subsp vinifera cv. Boulanoui</t>
  </si>
  <si>
    <t xml:space="preserve">Vitis vinifera subsp vinifera cv. Bouquet riesling</t>
  </si>
  <si>
    <t xml:space="preserve">Vitis vinifera subsp vinifera cv. Bouquet Sylvaner</t>
  </si>
  <si>
    <t xml:space="preserve">Vitis vinifera subsp vinifera cv. Bouquettraube</t>
  </si>
  <si>
    <t xml:space="preserve">Vitis vinifera subsp vinifera cv. Bourboulenc</t>
  </si>
  <si>
    <t xml:space="preserve">Vitis vinifera subsp vinifera cv. Bourdier 2-04-58</t>
  </si>
  <si>
    <t xml:space="preserve">Vitis vinifera subsp vinifera cv. Bourrisquou</t>
  </si>
  <si>
    <t xml:space="preserve">Vitis vinifera subsp vinifera cv. Bouteillan noir</t>
  </si>
  <si>
    <t xml:space="preserve">Vitis vinifera subsp vinifera cv. Bouvierrebe</t>
  </si>
  <si>
    <t xml:space="preserve">Vitis vinifera subsp vinifera cv. Bouzouga</t>
  </si>
  <si>
    <t xml:space="preserve">Vitis vinifera subsp vinifera cv. Bovale grande = Bovale di Spagna</t>
  </si>
  <si>
    <t xml:space="preserve">Vitis vinifera subsp vinifera cv. Bracciola nera</t>
  </si>
  <si>
    <t xml:space="preserve">Vitis vinifera subsp vinifera cv. Brachet</t>
  </si>
  <si>
    <t xml:space="preserve">Vitis vinifera subsp vinifera cv. Brachet 2</t>
  </si>
  <si>
    <t xml:space="preserve">Vitis vinifera subsp vinifera cv. Brachetto</t>
  </si>
  <si>
    <t xml:space="preserve">Vitis vinifera subsp vinifera cv. Braghina</t>
  </si>
  <si>
    <t xml:space="preserve">Vitis vinifera subsp vinifera cv. Bratkovina</t>
  </si>
  <si>
    <t xml:space="preserve">Vitis vinifera subsp vinifera cv. Bronnerstraube</t>
  </si>
  <si>
    <t xml:space="preserve">Vitis vinifera subsp vinifera cv. Broumest</t>
  </si>
  <si>
    <t xml:space="preserve">Vitis vinifera subsp vinifera cv. Brun argenté</t>
  </si>
  <si>
    <t xml:space="preserve">Vitis vinifera subsp vinifera cv. Brun Fourca</t>
  </si>
  <si>
    <t xml:space="preserve">Vitis vinifera subsp vinifera cv. Bruni 1 Sélection clonale</t>
  </si>
  <si>
    <t xml:space="preserve">Vitis vinifera subsp vinifera cv. Bruni 100</t>
  </si>
  <si>
    <t xml:space="preserve">Vitis vinifera subsp vinifera cv. Bruni 102</t>
  </si>
  <si>
    <t xml:space="preserve">Vitis vinifera subsp vinifera cv. Bruni 116</t>
  </si>
  <si>
    <t xml:space="preserve">Vitis vinifera subsp vinifera cv. Bruni 12</t>
  </si>
  <si>
    <t xml:space="preserve">Vitis vinifera subsp vinifera cv. Bruni 125</t>
  </si>
  <si>
    <t xml:space="preserve">Vitis vinifera subsp vinifera cv. Bruni 14</t>
  </si>
  <si>
    <t xml:space="preserve">Vitis vinifera subsp vinifera cv. Bruni 147</t>
  </si>
  <si>
    <t xml:space="preserve">Vitis vinifera subsp vinifera cv. Bruni 15</t>
  </si>
  <si>
    <t xml:space="preserve">Vitis vinifera subsp vinifera cv. Bruni 154</t>
  </si>
  <si>
    <t xml:space="preserve">Vitis vinifera subsp vinifera cv. Bruni 18 (hybride)</t>
  </si>
  <si>
    <t xml:space="preserve">Vitis vinifera subsp vinifera cv. Bruni 317</t>
  </si>
  <si>
    <t xml:space="preserve">Vitis vinifera subsp vinifera cv. Bruni 33</t>
  </si>
  <si>
    <t xml:space="preserve">Vitis vinifera subsp vinifera cv. Bruni 36</t>
  </si>
  <si>
    <t xml:space="preserve">Vitis vinifera subsp vinifera cv. Bruni 360</t>
  </si>
  <si>
    <t xml:space="preserve">Vitis vinifera subsp vinifera cv. Bruni 381</t>
  </si>
  <si>
    <t xml:space="preserve">Vitis vinifera subsp vinifera cv. Bruni 4</t>
  </si>
  <si>
    <t xml:space="preserve">Vitis vinifera subsp vinifera cv. Bruni 41</t>
  </si>
  <si>
    <t xml:space="preserve">Vitis vinifera subsp vinifera cv. Bruni 415</t>
  </si>
  <si>
    <t xml:space="preserve">Vitis vinifera subsp vinifera cv. Bruni 429</t>
  </si>
  <si>
    <t xml:space="preserve">Vitis vinifera subsp vinifera cv. Bruni 45</t>
  </si>
  <si>
    <t xml:space="preserve">Vitis vinifera subsp vinifera cv. Bruni 54</t>
  </si>
  <si>
    <t xml:space="preserve">Vitis vinifera subsp vinifera cv. Bruni 65</t>
  </si>
  <si>
    <t xml:space="preserve">Vitis vinifera subsp vinifera cv. Bruni 74</t>
  </si>
  <si>
    <t xml:space="preserve">Vitis vinifera subsp vinifera cv. Bruni 75</t>
  </si>
  <si>
    <t xml:space="preserve">Vitis vinifera subsp vinifera cv. Bruni 90</t>
  </si>
  <si>
    <t xml:space="preserve">Vitis vinifera subsp vinifera cv. Brunq noir</t>
  </si>
  <si>
    <t xml:space="preserve">Vitis vinifera subsp vinifera cv. Brustiano</t>
  </si>
  <si>
    <t xml:space="preserve">Vitis vinifera subsp vinifera cv. Brustiano faux</t>
  </si>
  <si>
    <t xml:space="preserve">Vitis vinifera subsp vinifera cv. Buckland sweet water</t>
  </si>
  <si>
    <t xml:space="preserve">Vitis vinifera subsp vinifera cv. Budai Szagos</t>
  </si>
  <si>
    <t xml:space="preserve">Vitis vinifera subsp vinifera cv. Budai zöld</t>
  </si>
  <si>
    <t xml:space="preserve">Vitis vinifera subsp vinifera cv. Burgrave de Hongrie</t>
  </si>
  <si>
    <t xml:space="preserve">Vitis vinifera subsp vinifera cv. Cabasma alba</t>
  </si>
  <si>
    <t xml:space="preserve">Vitis vinifera subsp vinifera cv. Cabernet franc</t>
  </si>
  <si>
    <t xml:space="preserve">Vitis vinifera subsp vinifera cv. Cabernet Lion</t>
  </si>
  <si>
    <t xml:space="preserve">Vitis vinifera subsp vinifera cv. Cabernet-Malbec n°1</t>
  </si>
  <si>
    <t xml:space="preserve">Vitis vinifera subsp vinifera cv. Cabernet-Malbec n°2</t>
  </si>
  <si>
    <t xml:space="preserve">Vitis vinifera subsp vinifera cv. Cabernet-Malbec n°4</t>
  </si>
  <si>
    <t xml:space="preserve">Vitis vinifera subsp vinifera cv. Cabernet-Sauvignon</t>
  </si>
  <si>
    <t xml:space="preserve">Vitis vinifera subsp vinifera cv. Cacaboué</t>
  </si>
  <si>
    <t xml:space="preserve">Vitis vinifera subsp vinifera cv. Caddiu</t>
  </si>
  <si>
    <t xml:space="preserve">Vitis vinifera subsp vinifera cv. Cainho branco</t>
  </si>
  <si>
    <t xml:space="preserve">Vitis vinifera subsp vinifera cv. Caiño longo</t>
  </si>
  <si>
    <t xml:space="preserve">Vitis vinifera subsp vinifera cv. Calabre</t>
  </si>
  <si>
    <t xml:space="preserve">Vitis vinifera subsp vinifera cv. Calabrese</t>
  </si>
  <si>
    <t xml:space="preserve">Vitis vinifera subsp vinifera cv. Caladoc = INRA 1510-104</t>
  </si>
  <si>
    <t xml:space="preserve">Vitis vinifera subsp vinifera cv. Calitor</t>
  </si>
  <si>
    <t xml:space="preserve">Vitis vinifera subsp vinifera cv. Calitor blanc</t>
  </si>
  <si>
    <t xml:space="preserve">Vitis vinifera subsp vinifera cv. Calitor gris</t>
  </si>
  <si>
    <t xml:space="preserve">Vitis vinifera subsp vinifera cv. Callet</t>
  </si>
  <si>
    <t xml:space="preserve">Vitis vinifera subsp vinifera cv. Calmeria = C11-31-5</t>
  </si>
  <si>
    <t xml:space="preserve">Vitis vinifera subsp vinifera cv. Caloria</t>
  </si>
  <si>
    <t xml:space="preserve">Vitis vinifera subsp vinifera cv. Calzin</t>
  </si>
  <si>
    <t xml:space="preserve">Vitis vinifera subsp vinifera cv. Camaralet de Lasseube</t>
  </si>
  <si>
    <t xml:space="preserve">Vitis vinifera subsp vinifera cv. Camaraou blanc</t>
  </si>
  <si>
    <t xml:space="preserve">Vitis vinifera subsp vinifera cv. Camaraou noir</t>
  </si>
  <si>
    <t xml:space="preserve">Vitis vinifera subsp vinifera cv. Canaiolo</t>
  </si>
  <si>
    <t xml:space="preserve">Vitis vinifera subsp vinifera cv. Canari</t>
  </si>
  <si>
    <t xml:space="preserve">Vitis vinifera subsp vinifera cv. Canina nera</t>
  </si>
  <si>
    <t xml:space="preserve">Vitis vinifera subsp vinifera cv. Canner seedless</t>
  </si>
  <si>
    <t xml:space="preserve">Vitis vinifera subsp vinifera cv. Cannon Hall</t>
  </si>
  <si>
    <t xml:space="preserve">Vitis vinifera subsp vinifera cv. Cannon Hall faux</t>
  </si>
  <si>
    <t xml:space="preserve">Vitis vinifera subsp vinifera cv. Cañocazo</t>
  </si>
  <si>
    <t xml:space="preserve">Vitis vinifera subsp vinifera cv. Cañorroyo</t>
  </si>
  <si>
    <t xml:space="preserve">Vitis vinifera subsp vinifera cv. Cape currant</t>
  </si>
  <si>
    <t xml:space="preserve">Vitis vinifera subsp vinifera cv. Caralicante</t>
  </si>
  <si>
    <t xml:space="preserve">Vitis vinifera subsp vinifera cv. Carcaces</t>
  </si>
  <si>
    <t xml:space="preserve">Vitis vinifera subsp vinifera cv. Carcajolo</t>
  </si>
  <si>
    <t xml:space="preserve">Vitis vinifera subsp vinifera cv. Carcajolo blanc</t>
  </si>
  <si>
    <t xml:space="preserve">Vitis vinifera subsp vinifera cv. Cardinal = G 10-30</t>
  </si>
  <si>
    <t xml:space="preserve">Vitis vinifera subsp vinifera cv. Carignan</t>
  </si>
  <si>
    <t xml:space="preserve">Vitis vinifera subsp vinifera cv. Carignan blanc</t>
  </si>
  <si>
    <t xml:space="preserve">Vitis vinifera subsp vinifera cv. Carignan Bouschet</t>
  </si>
  <si>
    <t xml:space="preserve">Vitis vinifera subsp vinifera cv. Carignan gris</t>
  </si>
  <si>
    <t xml:space="preserve">Vitis vinifera subsp vinifera cv. Carla = INRA 1650-10</t>
  </si>
  <si>
    <t xml:space="preserve">Vitis vinifera subsp vinifera cv. Carmenère</t>
  </si>
  <si>
    <t xml:space="preserve">Vitis vinifera subsp vinifera cv. Carminoir</t>
  </si>
  <si>
    <t xml:space="preserve">Vitis vinifera subsp vinifera cv. Carnelian</t>
  </si>
  <si>
    <t xml:space="preserve">Vitis vinifera subsp vinifera cv. Carrega somera</t>
  </si>
  <si>
    <t xml:space="preserve">Vitis vinifera subsp vinifera cv. Carricante</t>
  </si>
  <si>
    <t xml:space="preserve">Vitis vinifera subsp vinifera cv. Cartuja blanca</t>
  </si>
  <si>
    <t xml:space="preserve">Vitis vinifera subsp vinifera cv. Castellano morado</t>
  </si>
  <si>
    <t xml:space="preserve">Vitis vinifera subsp vinifera cv. Castets</t>
  </si>
  <si>
    <t xml:space="preserve">Vitis vinifera subsp vinifera cv. Castiglione</t>
  </si>
  <si>
    <t xml:space="preserve">Vitis vinifera subsp vinifera cv. Catalanesca</t>
  </si>
  <si>
    <t xml:space="preserve">Vitis vinifera subsp vinifera cv. Catanese nero</t>
  </si>
  <si>
    <t xml:space="preserve">Vitis vinifera subsp vinifera cv. Catarratto bianco comune</t>
  </si>
  <si>
    <t xml:space="preserve">Vitis vinifera subsp vinifera cv. Catarratto bianco lucido</t>
  </si>
  <si>
    <t xml:space="preserve">Vitis vinifera subsp vinifera cv. Catarratto nero</t>
  </si>
  <si>
    <t xml:space="preserve">Vitis vinifera subsp vinifera cv. Centennial seedless</t>
  </si>
  <si>
    <t xml:space="preserve">Vitis vinifera subsp vinifera cv. Centorotolli</t>
  </si>
  <si>
    <t xml:space="preserve">Vitis vinifera subsp vinifera cv. Cep rouge</t>
  </si>
  <si>
    <t xml:space="preserve">Vitis vinifera subsp vinifera cv. Cercial du Dão</t>
  </si>
  <si>
    <t xml:space="preserve">Vitis vinifera subsp vinifera cv. Cereza</t>
  </si>
  <si>
    <t xml:space="preserve">Vitis vinifera subsp vinifera cv. Cesanese comune</t>
  </si>
  <si>
    <t xml:space="preserve">Vitis vinifera subsp vinifera cv. César</t>
  </si>
  <si>
    <t xml:space="preserve">Vitis vinifera subsp vinifera cv. Chaani biely</t>
  </si>
  <si>
    <t xml:space="preserve">Vitis vinifera subsp vinifera cv. Chaani tchernii</t>
  </si>
  <si>
    <t xml:space="preserve">Vitis vinifera subsp vinifera cv. Chahnani</t>
  </si>
  <si>
    <t xml:space="preserve">Vitis vinifera subsp vinifera cv. Chaillaud</t>
  </si>
  <si>
    <t xml:space="preserve">Vitis vinifera subsp vinifera cv. Chakar angour de Tachkent</t>
  </si>
  <si>
    <t xml:space="preserve">Vitis vinifera subsp vinifera cv. Chalosse noire</t>
  </si>
  <si>
    <t xml:space="preserve">Vitis vinifera subsp vinifera cv. Chalosse noire = Négret castrais</t>
  </si>
  <si>
    <t xml:space="preserve">Vitis vinifera subsp vinifera cv. Chami</t>
  </si>
  <si>
    <t xml:space="preserve">Vitis vinifera subsp vinifera cv. Chany gris</t>
  </si>
  <si>
    <t xml:space="preserve">Vitis vinifera subsp vinifera cv. Chaouch blanc</t>
  </si>
  <si>
    <t xml:space="preserve">Vitis vinifera subsp vinifera cv. Chaouch rose</t>
  </si>
  <si>
    <t xml:space="preserve">Vitis vinifera subsp vinifera cv. Chaptal</t>
  </si>
  <si>
    <t xml:space="preserve">Vitis vinifera subsp vinifera cv. Chardonnay</t>
  </si>
  <si>
    <t xml:space="preserve">Vitis vinifera subsp vinifera cv. Chardonnay musqué</t>
  </si>
  <si>
    <t xml:space="preserve">Vitis vinifera subsp vinifera cv. Chardonnay rose</t>
  </si>
  <si>
    <t xml:space="preserve">Vitis vinifera subsp vinifera cv. Charmont</t>
  </si>
  <si>
    <t xml:space="preserve">Vitis vinifera subsp vinifera cv. Chasan = INRA 1527-78</t>
  </si>
  <si>
    <t xml:space="preserve">Vitis vinifera subsp vinifera cv. Chasselas</t>
  </si>
  <si>
    <t xml:space="preserve">Vitis vinifera subsp vinifera cv. Chasselas apyrène</t>
  </si>
  <si>
    <t xml:space="preserve">Vitis vinifera subsp vinifera cv. Chasselas des Bouches du Rhône</t>
  </si>
  <si>
    <t xml:space="preserve">Vitis vinifera subsp vinifera cv. Chasselas Duhamel</t>
  </si>
  <si>
    <t xml:space="preserve">Vitis vinifera subsp vinifera cv. Chasselas Impérial Oberlin</t>
  </si>
  <si>
    <t xml:space="preserve">Vitis vinifera subsp vinifera cv. Chasselas lacinifolié</t>
  </si>
  <si>
    <t xml:space="preserve">Vitis vinifera subsp vinifera cv. Chasselas Michel Tompa</t>
  </si>
  <si>
    <t xml:space="preserve">Vitis vinifera subsp vinifera cv. Chasselas musqué</t>
  </si>
  <si>
    <t xml:space="preserve">Vitis vinifera subsp vinifera cv. Chasselas noir</t>
  </si>
  <si>
    <t xml:space="preserve">Vitis vinifera subsp vinifera cv. Chasselas rose</t>
  </si>
  <si>
    <t xml:space="preserve">Vitis vinifera subsp vinifera cv. Chasselas rose royal</t>
  </si>
  <si>
    <t xml:space="preserve">Vitis vinifera subsp vinifera cv. Chasselas rouge</t>
  </si>
  <si>
    <t xml:space="preserve">Vitis vinifera subsp vinifera cv. Chasselas tétraploïde</t>
  </si>
  <si>
    <t xml:space="preserve">Vitis vinifera subsp vinifera cv. Chasselas violet</t>
  </si>
  <si>
    <t xml:space="preserve">Vitis vinifera subsp vinifera cv. Chatus</t>
  </si>
  <si>
    <t xml:space="preserve">Vitis vinifera subsp vinifera cv. Chenanson = INRA 1509-149</t>
  </si>
  <si>
    <t xml:space="preserve">Vitis vinifera subsp vinifera cv. Chenin</t>
  </si>
  <si>
    <t xml:space="preserve">Vitis vinifera subsp vinifera cv. Chichaud</t>
  </si>
  <si>
    <t xml:space="preserve">Vitis vinifera subsp vinifera cv. Chikki</t>
  </si>
  <si>
    <t xml:space="preserve">Vitis vinifera subsp vinifera cv. Chirai</t>
  </si>
  <si>
    <t xml:space="preserve">Vitis vinifera subsp vinifera cv. Chiroka Melnichka = Melnik</t>
  </si>
  <si>
    <t xml:space="preserve">Vitis vinifera subsp vinifera cv. Chirvan chakhi</t>
  </si>
  <si>
    <t xml:space="preserve">Vitis vinifera subsp vinifera cv. Chouchillon</t>
  </si>
  <si>
    <t xml:space="preserve">Vitis vinifera subsp vinifera cv. Christmas rose</t>
  </si>
  <si>
    <t xml:space="preserve">Vitis vinifera subsp vinifera cv. Chtour angour</t>
  </si>
  <si>
    <t xml:space="preserve">Vitis vinifera subsp vinifera cv. Ciclopica = Pirovano 60</t>
  </si>
  <si>
    <t xml:space="preserve">Vitis vinifera subsp vinifera cv. Ciganyszölö</t>
  </si>
  <si>
    <t xml:space="preserve">Vitis vinifera subsp vinifera cv. Ciliegiolo</t>
  </si>
  <si>
    <t xml:space="preserve">Vitis vinifera subsp vinifera cv. Cinsaut</t>
  </si>
  <si>
    <t xml:space="preserve">Vitis vinifera subsp vinifera cv. Cinsaut Bouschet</t>
  </si>
  <si>
    <t xml:space="preserve">Vitis vinifera subsp vinifera cv. Cioinic</t>
  </si>
  <si>
    <t xml:space="preserve">Vitis vinifera subsp vinifera cv. Circé</t>
  </si>
  <si>
    <t xml:space="preserve">Vitis vinifera subsp vinifera cv. Citana</t>
  </si>
  <si>
    <t xml:space="preserve">Vitis vinifera subsp vinifera cv. Citronelle</t>
  </si>
  <si>
    <t xml:space="preserve">Vitis vinifera subsp vinifera cv. Citronelle x Aramon</t>
  </si>
  <si>
    <t xml:space="preserve">Vitis vinifera subsp vinifera cv. Clairette</t>
  </si>
  <si>
    <t xml:space="preserve">Vitis vinifera subsp vinifera cv. Clairette Mazel</t>
  </si>
  <si>
    <t xml:space="preserve">Vitis vinifera subsp vinifera cv. Clairette rose</t>
  </si>
  <si>
    <t xml:space="preserve">Vitis vinifera subsp vinifera cv. Clairette x Beldi 36 L 2</t>
  </si>
  <si>
    <t xml:space="preserve">Vitis vinifera subsp vinifera cv. Clarin = INRA 573-11</t>
  </si>
  <si>
    <t xml:space="preserve">Vitis vinifera subsp vinifera cv. Claverie</t>
  </si>
  <si>
    <t xml:space="preserve">Vitis vinifera subsp vinifera cv. Claverie coulard</t>
  </si>
  <si>
    <t xml:space="preserve">Vitis vinifera subsp vinifera cv. Clotilde Prosperi = Prosperi 190</t>
  </si>
  <si>
    <t xml:space="preserve">Vitis vinifera subsp vinifera cv. Coada vulpii</t>
  </si>
  <si>
    <t xml:space="preserve">Vitis vinifera subsp vinifera cv. Coarna alba</t>
  </si>
  <si>
    <t xml:space="preserve">Vitis vinifera subsp vinifera cv. Coarna neagra</t>
  </si>
  <si>
    <t xml:space="preserve">Vitis vinifera subsp vinifera cv. Coarna rosie</t>
  </si>
  <si>
    <t xml:space="preserve">Vitis vinifera subsp vinifera cv. Cococciola</t>
  </si>
  <si>
    <t xml:space="preserve">Vitis vinifera subsp vinifera cv. Coda di volpe bianca</t>
  </si>
  <si>
    <t xml:space="preserve">Vitis vinifera subsp vinifera cv. Codega</t>
  </si>
  <si>
    <t xml:space="preserve">Vitis vinifera subsp vinifera cv. Codivarta</t>
  </si>
  <si>
    <t xml:space="preserve">Vitis vinifera subsp vinifera cv. Colman blanc</t>
  </si>
  <si>
    <t xml:space="preserve">Vitis vinifera subsp vinifera cv. Colombana nera</t>
  </si>
  <si>
    <t xml:space="preserve">Vitis vinifera subsp vinifera cv. Colombard</t>
  </si>
  <si>
    <t xml:space="preserve">Vitis vinifera subsp vinifera cv. Colombaud = Bouteillan blanc</t>
  </si>
  <si>
    <t xml:space="preserve">Vitis vinifera subsp vinifera cv. Colorino</t>
  </si>
  <si>
    <t xml:space="preserve">Vitis vinifera subsp vinifera cv. Completer</t>
  </si>
  <si>
    <t xml:space="preserve">Vitis vinifera subsp vinifera cv. Conca d'ora = Paulsen 152</t>
  </si>
  <si>
    <t xml:space="preserve">Vitis vinifera subsp vinifera cv. Conegliano 120</t>
  </si>
  <si>
    <t xml:space="preserve">Vitis vinifera subsp vinifera cv. Conegliano 199</t>
  </si>
  <si>
    <t xml:space="preserve">Vitis vinifera subsp vinifera cv. Conegliano 213</t>
  </si>
  <si>
    <t xml:space="preserve">Vitis vinifera subsp vinifera cv. Conegliano 218</t>
  </si>
  <si>
    <t xml:space="preserve">Vitis vinifera subsp vinifera cv. Constantinescu-Negreanu 2/13/8 (Victoria)</t>
  </si>
  <si>
    <t xml:space="preserve">Vitis vinifera subsp vinifera cv. Conte rosso = Pirovano 73</t>
  </si>
  <si>
    <t xml:space="preserve">Vitis vinifera subsp vinifera cv. Corbeau</t>
  </si>
  <si>
    <t xml:space="preserve">Vitis vinifera subsp vinifera cv. Corbina vicentina</t>
  </si>
  <si>
    <t xml:space="preserve">Vitis vinifera subsp vinifera cv. Corfiatis</t>
  </si>
  <si>
    <t xml:space="preserve">Vitis vinifera subsp vinifera cv. Corinthe blanc</t>
  </si>
  <si>
    <t xml:space="preserve">Vitis vinifera subsp vinifera cv. Corinthe noir</t>
  </si>
  <si>
    <t xml:space="preserve">Vitis vinifera subsp vinifera cv. Corinto bianco</t>
  </si>
  <si>
    <t xml:space="preserve">Vitis vinifera subsp vinifera cv. Corneille</t>
  </si>
  <si>
    <t xml:space="preserve">Vitis vinifera subsp vinifera cv. Cornet</t>
  </si>
  <si>
    <t xml:space="preserve">Vitis vinifera subsp vinifera cv. Cornichon violet</t>
  </si>
  <si>
    <t xml:space="preserve">Vitis vinifera subsp vinifera cv. Cornichon violet = Rosa menna di vacca</t>
  </si>
  <si>
    <t xml:space="preserve">Vitis vinifera subsp vinifera cv. Cornifesto</t>
  </si>
  <si>
    <t xml:space="preserve">Vitis vinifera subsp vinifera cv. Corniola bianca di Milazzo</t>
  </si>
  <si>
    <t xml:space="preserve">Vitis vinifera subsp vinifera cv. Corniola nera</t>
  </si>
  <si>
    <t xml:space="preserve">Vitis vinifera subsp vinifera cv. Corrin Seedless</t>
  </si>
  <si>
    <t xml:space="preserve">Vitis vinifera subsp vinifera cv. Cortese</t>
  </si>
  <si>
    <t xml:space="preserve">Vitis vinifera subsp vinifera cv. Corvina veronese</t>
  </si>
  <si>
    <t xml:space="preserve">Vitis vinifera subsp vinifera cv. Cot</t>
  </si>
  <si>
    <t xml:space="preserve">Vitis vinifera subsp vinifera cv. Cot de Chéragas</t>
  </si>
  <si>
    <t xml:space="preserve">Vitis vinifera subsp vinifera cv. Counoise</t>
  </si>
  <si>
    <t xml:space="preserve">Vitis vinifera subsp vinifera cv. Courbès</t>
  </si>
  <si>
    <t xml:space="preserve">Vitis vinifera subsp vinifera cv. Courbu</t>
  </si>
  <si>
    <t xml:space="preserve">Vitis vinifera subsp vinifera cv. Courbu noir</t>
  </si>
  <si>
    <t xml:space="preserve">Vitis vinifera subsp vinifera cv. Courtoisie</t>
  </si>
  <si>
    <t xml:space="preserve">Vitis vinifera subsp vinifera cv. Coutinho 6</t>
  </si>
  <si>
    <t xml:space="preserve">Vitis vinifera subsp vinifera cv. Crassostaphyllo</t>
  </si>
  <si>
    <t xml:space="preserve">Vitis vinifera subsp vinifera cv. Crimposie</t>
  </si>
  <si>
    <t xml:space="preserve">Vitis vinifera subsp vinifera cv. Crimson seedless</t>
  </si>
  <si>
    <t xml:space="preserve">Vitis vinifera subsp vinifera cv. Criolla chica 2</t>
  </si>
  <si>
    <t xml:space="preserve">Vitis vinifera subsp vinifera cv. Criolla mediana 2</t>
  </si>
  <si>
    <t xml:space="preserve">Vitis vinifera subsp vinifera cv. Criolla San Juanina</t>
  </si>
  <si>
    <t xml:space="preserve">Vitis vinifera subsp vinifera cv. Crista couleur d'ambre</t>
  </si>
  <si>
    <t xml:space="preserve">Vitis vinifera subsp vinifera cv. Croatina</t>
  </si>
  <si>
    <t xml:space="preserve">Vitis vinifera subsp vinifera cv. Croetto</t>
  </si>
  <si>
    <t xml:space="preserve">Vitis vinifera subsp vinifera cv. Crouchen</t>
  </si>
  <si>
    <t xml:space="preserve">Vitis vinifera subsp vinifera cv. Cruciulita</t>
  </si>
  <si>
    <t xml:space="preserve">Vitis vinifera subsp vinifera cv. Crujidera</t>
  </si>
  <si>
    <t xml:space="preserve">Vitis vinifera subsp vinifera cv. Crujillon</t>
  </si>
  <si>
    <t xml:space="preserve">Vitis vinifera subsp vinifera cv. Crvena slaubanic</t>
  </si>
  <si>
    <t xml:space="preserve">Vitis vinifera subsp vinifera cv. Crystal (Afrique du Sud)</t>
  </si>
  <si>
    <t xml:space="preserve">Vitis vinifera subsp vinifera cv. Crystal (Etats-Unis)</t>
  </si>
  <si>
    <t xml:space="preserve">Vitis vinifera subsp vinifera cv. Csoka szöllö</t>
  </si>
  <si>
    <t xml:space="preserve">Vitis vinifera subsp vinifera cv. Csomorika</t>
  </si>
  <si>
    <t xml:space="preserve">Vitis vinifera subsp vinifera cv. Cualtaccio</t>
  </si>
  <si>
    <t xml:space="preserve">Vitis vinifera subsp vinifera cv. Curisti</t>
  </si>
  <si>
    <t xml:space="preserve">Vitis vinifera subsp vinifera cv. Cyperntraube</t>
  </si>
  <si>
    <t xml:space="preserve">Vitis vinifera subsp vinifera cv. Dabouki</t>
  </si>
  <si>
    <t xml:space="preserve">Vitis vinifera subsp vinifera cv. Dalmasso III-33</t>
  </si>
  <si>
    <t xml:space="preserve">Vitis vinifera subsp vinifera cv. Dalmasso IX-1</t>
  </si>
  <si>
    <t xml:space="preserve">Vitis vinifera subsp vinifera cv. Dalmasso VIII-5</t>
  </si>
  <si>
    <t xml:space="preserve">Vitis vinifera subsp vinifera cv. Dalmasso VII-9</t>
  </si>
  <si>
    <t xml:space="preserve">Vitis vinifera subsp vinifera cv. Dalmasso VI-17</t>
  </si>
  <si>
    <t xml:space="preserve">Vitis vinifera subsp vinifera cv. Dalmasso VI-24</t>
  </si>
  <si>
    <t xml:space="preserve">Vitis vinifera subsp vinifera cv. Dalmasso VI-6</t>
  </si>
  <si>
    <t xml:space="preserve">Vitis vinifera subsp vinifera cv. Dalmasso XI-20</t>
  </si>
  <si>
    <t xml:space="preserve">Vitis vinifera subsp vinifera cv. Dalmasso XI-8</t>
  </si>
  <si>
    <t xml:space="preserve">Vitis vinifera subsp vinifera cv. Dalmasso XVIII-1</t>
  </si>
  <si>
    <t xml:space="preserve">Vitis vinifera subsp vinifera cv. Damas rouge</t>
  </si>
  <si>
    <t xml:space="preserve">Vitis vinifera subsp vinifera cv. Dameret</t>
  </si>
  <si>
    <t xml:space="preserve">Vitis vinifera subsp vinifera cv. Dameron</t>
  </si>
  <si>
    <t xml:space="preserve">Vitis vinifera subsp vinifera cv. Danam = INRA 1551-6</t>
  </si>
  <si>
    <t xml:space="preserve">Vitis vinifera subsp vinifera cv. Danlas = INRA 1548-20</t>
  </si>
  <si>
    <t xml:space="preserve">Vitis vinifera subsp vinifera cv. Danugue</t>
  </si>
  <si>
    <t xml:space="preserve">Vitis vinifera subsp vinifera cv. Danuta = INRA 1992-3</t>
  </si>
  <si>
    <t xml:space="preserve">Vitis vinifera subsp vinifera cv. Daphni</t>
  </si>
  <si>
    <t xml:space="preserve">Vitis vinifera subsp vinifera cv. Daranyi Ignac</t>
  </si>
  <si>
    <t xml:space="preserve">Vitis vinifera subsp vinifera cv. Darkaïa</t>
  </si>
  <si>
    <t xml:space="preserve">Vitis vinifera subsp vinifera cv. Dastatchine</t>
  </si>
  <si>
    <t xml:space="preserve">Vitis vinifera subsp vinifera cv. Datal = INRA 753-54</t>
  </si>
  <si>
    <t xml:space="preserve">Vitis vinifera subsp vinifera cv. Dattier de Beyrouth</t>
  </si>
  <si>
    <t xml:space="preserve">Vitis vinifera subsp vinifera cv. Dattier noir</t>
  </si>
  <si>
    <t xml:space="preserve">Vitis vinifera subsp vinifera cv. Dauphine</t>
  </si>
  <si>
    <t xml:space="preserve">Vitis vinifera subsp vinifera cv. David = Pirovano 109</t>
  </si>
  <si>
    <t xml:space="preserve">Vitis vinifera subsp vinifera cv. Dawn seedless</t>
  </si>
  <si>
    <t xml:space="preserve">Vitis vinifera subsp vinifera cv. De Hengril</t>
  </si>
  <si>
    <t xml:space="preserve">Vitis vinifera subsp vinifera cv. Debina</t>
  </si>
  <si>
    <t xml:space="preserve">Vitis vinifera subsp vinifera cv. Dedo de dama</t>
  </si>
  <si>
    <t xml:space="preserve">Vitis vinifera subsp vinifera cv. Delhro = JA148-59 SRLH</t>
  </si>
  <si>
    <t xml:space="preserve">Vitis vinifera subsp vinifera cv. Delight</t>
  </si>
  <si>
    <t xml:space="preserve">Vitis vinifera subsp vinifera cv. Delizia di Vaprio = Pirovano 46 a</t>
  </si>
  <si>
    <t xml:space="preserve">Vitis vinifera subsp vinifera cv. Delizia gialla = Pirovano 266</t>
  </si>
  <si>
    <t xml:space="preserve">Vitis vinifera subsp vinifera cv. Demir kara</t>
  </si>
  <si>
    <t xml:space="preserve">Vitis vinifera subsp vinifera cv. Derani</t>
  </si>
  <si>
    <t xml:space="preserve">Vitis vinifera subsp vinifera cv. Dermatas</t>
  </si>
  <si>
    <t xml:space="preserve">Vitis vinifera subsp vinifera cv. Diagalves</t>
  </si>
  <si>
    <t xml:space="preserve">Vitis vinifera subsp vinifera cv. Diamante nero = Pirovano 87</t>
  </si>
  <si>
    <t xml:space="preserve">Vitis vinifera subsp vinifera cv. Diamanttraube</t>
  </si>
  <si>
    <t xml:space="preserve">Vitis vinifera subsp vinifera cv. Diana</t>
  </si>
  <si>
    <t xml:space="preserve">Vitis vinifera subsp vinifera cv. Dimiat</t>
  </si>
  <si>
    <t xml:space="preserve">Vitis vinifera subsp vinifera cv. Diminitis</t>
  </si>
  <si>
    <t xml:space="preserve">Vitis vinifera subsp vinifera cv. Dimrit</t>
  </si>
  <si>
    <t xml:space="preserve">Vitis vinifera subsp vinifera cv. Dinka feher</t>
  </si>
  <si>
    <t xml:space="preserve">Vitis vinifera subsp vinifera cv. Dinka vörös</t>
  </si>
  <si>
    <t xml:space="preserve">Vitis vinifera subsp vinifera cv. Dinka zöld</t>
  </si>
  <si>
    <t xml:space="preserve">Vitis vinifera subsp vinifera cv. Diolinoir</t>
  </si>
  <si>
    <t xml:space="preserve">Vitis vinifera subsp vinifera cv. Directeur Tisserand</t>
  </si>
  <si>
    <t xml:space="preserve">Vitis vinifera subsp vinifera cv. Divromo</t>
  </si>
  <si>
    <t xml:space="preserve">Vitis vinifera subsp vinifera cv. Djandjal kara</t>
  </si>
  <si>
    <t xml:space="preserve">Vitis vinifera subsp vinifera cv. Djoura ousum</t>
  </si>
  <si>
    <t xml:space="preserve">Vitis vinifera subsp vinifera cv. Dlinnokhvosty</t>
  </si>
  <si>
    <t xml:space="preserve">Vitis vinifera subsp vinifera cv. Dobricic</t>
  </si>
  <si>
    <t xml:space="preserve">Vitis vinifera subsp vinifera cv. Doçal grande</t>
  </si>
  <si>
    <t xml:space="preserve">Vitis vinifera subsp vinifera cv. Dokay</t>
  </si>
  <si>
    <t xml:space="preserve">Vitis vinifera subsp vinifera cv. Dolcetto</t>
  </si>
  <si>
    <t xml:space="preserve">Vitis vinifera subsp vinifera cv. Dolosata</t>
  </si>
  <si>
    <t xml:space="preserve">Vitis vinifera subsp vinifera cv. Dominga</t>
  </si>
  <si>
    <t xml:space="preserve">Vitis vinifera subsp vinifera cv. Domvrena aspri</t>
  </si>
  <si>
    <t xml:space="preserve">Vitis vinifera subsp vinifera cv. Domvrena mavri</t>
  </si>
  <si>
    <t xml:space="preserve">Vitis vinifera subsp vinifera cv. Don Bueno</t>
  </si>
  <si>
    <t xml:space="preserve">Vitis vinifera subsp vinifera cv. Don Mariano</t>
  </si>
  <si>
    <t xml:space="preserve">Vitis vinifera subsp vinifera cv. Dona branca</t>
  </si>
  <si>
    <t xml:space="preserve">Vitis vinifera subsp vinifera cv. Dona Maria = Leao Ferreira da Almeida 31-54-41</t>
  </si>
  <si>
    <t xml:space="preserve">Vitis vinifera subsp vinifera cv. Dongine</t>
  </si>
  <si>
    <t xml:space="preserve">Vitis vinifera subsp vinifera cv. Donzelinho</t>
  </si>
  <si>
    <t xml:space="preserve">Vitis vinifera subsp vinifera cv. Donzelinho do Castelo</t>
  </si>
  <si>
    <t xml:space="preserve">Vitis vinifera subsp vinifera cv. Doradilla</t>
  </si>
  <si>
    <t xml:space="preserve">Vitis vinifera subsp vinifera cv. Doral</t>
  </si>
  <si>
    <t xml:space="preserve">Vitis vinifera subsp vinifera cv. Dorona di Venezia</t>
  </si>
  <si>
    <t xml:space="preserve">Vitis vinifera subsp vinifera cv. Douradinha</t>
  </si>
  <si>
    <t xml:space="preserve">Vitis vinifera subsp vinifera cv. Doux d'Henry</t>
  </si>
  <si>
    <t xml:space="preserve">Vitis vinifera subsp vinifera cv. Dronkane</t>
  </si>
  <si>
    <t xml:space="preserve">Vitis vinifera subsp vinifera cv. Duc d'Anjou</t>
  </si>
  <si>
    <t xml:space="preserve">Vitis vinifera subsp vinifera cv. Duc de Magenta</t>
  </si>
  <si>
    <t xml:space="preserve">Vitis vinifera subsp vinifera cv. Duchess of Buccleugh</t>
  </si>
  <si>
    <t xml:space="preserve">Vitis vinifera subsp vinifera cv. Duras</t>
  </si>
  <si>
    <t xml:space="preserve">Vitis vinifera subsp vinifera cv. Durella</t>
  </si>
  <si>
    <t xml:space="preserve">Vitis vinifera subsp vinifera cv. Dureza</t>
  </si>
  <si>
    <t xml:space="preserve">Vitis vinifera subsp vinifera cv. Durif</t>
  </si>
  <si>
    <t xml:space="preserve">Vitis vinifera subsp vinifera cv. Early Cardinal</t>
  </si>
  <si>
    <t xml:space="preserve">Vitis vinifera subsp vinifera cv. Early Muscat</t>
  </si>
  <si>
    <t xml:space="preserve">Vitis vinifera subsp vinifera cv. Ederena</t>
  </si>
  <si>
    <t xml:space="preserve">Vitis vinifera subsp vinifera cv. Egiodola</t>
  </si>
  <si>
    <t xml:space="preserve">Vitis vinifera subsp vinifera cv. Ehrenfelser = Gm 9-93</t>
  </si>
  <si>
    <t xml:space="preserve">Vitis vinifera subsp vinifera cv. Einuni</t>
  </si>
  <si>
    <t xml:space="preserve">Vitis vinifera subsp vinifera cv. Ekigaïna</t>
  </si>
  <si>
    <t xml:space="preserve">Vitis vinifera subsp vinifera cv. Ekim kara</t>
  </si>
  <si>
    <t xml:space="preserve">Vitis vinifera subsp vinifera cv. El Biod</t>
  </si>
  <si>
    <t xml:space="preserve">Vitis vinifera subsp vinifera cv. El Farryali</t>
  </si>
  <si>
    <t xml:space="preserve">Vitis vinifera subsp vinifera cv. El Gouz</t>
  </si>
  <si>
    <t xml:space="preserve">Vitis vinifera subsp vinifera cv. Elbling</t>
  </si>
  <si>
    <t xml:space="preserve">Vitis vinifera subsp vinifera cv. Elbling blau</t>
  </si>
  <si>
    <t xml:space="preserve">Vitis vinifera subsp vinifera cv. Elbling rose</t>
  </si>
  <si>
    <t xml:space="preserve">Vitis vinifera subsp vinifera cv. Elbling rot</t>
  </si>
  <si>
    <t xml:space="preserve">Vitis vinifera subsp vinifera cv. Elizabeth Krasnay</t>
  </si>
  <si>
    <t xml:space="preserve">Vitis vinifera subsp vinifera cv. Emerald Riesling</t>
  </si>
  <si>
    <t xml:space="preserve">Vitis vinifera subsp vinifera cv. Emerald seedless</t>
  </si>
  <si>
    <t xml:space="preserve">Vitis vinifera subsp vinifera cv. Emilia = Dalmasso VI-3</t>
  </si>
  <si>
    <t xml:space="preserve">Vitis vinifera subsp vinifera cv. Emperor</t>
  </si>
  <si>
    <t xml:space="preserve">Vitis vinifera subsp vinifera cv. Emperor seedless</t>
  </si>
  <si>
    <t xml:space="preserve">Vitis vinifera subsp vinifera cv. Empibotte</t>
  </si>
  <si>
    <t xml:space="preserve">Vitis vinifera subsp vinifera cv. En Kövidinkam</t>
  </si>
  <si>
    <t xml:space="preserve">Vitis vinifera subsp vinifera cv. Encruzado</t>
  </si>
  <si>
    <t xml:space="preserve">Vitis vinifera subsp vinifera cv. Enfariné</t>
  </si>
  <si>
    <t xml:space="preserve">Vitis vinifera subsp vinifera cv. Enfariné gris</t>
  </si>
  <si>
    <t xml:space="preserve">Vitis vinifera subsp vinifera cv. Epero de Gall</t>
  </si>
  <si>
    <t xml:space="preserve">Vitis vinifera subsp vinifera cv. Epinou</t>
  </si>
  <si>
    <t xml:space="preserve">Vitis vinifera subsp vinifera cv. Erbaluce</t>
  </si>
  <si>
    <t xml:space="preserve">Vitis vinifera subsp vinifera cv. Erdeifeher</t>
  </si>
  <si>
    <t xml:space="preserve">Vitis vinifera subsp vinifera cv. Espadeiro branco</t>
  </si>
  <si>
    <t xml:space="preserve">Vitis vinifera subsp vinifera cv. Espadeiro tinto</t>
  </si>
  <si>
    <t xml:space="preserve">Vitis vinifera subsp vinifera cv. Estaca saoumo</t>
  </si>
  <si>
    <t xml:space="preserve">Vitis vinifera subsp vinifera cv. Etraire de la Dui</t>
  </si>
  <si>
    <t xml:space="preserve">Vitis vinifera subsp vinifera cv. Exalta</t>
  </si>
  <si>
    <t xml:space="preserve">Vitis vinifera subsp vinifera cv. Exbrayat</t>
  </si>
  <si>
    <t xml:space="preserve">Vitis vinifera subsp vinifera cv. Exotic</t>
  </si>
  <si>
    <t xml:space="preserve">Vitis vinifera subsp vinifera cv. Ezereves Magyarorszag Emleke</t>
  </si>
  <si>
    <t xml:space="preserve">Vitis vinifera subsp vinifera cv. Ezerjo</t>
  </si>
  <si>
    <t xml:space="preserve">Vitis vinifera subsp vinifera cv. F. Lantini = Pirovano 263</t>
  </si>
  <si>
    <t xml:space="preserve">Vitis vinifera subsp vinifera cv. F 10-79</t>
  </si>
  <si>
    <t xml:space="preserve">Vitis vinifera subsp vinifera cv. Faberrebe = Alzey 10375</t>
  </si>
  <si>
    <t xml:space="preserve">Vitis vinifera subsp vinifera cv. Faddy zsiga dinka</t>
  </si>
  <si>
    <t xml:space="preserve">Vitis vinifera subsp vinifera cv. Fakhri</t>
  </si>
  <si>
    <t xml:space="preserve">Vitis vinifera subsp vinifera cv. Falanghina</t>
  </si>
  <si>
    <t xml:space="preserve">Vitis vinifera subsp vinifera cv. Fantasy seedless</t>
  </si>
  <si>
    <t xml:space="preserve">Vitis vinifera subsp vinifera cv. Farana noir</t>
  </si>
  <si>
    <t xml:space="preserve">Vitis vinifera subsp vinifera cv. Farbfränkisch</t>
  </si>
  <si>
    <t xml:space="preserve">Vitis vinifera subsp vinifera cv. Fatima</t>
  </si>
  <si>
    <t xml:space="preserve">Vitis vinifera subsp vinifera cv. Fatma</t>
  </si>
  <si>
    <t xml:space="preserve">Vitis vinifera subsp vinifera cv. Faux Courbu noir</t>
  </si>
  <si>
    <t xml:space="preserve">Vitis vinifera subsp vinifera cv. Faux Mauzac blanc</t>
  </si>
  <si>
    <t xml:space="preserve">Vitis vinifera subsp vinifera cv. Fayoumi</t>
  </si>
  <si>
    <t xml:space="preserve">Vitis vinifera subsp vinifera cv. Feher Kövidinka</t>
  </si>
  <si>
    <t xml:space="preserve">Vitis vinifera subsp vinifera cv. Feinriesling</t>
  </si>
  <si>
    <t xml:space="preserve">Vitis vinifera subsp vinifera cv. Fer</t>
  </si>
  <si>
    <t xml:space="preserve">Vitis vinifera subsp vinifera cv. Ferlé de Pegões = Leao Ferreira da Almeida 17-48-1</t>
  </si>
  <si>
    <t xml:space="preserve">Vitis vinifera subsp vinifera cv. Ferlé 76 = Leao Ferreira da Almeida 34-49-76</t>
  </si>
  <si>
    <t xml:space="preserve">Vitis vinifera subsp vinifera cv. Fernand rose</t>
  </si>
  <si>
    <t xml:space="preserve">Vitis vinifera subsp vinifera cv. Fernao Pires</t>
  </si>
  <si>
    <t xml:space="preserve">Vitis vinifera subsp vinifera cv. Ferral</t>
  </si>
  <si>
    <t xml:space="preserve">Vitis vinifera subsp vinifera cv. Ferral tamara</t>
  </si>
  <si>
    <t xml:space="preserve">Vitis vinifera subsp vinifera cv. Feteasca neagra</t>
  </si>
  <si>
    <t xml:space="preserve">Vitis vinifera subsp vinifera cv. Feteasca regala</t>
  </si>
  <si>
    <t xml:space="preserve">Vitis vinifera subsp vinifera cv. Feunate</t>
  </si>
  <si>
    <t xml:space="preserve">Vitis vinifera subsp vinifera cv. Fiano</t>
  </si>
  <si>
    <t xml:space="preserve">Vitis vinifera subsp vinifera cv. Fiesta</t>
  </si>
  <si>
    <t xml:space="preserve">Vitis vinifera subsp vinifera cv. Findling = Kimmig KP 1</t>
  </si>
  <si>
    <t xml:space="preserve">Vitis vinifera subsp vinifera cv. Fintendo</t>
  </si>
  <si>
    <t xml:space="preserve">Vitis vinifera subsp vinifera cv. Firnriesling</t>
  </si>
  <si>
    <t xml:space="preserve">Vitis vinifera subsp vinifera cv. Fitzrebe</t>
  </si>
  <si>
    <t xml:space="preserve">Vitis vinifera subsp vinifera cv. Flame seedless</t>
  </si>
  <si>
    <t xml:space="preserve">Vitis vinifera subsp vinifera cv. Flaming rose</t>
  </si>
  <si>
    <t xml:space="preserve">Vitis vinifera subsp vinifera cv. Fleur de Kecskemet</t>
  </si>
  <si>
    <t xml:space="preserve">Vitis vinifera subsp vinifera cv. Flora</t>
  </si>
  <si>
    <t xml:space="preserve">Vitis vinifera subsp vinifera cv. Focca</t>
  </si>
  <si>
    <t xml:space="preserve">Vitis vinifera subsp vinifera cv. Fogarina</t>
  </si>
  <si>
    <t xml:space="preserve">Vitis vinifera subsp vinifera cv. Foglia tonda</t>
  </si>
  <si>
    <t xml:space="preserve">Vitis vinifera subsp vinifera cv. Fogoneu</t>
  </si>
  <si>
    <t xml:space="preserve">Vitis vinifera subsp vinifera cv. Folignan</t>
  </si>
  <si>
    <t xml:space="preserve">Vitis vinifera subsp vinifera cv. Folle blanche</t>
  </si>
  <si>
    <t xml:space="preserve">Vitis vinifera subsp vinifera cv. Folle blanche du Minervois</t>
  </si>
  <si>
    <t xml:space="preserve">Vitis vinifera subsp vinifera cv. Fondo de Orza</t>
  </si>
  <si>
    <t xml:space="preserve">Vitis vinifera subsp vinifera cv. Forastera</t>
  </si>
  <si>
    <t xml:space="preserve">Vitis vinifera subsp vinifera cv. Forastera (Iles Canaries)</t>
  </si>
  <si>
    <t xml:space="preserve">Vitis vinifera subsp vinifera cv. Forcalla</t>
  </si>
  <si>
    <t xml:space="preserve">Vitis vinifera subsp vinifera cv. Forcellina</t>
  </si>
  <si>
    <t xml:space="preserve">Vitis vinifera subsp vinifera cv. Formosa = Pirovano 245</t>
  </si>
  <si>
    <t xml:space="preserve">Vitis vinifera subsp vinifera cv. Fortana</t>
  </si>
  <si>
    <t xml:space="preserve">Vitis vinifera subsp vinifera cv. Foster's white seedling</t>
  </si>
  <si>
    <t xml:space="preserve">Vitis vinifera subsp vinifera cv. Fotcha</t>
  </si>
  <si>
    <t xml:space="preserve">Vitis vinifera subsp vinifera cv. Franc noir de la Haute-Saône</t>
  </si>
  <si>
    <t xml:space="preserve">Vitis vinifera subsp vinifera cv. Francavidda</t>
  </si>
  <si>
    <t xml:space="preserve">Vitis vinifera subsp vinifera cv. François Ier</t>
  </si>
  <si>
    <t xml:space="preserve">Vitis vinifera subsp vinifera cv. François noir</t>
  </si>
  <si>
    <t xml:space="preserve">Vitis vinifera subsp vinifera cv. Francuse</t>
  </si>
  <si>
    <t xml:space="preserve">Vitis vinifera subsp vinifera cv. Frankamon</t>
  </si>
  <si>
    <t xml:space="preserve">Vitis vinifera subsp vinifera cv. Frankenthal</t>
  </si>
  <si>
    <t xml:space="preserve">Vitis vinifera subsp vinifera cv. Frankenthal rose foncé</t>
  </si>
  <si>
    <t xml:space="preserve">Vitis vinifera subsp vinifera cv. Frankenthal rouge foncé</t>
  </si>
  <si>
    <t xml:space="preserve">Vitis vinifera subsp vinifera cv. Frappato di Vittoria</t>
  </si>
  <si>
    <t xml:space="preserve">Vitis vinifera subsp vinifera cv. Fredericton</t>
  </si>
  <si>
    <t xml:space="preserve">Vitis vinifera subsp vinifera cv. Freisa</t>
  </si>
  <si>
    <t xml:space="preserve">Vitis vinifera subsp vinifera cv. Freisamer</t>
  </si>
  <si>
    <t xml:space="preserve">Vitis vinifera subsp vinifera cv. Frühgipfler I</t>
  </si>
  <si>
    <t xml:space="preserve">Vitis vinifera subsp vinifera cv. Frühmuscat Oberlin</t>
  </si>
  <si>
    <t xml:space="preserve">Vitis vinifera subsp vinifera cv. Frühriesling</t>
  </si>
  <si>
    <t xml:space="preserve">Vitis vinifera subsp vinifera cv. Fruttuosa = Pirovano 27</t>
  </si>
  <si>
    <t xml:space="preserve">Vitis vinifera subsp vinifera cv. Fuella nera</t>
  </si>
  <si>
    <t xml:space="preserve">Vitis vinifera subsp vinifera cv. Fulgens = Pirovano 347</t>
  </si>
  <si>
    <t xml:space="preserve">Vitis vinifera subsp vinifera cv. Fumin</t>
  </si>
  <si>
    <t xml:space="preserve">Vitis vinifera subsp vinifera cv. Furjmony feher</t>
  </si>
  <si>
    <t xml:space="preserve">Vitis vinifera subsp vinifera cv. Furmint</t>
  </si>
  <si>
    <t xml:space="preserve">Vitis vinifera subsp vinifera cv. Furmint piros</t>
  </si>
  <si>
    <t xml:space="preserve">Vitis vinifera subsp vinifera cv. Furmint valtözö</t>
  </si>
  <si>
    <t xml:space="preserve">Vitis vinifera subsp vinifera cv. Fürstentraube</t>
  </si>
  <si>
    <t xml:space="preserve">Vitis vinifera subsp vinifera cv. Fusca = Pirovano 142</t>
  </si>
  <si>
    <t xml:space="preserve">Vitis vinifera subsp vinifera cv. G. Molon = Pirovano 102</t>
  </si>
  <si>
    <t xml:space="preserve">Vitis vinifera subsp vinifera cv. G 367-49 SRLH</t>
  </si>
  <si>
    <t xml:space="preserve">Vitis vinifera subsp vinifera cv. Gaglioppo</t>
  </si>
  <si>
    <t xml:space="preserve">Vitis vinifera subsp vinifera cv. Gaïdouria</t>
  </si>
  <si>
    <t xml:space="preserve">Vitis vinifera subsp vinifera cv. Galbena de Odobesti</t>
  </si>
  <si>
    <t xml:space="preserve">Vitis vinifera subsp vinifera cv. Galbena uriasa</t>
  </si>
  <si>
    <t xml:space="preserve">Vitis vinifera subsp vinifera cv. Galbena verde</t>
  </si>
  <si>
    <t xml:space="preserve">Vitis vinifera subsp vinifera cv. Galego de Montemor</t>
  </si>
  <si>
    <t xml:space="preserve">Vitis vinifera subsp vinifera cv. Galego dourado</t>
  </si>
  <si>
    <t xml:space="preserve">Vitis vinifera subsp vinifera cv. Galotta</t>
  </si>
  <si>
    <t xml:space="preserve">Vitis vinifera subsp vinifera cv. Galvani = Pirovano 86</t>
  </si>
  <si>
    <t xml:space="preserve">Vitis vinifera subsp vinifera cv. Gamarelha branca</t>
  </si>
  <si>
    <t xml:space="preserve">Vitis vinifera subsp vinifera cv. Gamaret</t>
  </si>
  <si>
    <t xml:space="preserve">Vitis vinifera subsp vinifera cv. Gamay</t>
  </si>
  <si>
    <t xml:space="preserve">Vitis vinifera subsp vinifera cv. Gamay à fleurs doubles</t>
  </si>
  <si>
    <t xml:space="preserve">Vitis vinifera subsp vinifera cv. Gamay blanc Gloriod</t>
  </si>
  <si>
    <t xml:space="preserve">Vitis vinifera subsp vinifera cv. Gamay Castille</t>
  </si>
  <si>
    <t xml:space="preserve">Vitis vinifera subsp vinifera cv. Gamay Castille mutation blanche</t>
  </si>
  <si>
    <t xml:space="preserve">Vitis vinifera subsp vinifera cv. Gamay de Bouze</t>
  </si>
  <si>
    <t xml:space="preserve">Vitis vinifera subsp vinifera cv. Gamay de Chaudenay</t>
  </si>
  <si>
    <t xml:space="preserve">Vitis vinifera subsp vinifera cv. Gamay Fréaux</t>
  </si>
  <si>
    <t xml:space="preserve">Vitis vinifera subsp vinifera cv. Gamay gris</t>
  </si>
  <si>
    <t xml:space="preserve">Vitis vinifera subsp vinifera cv. Gamay mourot</t>
  </si>
  <si>
    <t xml:space="preserve">Vitis vinifera subsp vinifera cv. Gamay précoce noir</t>
  </si>
  <si>
    <t xml:space="preserve">Vitis vinifera subsp vinifera cv. Gamza de Varna</t>
  </si>
  <si>
    <t xml:space="preserve">Vitis vinifera subsp vinifera cv. Ganson = INRA 1509-73</t>
  </si>
  <si>
    <t xml:space="preserve">Vitis vinifera subsp vinifera cv. Gantziandan</t>
  </si>
  <si>
    <t xml:space="preserve">Vitis vinifera subsp vinifera cv. Garandmak</t>
  </si>
  <si>
    <t xml:space="preserve">Vitis vinifera subsp vinifera cv. Garganega</t>
  </si>
  <si>
    <t xml:space="preserve">Vitis vinifera subsp vinifera cv. Garrido fino</t>
  </si>
  <si>
    <t xml:space="preserve">Vitis vinifera subsp vinifera cv. Garrido macho</t>
  </si>
  <si>
    <t xml:space="preserve">Vitis vinifera subsp vinifera cv. Gascon</t>
  </si>
  <si>
    <t xml:space="preserve">Vitis vinifera subsp vinifera cv. Gateta</t>
  </si>
  <si>
    <t xml:space="preserve">Vitis vinifera subsp vinifera cv. Gegic</t>
  </si>
  <si>
    <t xml:space="preserve">Vitis vinifera subsp vinifera cv. Gelbholzer blau</t>
  </si>
  <si>
    <t xml:space="preserve">Vitis vinifera subsp vinifera cv. Gemre</t>
  </si>
  <si>
    <t xml:space="preserve">Vitis vinifera subsp vinifera cv. Général de la Marmora</t>
  </si>
  <si>
    <t xml:space="preserve">Vitis vinifera subsp vinifera cv. Général de la Marmora faux</t>
  </si>
  <si>
    <t xml:space="preserve">Vitis vinifera subsp vinifera cv. Genk Uzum</t>
  </si>
  <si>
    <t xml:space="preserve">Vitis vinifera subsp vinifera cv. Genouillet</t>
  </si>
  <si>
    <t xml:space="preserve">Vitis vinifera subsp vinifera cv. Genovèse</t>
  </si>
  <si>
    <t xml:space="preserve">Vitis vinifera subsp vinifera cv. Gewürztraminer</t>
  </si>
  <si>
    <t xml:space="preserve">Vitis vinifera subsp vinifera cv. Gheméra</t>
  </si>
  <si>
    <t xml:space="preserve">Vitis vinifera subsp vinifera cv. Ghiouroukiko</t>
  </si>
  <si>
    <t xml:space="preserve">Vitis vinifera subsp vinifera cv. Gholadon</t>
  </si>
  <si>
    <t xml:space="preserve">Vitis vinifera subsp vinifera cv. Gibert</t>
  </si>
  <si>
    <t xml:space="preserve">Vitis vinifera subsp vinifera cv. Gibi</t>
  </si>
  <si>
    <t xml:space="preserve">Vitis vinifera subsp vinifera cv. Gierniolat</t>
  </si>
  <si>
    <t xml:space="preserve">Vitis vinifera subsp vinifera cv. Gildé</t>
  </si>
  <si>
    <t xml:space="preserve">Vitis vinifera subsp vinifera cv. Giro</t>
  </si>
  <si>
    <t xml:space="preserve">Vitis vinifera subsp vinifera cv. Giro (Iles Baléares)</t>
  </si>
  <si>
    <t xml:space="preserve">Vitis vinifera subsp vinifera cv. Glacière</t>
  </si>
  <si>
    <t xml:space="preserve">Vitis vinifera subsp vinifera cv. Gloria Hungariae</t>
  </si>
  <si>
    <t xml:space="preserve">Vitis vinifera subsp vinifera cv. Glycostaphyllo</t>
  </si>
  <si>
    <t xml:space="preserve">Vitis vinifera subsp vinifera cv. Goher</t>
  </si>
  <si>
    <t xml:space="preserve">Vitis vinifera subsp vinifera cv. Goher Piros</t>
  </si>
  <si>
    <t xml:space="preserve">Vitis vinifera subsp vinifera cv. Goher valtözö</t>
  </si>
  <si>
    <t xml:space="preserve">Vitis vinifera subsp vinifera cv. Gold</t>
  </si>
  <si>
    <t xml:space="preserve">Vitis vinifera subsp vinifera cv. Golden champion = Mill Hill Hamburg</t>
  </si>
  <si>
    <t xml:space="preserve">Vitis vinifera subsp vinifera cv. Golden Queen</t>
  </si>
  <si>
    <t xml:space="preserve">Vitis vinifera subsp vinifera cv. Goldriesling B</t>
  </si>
  <si>
    <t xml:space="preserve">Vitis vinifera subsp vinifera cv. Gora Chirine</t>
  </si>
  <si>
    <t xml:space="preserve">Vitis vinifera subsp vinifera cv. Gora Chirine rose</t>
  </si>
  <si>
    <t xml:space="preserve">Vitis vinifera subsp vinifera cv. Gordan</t>
  </si>
  <si>
    <t xml:space="preserve">Vitis vinifera subsp vinifera cv. Gordin</t>
  </si>
  <si>
    <t xml:space="preserve">Vitis vinifera subsp vinifera cv. Gordin gurguiat</t>
  </si>
  <si>
    <t xml:space="preserve">Vitis vinifera subsp vinifera cv. Gorgollosa</t>
  </si>
  <si>
    <t xml:space="preserve">Vitis vinifera subsp vinifera cv. Goron</t>
  </si>
  <si>
    <t xml:space="preserve">Vitis vinifera subsp vinifera cv. Gouais blanc</t>
  </si>
  <si>
    <t xml:space="preserve">Vitis vinifera subsp vinifera cv. Gouget</t>
  </si>
  <si>
    <t xml:space="preserve">Vitis vinifera subsp vinifera cv. Gounaïa</t>
  </si>
  <si>
    <t xml:space="preserve">Vitis vinifera subsp vinifera cv. Goustoulidi</t>
  </si>
  <si>
    <t xml:space="preserve">Vitis vinifera subsp vinifera cv. Goyura</t>
  </si>
  <si>
    <t xml:space="preserve">Vitis vinifera subsp vinifera cv. Gradiska</t>
  </si>
  <si>
    <t xml:space="preserve">Vitis vinifera subsp vinifera cv. Graisse</t>
  </si>
  <si>
    <t xml:space="preserve">Vitis vinifera subsp vinifera cv. Gramon = INRA 1740-774</t>
  </si>
  <si>
    <t xml:space="preserve">Vitis vinifera subsp vinifera cv. Grand Noir de la Calmette</t>
  </si>
  <si>
    <t xml:space="preserve">Vitis vinifera subsp vinifera cv. Granoir</t>
  </si>
  <si>
    <t xml:space="preserve">Vitis vinifera subsp vinifera cv. Grappenoux</t>
  </si>
  <si>
    <t xml:space="preserve">Vitis vinifera subsp vinifera cv. Grasa de Cotnari</t>
  </si>
  <si>
    <t xml:space="preserve">Vitis vinifera subsp vinifera cv. Grassen</t>
  </si>
  <si>
    <t xml:space="preserve">Vitis vinifera subsp vinifera cv. Grec blanc</t>
  </si>
  <si>
    <t xml:space="preserve">Vitis vinifera subsp vinifera cv. Grec rouge</t>
  </si>
  <si>
    <t xml:space="preserve">Vitis vinifera subsp vinifera cv. Grecanico</t>
  </si>
  <si>
    <t xml:space="preserve">Vitis vinifera subsp vinifera cv. Grechetto</t>
  </si>
  <si>
    <t xml:space="preserve">Vitis vinifera subsp vinifera cv. Greco bianco</t>
  </si>
  <si>
    <t xml:space="preserve">Vitis vinifera subsp vinifera cv. Greco bianco di tufo</t>
  </si>
  <si>
    <t xml:space="preserve">Vitis vinifera subsp vinifera cv. Greco nero</t>
  </si>
  <si>
    <t xml:space="preserve">Vitis vinifera subsp vinifera cv. Grenache</t>
  </si>
  <si>
    <t xml:space="preserve">Vitis vinifera subsp vinifera cv. Grenache blanc</t>
  </si>
  <si>
    <t xml:space="preserve">Vitis vinifera subsp vinifera cv. Grenache gris</t>
  </si>
  <si>
    <t xml:space="preserve">Vitis vinifera subsp vinifera cv. Grenache noir femelle</t>
  </si>
  <si>
    <t xml:space="preserve">Vitis vinifera subsp vinifera cv. Grignolino</t>
  </si>
  <si>
    <t xml:space="preserve">Vitis vinifera subsp vinifera cv. Grillo</t>
  </si>
  <si>
    <t xml:space="preserve">Vitis vinifera subsp vinifera cv. Gringet</t>
  </si>
  <si>
    <t xml:space="preserve">Vitis vinifera subsp vinifera cv. Grk</t>
  </si>
  <si>
    <t xml:space="preserve">Vitis vinifera subsp vinifera cv. Grolleau</t>
  </si>
  <si>
    <t xml:space="preserve">Vitis vinifera subsp vinifera cv. Grolleau blanc</t>
  </si>
  <si>
    <t xml:space="preserve">Vitis vinifera subsp vinifera cv. Grolleau gris</t>
  </si>
  <si>
    <t xml:space="preserve">Vitis vinifera subsp vinifera cv. Gropello di San Stefano</t>
  </si>
  <si>
    <t xml:space="preserve">Vitis vinifera subsp vinifera cv. Gropello gentile</t>
  </si>
  <si>
    <t xml:space="preserve">Vitis vinifera subsp vinifera cv. Gros Bec</t>
  </si>
  <si>
    <t xml:space="preserve">Vitis vinifera subsp vinifera cv. Gros Blanc</t>
  </si>
  <si>
    <t xml:space="preserve">Vitis vinifera subsp vinifera cv. Gros Bourgogne</t>
  </si>
  <si>
    <t xml:space="preserve">Vitis vinifera subsp vinifera cv. Gros Bouschet</t>
  </si>
  <si>
    <t xml:space="preserve">Vitis vinifera subsp vinifera cv. Gros Cabernet</t>
  </si>
  <si>
    <t xml:space="preserve">Vitis vinifera subsp vinifera cv. Gros Colman</t>
  </si>
  <si>
    <t xml:space="preserve">Vitis vinifera subsp vinifera cv. Gros Manseng</t>
  </si>
  <si>
    <t xml:space="preserve">Vitis vinifera subsp vinifera cv. Gros Manseng de Lucq</t>
  </si>
  <si>
    <t xml:space="preserve">Vitis vinifera subsp vinifera cv. Gros Manseng Meunier</t>
  </si>
  <si>
    <t xml:space="preserve">Vitis vinifera subsp vinifera cv. Gros Mansois</t>
  </si>
  <si>
    <t xml:space="preserve">Vitis vinifera subsp vinifera cv. Gros Maroc</t>
  </si>
  <si>
    <t xml:space="preserve">Vitis vinifera subsp vinifera cv. Gros noir des Beni Abès</t>
  </si>
  <si>
    <t xml:space="preserve">Vitis vinifera subsp vinifera cv. Gros Péjac</t>
  </si>
  <si>
    <t xml:space="preserve">Vitis vinifera subsp vinifera cv. Gros Verdot</t>
  </si>
  <si>
    <t xml:space="preserve">Vitis vinifera subsp vinifera cv. Gros Vert</t>
  </si>
  <si>
    <t xml:space="preserve">Vitis vinifera subsp vinifera cv. Gros Vert noir</t>
  </si>
  <si>
    <t xml:space="preserve">Vitis vinifera subsp vinifera cv. Grosse Jacquère</t>
  </si>
  <si>
    <t xml:space="preserve">Vitis vinifera subsp vinifera cv. Grosse Roussette</t>
  </si>
  <si>
    <t xml:space="preserve">Vitis vinifera subsp vinifera cv. Guadurea</t>
  </si>
  <si>
    <t xml:space="preserve">Vitis vinifera subsp vinifera cv. Gualarido</t>
  </si>
  <si>
    <t xml:space="preserve">Vitis vinifera subsp vinifera cv. Guarnaccia</t>
  </si>
  <si>
    <t xml:space="preserve">Vitis vinifera subsp vinifera cv. Gueuche blanc</t>
  </si>
  <si>
    <t xml:space="preserve">Vitis vinifera subsp vinifera cv. Gueuche noir</t>
  </si>
  <si>
    <t xml:space="preserve">Vitis vinifera subsp vinifera cv. Guignard de Saintours</t>
  </si>
  <si>
    <t xml:space="preserve">Vitis vinifera subsp vinifera cv. Guillany Imre</t>
  </si>
  <si>
    <t xml:space="preserve">Vitis vinifera subsp vinifera cv. Guillemot</t>
  </si>
  <si>
    <t xml:space="preserve">Vitis vinifera subsp vinifera cv. Guiouliabi dagestanskii</t>
  </si>
  <si>
    <t xml:space="preserve">Vitis vinifera subsp vinifera cv. Gustavne Szauter</t>
  </si>
  <si>
    <t xml:space="preserve">Vitis vinifera subsp vinifera cv. Gyöngy feher</t>
  </si>
  <si>
    <t xml:space="preserve">Vitis vinifera subsp vinifera cv. Gyöngy szölö</t>
  </si>
  <si>
    <t xml:space="preserve">Vitis vinifera subsp vinifera cv. Hadari</t>
  </si>
  <si>
    <t xml:space="preserve">Vitis vinifera subsp vinifera cv. Hagi ali negru</t>
  </si>
  <si>
    <t xml:space="preserve">Vitis vinifera subsp vinifera cv. Halholyag</t>
  </si>
  <si>
    <t xml:space="preserve">Vitis vinifera subsp vinifera cv. Hammami</t>
  </si>
  <si>
    <t xml:space="preserve">Vitis vinifera subsp vinifera cv. Hamvas</t>
  </si>
  <si>
    <t xml:space="preserve">Vitis vinifera subsp vinifera cv. Hängling blau</t>
  </si>
  <si>
    <t xml:space="preserve">Vitis vinifera subsp vinifera cv. Hansen rot</t>
  </si>
  <si>
    <t xml:space="preserve">Vitis vinifera subsp vinifera cv. Harslevelu</t>
  </si>
  <si>
    <t xml:space="preserve">Vitis vinifera subsp vinifera cv. Hasan dede</t>
  </si>
  <si>
    <t xml:space="preserve">Vitis vinifera subsp vinifera cv. Hebron blanc</t>
  </si>
  <si>
    <t xml:space="preserve">Vitis vinifera subsp vinifera cv. Hegedüs Sandor</t>
  </si>
  <si>
    <t xml:space="preserve">Vitis vinifera subsp vinifera cv. Hegoa</t>
  </si>
  <si>
    <t xml:space="preserve">Vitis vinifera subsp vinifera cv. Helfensteiner = We S 5332</t>
  </si>
  <si>
    <t xml:space="preserve">Vitis vinifera subsp vinifera cv. Henab</t>
  </si>
  <si>
    <t xml:space="preserve">Vitis vinifera subsp vinifera cv. Henab turki faux</t>
  </si>
  <si>
    <t xml:space="preserve">Vitis vinifera subsp vinifera cv. Heptakilo</t>
  </si>
  <si>
    <t xml:space="preserve">Vitis vinifera subsp vinifera cv. Heroldrebe = We S 130</t>
  </si>
  <si>
    <t xml:space="preserve">Vitis vinifera subsp vinifera cv. Heunisch blanc</t>
  </si>
  <si>
    <t xml:space="preserve">Vitis vinifera subsp vinifera cv. Heunisch noir</t>
  </si>
  <si>
    <t xml:space="preserve">Vitis vinifera subsp vinifera cv. Heunisch rose</t>
  </si>
  <si>
    <t xml:space="preserve">Vitis vinifera subsp vinifera cv. Hibou blanc</t>
  </si>
  <si>
    <t xml:space="preserve">Vitis vinifera subsp vinifera cv. Hibou noir</t>
  </si>
  <si>
    <t xml:space="preserve">Vitis vinifera subsp vinifera cv. Himoniatiko</t>
  </si>
  <si>
    <t xml:space="preserve">Vitis vinifera subsp vinifera cv. Honigler</t>
  </si>
  <si>
    <t xml:space="preserve">Vitis vinifera subsp vinifera cv. Horoz karasi</t>
  </si>
  <si>
    <t xml:space="preserve">Vitis vinifera subsp vinifera cv. Hosszunyelu</t>
  </si>
  <si>
    <t xml:space="preserve">Vitis vinifera subsp vinifera cv. Humagne blanche</t>
  </si>
  <si>
    <t xml:space="preserve">Vitis vinifera subsp vinifera cv. Humagne rouge</t>
  </si>
  <si>
    <t xml:space="preserve">Vitis vinifera subsp vinifera cv. Hunisa</t>
  </si>
  <si>
    <t xml:space="preserve">Vitis vinifera subsp vinifera cv. Hunyadi = Horty Miklosné</t>
  </si>
  <si>
    <t xml:space="preserve">Vitis vinifera subsp vinifera cv. Husseini (Afghanistan)</t>
  </si>
  <si>
    <t xml:space="preserve">Vitis vinifera subsp vinifera cv. Husseini (Etats-Unis)</t>
  </si>
  <si>
    <t xml:space="preserve">Vitis vinifera subsp vinifera cv. Huxelrebe = Alzey 3962</t>
  </si>
  <si>
    <t xml:space="preserve">Vitis vinifera subsp vinifera cv. Icod de los Vinos</t>
  </si>
  <si>
    <t xml:space="preserve">Vitis vinifera subsp vinifera cv. Ida</t>
  </si>
  <si>
    <t xml:space="preserve">Vitis vinifera subsp vinifera cv. Igherziz</t>
  </si>
  <si>
    <t xml:space="preserve">Vitis vinifera subsp vinifera cv. Ignea = Pirovano 185</t>
  </si>
  <si>
    <t xml:space="preserve">Vitis vinifera subsp vinifera cv. ¿illade du 1er Août</t>
  </si>
  <si>
    <t xml:space="preserve">Vitis vinifera subsp vinifera cv. Imperatriz</t>
  </si>
  <si>
    <t xml:space="preserve">Vitis vinifera subsp vinifera cv. Impero = Pirovano 264</t>
  </si>
  <si>
    <t xml:space="preserve">Vitis vinifera subsp vinifera cv. Impigno</t>
  </si>
  <si>
    <t xml:space="preserve">Vitis vinifera subsp vinifera cv. Inab el Mir</t>
  </si>
  <si>
    <t xml:space="preserve">Vitis vinifera subsp vinifera cv. Inconnu blanc</t>
  </si>
  <si>
    <t xml:space="preserve">Vitis vinifera subsp vinifera cv. Inconnu blanc de Jongieux</t>
  </si>
  <si>
    <t xml:space="preserve">Vitis vinifera subsp vinifera cv. Inconnu noir</t>
  </si>
  <si>
    <t xml:space="preserve">Vitis vinifera subsp vinifera cv. Ingram's Hardy Prolific</t>
  </si>
  <si>
    <t xml:space="preserve">Vitis vinifera subsp vinifera cv. Inzolia</t>
  </si>
  <si>
    <t xml:space="preserve">Vitis vinifera subsp vinifera cv. Irki</t>
  </si>
  <si>
    <t xml:space="preserve">Vitis vinifera subsp vinifera cv. Irsay Oliver</t>
  </si>
  <si>
    <t xml:space="preserve">Vitis vinifera subsp vinifera cv. Isa = INRA 2012-55</t>
  </si>
  <si>
    <t xml:space="preserve">Vitis vinifera subsp vinifera cv. Ispisari</t>
  </si>
  <si>
    <t xml:space="preserve">Vitis vinifera subsp vinifera cv. Italia = Pirovano 65</t>
  </si>
  <si>
    <t xml:space="preserve">Vitis vinifera subsp vinifera cv. Italia rubi</t>
  </si>
  <si>
    <t xml:space="preserve">Vitis vinifera subsp vinifera cv. Itchkimar biely</t>
  </si>
  <si>
    <t xml:space="preserve">Vitis vinifera subsp vinifera cv. Ithaki</t>
  </si>
  <si>
    <t xml:space="preserve">Vitis vinifera subsp vinifera cv. Itshkimar</t>
  </si>
  <si>
    <t xml:space="preserve">Vitis vinifera subsp vinifera cv. Ivan</t>
  </si>
  <si>
    <t xml:space="preserve">Vitis vinifera subsp vinifera cv. Izsaki sarfeher</t>
  </si>
  <si>
    <t xml:space="preserve">Vitis vinifera subsp vinifera cv. Jacquère</t>
  </si>
  <si>
    <t xml:space="preserve">Vitis vinifera subsp vinifera cv. Jacquère noire faux</t>
  </si>
  <si>
    <t xml:space="preserve">Vitis vinifera subsp vinifera cv. Jaen</t>
  </si>
  <si>
    <t xml:space="preserve">Vitis vinifera subsp vinifera cv. Jaen negro</t>
  </si>
  <si>
    <t xml:space="preserve">Vitis vinifera subsp vinifera cv. Jaen noir</t>
  </si>
  <si>
    <t xml:space="preserve">Vitis vinifera subsp vinifera cv. Jahafi</t>
  </si>
  <si>
    <t xml:space="preserve">Vitis vinifera subsp vinifera cv. Jampal</t>
  </si>
  <si>
    <t xml:space="preserve">Vitis vinifera subsp vinifera cv. Jaoumet</t>
  </si>
  <si>
    <t xml:space="preserve">Vitis vinifera subsp vinifera cv. Jardovany</t>
  </si>
  <si>
    <t xml:space="preserve">Vitis vinifera subsp vinifera cv. Jardovany fekete</t>
  </si>
  <si>
    <t xml:space="preserve">Vitis vinifera subsp vinifera cv. Jaumin</t>
  </si>
  <si>
    <t xml:space="preserve">Vitis vinifera subsp vinifera cv. Javor gross</t>
  </si>
  <si>
    <t xml:space="preserve">Vitis vinifera subsp vinifera cv. Jean Bernath</t>
  </si>
  <si>
    <t xml:space="preserve">Vitis vinifera subsp vinifera cv. Jean Macé</t>
  </si>
  <si>
    <t xml:space="preserve">Vitis vinifera subsp vinifera cv. Jeludovii</t>
  </si>
  <si>
    <t xml:space="preserve">Vitis vinifera subsp vinifera cv. Jerez fina</t>
  </si>
  <si>
    <t xml:space="preserve">Vitis vinifera subsp vinifera cv. Jérusalem bleu</t>
  </si>
  <si>
    <t xml:space="preserve">Vitis vinifera subsp vinifera cv. Jijona</t>
  </si>
  <si>
    <t xml:space="preserve">Vitis vinifera subsp vinifera cv. Jo rizling</t>
  </si>
  <si>
    <t xml:space="preserve">Vitis vinifera subsp vinifera cv. Joamenco</t>
  </si>
  <si>
    <t xml:space="preserve">Vitis vinifera subsp vinifera cv. João Domingos</t>
  </si>
  <si>
    <t xml:space="preserve">Vitis vinifera subsp vinifera cv. Joubertin</t>
  </si>
  <si>
    <t xml:space="preserve">Vitis vinifera subsp vinifera cv. Joumalak biely</t>
  </si>
  <si>
    <t xml:space="preserve">Vitis vinifera subsp vinifera cv. Jubilé (Bulgarie)</t>
  </si>
  <si>
    <t xml:space="preserve">Vitis vinifera subsp vinifera cv. Juhfark</t>
  </si>
  <si>
    <t xml:space="preserve">Vitis vinifera subsp vinifera cv. Julius Caesar</t>
  </si>
  <si>
    <t xml:space="preserve">Vitis vinifera subsp vinifera cv. July Muscat</t>
  </si>
  <si>
    <t xml:space="preserve">Vitis vinifera subsp vinifera cv. Jurançon blanc</t>
  </si>
  <si>
    <t xml:space="preserve">Vitis vinifera subsp vinifera cv. Jurançon noir</t>
  </si>
  <si>
    <t xml:space="preserve">Vitis vinifera subsp vinifera cv. Kabyle noir</t>
  </si>
  <si>
    <t xml:space="preserve">Vitis vinifera subsp vinifera cv. Kadarka</t>
  </si>
  <si>
    <t xml:space="preserve">Vitis vinifera subsp vinifera cv. Kadarka Szürke</t>
  </si>
  <si>
    <t xml:space="preserve">Vitis vinifera subsp vinifera cv. Kadarka Török</t>
  </si>
  <si>
    <t xml:space="preserve">Vitis vinifera subsp vinifera cv. Kadarun</t>
  </si>
  <si>
    <t xml:space="preserve">Vitis vinifera subsp vinifera cv. Kaisermuskat</t>
  </si>
  <si>
    <t xml:space="preserve">Vitis vinifera subsp vinifera cv. Kakkete</t>
  </si>
  <si>
    <t xml:space="preserve">Vitis vinifera subsp vinifera cv. Kakourdess blanc</t>
  </si>
  <si>
    <t xml:space="preserve">Vitis vinifera subsp vinifera cv. Kalecik siyahi</t>
  </si>
  <si>
    <t xml:space="preserve">Vitis vinifera subsp vinifera cv. Kalili</t>
  </si>
  <si>
    <t xml:space="preserve">Vitis vinifera subsp vinifera cv. Kalina</t>
  </si>
  <si>
    <t xml:space="preserve">Vitis vinifera subsp vinifera cv. Kandahar</t>
  </si>
  <si>
    <t xml:space="preserve">Vitis vinifera subsp vinifera cv. Kandari</t>
  </si>
  <si>
    <t xml:space="preserve">Vitis vinifera subsp vinifera cv. Kanigl grün</t>
  </si>
  <si>
    <t xml:space="preserve">Vitis vinifera subsp vinifera cv. Kanzler = Alzey 3983</t>
  </si>
  <si>
    <t xml:space="preserve">Vitis vinifera subsp vinifera cv. Kaouchansky</t>
  </si>
  <si>
    <t xml:space="preserve">Vitis vinifera subsp vinifera cv. Kara kaltak</t>
  </si>
  <si>
    <t xml:space="preserve">Vitis vinifera subsp vinifera cv. Kara ouzume Aschkhabadsky</t>
  </si>
  <si>
    <t xml:space="preserve">Vitis vinifera subsp vinifera cv. Kara Palvan</t>
  </si>
  <si>
    <t xml:space="preserve">Vitis vinifera subsp vinifera cv. Kara papigi</t>
  </si>
  <si>
    <t xml:space="preserve">Vitis vinifera subsp vinifera cv. Karabraimis</t>
  </si>
  <si>
    <t xml:space="preserve">Vitis vinifera subsp vinifera cv. Karasakiz</t>
  </si>
  <si>
    <t xml:space="preserve">Vitis vinifera subsp vinifera cv. Karitsiotis</t>
  </si>
  <si>
    <t xml:space="preserve">Vitis vinifera subsp vinifera cv. Karmir Kakhani</t>
  </si>
  <si>
    <t xml:space="preserve">Vitis vinifera subsp vinifera cv. Karolowska</t>
  </si>
  <si>
    <t xml:space="preserve">Vitis vinifera subsp vinifera cv. Karroo belle</t>
  </si>
  <si>
    <t xml:space="preserve">Vitis vinifera subsp vinifera cv. Karydato</t>
  </si>
  <si>
    <t xml:space="preserve">Vitis vinifera subsp vinifera cv. Karystino</t>
  </si>
  <si>
    <t xml:space="preserve">Vitis vinifera subsp vinifera cv. Kasoufi de la Bekaa</t>
  </si>
  <si>
    <t xml:space="preserve">Vitis vinifera subsp vinifera cv. Kasoufi enta</t>
  </si>
  <si>
    <t xml:space="preserve">Vitis vinifera subsp vinifera cv. Kassoufi</t>
  </si>
  <si>
    <t xml:space="preserve">Vitis vinifera subsp vinifera cv. Kata</t>
  </si>
  <si>
    <t xml:space="preserve">Vitis vinifera subsp vinifera cv. Katsacoulias</t>
  </si>
  <si>
    <t xml:space="preserve">Vitis vinifera subsp vinifera cv. Katta kourgan</t>
  </si>
  <si>
    <t xml:space="preserve">Vitis vinifera subsp vinifera cv. Kauka blau</t>
  </si>
  <si>
    <t xml:space="preserve">Vitis vinifera subsp vinifera cv. Kaytagi rose</t>
  </si>
  <si>
    <t xml:space="preserve">Vitis vinifera subsp vinifera cv. Kechmisch aly violet</t>
  </si>
  <si>
    <t xml:space="preserve">Vitis vinifera subsp vinifera cv. Kecskecsecsu kek</t>
  </si>
  <si>
    <t xml:space="preserve">Vitis vinifera subsp vinifera cv. Kecskecsecsu roszas piros</t>
  </si>
  <si>
    <t xml:space="preserve">Vitis vinifera subsp vinifera cv. Kecskemet kincse</t>
  </si>
  <si>
    <t xml:space="preserve">Vitis vinifera subsp vinifera cv. Kecskemet Szepe</t>
  </si>
  <si>
    <t xml:space="preserve">Vitis vinifera subsp vinifera cv. Kecskemeti izes</t>
  </si>
  <si>
    <t xml:space="preserve">Vitis vinifera subsp vinifera cv. Kecskemeti rizling</t>
  </si>
  <si>
    <t xml:space="preserve">Vitis vinifera subsp vinifera cv. Kefessia</t>
  </si>
  <si>
    <t xml:space="preserve">Vitis vinifera subsp vinifera cv. Kekhlibar</t>
  </si>
  <si>
    <t xml:space="preserve">Vitis vinifera subsp vinifera cv. Keknyelü</t>
  </si>
  <si>
    <t xml:space="preserve">Vitis vinifera subsp vinifera cv. Kerner = We S 25-30</t>
  </si>
  <si>
    <t xml:space="preserve">Vitis vinifera subsp vinifera cv. Keropodia</t>
  </si>
  <si>
    <t xml:space="preserve">Vitis vinifera subsp vinifera cv. Khalili Piskakes</t>
  </si>
  <si>
    <t xml:space="preserve">Vitis vinifera subsp vinifera cv. Khalili tcherni</t>
  </si>
  <si>
    <t xml:space="preserve">Vitis vinifera subsp vinifera cv. Khalt</t>
  </si>
  <si>
    <t xml:space="preserve">Vitis vinifera subsp vinifera cv. Khatmi</t>
  </si>
  <si>
    <t xml:space="preserve">Vitis vinifera subsp vinifera cv. Khikhvi</t>
  </si>
  <si>
    <t xml:space="preserve">Vitis vinifera subsp vinifera cv. Khindogny</t>
  </si>
  <si>
    <t xml:space="preserve">Vitis vinifera subsp vinifera cv. Khoussaïné blanc</t>
  </si>
  <si>
    <t xml:space="preserve">Vitis vinifera subsp vinifera cv. Kibraiski</t>
  </si>
  <si>
    <t xml:space="preserve">Vitis vinifera subsp vinifera cv. Kichmich chichraou</t>
  </si>
  <si>
    <t xml:space="preserve">Vitis vinifera subsp vinifera cv. Kichmich rond</t>
  </si>
  <si>
    <t xml:space="preserve">Vitis vinifera subsp vinifera cv. Kincsem</t>
  </si>
  <si>
    <t xml:space="preserve">Vitis vinifera subsp vinifera cv. Kizil</t>
  </si>
  <si>
    <t xml:space="preserve">Vitis vinifera subsp vinifera cv. Kizil sapak</t>
  </si>
  <si>
    <t xml:space="preserve">Vitis vinifera subsp vinifera cv. Knipperlé</t>
  </si>
  <si>
    <t xml:space="preserve">Vitis vinifera subsp vinifera cv. Kocsis Irma</t>
  </si>
  <si>
    <t xml:space="preserve">Vitis vinifera subsp vinifera cv. Kocsis Pal szilvanija</t>
  </si>
  <si>
    <t xml:space="preserve">Vitis vinifera subsp vinifera cv. Kocsis Sandor</t>
  </si>
  <si>
    <t xml:space="preserve">Vitis vinifera subsp vinifera cv. Kokkinellia</t>
  </si>
  <si>
    <t xml:space="preserve">Vitis vinifera subsp vinifera cv. Kokkinostaphylo</t>
  </si>
  <si>
    <t xml:space="preserve">Vitis vinifera subsp vinifera cv. Kokour bely</t>
  </si>
  <si>
    <t xml:space="preserve">Vitis vinifera subsp vinifera cv. Kolliniatico</t>
  </si>
  <si>
    <t xml:space="preserve">Vitis vinifera subsp vinifera cv. Kölner blau</t>
  </si>
  <si>
    <t xml:space="preserve">Vitis vinifera subsp vinifera cv. Kolokythas avgoulatos</t>
  </si>
  <si>
    <t xml:space="preserve">Vitis vinifera subsp vinifera cv. Kolontar</t>
  </si>
  <si>
    <t xml:space="preserve">Vitis vinifera subsp vinifera cv. Königstraube</t>
  </si>
  <si>
    <t xml:space="preserve">Vitis vinifera subsp vinifera cv. Kontocladi</t>
  </si>
  <si>
    <t xml:space="preserve">Vitis vinifera subsp vinifera cv. Korai Olasz</t>
  </si>
  <si>
    <t xml:space="preserve">Vitis vinifera subsp vinifera cv. Korithi à gros grains</t>
  </si>
  <si>
    <t xml:space="preserve">Vitis vinifera subsp vinifera cv. Korithi aspro</t>
  </si>
  <si>
    <t xml:space="preserve">Vitis vinifera subsp vinifera cv. Korithi mavro</t>
  </si>
  <si>
    <t xml:space="preserve">Vitis vinifera subsp vinifera cv. Koritsanos rouge</t>
  </si>
  <si>
    <t xml:space="preserve">Vitis vinifera subsp vinifera cv. Koshu noir faux</t>
  </si>
  <si>
    <t xml:space="preserve">Vitis vinifera subsp vinifera cv. Kossorotovsky</t>
  </si>
  <si>
    <t xml:space="preserve">Vitis vinifera subsp vinifera cv. Kotselina</t>
  </si>
  <si>
    <t xml:space="preserve">Vitis vinifera subsp vinifera cv. Kotsiphali</t>
  </si>
  <si>
    <t xml:space="preserve">Vitis vinifera subsp vinifera cv. Koudsi</t>
  </si>
  <si>
    <t xml:space="preserve">Vitis vinifera subsp vinifera cv. Kouldjinsky</t>
  </si>
  <si>
    <t xml:space="preserve">Vitis vinifera subsp vinifera cv. Koumari</t>
  </si>
  <si>
    <t xml:space="preserve">Vitis vinifera subsp vinifera cv. Kouroupitsa</t>
  </si>
  <si>
    <t xml:space="preserve">Vitis vinifera subsp vinifera cv. Koussan</t>
  </si>
  <si>
    <t xml:space="preserve">Vitis vinifera subsp vinifera cv. Kovacsi feher</t>
  </si>
  <si>
    <t xml:space="preserve">Vitis vinifera subsp vinifera cv. Kovalevka</t>
  </si>
  <si>
    <t xml:space="preserve">Vitis vinifera subsp vinifera cv. Kövidinka</t>
  </si>
  <si>
    <t xml:space="preserve">Vitis vinifera subsp vinifera cv. Koytsoumbeli aspro</t>
  </si>
  <si>
    <t xml:space="preserve">Vitis vinifera subsp vinifera cv. Koz ouzioum</t>
  </si>
  <si>
    <t xml:space="preserve">Vitis vinifera subsp vinifera cv. Kozanitis</t>
  </si>
  <si>
    <t xml:space="preserve">Vitis vinifera subsp vinifera cv. Kozma</t>
  </si>
  <si>
    <t xml:space="preserve">Vitis vinifera subsp vinifera cv. Kracher gelber</t>
  </si>
  <si>
    <t xml:space="preserve">Vitis vinifera subsp vinifera cv. Krakhouna</t>
  </si>
  <si>
    <t xml:space="preserve">Vitis vinifera subsp vinifera cv. Krasnostop zolotowskii</t>
  </si>
  <si>
    <t xml:space="preserve">Vitis vinifera subsp vinifera cv. Kravi tzitzi</t>
  </si>
  <si>
    <t xml:space="preserve">Vitis vinifera subsp vinifera cv. Krestovsky</t>
  </si>
  <si>
    <t xml:space="preserve">Vitis vinifera subsp vinifera cv. Kroustalli</t>
  </si>
  <si>
    <t xml:space="preserve">Vitis vinifera subsp vinifera cv. Kujundzusa</t>
  </si>
  <si>
    <t xml:space="preserve">Vitis vinifera subsp vinifera cv. Kurtelaska</t>
  </si>
  <si>
    <t xml:space="preserve">Vitis vinifera subsp vinifera cv. Kypreiko</t>
  </si>
  <si>
    <t xml:space="preserve">Vitis vinifera subsp vinifera cv. La Guitte</t>
  </si>
  <si>
    <t xml:space="preserve">Vitis vinifera subsp vinifera cv. La Rochelle</t>
  </si>
  <si>
    <t xml:space="preserve">Vitis vinifera subsp vinifera cv. Laadari</t>
  </si>
  <si>
    <t xml:space="preserve">Vitis vinifera subsp vinifera cv. Labrusco</t>
  </si>
  <si>
    <t xml:space="preserve">Vitis vinifera subsp vinifera cv. Lacrima di Maria</t>
  </si>
  <si>
    <t xml:space="preserve">Vitis vinifera subsp vinifera cv. Lacryma Christi</t>
  </si>
  <si>
    <t xml:space="preserve">Vitis vinifera subsp vinifera cv. Ladikino</t>
  </si>
  <si>
    <t xml:space="preserve">Vitis vinifera subsp vinifera cv. Lady Downe's seedling</t>
  </si>
  <si>
    <t xml:space="preserve">Vitis vinifera subsp vinifera cv. Lady Hastings</t>
  </si>
  <si>
    <t xml:space="preserve">Vitis vinifera subsp vinifera cv. Lafayette</t>
  </si>
  <si>
    <t xml:space="preserve">Vitis vinifera subsp vinifera cv. Lagauzère A</t>
  </si>
  <si>
    <t xml:space="preserve">Vitis vinifera subsp vinifera cv. Lagauzère B</t>
  </si>
  <si>
    <t xml:space="preserve">Vitis vinifera subsp vinifera cv. Lagauzère C</t>
  </si>
  <si>
    <t xml:space="preserve">Vitis vinifera subsp vinifera cv. Lagauzère E</t>
  </si>
  <si>
    <t xml:space="preserve">Vitis vinifera subsp vinifera cv. Lagauzère 19</t>
  </si>
  <si>
    <t xml:space="preserve">Vitis vinifera subsp vinifera cv. Lagauzère 20</t>
  </si>
  <si>
    <t xml:space="preserve">Vitis vinifera subsp vinifera cv. Lagauzère 21</t>
  </si>
  <si>
    <t xml:space="preserve">Vitis vinifera subsp vinifera cv. Lagorthi</t>
  </si>
  <si>
    <t xml:space="preserve">Vitis vinifera subsp vinifera cv. Lagrein</t>
  </si>
  <si>
    <t xml:space="preserve">Vitis vinifera subsp vinifera cv. Lahntraube</t>
  </si>
  <si>
    <t xml:space="preserve">Vitis vinifera subsp vinifera cv. Lahntraube (Institut Oberlin)</t>
  </si>
  <si>
    <t xml:space="preserve">Vitis vinifera subsp vinifera cv. Lallée</t>
  </si>
  <si>
    <t xml:space="preserve">Vitis vinifera subsp vinifera cv. Lambrusco à foglia frastigliata</t>
  </si>
  <si>
    <t xml:space="preserve">Vitis vinifera subsp vinifera cv. Lambrusco di Sorbara</t>
  </si>
  <si>
    <t xml:space="preserve">Vitis vinifera subsp vinifera cv. Lambrusco grasparossa</t>
  </si>
  <si>
    <t xml:space="preserve">Vitis vinifera subsp vinifera cv. Lambrusco Maestri</t>
  </si>
  <si>
    <t xml:space="preserve">Vitis vinifera subsp vinifera cv. Lambrusco Marani</t>
  </si>
  <si>
    <t xml:space="preserve">Vitis vinifera subsp vinifera cv. Lambrusco Monterico</t>
  </si>
  <si>
    <t xml:space="preserve">Vitis vinifera subsp vinifera cv. Lambrusco oliva</t>
  </si>
  <si>
    <t xml:space="preserve">Vitis vinifera subsp vinifera cv. Lambrusco salamino</t>
  </si>
  <si>
    <t xml:space="preserve">Vitis vinifera subsp vinifera cv. Lambrusco Viadanese</t>
  </si>
  <si>
    <t xml:space="preserve">Vitis vinifera subsp vinifera cv. Lambruscone</t>
  </si>
  <si>
    <t xml:space="preserve">Vitis vinifera subsp vinifera cv. Lambrusque A</t>
  </si>
  <si>
    <t xml:space="preserve">Vitis vinifera subsp vinifera cv. lambrusque C</t>
  </si>
  <si>
    <t xml:space="preserve">Vitis vinifera subsp vinifera cv. Lambrusque D</t>
  </si>
  <si>
    <t xml:space="preserve">Vitis vinifera subsp vinifera cv. Lambrusque E</t>
  </si>
  <si>
    <t xml:space="preserve">Vitis vinifera subsp vinifera cv. Lambrusque F</t>
  </si>
  <si>
    <t xml:space="preserve">Vitis vinifera subsp vinifera cv. Lambrusque I</t>
  </si>
  <si>
    <t xml:space="preserve">Vitis vinifera subsp vinifera cv. Lambrusque J</t>
  </si>
  <si>
    <t xml:space="preserve">Vitis vinifera subsp vinifera cv. Lambrusque spontanée coloniale</t>
  </si>
  <si>
    <t xml:space="preserve">Vitis vinifera subsp vinifera cv. Lambrusque subspontanée</t>
  </si>
  <si>
    <t xml:space="preserve">Vitis vinifera subsp vinifera cv. Lamparfahr de Vany</t>
  </si>
  <si>
    <t xml:space="preserve">Vitis vinifera subsp vinifera cv. Landroter</t>
  </si>
  <si>
    <t xml:space="preserve">Vitis vinifera subsp vinifera cv. Lanjaron claro</t>
  </si>
  <si>
    <t xml:space="preserve">Vitis vinifera subsp vinifera cv. Larião</t>
  </si>
  <si>
    <t xml:space="preserve">Vitis vinifera subsp vinifera cv. Lasina</t>
  </si>
  <si>
    <t xml:space="preserve">Vitis vinifera subsp vinifera cv. Laska</t>
  </si>
  <si>
    <t xml:space="preserve">Vitis vinifera subsp vinifera cv. Latina = Pirovano 711</t>
  </si>
  <si>
    <t xml:space="preserve">Vitis vinifera subsp vinifera cv. Lattuario nero</t>
  </si>
  <si>
    <t xml:space="preserve">Vitis vinifera subsp vinifera cv. Lauzet</t>
  </si>
  <si>
    <t xml:space="preserve">Vitis vinifera subsp vinifera cv. Leanyka</t>
  </si>
  <si>
    <t xml:space="preserve">Vitis vinifera subsp vinifera cv. Leao Ferreira da Almeida 10-48-24</t>
  </si>
  <si>
    <t xml:space="preserve">Vitis vinifera subsp vinifera cv. Leao Ferreira da Almeida 29-54-30</t>
  </si>
  <si>
    <t xml:space="preserve">Vitis vinifera subsp vinifera cv. Leao Ferreira da Almeida 29-54-7</t>
  </si>
  <si>
    <t xml:space="preserve">Vitis vinifera subsp vinifera cv. Leao Ferreira da Almeida 34-49-48</t>
  </si>
  <si>
    <t xml:space="preserve">Vitis vinifera subsp vinifera cv. Leao Ferreira da Almeida 34-49-50</t>
  </si>
  <si>
    <t xml:space="preserve">Vitis vinifera subsp vinifera cv. Leao Ferreira da Almeida 37-50-8</t>
  </si>
  <si>
    <t xml:space="preserve">Vitis vinifera subsp vinifera cv. Leao Ferreira da Almeida 4-49-44</t>
  </si>
  <si>
    <t xml:space="preserve">Vitis vinifera subsp vinifera cv. Leao Ferreira da Almeida 7-49-35</t>
  </si>
  <si>
    <t xml:space="preserve">Vitis vinifera subsp vinifera cv. Lefcas</t>
  </si>
  <si>
    <t xml:space="preserve">Vitis vinifera subsp vinifera cv. Len de l'El</t>
  </si>
  <si>
    <t xml:space="preserve">Vitis vinifera subsp vinifera cv. L'Enfant trouvé</t>
  </si>
  <si>
    <t xml:space="preserve">Vitis vinifera subsp vinifera cv. Léopold III</t>
  </si>
  <si>
    <t xml:space="preserve">Vitis vinifera subsp vinifera cv. Lercat</t>
  </si>
  <si>
    <t xml:space="preserve">Vitis vinifera subsp vinifera cv. Lesz meg hazam</t>
  </si>
  <si>
    <t xml:space="preserve">Vitis vinifera subsp vinifera cv. Lialmigui</t>
  </si>
  <si>
    <t xml:space="preserve">Vitis vinifera subsp vinifera cv. Liatico</t>
  </si>
  <si>
    <t xml:space="preserve">Vitis vinifera subsp vinifera cv. Lignage</t>
  </si>
  <si>
    <t xml:space="preserve">Vitis vinifera subsp vinifera cv. Lignan</t>
  </si>
  <si>
    <t xml:space="preserve">Vitis vinifera subsp vinifera cv. Liliorila</t>
  </si>
  <si>
    <t xml:space="preserve">Vitis vinifera subsp vinifera cv. Limberger</t>
  </si>
  <si>
    <t xml:space="preserve">Vitis vinifera subsp vinifera cv. Limniona</t>
  </si>
  <si>
    <t xml:space="preserve">Vitis vinifera subsp vinifera cv. Linné</t>
  </si>
  <si>
    <t xml:space="preserve">Vitis vinifera subsp vinifera cv. Listan</t>
  </si>
  <si>
    <t xml:space="preserve">Vitis vinifera subsp vinifera cv. Lisztes feher feketefaju</t>
  </si>
  <si>
    <t xml:space="preserve">Vitis vinifera subsp vinifera cv. Lisztes piros</t>
  </si>
  <si>
    <t xml:space="preserve">Vitis vinifera subsp vinifera cv. Littorio = Pirovano 90</t>
  </si>
  <si>
    <t xml:space="preserve">Vitis vinifera subsp vinifera cv. Lival = INRA 696-11</t>
  </si>
  <si>
    <t xml:space="preserve">Vitis vinifera subsp vinifera cv. Lkeny noir</t>
  </si>
  <si>
    <t xml:space="preserve">Vitis vinifera subsp vinifera cv. Lledoner pelut</t>
  </si>
  <si>
    <t xml:space="preserve">Vitis vinifera subsp vinifera cv. Lombardia = Pirovano 353</t>
  </si>
  <si>
    <t xml:space="preserve">Vitis vinifera subsp vinifera cv. Louali</t>
  </si>
  <si>
    <t xml:space="preserve">Vitis vinifera subsp vinifera cv. Loureiro</t>
  </si>
  <si>
    <t xml:space="preserve">Vitis vinifera subsp vinifera cv. Lucien Baltet</t>
  </si>
  <si>
    <t xml:space="preserve">Vitis vinifera subsp vinifera cv. Luigi Razza = Pirovano 365</t>
  </si>
  <si>
    <t xml:space="preserve">Vitis vinifera subsp vinifera cv. Luisa blanca</t>
  </si>
  <si>
    <t xml:space="preserve">Vitis vinifera subsp vinifera cv. Lumassina</t>
  </si>
  <si>
    <t xml:space="preserve">Vitis vinifera subsp vinifera cv. Luparello</t>
  </si>
  <si>
    <t xml:space="preserve">Vitis vinifera subsp vinifera cv. Lutea = Pirovano 167</t>
  </si>
  <si>
    <t xml:space="preserve">Vitis vinifera subsp vinifera cv. Maabouri</t>
  </si>
  <si>
    <t xml:space="preserve">Vitis vinifera subsp vinifera cv. Maça</t>
  </si>
  <si>
    <t xml:space="preserve">Vitis vinifera subsp vinifera cv. Macabeu</t>
  </si>
  <si>
    <t xml:space="preserve">Vitis vinifera subsp vinifera cv. Maceratino</t>
  </si>
  <si>
    <t xml:space="preserve">Vitis vinifera subsp vinifera cv. Mackensen</t>
  </si>
  <si>
    <t xml:space="preserve">Vitis vinifera subsp vinifera cv. Madeleine angevine</t>
  </si>
  <si>
    <t xml:space="preserve">Vitis vinifera subsp vinifera cv. Madeleine angevine Oberlin</t>
  </si>
  <si>
    <t xml:space="preserve">Vitis vinifera subsp vinifera cv. Madeleine Céline</t>
  </si>
  <si>
    <t xml:space="preserve">Vitis vinifera subsp vinifera cv. Madeleine de Clermont</t>
  </si>
  <si>
    <t xml:space="preserve">Vitis vinifera subsp vinifera cv. Madeleine royale</t>
  </si>
  <si>
    <t xml:space="preserve">Vitis vinifera subsp vinifera cv. Madeleine Salomon</t>
  </si>
  <si>
    <t xml:space="preserve">Vitis vinifera subsp vinifera cv. Madeleine Sämling 18</t>
  </si>
  <si>
    <t xml:space="preserve">Vitis vinifera subsp vinifera cv. Madeleine Sämling 22</t>
  </si>
  <si>
    <t xml:space="preserve">Vitis vinifera subsp vinifera cv. Madina = INRA 2004-9</t>
  </si>
  <si>
    <t xml:space="preserve">Vitis vinifera subsp vinifera cv. Magliocco</t>
  </si>
  <si>
    <t xml:space="preserve">Vitis vinifera subsp vinifera cv. Magyartraube</t>
  </si>
  <si>
    <t xml:space="preserve">Vitis vinifera subsp vinifera cv. Maingonat 50 L 2</t>
  </si>
  <si>
    <t xml:space="preserve">Vitis vinifera subsp vinifera cv. Maingonnat 11 L 13</t>
  </si>
  <si>
    <t xml:space="preserve">Vitis vinifera subsp vinifera cv. Maingonnat 12 L 11</t>
  </si>
  <si>
    <t xml:space="preserve">Vitis vinifera subsp vinifera cv. Maingonnat 14 L 23</t>
  </si>
  <si>
    <t xml:space="preserve">Vitis vinifera subsp vinifera cv. Maingonnat 16 L 4</t>
  </si>
  <si>
    <t xml:space="preserve">Vitis vinifera subsp vinifera cv. Maingonnat 17 L 24</t>
  </si>
  <si>
    <t xml:space="preserve">Vitis vinifera subsp vinifera cv. Maingonnat 19 L 25</t>
  </si>
  <si>
    <t xml:space="preserve">Vitis vinifera subsp vinifera cv. Maingonnat 20 L 12</t>
  </si>
  <si>
    <t xml:space="preserve">Vitis vinifera subsp vinifera cv. Maingonnat 20 L 22</t>
  </si>
  <si>
    <t xml:space="preserve">Vitis vinifera subsp vinifera cv. Maingonnat 25 L 5</t>
  </si>
  <si>
    <t xml:space="preserve">Vitis vinifera subsp vinifera cv. Maingonnat 27 L1</t>
  </si>
  <si>
    <t xml:space="preserve">Vitis vinifera subsp vinifera cv. Maingonnat 3 L 1</t>
  </si>
  <si>
    <t xml:space="preserve">Vitis vinifera subsp vinifera cv. Maingonnat 3 L 22</t>
  </si>
  <si>
    <t xml:space="preserve">Vitis vinifera subsp vinifera cv. Maingonnat 30 L 22</t>
  </si>
  <si>
    <t xml:space="preserve">Vitis vinifera subsp vinifera cv. Maingonnat 31 L 10</t>
  </si>
  <si>
    <t xml:space="preserve">Vitis vinifera subsp vinifera cv. Maingonnat 31 L 11</t>
  </si>
  <si>
    <t xml:space="preserve">Vitis vinifera subsp vinifera cv. Maingonnat 34 L 5</t>
  </si>
  <si>
    <t xml:space="preserve">Vitis vinifera subsp vinifera cv. Maingonnat 4 L 22</t>
  </si>
  <si>
    <t xml:space="preserve">Vitis vinifera subsp vinifera cv. Maingonnat 42 L 10</t>
  </si>
  <si>
    <t xml:space="preserve">Vitis vinifera subsp vinifera cv. Maingonnat 48 L 2</t>
  </si>
  <si>
    <t xml:space="preserve">Vitis vinifera subsp vinifera cv. Maingonnat 48 L 4</t>
  </si>
  <si>
    <t xml:space="preserve">Vitis vinifera subsp vinifera cv. Maingonnat 50 L 4</t>
  </si>
  <si>
    <t xml:space="preserve">Vitis vinifera subsp vinifera cv. Maingonnat 7 L 1</t>
  </si>
  <si>
    <t xml:space="preserve">Vitis vinifera subsp vinifera cv. Maingonnat 9 L 24</t>
  </si>
  <si>
    <t xml:space="preserve">Vitis vinifera subsp vinifera cv. Malaga II</t>
  </si>
  <si>
    <t xml:space="preserve">Vitis vinifera subsp vinifera cv. Malaga noir</t>
  </si>
  <si>
    <t xml:space="preserve">Vitis vinifera subsp vinifera cv. Maloukato</t>
  </si>
  <si>
    <t xml:space="preserve">Vitis vinifera subsp vinifera cv. Malpé (1)</t>
  </si>
  <si>
    <t xml:space="preserve">Vitis vinifera subsp vinifera cv. Malpé (2)</t>
  </si>
  <si>
    <t xml:space="preserve">Vitis vinifera subsp vinifera cv. Malvar</t>
  </si>
  <si>
    <t xml:space="preserve">Vitis vinifera subsp vinifera cv. Malvarisco</t>
  </si>
  <si>
    <t xml:space="preserve">Vitis vinifera subsp vinifera cv. Malvasia</t>
  </si>
  <si>
    <t xml:space="preserve">Vitis vinifera subsp vinifera cv. Malvasia del Chianti</t>
  </si>
  <si>
    <t xml:space="preserve">Vitis vinifera subsp vinifera cv. Malvasia del Lazio</t>
  </si>
  <si>
    <t xml:space="preserve">Vitis vinifera subsp vinifera cv. Malvasia di Candia</t>
  </si>
  <si>
    <t xml:space="preserve">Vitis vinifera subsp vinifera cv. Malvasia di Candia aromatica</t>
  </si>
  <si>
    <t xml:space="preserve">Vitis vinifera subsp vinifera cv. Malvasia di Casorzo</t>
  </si>
  <si>
    <t xml:space="preserve">Vitis vinifera subsp vinifera cv. Malvasia di Sardegna</t>
  </si>
  <si>
    <t xml:space="preserve">Vitis vinifera subsp vinifera cv. Malvasia di Schierano</t>
  </si>
  <si>
    <t xml:space="preserve">Vitis vinifera subsp vinifera cv. Malvasia fina</t>
  </si>
  <si>
    <t xml:space="preserve">Vitis vinifera subsp vinifera cv. Malvasia istriana</t>
  </si>
  <si>
    <t xml:space="preserve">Vitis vinifera subsp vinifera cv. Malvasia Moscatel Fonte grande</t>
  </si>
  <si>
    <t xml:space="preserve">Vitis vinifera subsp vinifera cv. Malvasia nera di Brindisi</t>
  </si>
  <si>
    <t xml:space="preserve">Vitis vinifera subsp vinifera cv. Malvasia nera di Lecce</t>
  </si>
  <si>
    <t xml:space="preserve">Vitis vinifera subsp vinifera cv. Malvasia rei</t>
  </si>
  <si>
    <t xml:space="preserve">Vitis vinifera subsp vinifera cv. Malvina</t>
  </si>
  <si>
    <t xml:space="preserve">Vitis vinifera subsp vinifera cv. Malvoisie de Sitges fausse</t>
  </si>
  <si>
    <t xml:space="preserve">Vitis vinifera subsp vinifera cv. Mamelon</t>
  </si>
  <si>
    <t xml:space="preserve">Vitis vinifera subsp vinifera cv. Mammolo</t>
  </si>
  <si>
    <t xml:space="preserve">Vitis vinifera subsp vinifera cv. Mancens</t>
  </si>
  <si>
    <t xml:space="preserve">Vitis vinifera subsp vinifera cv. Mancin</t>
  </si>
  <si>
    <t xml:space="preserve">Vitis vinifera subsp vinifera cv. Mandrègue</t>
  </si>
  <si>
    <t xml:space="preserve">Vitis vinifera subsp vinifera cv. Manseng noir</t>
  </si>
  <si>
    <t xml:space="preserve">Vitis vinifera subsp vinifera cv. Manseng vert</t>
  </si>
  <si>
    <t xml:space="preserve">Vitis vinifera subsp vinifera cv. Mansonnet</t>
  </si>
  <si>
    <t xml:space="preserve">Vitis vinifera subsp vinifera cv. Manteudo</t>
  </si>
  <si>
    <t xml:space="preserve">Vitis vinifera subsp vinifera cv. Mantheudo</t>
  </si>
  <si>
    <t xml:space="preserve">Vitis vinifera subsp vinifera cv. Mantilaria</t>
  </si>
  <si>
    <t xml:space="preserve">Vitis vinifera subsp vinifera cv. Mantuo de Pilas</t>
  </si>
  <si>
    <t xml:space="preserve">Vitis vinifera subsp vinifera cv. Manzoni 1-50</t>
  </si>
  <si>
    <t xml:space="preserve">Vitis vinifera subsp vinifera cv. Manzoni 2-15</t>
  </si>
  <si>
    <t xml:space="preserve">Vitis vinifera subsp vinifera cv. Manzoni 3-26</t>
  </si>
  <si>
    <t xml:space="preserve">Vitis vinifera subsp vinifera cv. Maratheftico</t>
  </si>
  <si>
    <t xml:space="preserve">Vitis vinifera subsp vinifera cv. Marawi</t>
  </si>
  <si>
    <t xml:space="preserve">Vitis vinifera subsp vinifera cv. Maréchal Bosquet</t>
  </si>
  <si>
    <t xml:space="preserve">Vitis vinifera subsp vinifera cv. Maréchal Gallieni</t>
  </si>
  <si>
    <t xml:space="preserve">Vitis vinifera subsp vinifera cv. Marengo = Pirovano 205</t>
  </si>
  <si>
    <t xml:space="preserve">Vitis vinifera subsp vinifera cv. Maria Pirovano = Pirovano 165</t>
  </si>
  <si>
    <t xml:space="preserve">Vitis vinifera subsp vinifera cv. Marienriesling</t>
  </si>
  <si>
    <t xml:space="preserve">Vitis vinifera subsp vinifera cv. Mariensteiner = Würzburg B 51-7-3</t>
  </si>
  <si>
    <t xml:space="preserve">Vitis vinifera subsp vinifera cv. Mario Mariani = Pirovano 276</t>
  </si>
  <si>
    <t xml:space="preserve">Vitis vinifera subsp vinifera cv. Marocain gris</t>
  </si>
  <si>
    <t xml:space="preserve">Vitis vinifera subsp vinifera cv. Marocain noir</t>
  </si>
  <si>
    <t xml:space="preserve">Vitis vinifera subsp vinifera cv. Maroo seedless</t>
  </si>
  <si>
    <t xml:space="preserve">Vitis vinifera subsp vinifera cv. Marouhé</t>
  </si>
  <si>
    <t xml:space="preserve">Vitis vinifera subsp vinifera cv. Marsanne</t>
  </si>
  <si>
    <t xml:space="preserve">Vitis vinifera subsp vinifera cv. Marsanne de Pays</t>
  </si>
  <si>
    <t xml:space="preserve">Vitis vinifera subsp vinifera cv. Marselan = INRA 1810-68</t>
  </si>
  <si>
    <t xml:space="preserve">Vitis vinifera subsp vinifera cv. Marsigliana nera</t>
  </si>
  <si>
    <t xml:space="preserve">Vitis vinifera subsp vinifera cv. Martien</t>
  </si>
  <si>
    <t xml:space="preserve">Vitis vinifera subsp vinifera cv. Marzemino</t>
  </si>
  <si>
    <t xml:space="preserve">Vitis vinifera subsp vinifera cv. Massecamp</t>
  </si>
  <si>
    <t xml:space="preserve">Vitis vinifera subsp vinifera cv. Mateu</t>
  </si>
  <si>
    <t xml:space="preserve">Vitis vinifera subsp vinifera cv. Mathiasz Janos Diadala muskotaly</t>
  </si>
  <si>
    <t xml:space="preserve">Vitis vinifera subsp vinifera cv. Mathiasz Janos Emleke</t>
  </si>
  <si>
    <t xml:space="preserve">Vitis vinifera subsp vinifera cv. Mathiasz Janosne</t>
  </si>
  <si>
    <t xml:space="preserve">Vitis vinifera subsp vinifera cv. Mathiasz Muskotaly = Revai tranonor</t>
  </si>
  <si>
    <t xml:space="preserve">Vitis vinifera subsp vinifera cv. Mathiasz 215 faux</t>
  </si>
  <si>
    <t xml:space="preserve">Vitis vinifera subsp vinifera cv. Maticha</t>
  </si>
  <si>
    <t xml:space="preserve">Vitis vinifera subsp vinifera cv. Matilde</t>
  </si>
  <si>
    <t xml:space="preserve">Vitis vinifera subsp vinifera cv. Matrassa</t>
  </si>
  <si>
    <t xml:space="preserve">Vitis vinifera subsp vinifera cv. Maturana</t>
  </si>
  <si>
    <t xml:space="preserve">Vitis vinifera subsp vinifera cv. Mauvaise Roussette</t>
  </si>
  <si>
    <t xml:space="preserve">Vitis vinifera subsp vinifera cv. Mauzac</t>
  </si>
  <si>
    <t xml:space="preserve">Vitis vinifera subsp vinifera cv. Mauzac noir</t>
  </si>
  <si>
    <t xml:space="preserve">Vitis vinifera subsp vinifera cv. Mauzac rose</t>
  </si>
  <si>
    <t xml:space="preserve">Vitis vinifera subsp vinifera cv. Mavro Kymis</t>
  </si>
  <si>
    <t xml:space="preserve">Vitis vinifera subsp vinifera cv. Mavrodaphni</t>
  </si>
  <si>
    <t xml:space="preserve">Vitis vinifera subsp vinifera cv. Mavrostypho</t>
  </si>
  <si>
    <t xml:space="preserve">Vitis vinifera subsp vinifera cv. Mavrotragano</t>
  </si>
  <si>
    <t xml:space="preserve">Vitis vinifera subsp vinifera cv. Mavroudi</t>
  </si>
  <si>
    <t xml:space="preserve">Vitis vinifera subsp vinifera cv. Mavrud</t>
  </si>
  <si>
    <t xml:space="preserve">Vitis vinifera subsp vinifera cv. Mavrud Varnenski</t>
  </si>
  <si>
    <t xml:space="preserve">Vitis vinifera subsp vinifera cv. Mayorquin</t>
  </si>
  <si>
    <t xml:space="preserve">Vitis vinifera subsp vinifera cv. Mazzari</t>
  </si>
  <si>
    <t xml:space="preserve">Vitis vinifera subsp vinifera cv. Mècle de Bourgoin</t>
  </si>
  <si>
    <t xml:space="preserve">Vitis vinifera subsp vinifera cv. Médoc noir</t>
  </si>
  <si>
    <t xml:space="preserve">Vitis vinifera subsp vinifera cv. Mehdik</t>
  </si>
  <si>
    <t xml:space="preserve">Vitis vinifera subsp vinifera cv. Mehlweiss</t>
  </si>
  <si>
    <t xml:space="preserve">Vitis vinifera subsp vinifera cv. Melbento</t>
  </si>
  <si>
    <t xml:space="preserve">Vitis vinifera subsp vinifera cv. Melon</t>
  </si>
  <si>
    <t xml:space="preserve">Vitis vinifera subsp vinifera cv. Melon noir</t>
  </si>
  <si>
    <t xml:space="preserve">Vitis vinifera subsp vinifera cv. Mencia</t>
  </si>
  <si>
    <t xml:space="preserve">Vitis vinifera subsp vinifera cv. Mendel = Pirovano 532</t>
  </si>
  <si>
    <t xml:space="preserve">Vitis vinifera subsp vinifera cv. Mérille</t>
  </si>
  <si>
    <t xml:space="preserve">Vitis vinifera subsp vinifera cv. Merlot</t>
  </si>
  <si>
    <t xml:space="preserve">Vitis vinifera subsp vinifera cv. Merlot blanc</t>
  </si>
  <si>
    <t xml:space="preserve">Vitis vinifera subsp vinifera cv. Merlot gris</t>
  </si>
  <si>
    <t xml:space="preserve">Vitis vinifera subsp vinifera cv. Merseguera</t>
  </si>
  <si>
    <t xml:space="preserve">Vitis vinifera subsp vinifera cv. Meslier noir</t>
  </si>
  <si>
    <t xml:space="preserve">Vitis vinifera subsp vinifera cv. Meslier Saint-François</t>
  </si>
  <si>
    <t xml:space="preserve">Vitis vinifera subsp vinifera cv. Métis Clerc</t>
  </si>
  <si>
    <t xml:space="preserve">Vitis vinifera subsp vinifera cv. Meunier</t>
  </si>
  <si>
    <t xml:space="preserve">Vitis vinifera subsp vinifera cv. Meunier Court Maillé</t>
  </si>
  <si>
    <t xml:space="preserve">Vitis vinifera subsp vinifera cv. Meunier tête de nègre</t>
  </si>
  <si>
    <t xml:space="preserve">Vitis vinifera subsp vinifera cv. Mezesfeher</t>
  </si>
  <si>
    <t xml:space="preserve">Vitis vinifera subsp vinifera cv. Mezesfekete</t>
  </si>
  <si>
    <t xml:space="preserve">Vitis vinifera subsp vinifera cv. Mezi</t>
  </si>
  <si>
    <t xml:space="preserve">Vitis vinifera subsp vinifera cv. Mgaloblichvili</t>
  </si>
  <si>
    <t xml:space="preserve">Vitis vinifera subsp vinifera cv. Michele Palieri = Palieri 5</t>
  </si>
  <si>
    <t xml:space="preserve">Vitis vinifera subsp vinifera cv. Miguel de Arco</t>
  </si>
  <si>
    <t xml:space="preserve">Vitis vinifera subsp vinifera cv. Mikveh 17</t>
  </si>
  <si>
    <t xml:space="preserve">Vitis vinifera subsp vinifera cv. Milgranet</t>
  </si>
  <si>
    <t xml:space="preserve">Vitis vinifera subsp vinifera cv. Milton</t>
  </si>
  <si>
    <t xml:space="preserve">Vitis vinifera subsp vinifera cv. Minnella bianca</t>
  </si>
  <si>
    <t xml:space="preserve">Vitis vinifera subsp vinifera cv. Mireille = Mi 108 C</t>
  </si>
  <si>
    <t xml:space="preserve">Vitis vinifera subsp vinifera cv. Mirifica = Pirovano 432</t>
  </si>
  <si>
    <t xml:space="preserve">Vitis vinifera subsp vinifera cv. Mirni</t>
  </si>
  <si>
    <t xml:space="preserve">Vitis vinifera subsp vinifera cv. Misguli kara</t>
  </si>
  <si>
    <t xml:space="preserve">Vitis vinifera subsp vinifera cv. Mishung</t>
  </si>
  <si>
    <t xml:space="preserve">Vitis vinifera subsp vinifera cv. Misket tcherven</t>
  </si>
  <si>
    <t xml:space="preserve">Vitis vinifera subsp vinifera cv. Misket vratchansky</t>
  </si>
  <si>
    <t xml:space="preserve">Vitis vinifera subsp vinifera cv. Mission</t>
  </si>
  <si>
    <t xml:space="preserve">Vitis vinifera subsp vinifera cv. Mistress Hall</t>
  </si>
  <si>
    <t xml:space="preserve">Vitis vinifera subsp vinifera cv. Mohzel</t>
  </si>
  <si>
    <t xml:space="preserve">Vitis vinifera subsp vinifera cv. Moldovanka</t>
  </si>
  <si>
    <t xml:space="preserve">Vitis vinifera subsp vinifera cv. Molette</t>
  </si>
  <si>
    <t xml:space="preserve">Vitis vinifera subsp vinifera cv. Molinara</t>
  </si>
  <si>
    <t xml:space="preserve">Vitis vinifera subsp vinifera cv. Molinera gorda</t>
  </si>
  <si>
    <t xml:space="preserve">Vitis vinifera subsp vinifera cv. Mollar</t>
  </si>
  <si>
    <t xml:space="preserve">Vitis vinifera subsp vinifera cv. Mollard</t>
  </si>
  <si>
    <t xml:space="preserve">Vitis vinifera subsp vinifera cv. Monaca</t>
  </si>
  <si>
    <t xml:space="preserve">Vitis vinifera subsp vinifera cv. Monbadon</t>
  </si>
  <si>
    <t xml:space="preserve">Vitis vinifera subsp vinifera cv. Mondeuse</t>
  </si>
  <si>
    <t xml:space="preserve">Vitis vinifera subsp vinifera cv. Mondeuse blanche</t>
  </si>
  <si>
    <t xml:space="preserve">Vitis vinifera subsp vinifera cv. Mondeuse du Piémont</t>
  </si>
  <si>
    <t xml:space="preserve">Vitis vinifera subsp vinifera cv. Mondeuse grise</t>
  </si>
  <si>
    <t xml:space="preserve">Vitis vinifera subsp vinifera cv. Monemvassia</t>
  </si>
  <si>
    <t xml:space="preserve">Vitis vinifera subsp vinifera cv. Monerac = INRA 1740-1142</t>
  </si>
  <si>
    <t xml:space="preserve">Vitis vinifera subsp vinifera cv. Monica</t>
  </si>
  <si>
    <t xml:space="preserve">Vitis vinifera subsp vinifera cv. Monique</t>
  </si>
  <si>
    <t xml:space="preserve">Vitis vinifera subsp vinifera cv. Monte d'oro = Pirovano 240</t>
  </si>
  <si>
    <t xml:space="preserve">Vitis vinifera subsp vinifera cv. Montepulciano</t>
  </si>
  <si>
    <t xml:space="preserve">Vitis vinifera subsp vinifera cv. Montils</t>
  </si>
  <si>
    <t xml:space="preserve">Vitis vinifera subsp vinifera cv. Montonico bianco</t>
  </si>
  <si>
    <t xml:space="preserve">Vitis vinifera subsp vinifera cv. Montu</t>
  </si>
  <si>
    <t xml:space="preserve">Vitis vinifera subsp vinifera cv. Montuonico</t>
  </si>
  <si>
    <t xml:space="preserve">Vitis vinifera subsp vinifera cv. Morenillo</t>
  </si>
  <si>
    <t xml:space="preserve">Vitis vinifera subsp vinifera cv. Moreto</t>
  </si>
  <si>
    <t xml:space="preserve">Vitis vinifera subsp vinifera cv. Moriot Muskat = Geilweilerhof I-28-30</t>
  </si>
  <si>
    <t xml:space="preserve">Vitis vinifera subsp vinifera cv. Morisca</t>
  </si>
  <si>
    <t xml:space="preserve">Vitis vinifera subsp vinifera cv. Morlin gris</t>
  </si>
  <si>
    <t xml:space="preserve">Vitis vinifera subsp vinifera cv. Mornen</t>
  </si>
  <si>
    <t xml:space="preserve">Vitis vinifera subsp vinifera cv. Morrastel</t>
  </si>
  <si>
    <t xml:space="preserve">Vitis vinifera subsp vinifera cv. Morrastel Bouschet à gros grains</t>
  </si>
  <si>
    <t xml:space="preserve">Vitis vinifera subsp vinifera cv. Moscatel de Camarate</t>
  </si>
  <si>
    <t xml:space="preserve">Vitis vinifera subsp vinifera cv. Moscatel de San Ildefonso</t>
  </si>
  <si>
    <t xml:space="preserve">Vitis vinifera subsp vinifera cv. Moscatel Dr Soares Franco</t>
  </si>
  <si>
    <t xml:space="preserve">Vitis vinifera subsp vinifera cv. Moscatel rosa = Leao Ferreira da Almeida 37-51-15</t>
  </si>
  <si>
    <t xml:space="preserve">Vitis vinifera subsp vinifera cv. Moscatel rosado</t>
  </si>
  <si>
    <t xml:space="preserve">Vitis vinifera subsp vinifera cv. Moscato Cerletti</t>
  </si>
  <si>
    <t xml:space="preserve">Vitis vinifera subsp vinifera cv. Moscato d'Adda</t>
  </si>
  <si>
    <t xml:space="preserve">Vitis vinifera subsp vinifera cv. Moscato giallo</t>
  </si>
  <si>
    <t xml:space="preserve">Vitis vinifera subsp vinifera cv. Moscato Tiammor = Pirovano 672</t>
  </si>
  <si>
    <t xml:space="preserve">Vitis vinifera subsp vinifera cv. Moschardina</t>
  </si>
  <si>
    <t xml:space="preserve">Vitis vinifera subsp vinifera cv. Moschopatata</t>
  </si>
  <si>
    <t xml:space="preserve">Vitis vinifera subsp vinifera cv. Mouchketny</t>
  </si>
  <si>
    <t xml:space="preserve">Vitis vinifera subsp vinifera cv. Moudjouretouli</t>
  </si>
  <si>
    <t xml:space="preserve">Vitis vinifera subsp vinifera cv. Mourisco branco</t>
  </si>
  <si>
    <t xml:space="preserve">Vitis vinifera subsp vinifera cv. Mourisco de Semente</t>
  </si>
  <si>
    <t xml:space="preserve">Vitis vinifera subsp vinifera cv. Mourisco du Minho</t>
  </si>
  <si>
    <t xml:space="preserve">Vitis vinifera subsp vinifera cv. Mourisco nacional</t>
  </si>
  <si>
    <t xml:space="preserve">Vitis vinifera subsp vinifera cv. Mourisco tinto</t>
  </si>
  <si>
    <t xml:space="preserve">Vitis vinifera subsp vinifera cv. Mourtaou</t>
  </si>
  <si>
    <t xml:space="preserve">Vitis vinifera subsp vinifera cv. Mourtès</t>
  </si>
  <si>
    <t xml:space="preserve">Vitis vinifera subsp vinifera cv. Mourvaison</t>
  </si>
  <si>
    <t xml:space="preserve">Vitis vinifera subsp vinifera cv. Mourvèdre</t>
  </si>
  <si>
    <t xml:space="preserve">Vitis vinifera subsp vinifera cv. Mourvèdre gris</t>
  </si>
  <si>
    <t xml:space="preserve">Vitis vinifera subsp vinifera cv. Mouscha</t>
  </si>
  <si>
    <t xml:space="preserve">Vitis vinifera subsp vinifera cv. Mouyssaguès</t>
  </si>
  <si>
    <t xml:space="preserve">Vitis vinifera subsp vinifera cv. Mskhali</t>
  </si>
  <si>
    <t xml:space="preserve">Vitis vinifera subsp vinifera cv. Mtzvané</t>
  </si>
  <si>
    <t xml:space="preserve">Vitis vinifera subsp vinifera cv. Mulata = Leao Ferreira da Almeida 11-48-49</t>
  </si>
  <si>
    <t xml:space="preserve">Vitis vinifera subsp vinifera cv. Müller-Thurgau</t>
  </si>
  <si>
    <t xml:space="preserve">Vitis vinifera subsp vinifera cv. Munkatsy Jozsef Muskotaly</t>
  </si>
  <si>
    <t xml:space="preserve">Vitis vinifera subsp vinifera cv. Muresconu = Morescono</t>
  </si>
  <si>
    <t xml:space="preserve">Vitis vinifera subsp vinifera cv. Mureto</t>
  </si>
  <si>
    <t xml:space="preserve">Vitis vinifera subsp vinifera cv. Murrâo</t>
  </si>
  <si>
    <t xml:space="preserve">Vitis vinifera subsp vinifera cv. Muscadelle</t>
  </si>
  <si>
    <t xml:space="preserve">Vitis vinifera subsp vinifera cv. Muscardin</t>
  </si>
  <si>
    <t xml:space="preserve">Vitis vinifera subsp vinifera cv. Muscat à petits grains blancs</t>
  </si>
  <si>
    <t xml:space="preserve">Vitis vinifera subsp vinifera cv. Muscat à petits grains roses</t>
  </si>
  <si>
    <t xml:space="preserve">Vitis vinifera subsp vinifera cv. Muscat à petits grains rouges</t>
  </si>
  <si>
    <t xml:space="preserve">Vitis vinifera subsp vinifera cv. Muscat bifère</t>
  </si>
  <si>
    <t xml:space="preserve">Vitis vinifera subsp vinifera cv. Muscat Bouschet</t>
  </si>
  <si>
    <t xml:space="preserve">Vitis vinifera subsp vinifera cv. Muscat cendré</t>
  </si>
  <si>
    <t xml:space="preserve">Vitis vinifera subsp vinifera cv. Muscat d'Alexandrie</t>
  </si>
  <si>
    <t xml:space="preserve">Vitis vinifera subsp vinifera cv. Muscat d'Alexandrie rouge</t>
  </si>
  <si>
    <t xml:space="preserve">Vitis vinifera subsp vinifera cv. Muscat de Hambourg</t>
  </si>
  <si>
    <t xml:space="preserve">Vitis vinifera subsp vinifera cv. Muscat de Pantelleria</t>
  </si>
  <si>
    <t xml:space="preserve">Vitis vinifera subsp vinifera cv. Muscat de Roussé</t>
  </si>
  <si>
    <t xml:space="preserve">Vitis vinifera subsp vinifera cv. Muscat de Sarbelle</t>
  </si>
  <si>
    <t xml:space="preserve">Vitis vinifera subsp vinifera cv. Muscat de Saumur</t>
  </si>
  <si>
    <t xml:space="preserve">Vitis vinifera subsp vinifera cv. Muscat de Terracina</t>
  </si>
  <si>
    <t xml:space="preserve">Vitis vinifera subsp vinifera cv. Muscat d'Eisenstadt</t>
  </si>
  <si>
    <t xml:space="preserve">Vitis vinifera subsp vinifera cv. Muscat d'Istamboul</t>
  </si>
  <si>
    <t xml:space="preserve">Vitis vinifera subsp vinifera cv. Muscat d'Ouzbekistan</t>
  </si>
  <si>
    <t xml:space="preserve">Vitis vinifera subsp vinifera cv. Muscat fleur d'oranger</t>
  </si>
  <si>
    <t xml:space="preserve">Vitis vinifera subsp vinifera cv. Muscat fleur d'oranger faux</t>
  </si>
  <si>
    <t xml:space="preserve">Vitis vinifera subsp vinifera cv. Muscat gris de la Calmette</t>
  </si>
  <si>
    <t xml:space="preserve">Vitis vinifera subsp vinifera cv. Muscat Laserelle</t>
  </si>
  <si>
    <t xml:space="preserve">Vitis vinifera subsp vinifera cv. Muscat Lierval</t>
  </si>
  <si>
    <t xml:space="preserve">Vitis vinifera subsp vinifera cv. Muscat Madresfield Court</t>
  </si>
  <si>
    <t xml:space="preserve">Vitis vinifera subsp vinifera cv. Muscat Mikveh</t>
  </si>
  <si>
    <t xml:space="preserve">Vitis vinifera subsp vinifera cv. Muscat Oberlin</t>
  </si>
  <si>
    <t xml:space="preserve">Vitis vinifera subsp vinifera cv. Muscat Ottonel</t>
  </si>
  <si>
    <t xml:space="preserve">Vitis vinifera subsp vinifera cv. Muscat Paulsen = Paulsen 122</t>
  </si>
  <si>
    <t xml:space="preserve">Vitis vinifera subsp vinifera cv. Muscat Pince's black</t>
  </si>
  <si>
    <t xml:space="preserve">Vitis vinifera subsp vinifera cv. Muscat rouge de Madère</t>
  </si>
  <si>
    <t xml:space="preserve">Vitis vinifera subsp vinifera cv. Muscat Saint-Laurent</t>
  </si>
  <si>
    <t xml:space="preserve">Vitis vinifera subsp vinifera cv. Muscat Salomon</t>
  </si>
  <si>
    <t xml:space="preserve">Vitis vinifera subsp vinifera cv. Muscat Vira</t>
  </si>
  <si>
    <t xml:space="preserve">Vitis vinifera subsp vinifera cv. Muscat Vörösmarty</t>
  </si>
  <si>
    <t xml:space="preserve">Vitis vinifera subsp vinifera cv. Muskat blume</t>
  </si>
  <si>
    <t xml:space="preserve">Vitis vinifera subsp vinifera cv. Muskat bouquet</t>
  </si>
  <si>
    <t xml:space="preserve">Vitis vinifera subsp vinifera cv. Müsküle</t>
  </si>
  <si>
    <t xml:space="preserve">Vitis vinifera subsp vinifera cv. Mustos feher</t>
  </si>
  <si>
    <t xml:space="preserve">Vitis vinifera subsp vinifera cv. Nagyfüger</t>
  </si>
  <si>
    <t xml:space="preserve">Vitis vinifera subsp vinifera cv. Naosé</t>
  </si>
  <si>
    <t xml:space="preserve">Vitis vinifera subsp vinifera cv. Narince</t>
  </si>
  <si>
    <t xml:space="preserve">Vitis vinifera subsp vinifera cv. Narma</t>
  </si>
  <si>
    <t xml:space="preserve">Vitis vinifera subsp vinifera cv. Nasco</t>
  </si>
  <si>
    <t xml:space="preserve">Vitis vinifera subsp vinifera cv. Nave</t>
  </si>
  <si>
    <t xml:space="preserve">Vitis vinifera subsp vinifera cv. Nebbiolo</t>
  </si>
  <si>
    <t xml:space="preserve">Vitis vinifera subsp vinifera cv. Nedelcsev magvatlana</t>
  </si>
  <si>
    <t xml:space="preserve">Vitis vinifera subsp vinifera cv. Nedeltchev VI-4</t>
  </si>
  <si>
    <t xml:space="preserve">Vitis vinifera subsp vinifera cv. Nedeltchev V-6</t>
  </si>
  <si>
    <t xml:space="preserve">Vitis vinifera subsp vinifera cv. Negra corriente</t>
  </si>
  <si>
    <t xml:space="preserve">Vitis vinifera subsp vinifera cv. Negra mole</t>
  </si>
  <si>
    <t xml:space="preserve">Vitis vinifera subsp vinifera cv. Negra rayada</t>
  </si>
  <si>
    <t xml:space="preserve">Vitis vinifera subsp vinifera cv. Negral</t>
  </si>
  <si>
    <t xml:space="preserve">Vitis vinifera subsp vinifera cv. Negrara trentina</t>
  </si>
  <si>
    <t xml:space="preserve">Vitis vinifera subsp vinifera cv. Negrara veronese</t>
  </si>
  <si>
    <t xml:space="preserve">Vitis vinifera subsp vinifera cv. Négret de Banhars</t>
  </si>
  <si>
    <t xml:space="preserve">Vitis vinifera subsp vinifera cv. Négret de la Canourgue</t>
  </si>
  <si>
    <t xml:space="preserve">Vitis vinifera subsp vinifera cv. Négret pointu</t>
  </si>
  <si>
    <t xml:space="preserve">Vitis vinifera subsp vinifera cv. Négrette</t>
  </si>
  <si>
    <t xml:space="preserve">Vitis vinifera subsp vinifera cv. Negretto</t>
  </si>
  <si>
    <t xml:space="preserve">Vitis vinifera subsp vinifera cv. Negro amaro</t>
  </si>
  <si>
    <t xml:space="preserve">Vitis vinifera subsp vinifera cv. Negro mouro</t>
  </si>
  <si>
    <t xml:space="preserve">Vitis vinifera subsp vinifera cv. Negronza</t>
  </si>
  <si>
    <t xml:space="preserve">Vitis vinifera subsp vinifera cv. Negru de Causani</t>
  </si>
  <si>
    <t xml:space="preserve">Vitis vinifera subsp vinifera cv. Negru mare</t>
  </si>
  <si>
    <t xml:space="preserve">Vitis vinifera subsp vinifera cv. Negru moale</t>
  </si>
  <si>
    <t xml:space="preserve">Vitis vinifera subsp vinifera cv. Negru virtos</t>
  </si>
  <si>
    <t xml:space="preserve">Vitis vinifera subsp vinifera cv. Nehelescol</t>
  </si>
  <si>
    <t xml:space="preserve">Vitis vinifera subsp vinifera cv. Nemorin</t>
  </si>
  <si>
    <t xml:space="preserve">Vitis vinifera subsp vinifera cv. Nerello cappucio</t>
  </si>
  <si>
    <t xml:space="preserve">Vitis vinifera subsp vinifera cv. Nerello mascalese</t>
  </si>
  <si>
    <t xml:space="preserve">Vitis vinifera subsp vinifera cv. Neretta cuneese</t>
  </si>
  <si>
    <t xml:space="preserve">Vitis vinifera subsp vinifera cv. Neretto di Bairo</t>
  </si>
  <si>
    <t xml:space="preserve">Vitis vinifera subsp vinifera cv. Neretto grosso monregalese</t>
  </si>
  <si>
    <t xml:space="preserve">Vitis vinifera subsp vinifera cv. Nerona</t>
  </si>
  <si>
    <t xml:space="preserve">Vitis vinifera subsp vinifera cv. Netter</t>
  </si>
  <si>
    <t xml:space="preserve">Vitis vinifera subsp vinifera cv. Neuburger</t>
  </si>
  <si>
    <t xml:space="preserve">Vitis vinifera subsp vinifera cv. Neuburger (Roumanie)</t>
  </si>
  <si>
    <t xml:space="preserve">Vitis vinifera subsp vinifera cv. Nieddera</t>
  </si>
  <si>
    <t xml:space="preserve">Vitis vinifera subsp vinifera cv. Nieddu mannu gris</t>
  </si>
  <si>
    <t xml:space="preserve">Vitis vinifera subsp vinifera cv. Nielluccio</t>
  </si>
  <si>
    <t xml:space="preserve">Vitis vinifera subsp vinifera cv. Niger = Pirovano 486</t>
  </si>
  <si>
    <t xml:space="preserve">Vitis vinifera subsp vinifera cv. Nimrang</t>
  </si>
  <si>
    <t xml:space="preserve">Vitis vinifera subsp vinifera cv. Nimrang rouge</t>
  </si>
  <si>
    <t xml:space="preserve">Vitis vinifera subsp vinifera cv. Nincusa</t>
  </si>
  <si>
    <t xml:space="preserve">Vitis vinifera subsp vinifera cv. Niou-Sin</t>
  </si>
  <si>
    <t xml:space="preserve">Vitis vinifera subsp vinifera cv. Nobling = 128-40 Fribourg</t>
  </si>
  <si>
    <t xml:space="preserve">Vitis vinifera subsp vinifera cv. Nocera</t>
  </si>
  <si>
    <t xml:space="preserve">Vitis vinifera subsp vinifera cv. Noé</t>
  </si>
  <si>
    <t xml:space="preserve">Vitis vinifera subsp vinifera cv. Nogier 58-1</t>
  </si>
  <si>
    <t xml:space="preserve">Vitis vinifera subsp vinifera cv. Noir Fleurien</t>
  </si>
  <si>
    <t xml:space="preserve">Vitis vinifera subsp vinifera cv. Noir Glady</t>
  </si>
  <si>
    <t xml:space="preserve">Vitis vinifera subsp vinifera cv. Noir hâtif de Marseille</t>
  </si>
  <si>
    <t xml:space="preserve">Vitis vinifera subsp vinifera cv. Nosiola</t>
  </si>
  <si>
    <t xml:space="preserve">Vitis vinifera subsp vinifera cv. Noual</t>
  </si>
  <si>
    <t xml:space="preserve">Vitis vinifera subsp vinifera cv. Noulisok</t>
  </si>
  <si>
    <t xml:space="preserve">Vitis vinifera subsp vinifera cv. Novraste</t>
  </si>
  <si>
    <t xml:space="preserve">Vitis vinifera subsp vinifera cv. Nuno gomes</t>
  </si>
  <si>
    <t xml:space="preserve">Vitis vinifera subsp vinifera cv. Nuragus</t>
  </si>
  <si>
    <t xml:space="preserve">Vitis vinifera subsp vinifera cv. Obak bieli</t>
  </si>
  <si>
    <t xml:space="preserve">Vitis vinifera subsp vinifera cv. Obeidi</t>
  </si>
  <si>
    <t xml:space="preserve">Vitis vinifera subsp vinifera cv. Odem</t>
  </si>
  <si>
    <t xml:space="preserve">Vitis vinifera subsp vinifera cv. Odesky tcherny</t>
  </si>
  <si>
    <t xml:space="preserve">Vitis vinifera subsp vinifera cv. Odjalechi</t>
  </si>
  <si>
    <t xml:space="preserve">Vitis vinifera subsp vinifera cv. Odjou batak</t>
  </si>
  <si>
    <t xml:space="preserve">Vitis vinifera subsp vinifera cv. Odola</t>
  </si>
  <si>
    <t xml:space="preserve">Vitis vinifera subsp vinifera cv. Oeillade Bouschet n°1</t>
  </si>
  <si>
    <t xml:space="preserve">Vitis vinifera subsp vinifera cv. Oeillade bouschet n°4</t>
  </si>
  <si>
    <t xml:space="preserve">Vitis vinifera subsp vinifera cv. Oeillade noire</t>
  </si>
  <si>
    <t xml:space="preserve">Vitis vinifera subsp vinifera cv. Ofner</t>
  </si>
  <si>
    <t xml:space="preserve">Vitis vinifera subsp vinifera cv. Ohanès</t>
  </si>
  <si>
    <t xml:space="preserve">Vitis vinifera subsp vinifera cv. Okatac</t>
  </si>
  <si>
    <t xml:space="preserve">Vitis vinifera subsp vinifera cv. Oktiabrskii</t>
  </si>
  <si>
    <t xml:space="preserve">Vitis vinifera subsp vinifera cv. Öküz gözü</t>
  </si>
  <si>
    <t xml:space="preserve">Vitis vinifera subsp vinifera cv. Öküz gözü par erreur</t>
  </si>
  <si>
    <t xml:space="preserve">Vitis vinifera subsp vinifera cv. Olasz kadarka</t>
  </si>
  <si>
    <t xml:space="preserve">Vitis vinifera subsp vinifera cv. Olber weiss</t>
  </si>
  <si>
    <t xml:space="preserve">Vitis vinifera subsp vinifera cv. Olho de cocco</t>
  </si>
  <si>
    <t xml:space="preserve">Vitis vinifera subsp vinifera cv. Olho de Pargo</t>
  </si>
  <si>
    <t xml:space="preserve">Vitis vinifera subsp vinifera cv. Olivette Barthelet</t>
  </si>
  <si>
    <t xml:space="preserve">Vitis vinifera subsp vinifera cv. Olivette blanche</t>
  </si>
  <si>
    <t xml:space="preserve">Vitis vinifera subsp vinifera cv. Olivette noire</t>
  </si>
  <si>
    <t xml:space="preserve">Vitis vinifera subsp vinifera cv. Olivette rose</t>
  </si>
  <si>
    <t xml:space="preserve">Vitis vinifera subsp vinifera cv. Om Reu</t>
  </si>
  <si>
    <t xml:space="preserve">Vitis vinifera subsp vinifera cv. Onchette</t>
  </si>
  <si>
    <t xml:space="preserve">Vitis vinifera subsp vinifera cv. Ondenc</t>
  </si>
  <si>
    <t xml:space="preserve">Vitis vinifera subsp vinifera cv. Onusta</t>
  </si>
  <si>
    <t xml:space="preserve">Vitis vinifera subsp vinifera cv. Opale = Pirovano 213</t>
  </si>
  <si>
    <t xml:space="preserve">Vitis vinifera subsp vinifera cv. Oporto feher</t>
  </si>
  <si>
    <t xml:space="preserve">Vitis vinifera subsp vinifera cv. Oporto szürke</t>
  </si>
  <si>
    <t xml:space="preserve">Vitis vinifera subsp vinifera cv. Opsimos Edessis</t>
  </si>
  <si>
    <t xml:space="preserve">Vitis vinifera subsp vinifera cv. Optima = Geilweilerhof 33-13-113</t>
  </si>
  <si>
    <t xml:space="preserve">Vitis vinifera subsp vinifera cv. Ora = INRA 2403-3</t>
  </si>
  <si>
    <t xml:space="preserve">Vitis vinifera subsp vinifera cv. Orangetraube</t>
  </si>
  <si>
    <t xml:space="preserve">Vitis vinifera subsp vinifera cv. Orbois = Arbois</t>
  </si>
  <si>
    <t xml:space="preserve">Vitis vinifera subsp vinifera cv. Org tokos</t>
  </si>
  <si>
    <t xml:space="preserve">Vitis vinifera subsp vinifera cv. Orléans jaune</t>
  </si>
  <si>
    <t xml:space="preserve">Vitis vinifera subsp vinifera cv. Orlovi nogti</t>
  </si>
  <si>
    <t xml:space="preserve">Vitis vinifera subsp vinifera cv. Orlovi nokti cerni</t>
  </si>
  <si>
    <t xml:space="preserve">Vitis vinifera subsp vinifera cv. Ornove</t>
  </si>
  <si>
    <t xml:space="preserve">Vitis vinifera subsp vinifera cv. Ornove 2</t>
  </si>
  <si>
    <t xml:space="preserve">Vitis vinifera subsp vinifera cv. Örrökké piros</t>
  </si>
  <si>
    <t xml:space="preserve">Vitis vinifera subsp vinifera cv. Ortega = Würzburg B 48-21-4</t>
  </si>
  <si>
    <t xml:space="preserve">Vitis vinifera subsp vinifera cv. Ortrugo</t>
  </si>
  <si>
    <t xml:space="preserve">Vitis vinifera subsp vinifera cv. Otcha bala</t>
  </si>
  <si>
    <t xml:space="preserve">Vitis vinifera subsp vinifera cv. Ötfürtü</t>
  </si>
  <si>
    <t xml:space="preserve">Vitis vinifera subsp vinifera cv. Oul b'Ouzgueur</t>
  </si>
  <si>
    <t xml:space="preserve">Vitis vinifera subsp vinifera cv. Ouliven</t>
  </si>
  <si>
    <t xml:space="preserve">Vitis vinifera subsp vinifera cv. Ouroum üzümü</t>
  </si>
  <si>
    <t xml:space="preserve">Vitis vinifera subsp vinifera cv. Oussakheloouri</t>
  </si>
  <si>
    <t xml:space="preserve">Vitis vinifera subsp vinifera cv. Outanant</t>
  </si>
  <si>
    <t xml:space="preserve">Vitis vinifera subsp vinifera cv. Ovis</t>
  </si>
  <si>
    <t xml:space="preserve">Vitis vinifera subsp vinifera cv. Ozaan Daii</t>
  </si>
  <si>
    <t xml:space="preserve">Vitis vinifera subsp vinifera cv. Padeiro de Basto</t>
  </si>
  <si>
    <t xml:space="preserve">Vitis vinifera subsp vinifera cv. Pagadebiti</t>
  </si>
  <si>
    <t xml:space="preserve">Vitis vinifera subsp vinifera cv. Pagadebito</t>
  </si>
  <si>
    <t xml:space="preserve">Vitis vinifera subsp vinifera cv. Païs</t>
  </si>
  <si>
    <t xml:space="preserve">Vitis vinifera subsp vinifera cv. Palarusa</t>
  </si>
  <si>
    <t xml:space="preserve">Vitis vinifera subsp vinifera cv. Palestina Oberlin I</t>
  </si>
  <si>
    <t xml:space="preserve">Vitis vinifera subsp vinifera cv. Palestina Oberlin II</t>
  </si>
  <si>
    <t xml:space="preserve">Vitis vinifera subsp vinifera cv. Palestina Oberlin III</t>
  </si>
  <si>
    <t xml:space="preserve">Vitis vinifera subsp vinifera cv. Pallagrello nero</t>
  </si>
  <si>
    <t xml:space="preserve">Vitis vinifera subsp vinifera cv. Pamid</t>
  </si>
  <si>
    <t xml:space="preserve">Vitis vinifera subsp vinifera cv. Pamid bial</t>
  </si>
  <si>
    <t xml:space="preserve">Vitis vinifera subsp vinifera cv. Pamid siv</t>
  </si>
  <si>
    <t xml:space="preserve">Vitis vinifera subsp vinifera cv. Pamid tcher</t>
  </si>
  <si>
    <t xml:space="preserve">Vitis vinifera subsp vinifera cv. Pamidi</t>
  </si>
  <si>
    <t xml:space="preserve">Vitis vinifera subsp vinifera cv. Pannonia kincse</t>
  </si>
  <si>
    <t xml:space="preserve">Vitis vinifera subsp vinifera cv. Panse précoce</t>
  </si>
  <si>
    <t xml:space="preserve">Vitis vinifera subsp vinifera cv. Pansera</t>
  </si>
  <si>
    <t xml:space="preserve">Vitis vinifera subsp vinifera cv. Papadiko</t>
  </si>
  <si>
    <t xml:space="preserve">Vitis vinifera subsp vinifera cv. Papasca neagra</t>
  </si>
  <si>
    <t xml:space="preserve">Vitis vinifera subsp vinifera cv. Papaskarasi</t>
  </si>
  <si>
    <t xml:space="preserve">Vitis vinifera subsp vinifera cv. Paradisa</t>
  </si>
  <si>
    <t xml:space="preserve">Vitis vinifera subsp vinifera cv. Pardillo</t>
  </si>
  <si>
    <t xml:space="preserve">Vitis vinifera subsp vinifera cv. Pardina = Pirovano 130</t>
  </si>
  <si>
    <t xml:space="preserve">Vitis vinifera subsp vinifera cv. Pardotte</t>
  </si>
  <si>
    <t xml:space="preserve">Vitis vinifera subsp vinifera cv. Parduca</t>
  </si>
  <si>
    <t xml:space="preserve">Vitis vinifera subsp vinifera cv. Parellada</t>
  </si>
  <si>
    <t xml:space="preserve">Vitis vinifera subsp vinifera cv. Pariano</t>
  </si>
  <si>
    <t xml:space="preserve">Vitis vinifera subsp vinifera cv. Parkent</t>
  </si>
  <si>
    <t xml:space="preserve">Vitis vinifera subsp vinifera cv. Pascal</t>
  </si>
  <si>
    <t xml:space="preserve">Vitis vinifera subsp vinifera cv. Pascale di Cagliari</t>
  </si>
  <si>
    <t xml:space="preserve">Vitis vinifera subsp vinifera cv. Pasiga</t>
  </si>
  <si>
    <t xml:space="preserve">Vitis vinifera subsp vinifera cv. Patagonia</t>
  </si>
  <si>
    <t xml:space="preserve">Vitis vinifera subsp vinifera cv. Pattaresco</t>
  </si>
  <si>
    <t xml:space="preserve">Vitis vinifera subsp vinifera cv. Patte d'oie</t>
  </si>
  <si>
    <t xml:space="preserve">Vitis vinifera subsp vinifera cv. Pau Ferro</t>
  </si>
  <si>
    <t xml:space="preserve">Vitis vinifera subsp vinifera cv. Paulsen 157</t>
  </si>
  <si>
    <t xml:space="preserve">Vitis vinifera subsp vinifera cv. Pavana</t>
  </si>
  <si>
    <t xml:space="preserve">Vitis vinifera subsp vinifera cv. Pé de Perdiz</t>
  </si>
  <si>
    <t xml:space="preserve">Vitis vinifera subsp vinifera cv. Pé de Perdrix</t>
  </si>
  <si>
    <t xml:space="preserve">Vitis vinifera subsp vinifera cv. Peck</t>
  </si>
  <si>
    <t xml:space="preserve">Vitis vinifera subsp vinifera cv. Pecorino</t>
  </si>
  <si>
    <t xml:space="preserve">Vitis vinifera subsp vinifera cv. Pecsi dinka</t>
  </si>
  <si>
    <t xml:space="preserve">Vitis vinifera subsp vinifera cv. Pecsi Szagos</t>
  </si>
  <si>
    <t xml:space="preserve">Vitis vinifera subsp vinifera cv. Pedevenda</t>
  </si>
  <si>
    <t xml:space="preserve">Vitis vinifera subsp vinifera cv. Pedro Gimenez faux</t>
  </si>
  <si>
    <t xml:space="preserve">Vitis vinifera subsp vinifera cv. Pedro Jimenez</t>
  </si>
  <si>
    <t xml:space="preserve">Vitis vinifera subsp vinifera cv. Pedro Luis</t>
  </si>
  <si>
    <t xml:space="preserve">Vitis vinifera subsp vinifera cv. Pedrol</t>
  </si>
  <si>
    <t xml:space="preserve">Vitis vinifera subsp vinifera cv. Peikani</t>
  </si>
  <si>
    <t xml:space="preserve">Vitis vinifera subsp vinifera cv. Peince</t>
  </si>
  <si>
    <t xml:space="preserve">Vitis vinifera subsp vinifera cv. Peloursin</t>
  </si>
  <si>
    <t xml:space="preserve">Vitis vinifera subsp vinifera cv. Peloursin gris</t>
  </si>
  <si>
    <t xml:space="preserve">Vitis vinifera subsp vinifera cv. Penouille</t>
  </si>
  <si>
    <t xml:space="preserve">Vitis vinifera subsp vinifera cv. Perdea</t>
  </si>
  <si>
    <t xml:space="preserve">Vitis vinifera subsp vinifera cv. Perel</t>
  </si>
  <si>
    <t xml:space="preserve">Vitis vinifera subsp vinifera cv. Pergolese</t>
  </si>
  <si>
    <t xml:space="preserve">Vitis vinifera subsp vinifera cv. Pergrandis = Pirovano 388</t>
  </si>
  <si>
    <t xml:space="preserve">Vitis vinifera subsp vinifera cv. Periquita</t>
  </si>
  <si>
    <t xml:space="preserve">Vitis vinifera subsp vinifera cv. Perla nera = Pirovano 218</t>
  </si>
  <si>
    <t xml:space="preserve">Vitis vinifera subsp vinifera cv. Perlaut = INRA 669-45</t>
  </si>
  <si>
    <t xml:space="preserve">Vitis vinifera subsp vinifera cv. Perle = Scheu 3951</t>
  </si>
  <si>
    <t xml:space="preserve">Vitis vinifera subsp vinifera cv. Perle de Csaba</t>
  </si>
  <si>
    <t xml:space="preserve">Vitis vinifera subsp vinifera cv. Perle de Csaba rouge</t>
  </si>
  <si>
    <t xml:space="preserve">Vitis vinifera subsp vinifera cv. Perle impériale blanche</t>
  </si>
  <si>
    <t xml:space="preserve">Vitis vinifera subsp vinifera cv. Perlette</t>
  </si>
  <si>
    <t xml:space="preserve">Vitis vinifera subsp vinifera cv. Perlon</t>
  </si>
  <si>
    <t xml:space="preserve">Vitis vinifera subsp vinifera cv. Perlona = Pirovano 54</t>
  </si>
  <si>
    <t xml:space="preserve">Vitis vinifera subsp vinifera cv. Perola da Gestosa</t>
  </si>
  <si>
    <t xml:space="preserve">Vitis vinifera subsp vinifera cv. Perricone</t>
  </si>
  <si>
    <t xml:space="preserve">Vitis vinifera subsp vinifera cv. Perrier noir</t>
  </si>
  <si>
    <t xml:space="preserve">Vitis vinifera subsp vinifera cv. Perrum</t>
  </si>
  <si>
    <t xml:space="preserve">Vitis vinifera subsp vinifera cv. Perruno</t>
  </si>
  <si>
    <t xml:space="preserve">Vitis vinifera subsp vinifera cv. Persagne grise</t>
  </si>
  <si>
    <t xml:space="preserve">Vitis vinifera subsp vinifera cv. Persan</t>
  </si>
  <si>
    <t xml:space="preserve">Vitis vinifera subsp vinifera cv. Pervenetz praskoveisky</t>
  </si>
  <si>
    <t xml:space="preserve">Vitis vinifera subsp vinifera cv. Petinos</t>
  </si>
  <si>
    <t xml:space="preserve">Vitis vinifera subsp vinifera cv. Petit Blanchou</t>
  </si>
  <si>
    <t xml:space="preserve">Vitis vinifera subsp vinifera cv. Petit Bouschet</t>
  </si>
  <si>
    <t xml:space="preserve">Vitis vinifera subsp vinifera cv. Petit Bouschet à feuilles de Malvoisie</t>
  </si>
  <si>
    <t xml:space="preserve">Vitis vinifera subsp vinifera cv. Petit Bouschet à feuilles lisses x Aramon n°2</t>
  </si>
  <si>
    <t xml:space="preserve">Vitis vinifera subsp vinifera cv. Petit Bouschet à feuilles lisses x Aramon n°3</t>
  </si>
  <si>
    <t xml:space="preserve">Vitis vinifera subsp vinifera cv. Petit Bouschet à feuilles lisses x Aramon n°5</t>
  </si>
  <si>
    <t xml:space="preserve">Vitis vinifera subsp vinifera cv. Petit Bouschet extra fertile</t>
  </si>
  <si>
    <t xml:space="preserve">Vitis vinifera subsp vinifera cv. Petit Bouschet x Aramon n°1</t>
  </si>
  <si>
    <t xml:space="preserve">Vitis vinifera subsp vinifera cv. Petit Bouschet x Aramon n°2</t>
  </si>
  <si>
    <t xml:space="preserve">Vitis vinifera subsp vinifera cv. Petit Bouschet x Aramon n°4</t>
  </si>
  <si>
    <t xml:space="preserve">Vitis vinifera subsp vinifera cv. Petit Bouschet x Aramon n°6</t>
  </si>
  <si>
    <t xml:space="preserve">Vitis vinifera subsp vinifera cv. Petit Bouschet x Aramon n°7</t>
  </si>
  <si>
    <t xml:space="preserve">Vitis vinifera subsp vinifera cv. Petit Bouschet x Aramon n°8</t>
  </si>
  <si>
    <t xml:space="preserve">Vitis vinifera subsp vinifera cv. Petit Bouschet x Aramon n°9</t>
  </si>
  <si>
    <t xml:space="preserve">Vitis vinifera subsp vinifera cv. Petit Bouschet x Morrastel fleuri n°1</t>
  </si>
  <si>
    <t xml:space="preserve">Vitis vinifera subsp vinifera cv. Petit Bouschet x Morrastel n°3</t>
  </si>
  <si>
    <t xml:space="preserve">Vitis vinifera subsp vinifera cv. Petit Bouschet x Morrastel n°7</t>
  </si>
  <si>
    <t xml:space="preserve">Vitis vinifera subsp vinifera cv. Petit Bouschet x Piquepoul n°2</t>
  </si>
  <si>
    <t xml:space="preserve">Vitis vinifera subsp vinifera cv. Petit Bouschet x Terret gris</t>
  </si>
  <si>
    <t xml:space="preserve">Vitis vinifera subsp vinifera cv. Petit Courbu</t>
  </si>
  <si>
    <t xml:space="preserve">Vitis vinifera subsp vinifera cv. Petit Manseng</t>
  </si>
  <si>
    <t xml:space="preserve">Vitis vinifera subsp vinifera cv. Petit Meslier</t>
  </si>
  <si>
    <t xml:space="preserve">Vitis vinifera subsp vinifera cv. Petit Meslier rose</t>
  </si>
  <si>
    <t xml:space="preserve">Vitis vinifera subsp vinifera cv. Petit Péjac</t>
  </si>
  <si>
    <t xml:space="preserve">Vitis vinifera subsp vinifera cv. Petit rouge</t>
  </si>
  <si>
    <t xml:space="preserve">Vitis vinifera subsp vinifera cv. Petit Verdot</t>
  </si>
  <si>
    <t xml:space="preserve">Vitis vinifera subsp vinifera cv. Pétoin</t>
  </si>
  <si>
    <t xml:space="preserve">Vitis vinifera subsp vinifera cv. Peurion</t>
  </si>
  <si>
    <t xml:space="preserve">Vitis vinifera subsp vinifera cv. Peverella</t>
  </si>
  <si>
    <t xml:space="preserve">Vitis vinifera subsp vinifera cv. Peygamber üzümü</t>
  </si>
  <si>
    <t xml:space="preserve">Vitis vinifera subsp vinifera cv. Phakhri</t>
  </si>
  <si>
    <t xml:space="preserve">Vitis vinifera subsp vinifera cv. Phidia</t>
  </si>
  <si>
    <t xml:space="preserve">Vitis vinifera subsp vinifera cv. Phileri attikis</t>
  </si>
  <si>
    <t xml:space="preserve">Vitis vinifera subsp vinifera cv. Phileri rose</t>
  </si>
  <si>
    <t xml:space="preserve">Vitis vinifera subsp vinifera cv. Phileri rose musqué</t>
  </si>
  <si>
    <t xml:space="preserve">Vitis vinifera subsp vinifera cv. Phokiano</t>
  </si>
  <si>
    <t xml:space="preserve">Vitis vinifera subsp vinifera cv. Phraoula rose</t>
  </si>
  <si>
    <t xml:space="preserve">Vitis vinifera subsp vinifera cv. Picadillo blanco</t>
  </si>
  <si>
    <t xml:space="preserve">Vitis vinifera subsp vinifera cv. Picardan = Araignan blanc</t>
  </si>
  <si>
    <t xml:space="preserve">Vitis vinifera subsp vinifera cv. Piccola nera</t>
  </si>
  <si>
    <t xml:space="preserve">Vitis vinifera subsp vinifera cv. Piccolit</t>
  </si>
  <si>
    <t xml:space="preserve">Vitis vinifera subsp vinifera cv. Picolin</t>
  </si>
  <si>
    <t xml:space="preserve">Vitis vinifera subsp vinifera cv. Piedirosso</t>
  </si>
  <si>
    <t xml:space="preserve">Vitis vinifera subsp vinifera cv. Pigeonnet</t>
  </si>
  <si>
    <t xml:space="preserve">Vitis vinifera subsp vinifera cv. Pignol</t>
  </si>
  <si>
    <t xml:space="preserve">Vitis vinifera subsp vinifera cv. Pignola valtellinese</t>
  </si>
  <si>
    <t xml:space="preserve">Vitis vinifera subsp vinifera cv. Piment</t>
  </si>
  <si>
    <t xml:space="preserve">Vitis vinifera subsp vinifera cv. Pin el pou Tao</t>
  </si>
  <si>
    <t xml:space="preserve">Vitis vinifera subsp vinifera cv. Pineau d'Aunis</t>
  </si>
  <si>
    <t xml:space="preserve">Vitis vinifera subsp vinifera cv. Pineau d'Aunis teinturier</t>
  </si>
  <si>
    <t xml:space="preserve">Vitis vinifera subsp vinifera cv. Pinella bianca</t>
  </si>
  <si>
    <t xml:space="preserve">Vitis vinifera subsp vinifera cv. Pinot à fleurs doubles</t>
  </si>
  <si>
    <t xml:space="preserve">Vitis vinifera subsp vinifera cv. Pinot blanc</t>
  </si>
  <si>
    <t xml:space="preserve">Vitis vinifera subsp vinifera cv. Pinot gris</t>
  </si>
  <si>
    <t xml:space="preserve">Vitis vinifera subsp vinifera cv. Pinot lacinifolié</t>
  </si>
  <si>
    <t xml:space="preserve">Vitis vinifera subsp vinifera cv. Pinot noir</t>
  </si>
  <si>
    <t xml:space="preserve">Vitis vinifera subsp vinifera cv. Pinot précoce noir</t>
  </si>
  <si>
    <t xml:space="preserve">Vitis vinifera subsp vinifera cv. Pinot rouge</t>
  </si>
  <si>
    <t xml:space="preserve">Vitis vinifera subsp vinifera cv. Pinot teinturier</t>
  </si>
  <si>
    <t xml:space="preserve">Vitis vinifera subsp vinifera cv. Pinot tête de nègre</t>
  </si>
  <si>
    <t xml:space="preserve">Vitis vinifera subsp vinifera cv. Pinotage</t>
  </si>
  <si>
    <t xml:space="preserve">Vitis vinifera subsp vinifera cv. Piquepoul blanc</t>
  </si>
  <si>
    <t xml:space="preserve">Vitis vinifera subsp vinifera cv. Piquepoul Bouschet</t>
  </si>
  <si>
    <t xml:space="preserve">Vitis vinifera subsp vinifera cv. Piquepoul gris</t>
  </si>
  <si>
    <t xml:space="preserve">Vitis vinifera subsp vinifera cv. Piquepoul noir</t>
  </si>
  <si>
    <t xml:space="preserve">Vitis vinifera subsp vinifera cv. Pirciu</t>
  </si>
  <si>
    <t xml:space="preserve">Vitis vinifera subsp vinifera cv. Pirovano 1</t>
  </si>
  <si>
    <t xml:space="preserve">Vitis vinifera subsp vinifera cv. Pirovano 11</t>
  </si>
  <si>
    <t xml:space="preserve">Vitis vinifera subsp vinifera cv. Pirovano 111</t>
  </si>
  <si>
    <t xml:space="preserve">Vitis vinifera subsp vinifera cv. Pirovano 112</t>
  </si>
  <si>
    <t xml:space="preserve">Vitis vinifera subsp vinifera cv. Pirovano 113</t>
  </si>
  <si>
    <t xml:space="preserve">Vitis vinifera subsp vinifera cv. Pirovano 115</t>
  </si>
  <si>
    <t xml:space="preserve">Vitis vinifera subsp vinifera cv. Pirovano 123</t>
  </si>
  <si>
    <t xml:space="preserve">Vitis vinifera subsp vinifera cv. Pirovano 14</t>
  </si>
  <si>
    <t xml:space="preserve">Vitis vinifera subsp vinifera cv. Pirovano 15</t>
  </si>
  <si>
    <t xml:space="preserve">Vitis vinifera subsp vinifera cv. Pirovano 153</t>
  </si>
  <si>
    <t xml:space="preserve">Vitis vinifera subsp vinifera cv. Pirovano 154</t>
  </si>
  <si>
    <t xml:space="preserve">Vitis vinifera subsp vinifera cv. Pirovano 155</t>
  </si>
  <si>
    <t xml:space="preserve">Vitis vinifera subsp vinifera cv. Pirovano 156</t>
  </si>
  <si>
    <t xml:space="preserve">Vitis vinifera subsp vinifera cv. Pirovano 157</t>
  </si>
  <si>
    <t xml:space="preserve">Vitis vinifera subsp vinifera cv. Pirovano 159</t>
  </si>
  <si>
    <t xml:space="preserve">Vitis vinifera subsp vinifera cv. Pirovano 17</t>
  </si>
  <si>
    <t xml:space="preserve">Vitis vinifera subsp vinifera cv. Pirovano 174</t>
  </si>
  <si>
    <t xml:space="preserve">Vitis vinifera subsp vinifera cv. Pirovano 175</t>
  </si>
  <si>
    <t xml:space="preserve">Vitis vinifera subsp vinifera cv. Pirovano 182</t>
  </si>
  <si>
    <t xml:space="preserve">Vitis vinifera subsp vinifera cv. Pirovano 186</t>
  </si>
  <si>
    <t xml:space="preserve">Vitis vinifera subsp vinifera cv. Pirovano 186 a</t>
  </si>
  <si>
    <t xml:space="preserve">Vitis vinifera subsp vinifera cv. Pirovano 188</t>
  </si>
  <si>
    <t xml:space="preserve">Vitis vinifera subsp vinifera cv. Pirovano 19</t>
  </si>
  <si>
    <t xml:space="preserve">Vitis vinifera subsp vinifera cv. Pirovano 190</t>
  </si>
  <si>
    <t xml:space="preserve">Vitis vinifera subsp vinifera cv. Pirovano 21</t>
  </si>
  <si>
    <t xml:space="preserve">Vitis vinifera subsp vinifera cv. Pirovano 217</t>
  </si>
  <si>
    <t xml:space="preserve">Vitis vinifera subsp vinifera cv. Pirovano 219</t>
  </si>
  <si>
    <t xml:space="preserve">Vitis vinifera subsp vinifera cv. Pirovano 220 b</t>
  </si>
  <si>
    <t xml:space="preserve">Vitis vinifera subsp vinifera cv. Pirovano 225</t>
  </si>
  <si>
    <t xml:space="preserve">Vitis vinifera subsp vinifera cv. Pirovano 235</t>
  </si>
  <si>
    <t xml:space="preserve">Vitis vinifera subsp vinifera cv. Pirovano 24</t>
  </si>
  <si>
    <t xml:space="preserve">Vitis vinifera subsp vinifera cv. Pirovano 25</t>
  </si>
  <si>
    <t xml:space="preserve">Vitis vinifera subsp vinifera cv. Pirovano 28</t>
  </si>
  <si>
    <t xml:space="preserve">Vitis vinifera subsp vinifera cv. Pirovano 3</t>
  </si>
  <si>
    <t xml:space="preserve">Vitis vinifera subsp vinifera cv. Pirovano 306</t>
  </si>
  <si>
    <t xml:space="preserve">Vitis vinifera subsp vinifera cv. Pirovano 31</t>
  </si>
  <si>
    <t xml:space="preserve">Vitis vinifera subsp vinifera cv. Pirovano 312</t>
  </si>
  <si>
    <t xml:space="preserve">Vitis vinifera subsp vinifera cv. Pirovano 313 a</t>
  </si>
  <si>
    <t xml:space="preserve">Vitis vinifera subsp vinifera cv. Pirovano 315</t>
  </si>
  <si>
    <t xml:space="preserve">Vitis vinifera subsp vinifera cv. Pirovano 32</t>
  </si>
  <si>
    <t xml:space="preserve">Vitis vinifera subsp vinifera cv. Pirovano 321</t>
  </si>
  <si>
    <t xml:space="preserve">Vitis vinifera subsp vinifera cv. Pirovano 322</t>
  </si>
  <si>
    <t xml:space="preserve">Vitis vinifera subsp vinifera cv. Pirovano 338</t>
  </si>
  <si>
    <t xml:space="preserve">Vitis vinifera subsp vinifera cv. Pirovano 344</t>
  </si>
  <si>
    <t xml:space="preserve">Vitis vinifera subsp vinifera cv. Pirovano 346</t>
  </si>
  <si>
    <t xml:space="preserve">Vitis vinifera subsp vinifera cv. Pirovano 349</t>
  </si>
  <si>
    <t xml:space="preserve">Vitis vinifera subsp vinifera cv. Pirovano 352 faux</t>
  </si>
  <si>
    <t xml:space="preserve">Vitis vinifera subsp vinifera cv. Pirovano 359</t>
  </si>
  <si>
    <t xml:space="preserve">Vitis vinifera subsp vinifera cv. Pirovano 36</t>
  </si>
  <si>
    <t xml:space="preserve">Vitis vinifera subsp vinifera cv. Pirovano 378</t>
  </si>
  <si>
    <t xml:space="preserve">Vitis vinifera subsp vinifera cv. Pirovano 398</t>
  </si>
  <si>
    <t xml:space="preserve">Vitis vinifera subsp vinifera cv. Pirovano 399</t>
  </si>
  <si>
    <t xml:space="preserve">Vitis vinifera subsp vinifera cv. Pirovano 4</t>
  </si>
  <si>
    <t xml:space="preserve">Vitis vinifera subsp vinifera cv. Pirovano 428</t>
  </si>
  <si>
    <t xml:space="preserve">Vitis vinifera subsp vinifera cv. Pirovano 436</t>
  </si>
  <si>
    <t xml:space="preserve">Vitis vinifera subsp vinifera cv. Pirovano 46</t>
  </si>
  <si>
    <t xml:space="preserve">Vitis vinifera subsp vinifera cv. Pirovano 468</t>
  </si>
  <si>
    <t xml:space="preserve">Vitis vinifera subsp vinifera cv. Pirovano 471</t>
  </si>
  <si>
    <t xml:space="preserve">Vitis vinifera subsp vinifera cv. Pirovano 477 a</t>
  </si>
  <si>
    <t xml:space="preserve">Vitis vinifera subsp vinifera cv. Pirovano 49</t>
  </si>
  <si>
    <t xml:space="preserve">Vitis vinifera subsp vinifera cv. Pirovano 5</t>
  </si>
  <si>
    <t xml:space="preserve">Vitis vinifera subsp vinifera cv. Pirovano 50</t>
  </si>
  <si>
    <t xml:space="preserve">Vitis vinifera subsp vinifera cv. Pirovano 51</t>
  </si>
  <si>
    <t xml:space="preserve">Vitis vinifera subsp vinifera cv. Pirovano 53</t>
  </si>
  <si>
    <t xml:space="preserve">Vitis vinifera subsp vinifera cv. Pirovano 530</t>
  </si>
  <si>
    <t xml:space="preserve">Vitis vinifera subsp vinifera cv. Pirovano 531</t>
  </si>
  <si>
    <t xml:space="preserve">Vitis vinifera subsp vinifera cv. Pirovano 536</t>
  </si>
  <si>
    <t xml:space="preserve">Vitis vinifera subsp vinifera cv. Pirovano 54 A</t>
  </si>
  <si>
    <t xml:space="preserve">Vitis vinifera subsp vinifera cv. Pirovano 540 A</t>
  </si>
  <si>
    <t xml:space="preserve">Vitis vinifera subsp vinifera cv. Pirovano 544</t>
  </si>
  <si>
    <t xml:space="preserve">Vitis vinifera subsp vinifera cv. Pirovano 55 faux</t>
  </si>
  <si>
    <t xml:space="preserve">Vitis vinifera subsp vinifera cv. Pirovano 56</t>
  </si>
  <si>
    <t xml:space="preserve">Vitis vinifera subsp vinifera cv. Pirovano 57</t>
  </si>
  <si>
    <t xml:space="preserve">Vitis vinifera subsp vinifera cv. Pirovano 575</t>
  </si>
  <si>
    <t xml:space="preserve">Vitis vinifera subsp vinifera cv. Pirovano 61</t>
  </si>
  <si>
    <t xml:space="preserve">Vitis vinifera subsp vinifera cv. Pirovano 62</t>
  </si>
  <si>
    <t xml:space="preserve">Vitis vinifera subsp vinifera cv. Pirovano 620</t>
  </si>
  <si>
    <t xml:space="preserve">Vitis vinifera subsp vinifera cv. Pirovano 63</t>
  </si>
  <si>
    <t xml:space="preserve">Vitis vinifera subsp vinifera cv. Pirovano 64</t>
  </si>
  <si>
    <t xml:space="preserve">Vitis vinifera subsp vinifera cv. Pirovano 66</t>
  </si>
  <si>
    <t xml:space="preserve">Vitis vinifera subsp vinifera cv. Pirovano 671</t>
  </si>
  <si>
    <t xml:space="preserve">Vitis vinifera subsp vinifera cv. Pirovano 69</t>
  </si>
  <si>
    <t xml:space="preserve">Vitis vinifera subsp vinifera cv. Pirovano 74</t>
  </si>
  <si>
    <t xml:space="preserve">Vitis vinifera subsp vinifera cv. Pirovano 76</t>
  </si>
  <si>
    <t xml:space="preserve">Vitis vinifera subsp vinifera cv. Pirovano 79</t>
  </si>
  <si>
    <t xml:space="preserve">Vitis vinifera subsp vinifera cv. Pirovano 80</t>
  </si>
  <si>
    <t xml:space="preserve">Vitis vinifera subsp vinifera cv. Pirovano 84</t>
  </si>
  <si>
    <t xml:space="preserve">Vitis vinifera subsp vinifera cv. Pirovano 88</t>
  </si>
  <si>
    <t xml:space="preserve">Vitis vinifera subsp vinifera cv. Pirovano 91</t>
  </si>
  <si>
    <t xml:space="preserve">Vitis vinifera subsp vinifera cv. Pirovano 92</t>
  </si>
  <si>
    <t xml:space="preserve">Vitis vinifera subsp vinifera cv. Pirovano 93</t>
  </si>
  <si>
    <t xml:space="preserve">Vitis vinifera subsp vinifera cv. Pirovano 94</t>
  </si>
  <si>
    <t xml:space="preserve">Vitis vinifera subsp vinifera cv. Pirovano 95</t>
  </si>
  <si>
    <t xml:space="preserve">Vitis vinifera subsp vinifera cv. Pirovano 96</t>
  </si>
  <si>
    <t xml:space="preserve">Vitis vinifera subsp vinifera cv. Pirovano 97</t>
  </si>
  <si>
    <t xml:space="preserve">Vitis vinifera subsp vinifera cv. Pirovano 98</t>
  </si>
  <si>
    <t xml:space="preserve">Vitis vinifera subsp vinifera cv. Pirovano 99</t>
  </si>
  <si>
    <t xml:space="preserve">Vitis vinifera subsp vinifera cv. Pizzutello nero</t>
  </si>
  <si>
    <t xml:space="preserve">Vitis vinifera subsp vinifera cv. Plant d'Aoste</t>
  </si>
  <si>
    <t xml:space="preserve">Vitis vinifera subsp vinifera cv. Plant de Brunel</t>
  </si>
  <si>
    <t xml:space="preserve">Vitis vinifera subsp vinifera cv. Plant de Couston</t>
  </si>
  <si>
    <t xml:space="preserve">Vitis vinifera subsp vinifera cv. Plant de Flassans</t>
  </si>
  <si>
    <t xml:space="preserve">Vitis vinifera subsp vinifera cv. Plant droit</t>
  </si>
  <si>
    <t xml:space="preserve">Vitis vinifera subsp vinifera cv. Plant Vert</t>
  </si>
  <si>
    <t xml:space="preserve">Vitis vinifera subsp vinifera cv. Planta mula</t>
  </si>
  <si>
    <t xml:space="preserve">Vitis vinifera subsp vinifera cv. Planta nova</t>
  </si>
  <si>
    <t xml:space="preserve">Vitis vinifera subsp vinifera cv. Plassa</t>
  </si>
  <si>
    <t xml:space="preserve">Vitis vinifera subsp vinifera cv. Platyracho</t>
  </si>
  <si>
    <t xml:space="preserve">Vitis vinifera subsp vinifera cv. Plavac mali (Jelaska)</t>
  </si>
  <si>
    <t xml:space="preserve">Vitis vinifera subsp vinifera cv. Plavaï</t>
  </si>
  <si>
    <t xml:space="preserve">Vitis vinifera subsp vinifera cv. Plavina crna</t>
  </si>
  <si>
    <t xml:space="preserve">Vitis vinifera subsp vinifera cv. Pletchistik</t>
  </si>
  <si>
    <t xml:space="preserve">Vitis vinifera subsp vinifera cv. Plyto</t>
  </si>
  <si>
    <t xml:space="preserve">Vitis vinifera subsp vinifera cv. Pobeda</t>
  </si>
  <si>
    <t xml:space="preserve">Vitis vinifera subsp vinifera cv. Pointu</t>
  </si>
  <si>
    <t xml:space="preserve">Vitis vinifera subsp vinifera cv. Pollera nera</t>
  </si>
  <si>
    <t xml:space="preserve">Vitis vinifera subsp vinifera cv. Pollita</t>
  </si>
  <si>
    <t xml:space="preserve">Vitis vinifera subsp vinifera cv. Portan = INRA 1508-25</t>
  </si>
  <si>
    <t xml:space="preserve">Vitis vinifera subsp vinifera cv. Portugais blanc</t>
  </si>
  <si>
    <t xml:space="preserve">Vitis vinifera subsp vinifera cv. Portugais bleu</t>
  </si>
  <si>
    <t xml:space="preserve">Vitis vinifera subsp vinifera cv. Posip</t>
  </si>
  <si>
    <t xml:space="preserve">Vitis vinifera subsp vinifera cv. Potamissio</t>
  </si>
  <si>
    <t xml:space="preserve">Vitis vinifera subsp vinifera cv. Pougayen</t>
  </si>
  <si>
    <t xml:space="preserve">Vitis vinifera subsp vinifera cv. Pougnet</t>
  </si>
  <si>
    <t xml:space="preserve">Vitis vinifera subsp vinifera cv. Poulsard</t>
  </si>
  <si>
    <t xml:space="preserve">Vitis vinifera subsp vinifera cv. Poulsard blanc</t>
  </si>
  <si>
    <t xml:space="preserve">Vitis vinifera subsp vinifera cv. Poulsard rouge</t>
  </si>
  <si>
    <t xml:space="preserve">Vitis vinifera subsp vinifera cv. Pozsonyi feher</t>
  </si>
  <si>
    <t xml:space="preserve">Vitis vinifera subsp vinifera cv. Prc</t>
  </si>
  <si>
    <t xml:space="preserve">Vitis vinifera subsp vinifera cv. Précoce Bousquet</t>
  </si>
  <si>
    <t xml:space="preserve">Vitis vinifera subsp vinifera cv. Précoce de Malingre</t>
  </si>
  <si>
    <t xml:space="preserve">Vitis vinifera subsp vinifera cv. Précoce di Roma = Pirovano 707</t>
  </si>
  <si>
    <t xml:space="preserve">Vitis vinifera subsp vinifera cv. Premier</t>
  </si>
  <si>
    <t xml:space="preserve">Vitis vinifera subsp vinifera cv. Président Carnot</t>
  </si>
  <si>
    <t xml:space="preserve">Vitis vinifera subsp vinifera cv. Preto Martinho</t>
  </si>
  <si>
    <t xml:space="preserve">Vitis vinifera subsp vinifera cv. Preto salmoura</t>
  </si>
  <si>
    <t xml:space="preserve">Vitis vinifera subsp vinifera cv. Prima =  INRA 2719-122</t>
  </si>
  <si>
    <t xml:space="preserve">Vitis vinifera subsp vinifera cv. Primiera = Pirovano 309</t>
  </si>
  <si>
    <t xml:space="preserve">Vitis vinifera subsp vinifera cv. Primitivo</t>
  </si>
  <si>
    <t xml:space="preserve">Vitis vinifera subsp vinifera cv. Prin blanc</t>
  </si>
  <si>
    <t xml:space="preserve">Vitis vinifera subsp vinifera cv. Prince of Wales</t>
  </si>
  <si>
    <t xml:space="preserve">Vitis vinifera subsp vinifera cv. Princeps = Pirovano 357</t>
  </si>
  <si>
    <t xml:space="preserve">Vitis vinifera subsp vinifera cv. Principessa di Piemonte = Pirovano 108</t>
  </si>
  <si>
    <t xml:space="preserve">Vitis vinifera subsp vinifera cv. Prista</t>
  </si>
  <si>
    <t xml:space="preserve">Vitis vinifera subsp vinifera cv. Prodigiosa = Pirovano 59</t>
  </si>
  <si>
    <t xml:space="preserve">Vitis vinifera subsp vinifera cv. Prokupac</t>
  </si>
  <si>
    <t xml:space="preserve">Vitis vinifera subsp vinifera cv. Prosecco</t>
  </si>
  <si>
    <t xml:space="preserve">Vitis vinifera subsp vinifera cv. Prosecco lungo</t>
  </si>
  <si>
    <t xml:space="preserve">Vitis vinifera subsp vinifera cv. Prosperi 102</t>
  </si>
  <si>
    <t xml:space="preserve">Vitis vinifera subsp vinifera cv. Prosperi 167</t>
  </si>
  <si>
    <t xml:space="preserve">Vitis vinifera subsp vinifera cv. Prosperi 201</t>
  </si>
  <si>
    <t xml:space="preserve">Vitis vinifera subsp vinifera cv. Prosperi 204</t>
  </si>
  <si>
    <t xml:space="preserve">Vitis vinifera subsp vinifera cv. Prosperi 262</t>
  </si>
  <si>
    <t xml:space="preserve">Vitis vinifera subsp vinifera cv. Prosperi 268</t>
  </si>
  <si>
    <t xml:space="preserve">Vitis vinifera subsp vinifera cv. Prosperi 285</t>
  </si>
  <si>
    <t xml:space="preserve">Vitis vinifera subsp vinifera cv. Prosperi 37</t>
  </si>
  <si>
    <t xml:space="preserve">Vitis vinifera subsp vinifera cv. Prosperi 371</t>
  </si>
  <si>
    <t xml:space="preserve">Vitis vinifera subsp vinifera cv. Prosperi 8</t>
  </si>
  <si>
    <t xml:space="preserve">Vitis vinifera subsp vinifera cv. Prosperi 97</t>
  </si>
  <si>
    <t xml:space="preserve">Vitis vinifera subsp vinifera cv. Proueral</t>
  </si>
  <si>
    <t xml:space="preserve">Vitis vinifera subsp vinifera cv. Prueras</t>
  </si>
  <si>
    <t xml:space="preserve">Vitis vinifera subsp vinifera cv. Prune de Cazouls</t>
  </si>
  <si>
    <t xml:space="preserve">Vitis vinifera subsp vinifera cv. Prunelard</t>
  </si>
  <si>
    <t xml:space="preserve">Vitis vinifera subsp vinifera cv. Prunella moscato = Pirovano 47</t>
  </si>
  <si>
    <t xml:space="preserve">Vitis vinifera subsp vinifera cv. Prunesta nera</t>
  </si>
  <si>
    <t xml:space="preserve">Vitis vinifera subsp vinifera cv. Prunesta rosso violacea</t>
  </si>
  <si>
    <t xml:space="preserve">Vitis vinifera subsp vinifera cv. Psarotherico</t>
  </si>
  <si>
    <t xml:space="preserve">Vitis vinifera subsp vinifera cv. Pseudosyrico</t>
  </si>
  <si>
    <t xml:space="preserve">Vitis vinifera subsp vinifera cv. Puljïzanac</t>
  </si>
  <si>
    <t xml:space="preserve">Vitis vinifera subsp vinifera cv. Purcsin</t>
  </si>
  <si>
    <t xml:space="preserve">Vitis vinifera subsp vinifera cv. Putzscheere</t>
  </si>
  <si>
    <t xml:space="preserve">Vitis vinifera subsp vinifera cv. Quebranta</t>
  </si>
  <si>
    <t xml:space="preserve">Vitis vinifera subsp vinifera cv. Queen</t>
  </si>
  <si>
    <t xml:space="preserve">Vitis vinifera subsp vinifera cv. Quiebratinajas</t>
  </si>
  <si>
    <t xml:space="preserve">Vitis vinifera subsp vinifera cv. Quigat</t>
  </si>
  <si>
    <t xml:space="preserve">Vitis vinifera subsp vinifera cv. Rabigato</t>
  </si>
  <si>
    <t xml:space="preserve">Vitis vinifera subsp vinifera cv. Rabigato du Douro</t>
  </si>
  <si>
    <t xml:space="preserve">Vitis vinifera subsp vinifera cv. Raboso piave</t>
  </si>
  <si>
    <t xml:space="preserve">Vitis vinifera subsp vinifera cv. Raboso Veronese</t>
  </si>
  <si>
    <t xml:space="preserve">Vitis vinifera subsp vinifera cv. Raffiat de Moncade</t>
  </si>
  <si>
    <t xml:space="preserve">Vitis vinifera subsp vinifera cv. Raisaine</t>
  </si>
  <si>
    <t xml:space="preserve">Vitis vinifera subsp vinifera cv. Raisin de Kossuth</t>
  </si>
  <si>
    <t xml:space="preserve">Vitis vinifera subsp vinifera cv. Rakszölö</t>
  </si>
  <si>
    <t xml:space="preserve">Vitis vinifera subsp vinifera cv. Rami = Vidal 119</t>
  </si>
  <si>
    <t xml:space="preserve">Vitis vinifera subsp vinifera cv. Ramisco</t>
  </si>
  <si>
    <t xml:space="preserve">Vitis vinifera subsp vinifera cv. Rannii Vira</t>
  </si>
  <si>
    <t xml:space="preserve">Vitis vinifera subsp vinifera cv. Ranny Magaratcha = Magaratch 372</t>
  </si>
  <si>
    <t xml:space="preserve">Vitis vinifera subsp vinifera cv. Rassegui</t>
  </si>
  <si>
    <t xml:space="preserve">Vitis vinifera subsp vinifera cv. Rauschling</t>
  </si>
  <si>
    <t xml:space="preserve">Vitis vinifera subsp vinifera cv. Razachie alba</t>
  </si>
  <si>
    <t xml:space="preserve">Vitis vinifera subsp vinifera cv. Razachie rosie</t>
  </si>
  <si>
    <t xml:space="preserve">Vitis vinifera subsp vinifera cv. Razakiia mirisliva</t>
  </si>
  <si>
    <t xml:space="preserve">Vitis vinifera subsp vinifera cv. Razakiia piembiana</t>
  </si>
  <si>
    <t xml:space="preserve">Vitis vinifera subsp vinifera cv. Razdani</t>
  </si>
  <si>
    <t xml:space="preserve">Vitis vinifera subsp vinifera cv. Raziki</t>
  </si>
  <si>
    <t xml:space="preserve">Vitis vinifera subsp vinifera cv. Red globe</t>
  </si>
  <si>
    <t xml:space="preserve">Vitis vinifera subsp vinifera cv. Red May</t>
  </si>
  <si>
    <t xml:space="preserve">Vitis vinifera subsp vinifera cv. Refosco dal pedonculo rosso</t>
  </si>
  <si>
    <t xml:space="preserve">Vitis vinifera subsp vinifera cv. Refoscone</t>
  </si>
  <si>
    <t xml:space="preserve">Vitis vinifera subsp vinifera cv. Regenerator</t>
  </si>
  <si>
    <t xml:space="preserve">Vitis vinifera subsp vinifera cv. Reichensteiner</t>
  </si>
  <si>
    <t xml:space="preserve">Vitis vinifera subsp vinifera cv. Reichriesling</t>
  </si>
  <si>
    <t xml:space="preserve">Vitis vinifera subsp vinifera cv. Reichsfränkisch</t>
  </si>
  <si>
    <t xml:space="preserve">Vitis vinifera subsp vinifera cv. Reine des Vignes</t>
  </si>
  <si>
    <t xml:space="preserve">Vitis vinifera subsp vinifera cv. Retagliado bianco = Arrotelas</t>
  </si>
  <si>
    <t xml:space="preserve">Vitis vinifera subsp vinifera cv. Revers Cepens</t>
  </si>
  <si>
    <t xml:space="preserve">Vitis vinifera subsp vinifera cv. Rèze</t>
  </si>
  <si>
    <t xml:space="preserve">Vitis vinifera subsp vinifera cv. Rhoditis</t>
  </si>
  <si>
    <t xml:space="preserve">Vitis vinifera subsp vinifera cv. Ribier gris</t>
  </si>
  <si>
    <t xml:space="preserve">Vitis vinifera subsp vinifera cv. Ribier noir</t>
  </si>
  <si>
    <t xml:space="preserve">Vitis vinifera subsp vinifera cv. Ribol = INRA 1597-131</t>
  </si>
  <si>
    <t xml:space="preserve">Vitis vinifera subsp vinifera cv. Ribolla gialla</t>
  </si>
  <si>
    <t xml:space="preserve">Vitis vinifera subsp vinifera cv. Ribote</t>
  </si>
  <si>
    <t xml:space="preserve">Vitis vinifera subsp vinifera cv. Rieslaner = Würzburg NI 11-17</t>
  </si>
  <si>
    <t xml:space="preserve">Vitis vinifera subsp vinifera cv. Riesling</t>
  </si>
  <si>
    <t xml:space="preserve">Vitis vinifera subsp vinifera cv. Riesling italico</t>
  </si>
  <si>
    <t xml:space="preserve">Vitis vinifera subsp vinifera cv. Riesling Lion</t>
  </si>
  <si>
    <t xml:space="preserve">Vitis vinifera subsp vinifera cv. Riesling rouge</t>
  </si>
  <si>
    <t xml:space="preserve">Vitis vinifera subsp vinifera cv. Rigolbouillé</t>
  </si>
  <si>
    <t xml:space="preserve">Vitis vinifera subsp vinifera cv. Riminèse</t>
  </si>
  <si>
    <t xml:space="preserve">Vitis vinifera subsp vinifera cv. Rindjaga</t>
  </si>
  <si>
    <t xml:space="preserve">Vitis vinifera subsp vinifera cv. Rivairenc = Aspiran noir</t>
  </si>
  <si>
    <t xml:space="preserve">Vitis vinifera subsp vinifera cv. Rivairenc blanc = Aspiran blanc</t>
  </si>
  <si>
    <t xml:space="preserve">Vitis vinifera subsp vinifera cv. Rivairenc gris = Aspiran gris</t>
  </si>
  <si>
    <t xml:space="preserve">Vitis vinifera subsp vinifera cv. Rizamat</t>
  </si>
  <si>
    <t xml:space="preserve">Vitis vinifera subsp vinifera cv. Rizens</t>
  </si>
  <si>
    <t xml:space="preserve">Vitis vinifera subsp vinifera cv. Rkatsitelli</t>
  </si>
  <si>
    <t xml:space="preserve">Vitis vinifera subsp vinifera cv. Rkatziteli krasni</t>
  </si>
  <si>
    <t xml:space="preserve">Vitis vinifera subsp vinifera cv. Robin noir</t>
  </si>
  <si>
    <t xml:space="preserve">Vitis vinifera subsp vinifera cv. Rodi = Pirovano 166</t>
  </si>
  <si>
    <t xml:space="preserve">Vitis vinifera subsp vinifera cv. Rohrtraube</t>
  </si>
  <si>
    <t xml:space="preserve">Vitis vinifera subsp vinifera cv. Roi des précoces</t>
  </si>
  <si>
    <t xml:space="preserve">Vitis vinifera subsp vinifera cv. Roma = Pirovano 210</t>
  </si>
  <si>
    <t xml:space="preserve">Vitis vinifera subsp vinifera cv. Rombola noir</t>
  </si>
  <si>
    <t xml:space="preserve">Vitis vinifera subsp vinifera cv. Romeïco</t>
  </si>
  <si>
    <t xml:space="preserve">Vitis vinifera subsp vinifera cv. Romorantin</t>
  </si>
  <si>
    <t xml:space="preserve">Vitis vinifera subsp vinifera cv. Rondinella</t>
  </si>
  <si>
    <t xml:space="preserve">Vitis vinifera subsp vinifera cv. Ronelle</t>
  </si>
  <si>
    <t xml:space="preserve">Vitis vinifera subsp vinifera cv. Rosa del Peru type 1</t>
  </si>
  <si>
    <t xml:space="preserve">Vitis vinifera subsp vinifera cv. Rosa del Peru type 2</t>
  </si>
  <si>
    <t xml:space="preserve">Vitis vinifera subsp vinifera cv. Rosa menna di vacca</t>
  </si>
  <si>
    <t xml:space="preserve">Vitis vinifera subsp vinifera cv. Rosa steen</t>
  </si>
  <si>
    <t xml:space="preserve">Vitis vinifera subsp vinifera cv. Rosaki blanc de semis</t>
  </si>
  <si>
    <t xml:space="preserve">Vitis vinifera subsp vinifera cv. Rosaki noir de semis</t>
  </si>
  <si>
    <t xml:space="preserve">Vitis vinifera subsp vinifera cv. Rosé du Var</t>
  </si>
  <si>
    <t xml:space="preserve">Vitis vinifera subsp vinifera cv. Rossara trentina</t>
  </si>
  <si>
    <t xml:space="preserve">Vitis vinifera subsp vinifera cv. Rossese</t>
  </si>
  <si>
    <t xml:space="preserve">Vitis vinifera subsp vinifera cv. Rossignola</t>
  </si>
  <si>
    <t xml:space="preserve">Vitis vinifera subsp vinifera cv. Rossola bianca</t>
  </si>
  <si>
    <t xml:space="preserve">Vitis vinifera subsp vinifera cv. Rotberger = Gm 3-37</t>
  </si>
  <si>
    <t xml:space="preserve">Vitis vinifera subsp vinifera cv. Rotgipfler</t>
  </si>
  <si>
    <t xml:space="preserve">Vitis vinifera subsp vinifera cv. Roubinoy de Magaratch = Magaratch 56</t>
  </si>
  <si>
    <t xml:space="preserve">Vitis vinifera subsp vinifera cv. Roublot</t>
  </si>
  <si>
    <t xml:space="preserve">Vitis vinifera subsp vinifera cv. Rouchaki</t>
  </si>
  <si>
    <t xml:space="preserve">Vitis vinifera subsp vinifera cv. Rouge de Fully</t>
  </si>
  <si>
    <t xml:space="preserve">Vitis vinifera subsp vinifera cv. Roumi noir</t>
  </si>
  <si>
    <t xml:space="preserve">Vitis vinifera subsp vinifera cv. Roussaïtis</t>
  </si>
  <si>
    <t xml:space="preserve">Vitis vinifera subsp vinifera cv. Roussanne</t>
  </si>
  <si>
    <t xml:space="preserve">Vitis vinifera subsp vinifera cv. Roussaou</t>
  </si>
  <si>
    <t xml:space="preserve">Vitis vinifera subsp vinifera cv. Roussette d'Ayze</t>
  </si>
  <si>
    <t xml:space="preserve">Vitis vinifera subsp vinifera cv. Roxo dos pintos</t>
  </si>
  <si>
    <t xml:space="preserve">Vitis vinifera subsp vinifera cv. Royal</t>
  </si>
  <si>
    <t xml:space="preserve">Vitis vinifera subsp vinifera cv. Royal Ascot</t>
  </si>
  <si>
    <t xml:space="preserve">Vitis vinifera subsp vinifera cv. Royal Askant</t>
  </si>
  <si>
    <t xml:space="preserve">Vitis vinifera subsp vinifera cv. Royal Molenberg</t>
  </si>
  <si>
    <t xml:space="preserve">Vitis vinifera subsp vinifera cv. Royal Vineyard</t>
  </si>
  <si>
    <t xml:space="preserve">Vitis vinifera subsp vinifera cv. Rubi</t>
  </si>
  <si>
    <t xml:space="preserve">Vitis vinifera subsp vinifera cv. Ruby Cabernet</t>
  </si>
  <si>
    <t xml:space="preserve">Vitis vinifera subsp vinifera cv. Ruby seedless</t>
  </si>
  <si>
    <t xml:space="preserve">Vitis vinifera subsp vinifera cv. Rudezusa</t>
  </si>
  <si>
    <t xml:space="preserve">Vitis vinifera subsp vinifera cv. Ruzevina</t>
  </si>
  <si>
    <t xml:space="preserve">Vitis vinifera subsp vinifera cv. Sabalkanskoï</t>
  </si>
  <si>
    <t xml:space="preserve">Vitis vinifera subsp vinifera cv. Sabaté</t>
  </si>
  <si>
    <t xml:space="preserve">Vitis vinifera subsp vinifera cv. Sabra</t>
  </si>
  <si>
    <t xml:space="preserve">Vitis vinifera subsp vinifera cv. Sacavem = C27 Coutinho</t>
  </si>
  <si>
    <t xml:space="preserve">Vitis vinifera subsp vinifera cv. Sacy</t>
  </si>
  <si>
    <t xml:space="preserve">Vitis vinifera subsp vinifera cv. Sagrantino</t>
  </si>
  <si>
    <t xml:space="preserve">Vitis vinifera subsp vinifera cv. Sahami</t>
  </si>
  <si>
    <t xml:space="preserve">Vitis vinifera subsp vinifera cv. Sahebi</t>
  </si>
  <si>
    <t xml:space="preserve">Vitis vinifera subsp vinifera cv. Sahibi sorh</t>
  </si>
  <si>
    <t xml:space="preserve">Vitis vinifera subsp vinifera cv. Sahilii</t>
  </si>
  <si>
    <t xml:space="preserve">Vitis vinifera subsp vinifera cv. Saint-Emilion x Sémillon D</t>
  </si>
  <si>
    <t xml:space="preserve">Vitis vinifera subsp vinifera cv. Saint-Laurent</t>
  </si>
  <si>
    <t xml:space="preserve">Vitis vinifera subsp vinifera cv. Saint-Louis faux</t>
  </si>
  <si>
    <t xml:space="preserve">Vitis vinifera subsp vinifera cv. Saint-Macaire</t>
  </si>
  <si>
    <t xml:space="preserve">Vitis vinifera subsp vinifera cv. Sainton = Vidal 9</t>
  </si>
  <si>
    <t xml:space="preserve">Vitis vinifera subsp vinifera cv. Saint-Pierre doré</t>
  </si>
  <si>
    <t xml:space="preserve">Vitis vinifera subsp vinifera cv. Sakasli</t>
  </si>
  <si>
    <t xml:space="preserve">Vitis vinifera subsp vinifera cv. Salagnin</t>
  </si>
  <si>
    <t xml:space="preserve">Vitis vinifera subsp vinifera cv. Salba</t>
  </si>
  <si>
    <t xml:space="preserve">Vitis vinifera subsp vinifera cv. Salicette</t>
  </si>
  <si>
    <t xml:space="preserve">Vitis vinifera subsp vinifera cv. Samarrinho preto</t>
  </si>
  <si>
    <t xml:space="preserve">Vitis vinifera subsp vinifera cv. Samoriau</t>
  </si>
  <si>
    <t xml:space="preserve">Vitis vinifera subsp vinifera cv. Samoveanca</t>
  </si>
  <si>
    <t xml:space="preserve">Vitis vinifera subsp vinifera cv. San Antoni</t>
  </si>
  <si>
    <t xml:space="preserve">Vitis vinifera subsp vinifera cv. San Francisco</t>
  </si>
  <si>
    <t xml:space="preserve">Vitis vinifera subsp vinifera cv. San Jeronimo</t>
  </si>
  <si>
    <t xml:space="preserve">Vitis vinifera subsp vinifera cv. San Martino = Pirovano 215</t>
  </si>
  <si>
    <t xml:space="preserve">Vitis vinifera subsp vinifera cv. Sanginella di Salerno</t>
  </si>
  <si>
    <t xml:space="preserve">Vitis vinifera subsp vinifera cv. Santa Barbara = Pirovano 480</t>
  </si>
  <si>
    <t xml:space="preserve">Vitis vinifera subsp vinifera cv. Santa Magdalena</t>
  </si>
  <si>
    <t xml:space="preserve">Vitis vinifera subsp vinifera cv. Santa Morena</t>
  </si>
  <si>
    <t xml:space="preserve">Vitis vinifera subsp vinifera cv. Santa Paula</t>
  </si>
  <si>
    <t xml:space="preserve">Vitis vinifera subsp vinifera cv. Saperavi</t>
  </si>
  <si>
    <t xml:space="preserve">Vitis vinifera subsp vinifera cv. Sapere otzkhanouri</t>
  </si>
  <si>
    <t xml:space="preserve">Vitis vinifera subsp vinifera cv. Sarfeher</t>
  </si>
  <si>
    <t xml:space="preserve">Vitis vinifera subsp vinifera cv. Sary pandass</t>
  </si>
  <si>
    <t xml:space="preserve">Vitis vinifera subsp vinifera cv. Sateni bely</t>
  </si>
  <si>
    <t xml:space="preserve">Vitis vinifera subsp vinifera cv. Sateni tcherny</t>
  </si>
  <si>
    <t xml:space="preserve">Vitis vinifera subsp vinifera cv. Satino Kokkino</t>
  </si>
  <si>
    <t xml:space="preserve">Vitis vinifera subsp vinifera cv. Sauterne blanc</t>
  </si>
  <si>
    <t xml:space="preserve">Vitis vinifera subsp vinifera cv. Sauvaget</t>
  </si>
  <si>
    <t xml:space="preserve">Vitis vinifera subsp vinifera cv. Sauvignon</t>
  </si>
  <si>
    <t xml:space="preserve">Vitis vinifera subsp vinifera cv. Sauvignon gris</t>
  </si>
  <si>
    <t xml:space="preserve">Vitis vinifera subsp vinifera cv. Sauvignon rouge</t>
  </si>
  <si>
    <t xml:space="preserve">Vitis vinifera subsp vinifera cv. Sauvignonasse</t>
  </si>
  <si>
    <t xml:space="preserve">Vitis vinifera subsp vinifera cv. Savagnin blanc</t>
  </si>
  <si>
    <t xml:space="preserve">Vitis vinifera subsp vinifera cv. Savagnin rose</t>
  </si>
  <si>
    <t xml:space="preserve">Vitis vinifera subsp vinifera cv. Savvatiano</t>
  </si>
  <si>
    <t xml:space="preserve">Vitis vinifera subsp vinifera cv. Scaliger</t>
  </si>
  <si>
    <t xml:space="preserve">Vitis vinifera subsp vinifera cv. Schabasche</t>
  </si>
  <si>
    <t xml:space="preserve">Vitis vinifera subsp vinifera cv. Scheu 10514</t>
  </si>
  <si>
    <t xml:space="preserve">Vitis vinifera subsp vinifera cv. Scheurebe</t>
  </si>
  <si>
    <t xml:space="preserve">Vitis vinifera subsp vinifera cv. Schiava gentile</t>
  </si>
  <si>
    <t xml:space="preserve">Vitis vinifera subsp vinifera cv. Schiava grigia</t>
  </si>
  <si>
    <t xml:space="preserve">Vitis vinifera subsp vinifera cv. Schiava lombarda</t>
  </si>
  <si>
    <t xml:space="preserve">Vitis vinifera subsp vinifera cv. Schiradzouli</t>
  </si>
  <si>
    <t xml:space="preserve">Vitis vinifera subsp vinifera cv. Schiradzouli violet</t>
  </si>
  <si>
    <t xml:space="preserve">Vitis vinifera subsp vinifera cv. Schiras</t>
  </si>
  <si>
    <t xml:space="preserve">Vitis vinifera subsp vinifera cv. Sciaccarello</t>
  </si>
  <si>
    <t xml:space="preserve">Vitis vinifera subsp vinifera cv. Sciascinoso</t>
  </si>
  <si>
    <t xml:space="preserve">Vitis vinifera subsp vinifera cv. Sebai assouad</t>
  </si>
  <si>
    <t xml:space="preserve">Vitis vinifera subsp vinifera cv. Sécal</t>
  </si>
  <si>
    <t xml:space="preserve">Vitis vinifera subsp vinifera cv. Segalin = INRA 1377-174</t>
  </si>
  <si>
    <t xml:space="preserve">Vitis vinifera subsp vinifera cv. Seibel 60</t>
  </si>
  <si>
    <t xml:space="preserve">Vitis vinifera subsp vinifera cv. Select = Vidal 100 T</t>
  </si>
  <si>
    <t xml:space="preserve">Vitis vinifera subsp vinifera cv. Semebat</t>
  </si>
  <si>
    <t xml:space="preserve">Vitis vinifera subsp vinifera cv. Semidano</t>
  </si>
  <si>
    <t xml:space="preserve">Vitis vinifera subsp vinifera cv. Semillon</t>
  </si>
  <si>
    <t xml:space="preserve">Vitis vinifera subsp vinifera cv. Septimer = Alzey 3952</t>
  </si>
  <si>
    <t xml:space="preserve">Vitis vinifera subsp vinifera cv. Sercial</t>
  </si>
  <si>
    <t xml:space="preserve">Vitis vinifera subsp vinifera cv. Serénèze de Moirans</t>
  </si>
  <si>
    <t xml:space="preserve">Vitis vinifera subsp vinifera cv. Serénèze de Voreppe</t>
  </si>
  <si>
    <t xml:space="preserve">Vitis vinifera subsp vinifera cv. Serna</t>
  </si>
  <si>
    <t xml:space="preserve">Vitis vinifera subsp vinifera cv. Servabilis = Pirovano 221</t>
  </si>
  <si>
    <t xml:space="preserve">Vitis vinifera subsp vinifera cv. Servanin</t>
  </si>
  <si>
    <t xml:space="preserve">Vitis vinifera subsp vinifera cv. Servant</t>
  </si>
  <si>
    <t xml:space="preserve">Vitis vinifera subsp vinifera cv. Sevan</t>
  </si>
  <si>
    <t xml:space="preserve">Vitis vinifera subsp vinifera cv. Sgavetta</t>
  </si>
  <si>
    <t xml:space="preserve">Vitis vinifera subsp vinifera cv. Sguigarda</t>
  </si>
  <si>
    <t xml:space="preserve">Vitis vinifera subsp vinifera cv. Shenidani</t>
  </si>
  <si>
    <t xml:space="preserve">Vitis vinifera subsp vinifera cv. Shindo Khani</t>
  </si>
  <si>
    <t xml:space="preserve">Vitis vinifera subsp vinifera cv. Shirazi</t>
  </si>
  <si>
    <t xml:space="preserve">Vitis vinifera subsp vinifera cv. Siah</t>
  </si>
  <si>
    <t xml:space="preserve">Vitis vinifera subsp vinifera cv. Sibirkovy</t>
  </si>
  <si>
    <t xml:space="preserve">Vitis vinifera subsp vinifera cv. Sicilien faux</t>
  </si>
  <si>
    <t xml:space="preserve">Vitis vinifera subsp vinifera cv. Sideritis</t>
  </si>
  <si>
    <t xml:space="preserve">Vitis vinifera subsp vinifera cv. Siegerrebe = Scheu 7957</t>
  </si>
  <si>
    <t xml:space="preserve">Vitis vinifera subsp vinifera cv. Silberweiss</t>
  </si>
  <si>
    <t xml:space="preserve">Vitis vinifera subsp vinifera cv. Skiadopoulo</t>
  </si>
  <si>
    <t xml:space="preserve">Vitis vinifera subsp vinifera cv. Skyloklima</t>
  </si>
  <si>
    <t xml:space="preserve">Vitis vinifera subsp vinifera cv. Skylopnichtis</t>
  </si>
  <si>
    <t xml:space="preserve">Vitis vinifera subsp vinifera cv. Skylopnichtis blanc</t>
  </si>
  <si>
    <t xml:space="preserve">Vitis vinifera subsp vinifera cv. Slankamenka blanc</t>
  </si>
  <si>
    <t xml:space="preserve">Vitis vinifera subsp vinifera cv. Soiaki</t>
  </si>
  <si>
    <t xml:space="preserve">Vitis vinifera subsp vinifera cv. Soic</t>
  </si>
  <si>
    <t xml:space="preserve">Vitis vinifera subsp vinifera cv. Solferino = Pirovano 316</t>
  </si>
  <si>
    <t xml:space="preserve">Vitis vinifera subsp vinifera cv. Somarello rosso</t>
  </si>
  <si>
    <t xml:space="preserve">Vitis vinifera subsp vinifera cv. Somzölö kek</t>
  </si>
  <si>
    <t xml:space="preserve">Vitis vinifera subsp vinifera cv. Sorok Let Oktiabria</t>
  </si>
  <si>
    <t xml:space="preserve">Vitis vinifera subsp vinifera cv. Soukholimansky bely</t>
  </si>
  <si>
    <t xml:space="preserve">Vitis vinifera subsp vinifera cv. Souri (1)</t>
  </si>
  <si>
    <t xml:space="preserve">Vitis vinifera subsp vinifera cv. Souri (2)</t>
  </si>
  <si>
    <t xml:space="preserve">Vitis vinifera subsp vinifera cv. Sourkhak biely</t>
  </si>
  <si>
    <t xml:space="preserve">Vitis vinifera subsp vinifera cv. Sourkhak kitabsky</t>
  </si>
  <si>
    <t xml:space="preserve">Vitis vinifera subsp vinifera cv. Souvenir du Congrès</t>
  </si>
  <si>
    <t xml:space="preserve">Vitis vinifera subsp vinifera cv. Souzao</t>
  </si>
  <si>
    <t xml:space="preserve">Vitis vinifera subsp vinifera cv. Sovrana = Pirovano 244</t>
  </si>
  <si>
    <t xml:space="preserve">Vitis vinifera subsp vinifera cv. Staphidampelo</t>
  </si>
  <si>
    <t xml:space="preserve">Vitis vinifera subsp vinifera cv. Staphidostaphylo</t>
  </si>
  <si>
    <t xml:space="preserve">Vitis vinifera subsp vinifera cv. Steinschiller blanc</t>
  </si>
  <si>
    <t xml:space="preserve">Vitis vinifera subsp vinifera cv. Strophyliatico</t>
  </si>
  <si>
    <t xml:space="preserve">Vitis vinifera subsp vinifera cv. Suavis = Pirovano 365 s</t>
  </si>
  <si>
    <t xml:space="preserve">Vitis vinifera subsp vinifera cv. Subirat Parent</t>
  </si>
  <si>
    <t xml:space="preserve">Vitis vinifera subsp vinifera cv. Sugrafive = Early Supérior seedless</t>
  </si>
  <si>
    <t xml:space="preserve">Vitis vinifera subsp vinifera cv. Sugraone = Superior seedless</t>
  </si>
  <si>
    <t xml:space="preserve">Vitis vinifera subsp vinifera cv. Sulivan blanc</t>
  </si>
  <si>
    <t xml:space="preserve">Vitis vinifera subsp vinifera cv. Sultana moscata = Pirovano 75</t>
  </si>
  <si>
    <t xml:space="preserve">Vitis vinifera subsp vinifera cv. Sultanina</t>
  </si>
  <si>
    <t xml:space="preserve">Vitis vinifera subsp vinifera cv. Sultanine</t>
  </si>
  <si>
    <t xml:space="preserve">Vitis vinifera subsp vinifera cv. Sultanine monococco</t>
  </si>
  <si>
    <t xml:space="preserve">Vitis vinifera subsp vinifera cv. Sultanine rose</t>
  </si>
  <si>
    <t xml:space="preserve">Vitis vinifera subsp vinifera cv. Sultanine rouge</t>
  </si>
  <si>
    <t xml:space="preserve">Vitis vinifera subsp vinifera cv. Sumoll</t>
  </si>
  <si>
    <t xml:space="preserve">Vitis vinifera subsp vinifera cv. Suntory blanc</t>
  </si>
  <si>
    <t xml:space="preserve">Vitis vinifera subsp vinifera cv. Superba = Pirovano 476 a</t>
  </si>
  <si>
    <t xml:space="preserve">Vitis vinifera subsp vinifera cv. Superfrankenthal = Pirovano 243</t>
  </si>
  <si>
    <t xml:space="preserve">Vitis vinifera subsp vinifera cv. Superzibibbo = Pirovano 107 a</t>
  </si>
  <si>
    <t xml:space="preserve">Vitis vinifera subsp vinifera cv. Suscan crni</t>
  </si>
  <si>
    <t xml:space="preserve">Vitis vinifera subsp vinifera cv. Susumaniello</t>
  </si>
  <si>
    <t xml:space="preserve">Vitis vinifera subsp vinifera cv. Sykiotis</t>
  </si>
  <si>
    <t xml:space="preserve">Vitis vinifera subsp vinifera cv. Sylvaner</t>
  </si>
  <si>
    <t xml:space="preserve">Vitis vinifera subsp vinifera cv. Sylvaner blau</t>
  </si>
  <si>
    <t xml:space="preserve">Vitis vinifera subsp vinifera cv. Sylvaner rot</t>
  </si>
  <si>
    <t xml:space="preserve">Vitis vinifera subsp vinifera cv. Syrah</t>
  </si>
  <si>
    <t xml:space="preserve">Vitis vinifera subsp vinifera cv. Syriki</t>
  </si>
  <si>
    <t xml:space="preserve">Vitis vinifera subsp vinifera cv. Szagos Bajnar</t>
  </si>
  <si>
    <t xml:space="preserve">Vitis vinifera subsp vinifera cv. Szauter Gusztav</t>
  </si>
  <si>
    <t xml:space="preserve">Vitis vinifera subsp vinifera cv. Szegedi</t>
  </si>
  <si>
    <t xml:space="preserve">Vitis vinifera subsp vinifera cv. Szegeny ember szölöje</t>
  </si>
  <si>
    <t xml:space="preserve">Vitis vinifera subsp vinifera cv. Szent Laszlö</t>
  </si>
  <si>
    <t xml:space="preserve">Vitis vinifera subsp vinifera cv. Szeredi</t>
  </si>
  <si>
    <t xml:space="preserve">Vitis vinifera subsp vinifera cv. Szeremi zöld</t>
  </si>
  <si>
    <t xml:space="preserve">Vitis vinifera subsp vinifera cv. Tachtas</t>
  </si>
  <si>
    <t xml:space="preserve">Vitis vinifera subsp vinifera cv. Taferielt</t>
  </si>
  <si>
    <t xml:space="preserve">Vitis vinifera subsp vinifera cv. Tagleit n'timilli</t>
  </si>
  <si>
    <t xml:space="preserve">Vitis vinifera subsp vinifera cv. Tagobi</t>
  </si>
  <si>
    <t xml:space="preserve">Vitis vinifera subsp vinifera cv. Taifi belyi</t>
  </si>
  <si>
    <t xml:space="preserve">Vitis vinifera subsp vinifera cv. Taïfi rosovy</t>
  </si>
  <si>
    <t xml:space="preserve">Vitis vinifera subsp vinifera cv. Taïlilout</t>
  </si>
  <si>
    <t xml:space="preserve">Vitis vinifera subsp vinifera cv. Tamares</t>
  </si>
  <si>
    <t xml:space="preserve">Vitis vinifera subsp vinifera cv. Tamarez Moscatel 31-3-3</t>
  </si>
  <si>
    <t xml:space="preserve">Vitis vinifera subsp vinifera cv. Tana kouzy</t>
  </si>
  <si>
    <t xml:space="preserve">Vitis vinifera subsp vinifera cv. Tanagos</t>
  </si>
  <si>
    <t xml:space="preserve">Vitis vinifera subsp vinifera cv. Tankert</t>
  </si>
  <si>
    <t xml:space="preserve">Vitis vinifera subsp vinifera cv. Tannat</t>
  </si>
  <si>
    <t xml:space="preserve">Vitis vinifera subsp vinifera cv. Tantovina</t>
  </si>
  <si>
    <t xml:space="preserve">Vitis vinifera subsp vinifera cv. Tarabassié</t>
  </si>
  <si>
    <t xml:space="preserve">Vitis vinifera subsp vinifera cv. Tardif</t>
  </si>
  <si>
    <t xml:space="preserve">Vitis vinifera subsp vinifera cv. Tarnaou</t>
  </si>
  <si>
    <t xml:space="preserve">Vitis vinifera subsp vinifera cv. Tarragonins</t>
  </si>
  <si>
    <t xml:space="preserve">Vitis vinifera subsp vinifera cv. Tarrango</t>
  </si>
  <si>
    <t xml:space="preserve">Vitis vinifera subsp vinifera cv. Taschly</t>
  </si>
  <si>
    <t xml:space="preserve">Vitis vinifera subsp vinifera cv. Tavkveri</t>
  </si>
  <si>
    <t xml:space="preserve">Vitis vinifera subsp vinifera cv. Tavrida = Magaratch 171</t>
  </si>
  <si>
    <t xml:space="preserve">Vitis vinifera subsp vinifera cv. Tchaïnak</t>
  </si>
  <si>
    <t xml:space="preserve">Vitis vinifera subsp vinifera cv. Tchernii Crimski</t>
  </si>
  <si>
    <t xml:space="preserve">Vitis vinifera subsp vinifera cv. Tchilar</t>
  </si>
  <si>
    <t xml:space="preserve">Vitis vinifera subsp vinifera cv. Tchiliaki blanc</t>
  </si>
  <si>
    <t xml:space="preserve">Vitis vinifera subsp vinifera cv. Tchiliaki rouge</t>
  </si>
  <si>
    <t xml:space="preserve">Vitis vinifera subsp vinifera cv. Tchingin kara</t>
  </si>
  <si>
    <t xml:space="preserve">Vitis vinifera subsp vinifera cv. Tchinouri</t>
  </si>
  <si>
    <t xml:space="preserve">Vitis vinifera subsp vinifera cv. Tchkhaveri</t>
  </si>
  <si>
    <t xml:space="preserve">Vitis vinifera subsp vinifera cv. Teinturier</t>
  </si>
  <si>
    <t xml:space="preserve">Vitis vinifera subsp vinifera cv. Teli granat</t>
  </si>
  <si>
    <t xml:space="preserve">Vitis vinifera subsp vinifera cv. Tempranilla</t>
  </si>
  <si>
    <t xml:space="preserve">Vitis vinifera subsp vinifera cv. Tempranillo</t>
  </si>
  <si>
    <t xml:space="preserve">Vitis vinifera subsp vinifera cv. Téoulier</t>
  </si>
  <si>
    <t xml:space="preserve">Vitis vinifera subsp vinifera cv. Téoulier blanc</t>
  </si>
  <si>
    <t xml:space="preserve">Vitis vinifera subsp vinifera cv. Terbasch</t>
  </si>
  <si>
    <t xml:space="preserve">Vitis vinifera subsp vinifera cv. Teresita = Dalmasso XVIII-24</t>
  </si>
  <si>
    <t xml:space="preserve">Vitis vinifera subsp vinifera cv. Terlaner</t>
  </si>
  <si>
    <t xml:space="preserve">Vitis vinifera subsp vinifera cv. Teroldego</t>
  </si>
  <si>
    <t xml:space="preserve">Vitis vinifera subsp vinifera cv. Terr Gulmek</t>
  </si>
  <si>
    <t xml:space="preserve">Vitis vinifera subsp vinifera cv. Terramon long</t>
  </si>
  <si>
    <t xml:space="preserve">Vitis vinifera subsp vinifera cv. Terramon rond</t>
  </si>
  <si>
    <t xml:space="preserve">Vitis vinifera subsp vinifera cv. Terrano</t>
  </si>
  <si>
    <t xml:space="preserve">Vitis vinifera subsp vinifera cv. Terrantez de Madère</t>
  </si>
  <si>
    <t xml:space="preserve">Vitis vinifera subsp vinifera cv. Terrantez du Dão</t>
  </si>
  <si>
    <t xml:space="preserve">Vitis vinifera subsp vinifera cv. Terret blanc</t>
  </si>
  <si>
    <t xml:space="preserve">Vitis vinifera subsp vinifera cv. Terret Bouschet</t>
  </si>
  <si>
    <t xml:space="preserve">Vitis vinifera subsp vinifera cv. Terret gris</t>
  </si>
  <si>
    <t xml:space="preserve">Vitis vinifera subsp vinifera cv. Terret noir</t>
  </si>
  <si>
    <t xml:space="preserve">Vitis vinifera subsp vinifera cv. Teta de Vaca</t>
  </si>
  <si>
    <t xml:space="preserve">Vitis vinifera subsp vinifera cv. Thallocsy Lajos muskotaly = Muscat Thallocsy</t>
  </si>
  <si>
    <t xml:space="preserve">Vitis vinifera subsp vinifera cv. Thermi</t>
  </si>
  <si>
    <t xml:space="preserve">Vitis vinifera subsp vinifera cv. Tibouren</t>
  </si>
  <si>
    <t xml:space="preserve">Vitis vinifera subsp vinifera cv. Tihany</t>
  </si>
  <si>
    <t xml:space="preserve">Vitis vinifera subsp vinifera cv. Timorasso</t>
  </si>
  <si>
    <t xml:space="preserve">Vitis vinifera subsp vinifera cv. Timpurie</t>
  </si>
  <si>
    <t xml:space="preserve">Vitis vinifera subsp vinifera cv. Tini</t>
  </si>
  <si>
    <t xml:space="preserve">Vitis vinifera subsp vinifera cv. Tiniouine</t>
  </si>
  <si>
    <t xml:space="preserve">Vitis vinifera subsp vinifera cv. Tinos noir</t>
  </si>
  <si>
    <t xml:space="preserve">Vitis vinifera subsp vinifera cv. Tinta amarella</t>
  </si>
  <si>
    <t xml:space="preserve">Vitis vinifera subsp vinifera cv. Tinta Barroca</t>
  </si>
  <si>
    <t xml:space="preserve">Vitis vinifera subsp vinifera cv. Tinta carvalha</t>
  </si>
  <si>
    <t xml:space="preserve">Vitis vinifera subsp vinifera cv. Tinta castellõa</t>
  </si>
  <si>
    <t xml:space="preserve">Vitis vinifera subsp vinifera cv. Tinta de Madeira</t>
  </si>
  <si>
    <t xml:space="preserve">Vitis vinifera subsp vinifera cv. Tinta francisca</t>
  </si>
  <si>
    <t xml:space="preserve">Vitis vinifera subsp vinifera cv. Tinta pinheira</t>
  </si>
  <si>
    <t xml:space="preserve">Vitis vinifera subsp vinifera cv. Tintillo</t>
  </si>
  <si>
    <t xml:space="preserve">Vitis vinifera subsp vinifera cv. Tintinha = Leao Ferreira da Almeida 11-48-122</t>
  </si>
  <si>
    <t xml:space="preserve">Vitis vinifera subsp vinifera cv. Tinto Cao</t>
  </si>
  <si>
    <t xml:space="preserve">Vitis vinifera subsp vinifera cv. Tintora</t>
  </si>
  <si>
    <t xml:space="preserve">Vitis vinifera subsp vinifera cv. Tita Caprei</t>
  </si>
  <si>
    <t xml:space="preserve">Vitis vinifera subsp vinifera cv. Tolstokorii</t>
  </si>
  <si>
    <t xml:space="preserve">Vitis vinifera subsp vinifera cv. Török Mazsola</t>
  </si>
  <si>
    <t xml:space="preserve">Vitis vinifera subsp vinifera cv. Torralba</t>
  </si>
  <si>
    <t xml:space="preserve">Vitis vinifera subsp vinifera cv. Torrontès</t>
  </si>
  <si>
    <t xml:space="preserve">Vitis vinifera subsp vinifera cv. Torrontès mendocino</t>
  </si>
  <si>
    <t xml:space="preserve">Vitis vinifera subsp vinifera cv. Torrontès riojano</t>
  </si>
  <si>
    <t xml:space="preserve">Vitis vinifera subsp vinifera cv. Torrontès sanjuanino</t>
  </si>
  <si>
    <t xml:space="preserve">Vitis vinifera subsp vinifera cv. Tortozon</t>
  </si>
  <si>
    <t xml:space="preserve">Vitis vinifera subsp vinifera cv. Tourbat</t>
  </si>
  <si>
    <t xml:space="preserve">Vitis vinifera subsp vinifera cv. Touriga</t>
  </si>
  <si>
    <t xml:space="preserve">Vitis vinifera subsp vinifera cv. Toutrissin</t>
  </si>
  <si>
    <t xml:space="preserve">Vitis vinifera subsp vinifera cv. Tre voto</t>
  </si>
  <si>
    <t xml:space="preserve">Vitis vinifera subsp vinifera cv. Trebbiano</t>
  </si>
  <si>
    <t xml:space="preserve">Vitis vinifera subsp vinifera cv. Trebbiano di Soave</t>
  </si>
  <si>
    <t xml:space="preserve">Vitis vinifera subsp vinifera cv. Trebbiano giallo</t>
  </si>
  <si>
    <t xml:space="preserve">Vitis vinifera subsp vinifera cv. Trebbiano romagnolo</t>
  </si>
  <si>
    <t xml:space="preserve">Vitis vinifera subsp vinifera cv. Trebbiano spoletino</t>
  </si>
  <si>
    <t xml:space="preserve">Vitis vinifera subsp vinifera cv. Treixadura</t>
  </si>
  <si>
    <t xml:space="preserve">Vitis vinifera subsp vinifera cv. Trentham black faux</t>
  </si>
  <si>
    <t xml:space="preserve">Vitis vinifera subsp vinifera cv. Treolina</t>
  </si>
  <si>
    <t xml:space="preserve">Vitis vinifera subsp vinifera cv. Tressot</t>
  </si>
  <si>
    <t xml:space="preserve">Vitis vinifera subsp vinifera cv. Tressot blanc</t>
  </si>
  <si>
    <t xml:space="preserve">Vitis vinifera subsp vinifera cv. Tressot panaché</t>
  </si>
  <si>
    <t xml:space="preserve">Vitis vinifera subsp vinifera cv. Tressot panaché faux</t>
  </si>
  <si>
    <t xml:space="preserve">Vitis vinifera subsp vinifera cv. Trevisana nera</t>
  </si>
  <si>
    <t xml:space="preserve">Vitis vinifera subsp vinifera cv. Trieste = Pirovano 299</t>
  </si>
  <si>
    <t xml:space="preserve">Vitis vinifera subsp vinifera cv. Tripoli = Pirovano 352</t>
  </si>
  <si>
    <t xml:space="preserve">Vitis vinifera subsp vinifera cv. Trollinger blaudüftig</t>
  </si>
  <si>
    <t xml:space="preserve">Vitis vinifera subsp vinifera cv. Trollinger Muskat</t>
  </si>
  <si>
    <t xml:space="preserve">Vitis vinifera subsp vinifera cv. Trollingi feher</t>
  </si>
  <si>
    <t xml:space="preserve">Vitis vinifera subsp vinifera cv. Trousseau</t>
  </si>
  <si>
    <t xml:space="preserve">Vitis vinifera subsp vinifera cv. Trousseau gris</t>
  </si>
  <si>
    <t xml:space="preserve">Vitis vinifera subsp vinifera cv. Troyen</t>
  </si>
  <si>
    <t xml:space="preserve">Vitis vinifera subsp vinifera cv. Trunzo</t>
  </si>
  <si>
    <t xml:space="preserve">Vitis vinifera subsp vinifera cv. Tsambato</t>
  </si>
  <si>
    <t xml:space="preserve">Vitis vinifera subsp vinifera cv. Tschetirbak</t>
  </si>
  <si>
    <t xml:space="preserve">Vitis vinifera subsp vinifera cv. Tuia tiche</t>
  </si>
  <si>
    <t xml:space="preserve">Vitis vinifera subsp vinifera cv. Tuia tiche faux</t>
  </si>
  <si>
    <t xml:space="preserve">Vitis vinifera subsp vinifera cv. Tulillah</t>
  </si>
  <si>
    <t xml:space="preserve">Vitis vinifera subsp vinifera cv. Turki</t>
  </si>
  <si>
    <t xml:space="preserve">Vitis vinifera subsp vinifera cv. Turruntes</t>
  </si>
  <si>
    <t xml:space="preserve">Vitis vinifera subsp vinifera cv. Turska dinka</t>
  </si>
  <si>
    <t xml:space="preserve">Vitis vinifera subsp vinifera cv. Tzimlansky blanc</t>
  </si>
  <si>
    <t xml:space="preserve">Vitis vinifera subsp vinifera cv. Tzimlansky noir</t>
  </si>
  <si>
    <t xml:space="preserve">Vitis vinifera subsp vinifera cv. Tzitzka</t>
  </si>
  <si>
    <t xml:space="preserve">Vitis vinifera subsp vinifera cv. Tzolikoouri</t>
  </si>
  <si>
    <t xml:space="preserve">Vitis vinifera subsp vinifera cv. Ugni blanc</t>
  </si>
  <si>
    <t xml:space="preserve">Vitis vinifera subsp vinifera cv. Ugni blanc à feuilles découpées</t>
  </si>
  <si>
    <t xml:space="preserve">Vitis vinifera subsp vinifera cv. Ugni rouge</t>
  </si>
  <si>
    <t xml:space="preserve">Vitis vinifera subsp vinifera cv. Urben blau</t>
  </si>
  <si>
    <t xml:space="preserve">Vitis vinifera subsp vinifera cv. Urben rot</t>
  </si>
  <si>
    <t xml:space="preserve">Vitis vinifera subsp vinifera cv. Urreti</t>
  </si>
  <si>
    <t xml:space="preserve">Vitis vinifera subsp vinifera cv. Uva Cao</t>
  </si>
  <si>
    <t xml:space="preserve">Vitis vinifera subsp vinifera cv. Uva de Rey</t>
  </si>
  <si>
    <t xml:space="preserve">Vitis vinifera subsp vinifera cv. Uva di Troia</t>
  </si>
  <si>
    <t xml:space="preserve">Vitis vinifera subsp vinifera cv. Uva melona</t>
  </si>
  <si>
    <t xml:space="preserve">Vitis vinifera subsp vinifera cv. V 155 (J.P. Vidal)</t>
  </si>
  <si>
    <t xml:space="preserve">Vitis vinifera subsp vinifera cv. Valais noir</t>
  </si>
  <si>
    <t xml:space="preserve">Vitis vinifera subsp vinifera cv. Valdepeñas</t>
  </si>
  <si>
    <t xml:space="preserve">Vitis vinifera subsp vinifera cv. Valdiguié</t>
  </si>
  <si>
    <t xml:space="preserve">Vitis vinifera subsp vinifera cv. Valdiguié pissaïré</t>
  </si>
  <si>
    <t xml:space="preserve">Vitis vinifera subsp vinifera cv. Valenci blanco</t>
  </si>
  <si>
    <t xml:space="preserve">Vitis vinifera subsp vinifera cv. Valenci blanco faux</t>
  </si>
  <si>
    <t xml:space="preserve">Vitis vinifera subsp vinifera cv. Valensi noir</t>
  </si>
  <si>
    <t xml:space="preserve">Vitis vinifera subsp vinifera cv. Vapsa</t>
  </si>
  <si>
    <t xml:space="preserve">Vitis vinifera subsp vinifera cv. Vassarga bielaia</t>
  </si>
  <si>
    <t xml:space="preserve">Vitis vinifera subsp vinifera cv. Vassarga tchernaia</t>
  </si>
  <si>
    <t xml:space="preserve">Vitis vinifera subsp vinifera cv. Vékonyhéju</t>
  </si>
  <si>
    <t xml:space="preserve">Vitis vinifera subsp vinifera cv. Velteliner rouge</t>
  </si>
  <si>
    <t xml:space="preserve">Vitis vinifera subsp vinifera cv. Velteliner rouge précoce</t>
  </si>
  <si>
    <t xml:space="preserve">Vitis vinifera subsp vinifera cv. Velteliner vert</t>
  </si>
  <si>
    <t xml:space="preserve">Vitis vinifera subsp vinifera cv. Verdanel</t>
  </si>
  <si>
    <t xml:space="preserve">Vitis vinifera subsp vinifera cv. Verdea</t>
  </si>
  <si>
    <t xml:space="preserve">Vitis vinifera subsp vinifera cv. Verdeca</t>
  </si>
  <si>
    <t xml:space="preserve">Vitis vinifera subsp vinifera cv. Verdejo blanco</t>
  </si>
  <si>
    <t xml:space="preserve">Vitis vinifera subsp vinifera cv. Verdejo negro</t>
  </si>
  <si>
    <t xml:space="preserve">Vitis vinifera subsp vinifera cv. Verdelho</t>
  </si>
  <si>
    <t xml:space="preserve">Vitis vinifera subsp vinifera cv. Verdelho du Dâo</t>
  </si>
  <si>
    <t xml:space="preserve">Vitis vinifera subsp vinifera cv. Verdelho feijão</t>
  </si>
  <si>
    <t xml:space="preserve">Vitis vinifera subsp vinifera cv. Verdelho tinto femelle</t>
  </si>
  <si>
    <t xml:space="preserve">Vitis vinifera subsp vinifera cv. Verdesse</t>
  </si>
  <si>
    <t xml:space="preserve">Vitis vinifera subsp vinifera cv. Verdicchio</t>
  </si>
  <si>
    <t xml:space="preserve">Vitis vinifera subsp vinifera cv. Verdiso</t>
  </si>
  <si>
    <t xml:space="preserve">Vitis vinifera subsp vinifera cv. Verduschia</t>
  </si>
  <si>
    <t xml:space="preserve">Vitis vinifera subsp vinifera cv. Verduzzo friulano</t>
  </si>
  <si>
    <t xml:space="preserve">Vitis vinifera subsp vinifera cv. Verduzzo trevigiano</t>
  </si>
  <si>
    <t xml:space="preserve">Vitis vinifera subsp vinifera cv. Verico</t>
  </si>
  <si>
    <t xml:space="preserve">Vitis vinifera subsp vinifera cv. Verjus</t>
  </si>
  <si>
    <t xml:space="preserve">Vitis vinifera subsp vinifera cv. Vermentino</t>
  </si>
  <si>
    <t xml:space="preserve">Vitis vinifera subsp vinifera cv. Vermentino nero</t>
  </si>
  <si>
    <t xml:space="preserve">Vitis vinifera subsp vinifera cv. Vernaccia di Oristano</t>
  </si>
  <si>
    <t xml:space="preserve">Vitis vinifera subsp vinifera cv. Vernaccia di San Gimignano</t>
  </si>
  <si>
    <t xml:space="preserve">Vitis vinifera subsp vinifera cv. Vernaccia nera</t>
  </si>
  <si>
    <t xml:space="preserve">Vitis vinifera subsp vinifera cv. Vernaccina</t>
  </si>
  <si>
    <t xml:space="preserve">Vitis vinifera subsp vinifera cv. Verona = Pirovano 52</t>
  </si>
  <si>
    <t xml:space="preserve">Vitis vinifera subsp vinifera cv. Vespaiola</t>
  </si>
  <si>
    <t xml:space="preserve">Vitis vinifera subsp vinifera cv. Vespolina</t>
  </si>
  <si>
    <t xml:space="preserve">Vitis vinifera subsp vinifera cv. Vesprino</t>
  </si>
  <si>
    <t xml:space="preserve">Vitis vinifera subsp vinifera cv. Victor = Pirovano 314</t>
  </si>
  <si>
    <t xml:space="preserve">Vitis vinifera subsp vinifera cv. Vidal 117</t>
  </si>
  <si>
    <t xml:space="preserve">Vitis vinifera subsp vinifera cv. Vidal 31</t>
  </si>
  <si>
    <t xml:space="preserve">Vitis vinifera subsp vinifera cv. Vidal 311</t>
  </si>
  <si>
    <t xml:space="preserve">Vitis vinifera subsp vinifera cv. Vidal 36</t>
  </si>
  <si>
    <t xml:space="preserve">Vitis vinifera subsp vinifera cv. Vidal 539</t>
  </si>
  <si>
    <t xml:space="preserve">Vitis vinifera subsp vinifera cv. Vidal 544</t>
  </si>
  <si>
    <t xml:space="preserve">Vitis vinifera subsp vinifera cv. Vidal 547</t>
  </si>
  <si>
    <t xml:space="preserve">Vitis vinifera subsp vinifera cv. Vidal 548</t>
  </si>
  <si>
    <t xml:space="preserve">Vitis vinifera subsp vinifera cv. Vidal 595</t>
  </si>
  <si>
    <t xml:space="preserve">Vitis vinifera subsp vinifera cv. Vidal 662</t>
  </si>
  <si>
    <t xml:space="preserve">Vitis vinifera subsp vinifera cv. Vidal 678</t>
  </si>
  <si>
    <t xml:space="preserve">Vitis vinifera subsp vinifera cv. Vidal 686</t>
  </si>
  <si>
    <t xml:space="preserve">Vitis vinifera subsp vinifera cv. Vidal 76 T</t>
  </si>
  <si>
    <t xml:space="preserve">Vitis vinifera subsp vinifera cv. Vidal 800</t>
  </si>
  <si>
    <t xml:space="preserve">Vitis vinifera subsp vinifera cv. Vidal 804</t>
  </si>
  <si>
    <t xml:space="preserve">Vitis vinifera subsp vinifera cv. Vidal 808</t>
  </si>
  <si>
    <t xml:space="preserve">Vitis vinifera subsp vinifera cv. Vidal 815</t>
  </si>
  <si>
    <t xml:space="preserve">Vitis vinifera subsp vinifera cv. Vidal 83 T</t>
  </si>
  <si>
    <t xml:space="preserve">Vitis vinifera subsp vinifera cv. Vidal 98 T</t>
  </si>
  <si>
    <t xml:space="preserve">Vitis vinifera subsp vinifera cv. Vidal 99 T</t>
  </si>
  <si>
    <t xml:space="preserve">Vitis vinifera subsp vinifera cv. Vidiano</t>
  </si>
  <si>
    <t xml:space="preserve">Vitis vinifera subsp vinifera cv. Vien de Nus</t>
  </si>
  <si>
    <t xml:space="preserve">Vitis vinifera subsp vinifera cv. Vigne de Wood</t>
  </si>
  <si>
    <t xml:space="preserve">Vitis vinifera subsp vinifera cv. Vijiriega</t>
  </si>
  <si>
    <t xml:space="preserve">Vitis vinifera subsp vinifera cv. Vilana</t>
  </si>
  <si>
    <t xml:space="preserve">Vitis vinifera subsp vinifera cv. Villardiell</t>
  </si>
  <si>
    <t xml:space="preserve">Vitis vinifera subsp vinifera cv. Vinta</t>
  </si>
  <si>
    <t xml:space="preserve">Vitis vinifera subsp vinifera cv. Vintaïu</t>
  </si>
  <si>
    <t xml:space="preserve">Vitis vinifera subsp vinifera cv. Viognier</t>
  </si>
  <si>
    <t xml:space="preserve">Vitis vinifera subsp vinifera cv. Viola = Dalmasso XVIII-3</t>
  </si>
  <si>
    <t xml:space="preserve">Vitis vinifera subsp vinifera cv. Viosinho</t>
  </si>
  <si>
    <t xml:space="preserve">Vitis vinifera subsp vinifera cv. Viska</t>
  </si>
  <si>
    <t xml:space="preserve">Vitis vinifera subsp vinifera cv. Vital</t>
  </si>
  <si>
    <t xml:space="preserve">Vitis vinifera subsp vinifera cv. Volavna feher</t>
  </si>
  <si>
    <t xml:space="preserve">Vitis vinifera subsp vinifera cv. Volta = Pirovano 105</t>
  </si>
  <si>
    <t xml:space="preserve">Vitis vinifera subsp vinifera cv. Vörös vallas kek</t>
  </si>
  <si>
    <t xml:space="preserve">Vitis vinifera subsp vinifera cv. Voskeat</t>
  </si>
  <si>
    <t xml:space="preserve">Vitis vinifera subsp vinifera cv. Voudomato</t>
  </si>
  <si>
    <t xml:space="preserve">Vitis vinifera subsp vinifera cv. Vranac crni</t>
  </si>
  <si>
    <t xml:space="preserve">Vitis vinifera subsp vinifera cv. Vugava</t>
  </si>
  <si>
    <t xml:space="preserve">Vitis vinifera subsp vinifera cv. Vulpea</t>
  </si>
  <si>
    <t xml:space="preserve">Vitis vinifera subsp vinifera cv. Weisse Geisdutte par erreur</t>
  </si>
  <si>
    <t xml:space="preserve">Vitis vinifera subsp vinifera cv. West Freisia</t>
  </si>
  <si>
    <t xml:space="preserve">Vitis vinifera subsp vinifera cv. White Cinsaut</t>
  </si>
  <si>
    <t xml:space="preserve">Vitis vinifera subsp vinifera cv. White Lisbon</t>
  </si>
  <si>
    <t xml:space="preserve">Vitis vinifera subsp vinifera cv. White Muscadel</t>
  </si>
  <si>
    <t xml:space="preserve">Vitis vinifera subsp vinifera cv. White Prince</t>
  </si>
  <si>
    <t xml:space="preserve">Vitis vinifera subsp vinifera cv. Wildbacher blau</t>
  </si>
  <si>
    <t xml:space="preserve">Vitis vinifera subsp vinifera cv. Xarello</t>
  </si>
  <si>
    <t xml:space="preserve">Vitis vinifera subsp vinifera cv. Xarello vermell</t>
  </si>
  <si>
    <t xml:space="preserve">Vitis vinifera subsp vinifera cv. Xynomavro</t>
  </si>
  <si>
    <t xml:space="preserve">Vitis vinifera subsp vinifera cv. Yaghasti</t>
  </si>
  <si>
    <t xml:space="preserve">Vitis vinifera subsp vinifera cv. Yaï isioum rosovy</t>
  </si>
  <si>
    <t xml:space="preserve">Vitis vinifera subsp vinifera cv. Yapindjac</t>
  </si>
  <si>
    <t xml:space="preserve">Vitis vinifera subsp vinifera cv. Yekroa</t>
  </si>
  <si>
    <t xml:space="preserve">Vitis vinifera subsp vinifera cv. Ygia</t>
  </si>
  <si>
    <t xml:space="preserve">Vitis vinifera subsp vinifera cv. Yhsouh ali</t>
  </si>
  <si>
    <t xml:space="preserve">Vitis vinifera subsp vinifera cv. Zadarka bijela</t>
  </si>
  <si>
    <t xml:space="preserve">Vitis vinifera subsp vinifera cv. Zagtaïr</t>
  </si>
  <si>
    <t xml:space="preserve">Vitis vinifera subsp vinifera cv. Zalema</t>
  </si>
  <si>
    <t xml:space="preserve">Vitis vinifera subsp vinifera cv. Zalovitico</t>
  </si>
  <si>
    <t xml:space="preserve">Vitis vinifera subsp vinifera cv. Zampara</t>
  </si>
  <si>
    <t xml:space="preserve">Vitis vinifera subsp vinifera cv. Zeini</t>
  </si>
  <si>
    <t xml:space="preserve">Vitis vinifera subsp vinifera cv. Zeini abiad</t>
  </si>
  <si>
    <t xml:space="preserve">Vitis vinifera subsp vinifera cv. Zeini baladi</t>
  </si>
  <si>
    <t xml:space="preserve">Vitis vinifera subsp vinifera cv. Zeini rouge</t>
  </si>
  <si>
    <t xml:space="preserve">Vitis vinifera subsp vinifera cv. Zghihara de Husi</t>
  </si>
  <si>
    <t xml:space="preserve">Vitis vinifera subsp vinifera cv. Zierfandler rot</t>
  </si>
  <si>
    <t xml:space="preserve">Vitis vinifera subsp vinifera cv. Zilavka</t>
  </si>
  <si>
    <t xml:space="preserve">Vitis vinifera subsp vinifera cv. Zimsko belo</t>
  </si>
  <si>
    <t xml:space="preserve">Vitis vinifera subsp vinifera cv. Zizine</t>
  </si>
  <si>
    <t xml:space="preserve">Vitis vinifera subsp vinifera cv. Zlatarica bijela</t>
  </si>
  <si>
    <t xml:space="preserve">Vitis vinifera subsp vinifera cv. Zöldfürtü</t>
  </si>
  <si>
    <t xml:space="preserve">Vitis vinifera subsp vinifera cv. Zrinyi Ilona</t>
  </si>
  <si>
    <t xml:space="preserve">Vitis vinifera subsp vinifera cv. Zsitvai dinka</t>
  </si>
  <si>
    <t xml:space="preserve">Vitis vinifera subsp vinifera cv. Zweigelt blau</t>
  </si>
  <si>
    <t xml:space="preserve">Vitis vinifera subsp vinifera L.</t>
  </si>
  <si>
    <t xml:space="preserve">Vitis wenchowensis C.Ling</t>
  </si>
  <si>
    <t xml:space="preserve">Vitis x interspécifique</t>
  </si>
  <si>
    <t xml:space="preserve">Vitis x interspécifique cv. Aladin</t>
  </si>
  <si>
    <t xml:space="preserve">Vitis x interspécifique cv. Albenc = Galibert 36-1</t>
  </si>
  <si>
    <t xml:space="preserve">Vitis x interspécifique cv. Albignac = Galibert 12-1</t>
  </si>
  <si>
    <t xml:space="preserve">Vitis x interspécifique cv. Albignan</t>
  </si>
  <si>
    <t xml:space="preserve">Vitis x interspécifique cv. Alicante Ganzin</t>
  </si>
  <si>
    <t xml:space="preserve">Vitis x interspécifique cv. Alicante Terras 20</t>
  </si>
  <si>
    <t xml:space="preserve">Vitis x interspécifique cv. Amandin</t>
  </si>
  <si>
    <t xml:space="preserve">Vitis x interspécifique cv. Ambror = Seibel 10173</t>
  </si>
  <si>
    <t xml:space="preserve">Vitis x interspécifique cv. Aramond du Gard = Seibel 2007</t>
  </si>
  <si>
    <t xml:space="preserve">Vitis x interspécifique cv. Aramon-Rupestris Ganzin 1</t>
  </si>
  <si>
    <t xml:space="preserve">Vitis x interspécifique cv. Aramon-Rupestris Ganzin 2</t>
  </si>
  <si>
    <t xml:space="preserve">Vitis x interspécifique cv. Aramon-Rupestris Ganzin 9</t>
  </si>
  <si>
    <t xml:space="preserve">Vitis x interspécifique cv. Arboras = Galibert 22-5</t>
  </si>
  <si>
    <t xml:space="preserve">Vitis x interspécifique cv. Arnaud Fabre 3</t>
  </si>
  <si>
    <t xml:space="preserve">Vitis x interspécifique cv. Arnold 3401</t>
  </si>
  <si>
    <t xml:space="preserve">Vitis x interspécifique cv. Aspignan noir n° 1 = Galibert 239-35</t>
  </si>
  <si>
    <t xml:space="preserve">Vitis x interspécifique cv. Aspignan noir n°2 = Galibert 239-36</t>
  </si>
  <si>
    <t xml:space="preserve">Vitis x interspécifique cv. Aspignan n°1 = Galibert 239-34</t>
  </si>
  <si>
    <t xml:space="preserve">Vitis x interspécifique cv. Aurore = Seibel 5279</t>
  </si>
  <si>
    <t xml:space="preserve">Vitis x interspécifique cv. B Maclet</t>
  </si>
  <si>
    <t xml:space="preserve">Vitis x interspécifique cv. Baco blanc = Baco 22 A</t>
  </si>
  <si>
    <t xml:space="preserve">Vitis x interspécifique cv. Baco Noir = Baco 1</t>
  </si>
  <si>
    <t xml:space="preserve">Vitis x interspécifique cv. Baco 23 A</t>
  </si>
  <si>
    <t xml:space="preserve">Vitis x interspécifique cv. Baco 9-11</t>
  </si>
  <si>
    <t xml:space="preserve">Vitis x interspécifique cv. Beaujolais x 23657 S.V. n°1</t>
  </si>
  <si>
    <t xml:space="preserve">Vitis x interspécifique cv. Beaujolais x 23657 S.V. n°10</t>
  </si>
  <si>
    <t xml:space="preserve">Vitis x interspécifique cv. Beaujolais x 23657 S.V. n°11</t>
  </si>
  <si>
    <t xml:space="preserve">Vitis x interspécifique cv. Beaujolais x 23657 S.V. n°12</t>
  </si>
  <si>
    <t xml:space="preserve">Vitis x interspécifique cv. Beaujolais x 23657 S.V. n°13</t>
  </si>
  <si>
    <t xml:space="preserve">Vitis x interspécifique cv. Beaujolais x 23657 S.V. n°14</t>
  </si>
  <si>
    <t xml:space="preserve">Vitis x interspécifique cv. Beaujolais x 23657 S.V. n°15</t>
  </si>
  <si>
    <t xml:space="preserve">Vitis x interspécifique cv. Beaujolais x 23657 S.V. n°16</t>
  </si>
  <si>
    <t xml:space="preserve">Vitis x interspécifique cv. Beaujolais x 23657 S.V. n°17</t>
  </si>
  <si>
    <t xml:space="preserve">Vitis x interspécifique cv. Beaujolais x 23657 S.V. n°18</t>
  </si>
  <si>
    <t xml:space="preserve">Vitis x interspécifique cv. Beaujolais x 23657 S.V. n°2</t>
  </si>
  <si>
    <t xml:space="preserve">Vitis x interspécifique cv. Beaujolais x 23657 S.V. n°3</t>
  </si>
  <si>
    <t xml:space="preserve">Vitis x interspécifique cv. Beaujolais x 23657 S.V. n°4</t>
  </si>
  <si>
    <t xml:space="preserve">Vitis x interspécifique cv. Beaujolais x 23657 S.V. n°5</t>
  </si>
  <si>
    <t xml:space="preserve">Vitis x interspécifique cv. Beaujolais x 23657 S.V. n°6</t>
  </si>
  <si>
    <t xml:space="preserve">Vitis x interspécifique cv. Beaujolais x 23657 S.V. n°7</t>
  </si>
  <si>
    <t xml:space="preserve">Vitis x interspécifique cv. Beaujolais x 23657 S.V. n°8</t>
  </si>
  <si>
    <t xml:space="preserve">Vitis x interspécifique cv. Beaujolais x 23657 S.V. n°9</t>
  </si>
  <si>
    <t xml:space="preserve">Vitis x interspécifique cv. Bel Castel = Castel 13706</t>
  </si>
  <si>
    <t xml:space="preserve">Vitis x interspécifique cv. Bellandais = Seibel 14596</t>
  </si>
  <si>
    <t xml:space="preserve">Vitis x interspécifique cv. Bénédiction de Pecs</t>
  </si>
  <si>
    <t xml:space="preserve">Vitis x interspécifique cv. berlandieri x ?</t>
  </si>
  <si>
    <t xml:space="preserve">Vitis x interspécifique cv. Berlandieri-Colombard 1 A</t>
  </si>
  <si>
    <t xml:space="preserve">Vitis x interspécifique cv. Berlandieri-Colombard 1 B</t>
  </si>
  <si>
    <t xml:space="preserve">Vitis x interspécifique cv. Berlandieri-Colombard 2 = BC 2</t>
  </si>
  <si>
    <t xml:space="preserve">Vitis x interspécifique cv. Berlandieri-Colombard 3</t>
  </si>
  <si>
    <t xml:space="preserve">Vitis x interspécifique cv. Bertille Seyve 1125</t>
  </si>
  <si>
    <t xml:space="preserve">Vitis x interspécifique cv. Bertille Seyve 1127</t>
  </si>
  <si>
    <t xml:space="preserve">Vitis x interspécifique cv. Bertille Seyve 1129</t>
  </si>
  <si>
    <t xml:space="preserve">Vitis x interspécifique cv. Bertille Seyve 1134</t>
  </si>
  <si>
    <t xml:space="preserve">Vitis x interspécifique cv. Bertille Seyve 1353</t>
  </si>
  <si>
    <t xml:space="preserve">Vitis x interspécifique cv. Bertille Seyve 1372</t>
  </si>
  <si>
    <t xml:space="preserve">Vitis x interspécifique cv. Bertille Seyve 1516</t>
  </si>
  <si>
    <t xml:space="preserve">Vitis x interspécifique cv. Bertille Seyve 1522</t>
  </si>
  <si>
    <t xml:space="preserve">Vitis x interspécifique cv. Bertille Seyve 1523</t>
  </si>
  <si>
    <t xml:space="preserve">Vitis x interspécifique cv. Bertille Seyve 1630 faux</t>
  </si>
  <si>
    <t xml:space="preserve">Vitis x interspécifique cv. Bertille Seyve 1808</t>
  </si>
  <si>
    <t xml:space="preserve">Vitis x interspécifique cv. Bertille Seyve 1838</t>
  </si>
  <si>
    <t xml:space="preserve">Vitis x interspécifique cv. Bertille Seyve 2048</t>
  </si>
  <si>
    <t xml:space="preserve">Vitis x interspécifique cv. Bertille Seyve 2049</t>
  </si>
  <si>
    <t xml:space="preserve">Vitis x interspécifique cv. Bertille Seyve 2050</t>
  </si>
  <si>
    <t xml:space="preserve">Vitis x interspécifique cv. Bertille Seyve 2117</t>
  </si>
  <si>
    <t xml:space="preserve">Vitis x interspécifique cv. Bertille Seyve 2179</t>
  </si>
  <si>
    <t xml:space="preserve">Vitis x interspécifique cv. Bertille Seyve 2240</t>
  </si>
  <si>
    <t xml:space="preserve">Vitis x interspécifique cv. Bertille Seyve 2381</t>
  </si>
  <si>
    <t xml:space="preserve">Vitis x interspécifique cv. Bertille Seyve 2400</t>
  </si>
  <si>
    <t xml:space="preserve">Vitis x interspécifique cv. Bertille Seyve 2409</t>
  </si>
  <si>
    <t xml:space="preserve">Vitis x interspécifique cv. Bertille Seyve 2475</t>
  </si>
  <si>
    <t xml:space="preserve">Vitis x interspécifique cv. Bertille Seyve 2491</t>
  </si>
  <si>
    <t xml:space="preserve">Vitis x interspécifique cv. Bertille Seyve 2499</t>
  </si>
  <si>
    <t xml:space="preserve">Vitis x interspécifique cv. Bertille Seyve 2502</t>
  </si>
  <si>
    <t xml:space="preserve">Vitis x interspécifique cv. Bertille Seyve 2508</t>
  </si>
  <si>
    <t xml:space="preserve">Vitis x interspécifique cv. Bertille Seyve 2533</t>
  </si>
  <si>
    <t xml:space="preserve">Vitis x interspécifique cv. Bertille Seyve 2578</t>
  </si>
  <si>
    <t xml:space="preserve">Vitis x interspécifique cv. Bertille Seyve 2603</t>
  </si>
  <si>
    <t xml:space="preserve">Vitis x interspécifique cv. Bertille Seyve 2758</t>
  </si>
  <si>
    <t xml:space="preserve">Vitis x interspécifique cv. Bertille Seyve 2760</t>
  </si>
  <si>
    <t xml:space="preserve">Vitis x interspécifique cv. Bertille Seyve 2833</t>
  </si>
  <si>
    <t xml:space="preserve">Vitis x interspécifique cv. Bertille Seyve 2845</t>
  </si>
  <si>
    <t xml:space="preserve">Vitis x interspécifique cv. Bertille Seyve 2846</t>
  </si>
  <si>
    <t xml:space="preserve">Vitis x interspécifique cv. Bertille Seyve 3027</t>
  </si>
  <si>
    <t xml:space="preserve">Vitis x interspécifique cv. Bertille Seyve 3064</t>
  </si>
  <si>
    <t xml:space="preserve">Vitis x interspécifique cv. Bertille Seyve 3072</t>
  </si>
  <si>
    <t xml:space="preserve">Vitis x interspécifique cv. Bertille Seyve 3101</t>
  </si>
  <si>
    <t xml:space="preserve">Vitis x interspécifique cv. Bertille Seyve 3114</t>
  </si>
  <si>
    <t xml:space="preserve">Vitis x interspécifique cv. Bertille Seyve 3118</t>
  </si>
  <si>
    <t xml:space="preserve">Vitis x interspécifique cv. Bertille Seyve 3144</t>
  </si>
  <si>
    <t xml:space="preserve">Vitis x interspécifique cv. Bertille Seyve 3246</t>
  </si>
  <si>
    <t xml:space="preserve">Vitis x interspécifique cv. Bertille Seyve 3310</t>
  </si>
  <si>
    <t xml:space="preserve">Vitis x interspécifique cv. Bertille Seyve 3408</t>
  </si>
  <si>
    <t xml:space="preserve">Vitis x interspécifique cv. Bertille Seyve 3411</t>
  </si>
  <si>
    <t xml:space="preserve">Vitis x interspécifique cv. Bertille Seyve 3434</t>
  </si>
  <si>
    <t xml:space="preserve">Vitis x interspécifique cv. Bertille Seyve 3585</t>
  </si>
  <si>
    <t xml:space="preserve">Vitis x interspécifique cv. Bertille Seyve 3600</t>
  </si>
  <si>
    <t xml:space="preserve">Vitis x interspécifique cv. Bertille Seyve 4127</t>
  </si>
  <si>
    <t xml:space="preserve">Vitis x interspécifique cv. Bertille Seyve 413</t>
  </si>
  <si>
    <t xml:space="preserve">Vitis x interspécifique cv. Bertille Seyve 4176</t>
  </si>
  <si>
    <t xml:space="preserve">Vitis x interspécifique cv. Bertille Seyve 4201</t>
  </si>
  <si>
    <t xml:space="preserve">Vitis x interspécifique cv. Bertille Seyve 433</t>
  </si>
  <si>
    <t xml:space="preserve">Vitis x interspécifique cv. Bertille Seyve 450</t>
  </si>
  <si>
    <t xml:space="preserve">Vitis x interspécifique cv. Bertille Seyve 453</t>
  </si>
  <si>
    <t xml:space="preserve">Vitis x interspécifique cv. Bertille Seyve 460</t>
  </si>
  <si>
    <t xml:space="preserve">Vitis x interspécifique cv. Bertille Seyve 4825</t>
  </si>
  <si>
    <t xml:space="preserve">Vitis x interspécifique cv. Bertille Seyve 618</t>
  </si>
  <si>
    <t xml:space="preserve">Vitis x interspécifique cv. Bertille Seyve 6264</t>
  </si>
  <si>
    <t xml:space="preserve">Vitis x interspécifique cv. Bertille Seyve 6283</t>
  </si>
  <si>
    <t xml:space="preserve">Vitis x interspécifique cv. Bertille Seyve 822</t>
  </si>
  <si>
    <t xml:space="preserve">Vitis x interspécifique cv. Bertille Seyve 872</t>
  </si>
  <si>
    <t xml:space="preserve">Vitis x interspécifique cv. Bertille Seyve 893</t>
  </si>
  <si>
    <t xml:space="preserve">Vitis x interspécifique cv. Beta grape de Chaunac = Beta</t>
  </si>
  <si>
    <t xml:space="preserve">Vitis x interspécifique cv. Beyer 2</t>
  </si>
  <si>
    <t xml:space="preserve">Vitis x interspécifique cv. Black Queen</t>
  </si>
  <si>
    <t xml:space="preserve">Vitis x interspécifique cv. Blanche musquée = Galibert 256-73</t>
  </si>
  <si>
    <t xml:space="preserve">Vitis x interspécifique cv. Bogni 15</t>
  </si>
  <si>
    <t xml:space="preserve">Vitis x interspécifique cv. Bon Laurent = Kühlmann 267-1</t>
  </si>
  <si>
    <t xml:space="preserve">Vitis x interspécifique cv. Bon noir = Kühlmann 278-2</t>
  </si>
  <si>
    <t xml:space="preserve">Vitis x interspécifique cv. Bouchalès x 18315 S.V. n°30</t>
  </si>
  <si>
    <t xml:space="preserve">Vitis x interspécifique cv. Boujannoir = Galibert 6-1</t>
  </si>
  <si>
    <t xml:space="preserve">Vitis x interspécifique cv. Breider 19975</t>
  </si>
  <si>
    <t xml:space="preserve">Vitis x interspécifique cv. Brémont</t>
  </si>
  <si>
    <t xml:space="preserve">Vitis x interspécifique cv. Bronner = FR 250-75</t>
  </si>
  <si>
    <t xml:space="preserve">Vitis x interspécifique cv. Bronx seedless</t>
  </si>
  <si>
    <t xml:space="preserve">Vitis x interspécifique cv. Burdin 10010</t>
  </si>
  <si>
    <t xml:space="preserve">Vitis x interspécifique cv. Burdin 1582</t>
  </si>
  <si>
    <t xml:space="preserve">Vitis x interspécifique cv. Burdin 1585</t>
  </si>
  <si>
    <t xml:space="preserve">Vitis x interspécifique cv. Burdin 1605</t>
  </si>
  <si>
    <t xml:space="preserve">Vitis x interspécifique cv. Burdin 4077</t>
  </si>
  <si>
    <t xml:space="preserve">Vitis x interspécifique cv. Burdin 4502</t>
  </si>
  <si>
    <t xml:space="preserve">Vitis x interspécifique cv. Burdin 4503</t>
  </si>
  <si>
    <t xml:space="preserve">Vitis x interspécifique cv. Burdin 4560</t>
  </si>
  <si>
    <t xml:space="preserve">Vitis x interspécifique cv. Burdin 4582</t>
  </si>
  <si>
    <t xml:space="preserve">Vitis x interspécifique cv. Burdin 4601</t>
  </si>
  <si>
    <t xml:space="preserve">Vitis x interspécifique cv. Burdin 4650</t>
  </si>
  <si>
    <t xml:space="preserve">Vitis x interspécifique cv. Burdin 4655</t>
  </si>
  <si>
    <t xml:space="preserve">Vitis x interspécifique cv. Burdin 4672</t>
  </si>
  <si>
    <t xml:space="preserve">Vitis x interspécifique cv. Burdin 4687</t>
  </si>
  <si>
    <t xml:space="preserve">Vitis x interspécifique cv. Burdin 4695</t>
  </si>
  <si>
    <t xml:space="preserve">Vitis x interspécifique cv. Burdin 4716</t>
  </si>
  <si>
    <t xml:space="preserve">Vitis x interspécifique cv. Burdin 4795</t>
  </si>
  <si>
    <t xml:space="preserve">Vitis x interspécifique cv. Burdin 4855</t>
  </si>
  <si>
    <t xml:space="preserve">Vitis x interspécifique cv. Burdin 5201</t>
  </si>
  <si>
    <t xml:space="preserve">Vitis x interspécifique cv. Burdin 5400</t>
  </si>
  <si>
    <t xml:space="preserve">Vitis x interspécifique cv. Burdin 5406</t>
  </si>
  <si>
    <t xml:space="preserve">Vitis x interspécifique cv. Burdin 5440</t>
  </si>
  <si>
    <t xml:space="preserve">Vitis x interspécifique cv. Burdin 5535</t>
  </si>
  <si>
    <t xml:space="preserve">Vitis x interspécifique cv. Burdin 5539</t>
  </si>
  <si>
    <t xml:space="preserve">Vitis x interspécifique cv. Burdin 5540</t>
  </si>
  <si>
    <t xml:space="preserve">Vitis x interspécifique cv. Burdin 5580</t>
  </si>
  <si>
    <t xml:space="preserve">Vitis x interspécifique cv. Burdin 5581</t>
  </si>
  <si>
    <t xml:space="preserve">Vitis x interspécifique cv. Burdin 5620</t>
  </si>
  <si>
    <t xml:space="preserve">Vitis x interspécifique cv. Burdin 5833</t>
  </si>
  <si>
    <t xml:space="preserve">Vitis x interspécifique cv. Burdin 5894</t>
  </si>
  <si>
    <t xml:space="preserve">Vitis x interspécifique cv. Burdin 5957</t>
  </si>
  <si>
    <t xml:space="preserve">Vitis x interspécifique cv. Burdin 5960</t>
  </si>
  <si>
    <t xml:space="preserve">Vitis x interspécifique cv. Burdin 5963</t>
  </si>
  <si>
    <t xml:space="preserve">Vitis x interspécifique cv. Burdin 5984</t>
  </si>
  <si>
    <t xml:space="preserve">Vitis x interspécifique cv. Burdin 6004</t>
  </si>
  <si>
    <t xml:space="preserve">Vitis x interspécifique cv. Burdin 6055</t>
  </si>
  <si>
    <t xml:space="preserve">Vitis x interspécifique cv. Burdin 6154</t>
  </si>
  <si>
    <t xml:space="preserve">Vitis x interspécifique cv. Burdin 6189</t>
  </si>
  <si>
    <t xml:space="preserve">Vitis x interspécifique cv. Burdin 6205</t>
  </si>
  <si>
    <t xml:space="preserve">Vitis x interspécifique cv. Burdin 6316</t>
  </si>
  <si>
    <t xml:space="preserve">Vitis x interspécifique cv. Burdin 6422</t>
  </si>
  <si>
    <t xml:space="preserve">Vitis x interspécifique cv. Burdin 6541</t>
  </si>
  <si>
    <t xml:space="preserve">Vitis x interspécifique cv. Burdin 6621</t>
  </si>
  <si>
    <t xml:space="preserve">Vitis x interspécifique cv. Burdin 7037</t>
  </si>
  <si>
    <t xml:space="preserve">Vitis x interspécifique cv. Burdin 7044</t>
  </si>
  <si>
    <t xml:space="preserve">Vitis x interspécifique cv. Burdin 7061</t>
  </si>
  <si>
    <t xml:space="preserve">Vitis x interspécifique cv. Burdin 7187</t>
  </si>
  <si>
    <t xml:space="preserve">Vitis x interspécifique cv. Burdin 7194</t>
  </si>
  <si>
    <t xml:space="preserve">Vitis x interspécifique cv. Burdin 7200</t>
  </si>
  <si>
    <t xml:space="preserve">Vitis x interspécifique cv. Burdin 7206</t>
  </si>
  <si>
    <t xml:space="preserve">Vitis x interspécifique cv. Burdin 7215</t>
  </si>
  <si>
    <t xml:space="preserve">Vitis x interspécifique cv. Burdin 7216</t>
  </si>
  <si>
    <t xml:space="preserve">Vitis x interspécifique cv. Burdin 7334</t>
  </si>
  <si>
    <t xml:space="preserve">Vitis x interspécifique cv. Burdin 7352</t>
  </si>
  <si>
    <t xml:space="preserve">Vitis x interspécifique cv. Burdin 7353</t>
  </si>
  <si>
    <t xml:space="preserve">Vitis x interspécifique cv. Burdin 7357</t>
  </si>
  <si>
    <t xml:space="preserve">Vitis x interspécifique cv. Burdin 7358</t>
  </si>
  <si>
    <t xml:space="preserve">Vitis x interspécifique cv. Burdin 7360</t>
  </si>
  <si>
    <t xml:space="preserve">Vitis x interspécifique cv. Burdin 7365</t>
  </si>
  <si>
    <t xml:space="preserve">Vitis x interspécifique cv. Burdin 7368</t>
  </si>
  <si>
    <t xml:space="preserve">Vitis x interspécifique cv. Burdin 7369</t>
  </si>
  <si>
    <t xml:space="preserve">Vitis x interspécifique cv. Burdin 7371</t>
  </si>
  <si>
    <t xml:space="preserve">Vitis x interspécifique cv. Burdin 7374</t>
  </si>
  <si>
    <t xml:space="preserve">Vitis x interspécifique cv. Burdin 7375</t>
  </si>
  <si>
    <t xml:space="preserve">Vitis x interspécifique cv. Burdin 7380</t>
  </si>
  <si>
    <t xml:space="preserve">Vitis x interspécifique cv. Burdin 7405</t>
  </si>
  <si>
    <t xml:space="preserve">Vitis x interspécifique cv. Burdin 7468</t>
  </si>
  <si>
    <t xml:space="preserve">Vitis x interspécifique cv. Burdin 7510</t>
  </si>
  <si>
    <t xml:space="preserve">Vitis x interspécifique cv. Burdin 7515</t>
  </si>
  <si>
    <t xml:space="preserve">Vitis x interspécifique cv. Burdin 7582</t>
  </si>
  <si>
    <t xml:space="preserve">Vitis x interspécifique cv. Burdin 7595</t>
  </si>
  <si>
    <t xml:space="preserve">Vitis x interspécifique cv. Burdin 7618</t>
  </si>
  <si>
    <t xml:space="preserve">Vitis x interspécifique cv. Burdin 7638</t>
  </si>
  <si>
    <t xml:space="preserve">Vitis x interspécifique cv. Burdin 7648</t>
  </si>
  <si>
    <t xml:space="preserve">Vitis x interspécifique cv. Burdin 7696</t>
  </si>
  <si>
    <t xml:space="preserve">Vitis x interspécifique cv. Burdin 8649</t>
  </si>
  <si>
    <t xml:space="preserve">Vitis x interspécifique cv. Burdin 8796</t>
  </si>
  <si>
    <t xml:space="preserve">Vitis x interspécifique cv. Burdin 8811</t>
  </si>
  <si>
    <t xml:space="preserve">Vitis x interspécifique cv. Burdin 9010</t>
  </si>
  <si>
    <t xml:space="preserve">Vitis x interspécifique cv. C 26 Maclet</t>
  </si>
  <si>
    <t xml:space="preserve">Vitis x interspécifique cv. C 49 Maclet</t>
  </si>
  <si>
    <t xml:space="preserve">Vitis x interspécifique cv. C 69 Maclet</t>
  </si>
  <si>
    <t xml:space="preserve">Vitis x interspécifique cv. C 86 Maclet</t>
  </si>
  <si>
    <t xml:space="preserve">Vitis x interspécifique cv. C 98 Maclet</t>
  </si>
  <si>
    <t xml:space="preserve">Vitis x interspécifique cv. Cadamon 1</t>
  </si>
  <si>
    <t xml:space="preserve">Vitis x interspécifique cv. Cadamon 1 = Galibert 133-6</t>
  </si>
  <si>
    <t xml:space="preserve">Vitis x interspécifique cv. Cadamon 2 = Galibert 201-5</t>
  </si>
  <si>
    <t xml:space="preserve">Vitis x interspécifique cv. Cadillon doré = Galibert 261-13</t>
  </si>
  <si>
    <t xml:space="preserve">Vitis x interspécifique cv. Cadillon tardif = Galibert 261-12</t>
  </si>
  <si>
    <t xml:space="preserve">Vitis x interspécifique cv. Cadougnan blanc = Galibert 217-36</t>
  </si>
  <si>
    <t xml:space="preserve">Vitis x interspécifique cv. Cadougnan noir n° 2 = Galibert 217-33</t>
  </si>
  <si>
    <t xml:space="preserve">Vitis x interspécifique cv. Cadoulas n°1 = Galibert 207-86</t>
  </si>
  <si>
    <t xml:space="preserve">Vitis x interspécifique cv. Cadoulas n°2 = Galibert 114-14</t>
  </si>
  <si>
    <t xml:space="preserve">Vitis x interspécifique cv. Cadoulenc n°3 = Galibert 239-92</t>
  </si>
  <si>
    <t xml:space="preserve">Vitis x interspécifique cv. Cadoulenc 2</t>
  </si>
  <si>
    <t xml:space="preserve">Vitis x interspécifique cv. Caille 16</t>
  </si>
  <si>
    <t xml:space="preserve">Vitis x interspécifique cv. Caille 78</t>
  </si>
  <si>
    <t xml:space="preserve">Vitis x interspécifique cv. Calignon 2</t>
  </si>
  <si>
    <t xml:space="preserve">Vitis x interspécifique cv. Camirane blanche = Fourquier 16-45</t>
  </si>
  <si>
    <t xml:space="preserve">Vitis x interspécifique cv. Camirane rose = Fourquier 5-45</t>
  </si>
  <si>
    <t xml:space="preserve">Vitis x interspécifique cv. Candin</t>
  </si>
  <si>
    <t xml:space="preserve">Vitis x interspécifique cv. Carubis = Galibert 21-1</t>
  </si>
  <si>
    <t xml:space="preserve">Vitis x interspécifique cv. Cassady</t>
  </si>
  <si>
    <t xml:space="preserve">Vitis x interspécifique cv. Castel 120</t>
  </si>
  <si>
    <t xml:space="preserve">Vitis x interspécifique cv. Castel 121</t>
  </si>
  <si>
    <t xml:space="preserve">Vitis x interspécifique cv. Castel 12412</t>
  </si>
  <si>
    <t xml:space="preserve">Vitis x interspécifique cv. Castel 12827</t>
  </si>
  <si>
    <t xml:space="preserve">Vitis x interspécifique cv. Castel 12916</t>
  </si>
  <si>
    <t xml:space="preserve">Vitis x interspécifique cv. Castel 18311</t>
  </si>
  <si>
    <t xml:space="preserve">Vitis x interspécifique cv. Castel 1832</t>
  </si>
  <si>
    <t xml:space="preserve">Vitis x interspécifique cv. Castel 188-04</t>
  </si>
  <si>
    <t xml:space="preserve">Vitis x interspécifique cv. Castel 188-08</t>
  </si>
  <si>
    <t xml:space="preserve">Vitis x interspécifique cv. Castel 188-15</t>
  </si>
  <si>
    <t xml:space="preserve">Vitis x interspécifique cv. Castel 19637</t>
  </si>
  <si>
    <t xml:space="preserve">Vitis x interspécifique cv. Castel 20029</t>
  </si>
  <si>
    <t xml:space="preserve">Vitis x interspécifique cv. Castel 20031</t>
  </si>
  <si>
    <t xml:space="preserve">Vitis x interspécifique cv. Castel 20035</t>
  </si>
  <si>
    <t xml:space="preserve">Vitis x interspécifique cv. Castel 20410</t>
  </si>
  <si>
    <t xml:space="preserve">Vitis x interspécifique cv. Castel 20415</t>
  </si>
  <si>
    <t xml:space="preserve">Vitis x interspécifique cv. Castel 20418</t>
  </si>
  <si>
    <t xml:space="preserve">Vitis x interspécifique cv. Castel 215-1</t>
  </si>
  <si>
    <t xml:space="preserve">Vitis x interspécifique cv. Castel 227-1</t>
  </si>
  <si>
    <t xml:space="preserve">Vitis x interspécifique cv. Castel 3431</t>
  </si>
  <si>
    <t xml:space="preserve">Vitis x interspécifique cv. Castel 4337</t>
  </si>
  <si>
    <t xml:space="preserve">Vitis x interspécifique cv. Castel 4515</t>
  </si>
  <si>
    <t xml:space="preserve">Vitis x interspécifique cv. Castel 4639</t>
  </si>
  <si>
    <t xml:space="preserve">Vitis x interspécifique cv. Castel 6011</t>
  </si>
  <si>
    <t xml:space="preserve">Vitis x interspécifique cv. Castel 6021</t>
  </si>
  <si>
    <t xml:space="preserve">Vitis x interspécifique cv. Castel 6831</t>
  </si>
  <si>
    <t xml:space="preserve">Vitis x interspécifique cv. Castel 7229</t>
  </si>
  <si>
    <t xml:space="preserve">Vitis x interspécifique cv. Castel 7501</t>
  </si>
  <si>
    <t xml:space="preserve">Vitis x interspécifique cv. Castel 7605</t>
  </si>
  <si>
    <t xml:space="preserve">Vitis x interspécifique cv. Chambaudière 113</t>
  </si>
  <si>
    <t xml:space="preserve">Vitis x interspécifique cv. Chambaudière 1330</t>
  </si>
  <si>
    <t xml:space="preserve">Vitis x interspécifique cv. Chambaudière 1336</t>
  </si>
  <si>
    <t xml:space="preserve">Vitis x interspécifique cv. Chambaudière 1337</t>
  </si>
  <si>
    <t xml:space="preserve">Vitis x interspécifique cv. Chambaudière 1349</t>
  </si>
  <si>
    <t xml:space="preserve">Vitis x interspécifique cv. Chambaudière 1375</t>
  </si>
  <si>
    <t xml:space="preserve">Vitis x interspécifique cv. Chambaudière 1391</t>
  </si>
  <si>
    <t xml:space="preserve">Vitis x interspécifique cv. Chambaudière 426</t>
  </si>
  <si>
    <t xml:space="preserve">Vitis x interspécifique cv. Chambaudière 442</t>
  </si>
  <si>
    <t xml:space="preserve">Vitis x interspécifique cv. Chambaudière 540</t>
  </si>
  <si>
    <t xml:space="preserve">Vitis x interspécifique cv. Chambourcin = Joannès Seyve 26205</t>
  </si>
  <si>
    <t xml:space="preserve">Vitis x interspécifique cv. Chancellor = Seibel 7053</t>
  </si>
  <si>
    <t xml:space="preserve">Vitis x interspécifique cv. Chasselas Baco = Baco 7 A</t>
  </si>
  <si>
    <t xml:space="preserve">Vitis x interspécifique cv. Chazalon</t>
  </si>
  <si>
    <t xml:space="preserve">Vitis x interspécifique cv. Chelois = Seibel 10878</t>
  </si>
  <si>
    <t xml:space="preserve">Vitis x interspécifique cv. Chenivesse</t>
  </si>
  <si>
    <t xml:space="preserve">Vitis x interspécifique cv. Chevalier 3401</t>
  </si>
  <si>
    <t xml:space="preserve">Vitis x interspécifique cv. Chevalier 4002</t>
  </si>
  <si>
    <t xml:space="preserve">Vitis x interspécifique cv. cinerea x davidii</t>
  </si>
  <si>
    <t xml:space="preserve">Vitis x interspécifique cv. Claire Kühlmann = Kühlmann 477-1</t>
  </si>
  <si>
    <t xml:space="preserve">Vitis x interspécifique cv. Clairette dorée Ganzin</t>
  </si>
  <si>
    <t xml:space="preserve">Vitis x interspécifique cv. Clairette résistante</t>
  </si>
  <si>
    <t xml:space="preserve">Vitis x interspécifique cv. Clinton = Kilianstraube</t>
  </si>
  <si>
    <t xml:space="preserve">Vitis x interspécifique cv. Colobel = Seibel 8357</t>
  </si>
  <si>
    <t xml:space="preserve">Vitis x interspécifique cv. coriacea x cinerea</t>
  </si>
  <si>
    <t xml:space="preserve">Vitis x interspécifique cv. Cosmo 10</t>
  </si>
  <si>
    <t xml:space="preserve">Vitis x interspécifique cv. Cosmo 2</t>
  </si>
  <si>
    <t xml:space="preserve">Vitis x interspécifique cv. Couderc noir = Couderc 7120</t>
  </si>
  <si>
    <t xml:space="preserve">Vitis x interspécifique cv. Couderc 1</t>
  </si>
  <si>
    <t xml:space="preserve">Vitis x interspécifique cv. Couderc 10</t>
  </si>
  <si>
    <t xml:space="preserve">Vitis x interspécifique cv. Couderc 101</t>
  </si>
  <si>
    <t xml:space="preserve">Vitis x interspécifique cv. Couderc 102-5 ter</t>
  </si>
  <si>
    <t xml:space="preserve">Vitis x interspécifique cv. Couderc 106-46</t>
  </si>
  <si>
    <t xml:space="preserve">Vitis x interspécifique cv. Couderc 106-51</t>
  </si>
  <si>
    <t xml:space="preserve">Vitis x interspécifique cv. Couderc 109-4</t>
  </si>
  <si>
    <t xml:space="preserve">Vitis x interspécifique cv. Couderc 11</t>
  </si>
  <si>
    <t xml:space="preserve">Vitis x interspécifique cv. Couderc 117-3</t>
  </si>
  <si>
    <t xml:space="preserve">Vitis x interspécifique cv. Couderc 117-4</t>
  </si>
  <si>
    <t xml:space="preserve">Vitis x interspécifique cv. Couderc 119</t>
  </si>
  <si>
    <t xml:space="preserve">Vitis x interspécifique cv. Couderc 12</t>
  </si>
  <si>
    <t xml:space="preserve">Vitis x interspécifique cv. Couderc 1202</t>
  </si>
  <si>
    <t xml:space="preserve">Vitis x interspécifique cv. Couderc 124-12</t>
  </si>
  <si>
    <t xml:space="preserve">Vitis x interspécifique cv. Couderc 126-8</t>
  </si>
  <si>
    <t xml:space="preserve">Vitis x interspécifique cv. Couderc 128-29 = N 6-53</t>
  </si>
  <si>
    <t xml:space="preserve">Vitis x interspécifique cv. Couderc 13</t>
  </si>
  <si>
    <t xml:space="preserve">Vitis x interspécifique cv. Couderc 1305</t>
  </si>
  <si>
    <t xml:space="preserve">Vitis x interspécifique cv. Couderc 13-11</t>
  </si>
  <si>
    <t xml:space="preserve">Vitis x interspécifique cv. Couderc 132</t>
  </si>
  <si>
    <t xml:space="preserve">Vitis x interspécifique cv. Couderc 13-205 ou 132-5</t>
  </si>
  <si>
    <t xml:space="preserve">Vitis x interspécifique cv. Couderc 136-4</t>
  </si>
  <si>
    <t xml:space="preserve">Vitis x interspécifique cv. Couderc 14</t>
  </si>
  <si>
    <t xml:space="preserve">Vitis x interspécifique cv. Couderc 1401</t>
  </si>
  <si>
    <t xml:space="preserve">Vitis x interspécifique cv. Couderc 146-51</t>
  </si>
  <si>
    <t xml:space="preserve">Vitis x interspécifique cv. Couderc 15</t>
  </si>
  <si>
    <t xml:space="preserve">Vitis x interspécifique cv. Couderc 157-11</t>
  </si>
  <si>
    <t xml:space="preserve">Vitis x interspécifique cv. Couderc 157-21</t>
  </si>
  <si>
    <t xml:space="preserve">Vitis x interspécifique cv. Couderc 16</t>
  </si>
  <si>
    <t xml:space="preserve">Vitis x interspécifique cv. Couderc 1613</t>
  </si>
  <si>
    <t xml:space="preserve">Vitis x interspécifique cv. Couderc 1615</t>
  </si>
  <si>
    <t xml:space="preserve">Vitis x interspécifique cv. Couderc 1616 (Colmar 1984)</t>
  </si>
  <si>
    <t xml:space="preserve">Vitis x interspécifique cv. Couderc 1616 Davy (pubescent)</t>
  </si>
  <si>
    <t xml:space="preserve">Vitis x interspécifique cv. Couderc 1616 E</t>
  </si>
  <si>
    <t xml:space="preserve">Vitis x interspécifique cv. Couderc 162</t>
  </si>
  <si>
    <t xml:space="preserve">Vitis x interspécifique cv. Couderc 162-46</t>
  </si>
  <si>
    <t xml:space="preserve">Vitis x interspécifique cv. Couderc 162-5</t>
  </si>
  <si>
    <t xml:space="preserve">Vitis x interspécifique cv. Couderc 162-97</t>
  </si>
  <si>
    <t xml:space="preserve">Vitis x interspécifique cv. Couderc 17</t>
  </si>
  <si>
    <t xml:space="preserve">Vitis x interspécifique cv. Couderc 175</t>
  </si>
  <si>
    <t xml:space="preserve">Vitis x interspécifique cv. Couderc 18</t>
  </si>
  <si>
    <t xml:space="preserve">Vitis x interspécifique cv. Couderc 19 = 299-35</t>
  </si>
  <si>
    <t xml:space="preserve">Vitis x interspécifique cv. Couderc 197-94</t>
  </si>
  <si>
    <t xml:space="preserve">Vitis x interspécifique cv. Couderc 198-21</t>
  </si>
  <si>
    <t xml:space="preserve">Vitis x interspécifique cv. Couderc 198-89</t>
  </si>
  <si>
    <t xml:space="preserve">Vitis x interspécifique cv. Couderc 199-88</t>
  </si>
  <si>
    <t xml:space="preserve">Vitis x interspécifique cv. Couderc 2</t>
  </si>
  <si>
    <t xml:space="preserve">Vitis x interspécifique cv. Couderc 20</t>
  </si>
  <si>
    <t xml:space="preserve">Vitis x interspécifique cv. Couderc 201</t>
  </si>
  <si>
    <t xml:space="preserve">Vitis x interspécifique cv. Couderc 202-137</t>
  </si>
  <si>
    <t xml:space="preserve">Vitis x interspécifique cv. Couderc 203-143</t>
  </si>
  <si>
    <t xml:space="preserve">Vitis x interspécifique cv. Couderc 21</t>
  </si>
  <si>
    <t xml:space="preserve">Vitis x interspécifique cv. Couderc 2-10 = 2 Baronne</t>
  </si>
  <si>
    <t xml:space="preserve">Vitis x interspécifique cv. Couderc 216-2</t>
  </si>
  <si>
    <t xml:space="preserve">Vitis x interspécifique cv. Couderc 22</t>
  </si>
  <si>
    <t xml:space="preserve">Vitis x interspécifique cv. Couderc 226-58</t>
  </si>
  <si>
    <t xml:space="preserve">Vitis x interspécifique cv. Couderc 23</t>
  </si>
  <si>
    <t xml:space="preserve">Vitis x interspécifique cv. Couderc 235-120</t>
  </si>
  <si>
    <t xml:space="preserve">Vitis x interspécifique cv. Couderc 24</t>
  </si>
  <si>
    <t xml:space="preserve">Vitis x interspécifique cv. Couderc 241-123</t>
  </si>
  <si>
    <t xml:space="preserve">Vitis x interspécifique cv. Couderc 241-125</t>
  </si>
  <si>
    <t xml:space="preserve">Vitis x interspécifique cv. Couderc 246-123</t>
  </si>
  <si>
    <t xml:space="preserve">Vitis x interspécifique cv. Couderc 25</t>
  </si>
  <si>
    <t xml:space="preserve">Vitis x interspécifique cv. Couderc 251-150</t>
  </si>
  <si>
    <t xml:space="preserve">Vitis x interspécifique cv. Couderc 251-50</t>
  </si>
  <si>
    <t xml:space="preserve">Vitis x interspécifique cv. Couderc 252-14</t>
  </si>
  <si>
    <t xml:space="preserve">Vitis x interspécifique cv. Couderc 252-15</t>
  </si>
  <si>
    <t xml:space="preserve">Vitis x interspécifique cv. Couderc 26</t>
  </si>
  <si>
    <t xml:space="preserve">Vitis x interspécifique cv. Couderc 261-50</t>
  </si>
  <si>
    <t xml:space="preserve">Vitis x interspécifique cv. Couderc 2627-11</t>
  </si>
  <si>
    <t xml:space="preserve">Vitis x interspécifique cv. Couderc 267-27</t>
  </si>
  <si>
    <t xml:space="preserve">Vitis x interspécifique cv. Couderc 272-60</t>
  </si>
  <si>
    <t xml:space="preserve">Vitis x interspécifique cv. Couderc 28-112</t>
  </si>
  <si>
    <t xml:space="preserve">Vitis x interspécifique cv. Couderc 286-68</t>
  </si>
  <si>
    <t xml:space="preserve">Vitis x interspécifique cv. Couderc 299-17</t>
  </si>
  <si>
    <t xml:space="preserve">Vitis x interspécifique cv. Couderc 299-35</t>
  </si>
  <si>
    <t xml:space="preserve">Vitis x interspécifique cv. Couderc 3</t>
  </si>
  <si>
    <t xml:space="preserve">Vitis x interspécifique cv. Couderc 302-60</t>
  </si>
  <si>
    <t xml:space="preserve">Vitis x interspécifique cv. Couderc 3304</t>
  </si>
  <si>
    <t xml:space="preserve">Vitis x interspécifique cv. Couderc 3306</t>
  </si>
  <si>
    <t xml:space="preserve">Vitis x interspécifique cv. Couderc 3307</t>
  </si>
  <si>
    <t xml:space="preserve">Vitis x interspécifique cv. Couderc 3310</t>
  </si>
  <si>
    <t xml:space="preserve">Vitis x interspécifique cv. Couderc 343-14</t>
  </si>
  <si>
    <t xml:space="preserve">Vitis x interspécifique cv. Couderc 3601</t>
  </si>
  <si>
    <t xml:space="preserve">Vitis x interspécifique cv. Couderc 3905</t>
  </si>
  <si>
    <t xml:space="preserve">Vitis x interspécifique cv. Couderc 3907</t>
  </si>
  <si>
    <t xml:space="preserve">Vitis x interspécifique cv. Couderc 4</t>
  </si>
  <si>
    <t xml:space="preserve">Vitis x interspécifique cv. Couderc 404</t>
  </si>
  <si>
    <t xml:space="preserve">Vitis x interspécifique cv. Couderc 4306</t>
  </si>
  <si>
    <t xml:space="preserve">Vitis x interspécifique cv. Couderc 4308</t>
  </si>
  <si>
    <t xml:space="preserve">Vitis x interspécifique cv. Couderc 5</t>
  </si>
  <si>
    <t xml:space="preserve">Vitis x interspécifique cv. Couderc 501</t>
  </si>
  <si>
    <t xml:space="preserve">Vitis x interspécifique cv. Couderc 503</t>
  </si>
  <si>
    <t xml:space="preserve">Vitis x interspécifique cv. Couderc 504</t>
  </si>
  <si>
    <t xml:space="preserve">Vitis x interspécifique cv. Couderc 5407</t>
  </si>
  <si>
    <t xml:space="preserve">Vitis x interspécifique cv. Couderc 548-1</t>
  </si>
  <si>
    <t xml:space="preserve">Vitis x interspécifique cv. Couderc 554-5</t>
  </si>
  <si>
    <t xml:space="preserve">Vitis x interspécifique cv. Couderc 6</t>
  </si>
  <si>
    <t xml:space="preserve">Vitis x interspécifique cv. Couderc 601</t>
  </si>
  <si>
    <t xml:space="preserve">Vitis x interspécifique cv. Couderc 602</t>
  </si>
  <si>
    <t xml:space="preserve">Vitis x interspécifique cv. Couderc 603</t>
  </si>
  <si>
    <t xml:space="preserve">Vitis x interspécifique cv. Couderc 62-66</t>
  </si>
  <si>
    <t xml:space="preserve">Vitis x interspécifique cv. Couderc 633 H</t>
  </si>
  <si>
    <t xml:space="preserve">Vitis x interspécifique cv. Couderc 7</t>
  </si>
  <si>
    <t xml:space="preserve">Vitis x interspécifique cv. Couderc 71-03</t>
  </si>
  <si>
    <t xml:space="preserve">Vitis x interspécifique cv. Couderc 71-04</t>
  </si>
  <si>
    <t xml:space="preserve">Vitis x interspécifique cv. Couderc 7106</t>
  </si>
  <si>
    <t xml:space="preserve">Vitis x interspécifique cv. Couderc 7160</t>
  </si>
  <si>
    <t xml:space="preserve">Vitis x interspécifique cv. Couderc 71-61 = Contassot 2</t>
  </si>
  <si>
    <t xml:space="preserve">Vitis x interspécifique cv. Couderc 7301</t>
  </si>
  <si>
    <t xml:space="preserve">Vitis x interspécifique cv. Couderc 7417</t>
  </si>
  <si>
    <t xml:space="preserve">Vitis x interspécifique cv. Couderc 7502</t>
  </si>
  <si>
    <t xml:space="preserve">Vitis x interspécifique cv. Couderc 8</t>
  </si>
  <si>
    <t xml:space="preserve">Vitis x interspécifique cv. Couderc 81-2</t>
  </si>
  <si>
    <t xml:space="preserve">Vitis x interspécifique cv. Couderc 82-12</t>
  </si>
  <si>
    <t xml:space="preserve">Vitis x interspécifique cv. Couderc 8232</t>
  </si>
  <si>
    <t xml:space="preserve">Vitis x interspécifique cv. Couderc 84-10</t>
  </si>
  <si>
    <t xml:space="preserve">Vitis x interspécifique cv. Couderc 84-61</t>
  </si>
  <si>
    <t xml:space="preserve">Vitis x interspécifique cv. Couderc 85-113</t>
  </si>
  <si>
    <t xml:space="preserve">Vitis x interspécifique cv. Couderc 87-83</t>
  </si>
  <si>
    <t xml:space="preserve">Vitis x interspécifique cv. Couderc 89-23</t>
  </si>
  <si>
    <t xml:space="preserve">Vitis x interspécifique cv. Couderc 9</t>
  </si>
  <si>
    <t xml:space="preserve">Vitis x interspécifique cv. Couderc 901</t>
  </si>
  <si>
    <t xml:space="preserve">Vitis x interspécifique cv. Couderc 90-38</t>
  </si>
  <si>
    <t xml:space="preserve">Vitis x interspécifique cv. Couderc 904</t>
  </si>
  <si>
    <t xml:space="preserve">Vitis x interspécifique cv. Couderc 93-5</t>
  </si>
  <si>
    <t xml:space="preserve">Vitis x interspécifique cv. Couderc 96-32</t>
  </si>
  <si>
    <t xml:space="preserve">Vitis x interspécifique cv. Couderc 98-76</t>
  </si>
  <si>
    <t xml:space="preserve">Vitis x interspécifique cv. Cournon = Galibert 22-4</t>
  </si>
  <si>
    <t xml:space="preserve">Vitis x interspécifique cv. D Maclet</t>
  </si>
  <si>
    <t xml:space="preserve">Vitis x interspécifique cv. Dattier de Saint-Vallier = Seyve-Villard 20-365</t>
  </si>
  <si>
    <t xml:space="preserve">Vitis x interspécifique cv. davidii x ?</t>
  </si>
  <si>
    <t xml:space="preserve">Vitis x interspécifique cv. De Chaunac = Seibel 9549</t>
  </si>
  <si>
    <t xml:space="preserve">Vitis x interspécifique cv. Delaware rose</t>
  </si>
  <si>
    <t xml:space="preserve">Vitis x interspécifique cv. Directeur Grosjean = Kühlmann 536-3</t>
  </si>
  <si>
    <t xml:space="preserve">Vitis x interspécifique cv. Docteur Decker-rebe</t>
  </si>
  <si>
    <t xml:space="preserve">Vitis x interspécifique cv. Dog Ridge</t>
  </si>
  <si>
    <t xml:space="preserve">Vitis x interspécifique cv. Dorette</t>
  </si>
  <si>
    <t xml:space="preserve">Vitis x interspécifique cv. Douriou = Baco 37-16</t>
  </si>
  <si>
    <t xml:space="preserve">Vitis x interspécifique cv. Doux noir = Galibert 294-33</t>
  </si>
  <si>
    <t xml:space="preserve">Vitis x interspécifique cv. Dufour 11 F</t>
  </si>
  <si>
    <t xml:space="preserve">Vitis x interspécifique cv. E 31 Maclet</t>
  </si>
  <si>
    <t xml:space="preserve">Vitis x interspécifique cv. E 46 Maclet</t>
  </si>
  <si>
    <t xml:space="preserve">Vitis x interspécifique cv. Edda Mussolini = Pirovano 78</t>
  </si>
  <si>
    <t xml:space="preserve">Vitis x interspécifique cv. Einset seedless</t>
  </si>
  <si>
    <t xml:space="preserve">Vitis x interspécifique cv. Elisabeth</t>
  </si>
  <si>
    <t xml:space="preserve">Vitis x interspécifique cv. Embanc n°2 = Galibert 113-20</t>
  </si>
  <si>
    <t xml:space="preserve">Vitis x interspécifique cv. Emblanc n°1 = Galibert 113-18</t>
  </si>
  <si>
    <t xml:space="preserve">Vitis x interspécifique cv. Emblanc n°3 = Galibert 113-32</t>
  </si>
  <si>
    <t xml:space="preserve">Vitis x interspécifique cv. Emblanc n°4 = Galibert 128-13</t>
  </si>
  <si>
    <t xml:space="preserve">Vitis x interspécifique cv. Emblanc n°5 = Galibert 152-26</t>
  </si>
  <si>
    <t xml:space="preserve">Vitis x interspécifique cv. Emblanc n°6 = Galibert 153-11</t>
  </si>
  <si>
    <t xml:space="preserve">Vitis x interspécifique cv. Emblanc n°7 = Galibert 154-20</t>
  </si>
  <si>
    <t xml:space="preserve">Vitis x interspécifique cv. Emblanc n°8 = Galibert 155-9</t>
  </si>
  <si>
    <t xml:space="preserve">Vitis x interspécifique cv. Emblanc n°9 = Galibert 162-3</t>
  </si>
  <si>
    <t xml:space="preserve">Vitis x interspécifique cv. Emon 1-23</t>
  </si>
  <si>
    <t xml:space="preserve">Vitis x interspécifique cv. Emon 19-20</t>
  </si>
  <si>
    <t xml:space="preserve">Vitis x interspécifique cv. Emon 2</t>
  </si>
  <si>
    <t xml:space="preserve">Vitis x interspécifique cv. Emon 2-5</t>
  </si>
  <si>
    <t xml:space="preserve">Vitis x interspécifique cv. Emon 9</t>
  </si>
  <si>
    <t xml:space="preserve">Vitis x interspécifique cv. Ennoir n°1 = Galibert 114-10</t>
  </si>
  <si>
    <t xml:space="preserve">Vitis x interspécifique cv. Ennoir n°2 = Galibert 152-24</t>
  </si>
  <si>
    <t xml:space="preserve">Vitis x interspécifique cv. Ennoir n°3 = Galibert 152-27</t>
  </si>
  <si>
    <t xml:space="preserve">Vitis x interspécifique cv. Ennoir n°4 = Galibert 155-3</t>
  </si>
  <si>
    <t xml:space="preserve">Vitis x interspécifique cv. Ennoir n°5 = Galibert 155-11</t>
  </si>
  <si>
    <t xml:space="preserve">Vitis x interspécifique cv. Ennoir n°6 = Galibert 155-14</t>
  </si>
  <si>
    <t xml:space="preserve">Vitis x interspécifique cv. Ennoir n°7 = Galibert 162-4</t>
  </si>
  <si>
    <t xml:space="preserve">Vitis x interspécifique cv. Ennoir n°8 = Galibert 166-18</t>
  </si>
  <si>
    <t xml:space="preserve">Vitis x interspécifique cv. Ennoir n°9 = Galibert 171-24</t>
  </si>
  <si>
    <t xml:space="preserve">Vitis x interspécifique cv. Estellat = Baco 30-12</t>
  </si>
  <si>
    <t xml:space="preserve">Vitis x interspécifique cv. Etoile 1 = Kühlmann 237-1</t>
  </si>
  <si>
    <t xml:space="preserve">Vitis x interspécifique cv. Etoile 2 = Kühlmann 237-2</t>
  </si>
  <si>
    <t xml:space="preserve">Vitis x interspécifique cv. Evex 13-3</t>
  </si>
  <si>
    <t xml:space="preserve">Vitis x interspécifique cv. Evex 13-5</t>
  </si>
  <si>
    <t xml:space="preserve">Vitis x interspécifique cv. Excelsior Guilly</t>
  </si>
  <si>
    <t xml:space="preserve">Vitis x interspécifique cv. Excelsior (Ricketts)</t>
  </si>
  <si>
    <t xml:space="preserve">Vitis x interspécifique cv. Farato Grimaldi</t>
  </si>
  <si>
    <t xml:space="preserve">Vitis x interspécifique cv. Fauconneau 1</t>
  </si>
  <si>
    <t xml:space="preserve">Vitis x interspécifique cv. Fauconneau 2</t>
  </si>
  <si>
    <t xml:space="preserve">Vitis x interspécifique cv. Fercal</t>
  </si>
  <si>
    <t xml:space="preserve">Vitis x interspécifique cv. Ferdinand de Lesseps</t>
  </si>
  <si>
    <t xml:space="preserve">Vitis x interspécifique cv. Fin blanc 1</t>
  </si>
  <si>
    <t xml:space="preserve">Vitis x interspécifique cv. Fin noir = Kühlmann 275-2</t>
  </si>
  <si>
    <t xml:space="preserve">Vitis x interspécifique cv. Fin noir 1</t>
  </si>
  <si>
    <t xml:space="preserve">Vitis x interspécifique cv. Fin noir 2</t>
  </si>
  <si>
    <t xml:space="preserve">Vitis x interspécifique cv. Florental = Burdin 7705</t>
  </si>
  <si>
    <t xml:space="preserve">Vitis x interspécifique cv. Flot d'Or = Seibel 2653</t>
  </si>
  <si>
    <t xml:space="preserve">Vitis x interspécifique cv. Flot rouge = Seibel 1020</t>
  </si>
  <si>
    <t xml:space="preserve">Vitis x interspécifique cv. Fontan</t>
  </si>
  <si>
    <t xml:space="preserve">Vitis x interspécifique cv. Fredonia</t>
  </si>
  <si>
    <t xml:space="preserve">Vitis x interspécifique cv. G 1 = Grézot 1</t>
  </si>
  <si>
    <t xml:space="preserve">Vitis x interspécifique cv. Gaillard 157</t>
  </si>
  <si>
    <t xml:space="preserve">Vitis x interspécifique cv. Gaillard 194</t>
  </si>
  <si>
    <t xml:space="preserve">Vitis x interspécifique cv. Gaillard 2</t>
  </si>
  <si>
    <t xml:space="preserve">Vitis x interspécifique cv. Galibert 114-12</t>
  </si>
  <si>
    <t xml:space="preserve">Vitis x interspécifique cv. Galibert 114-25</t>
  </si>
  <si>
    <t xml:space="preserve">Vitis x interspécifique cv. Galibert 115-18</t>
  </si>
  <si>
    <t xml:space="preserve">Vitis x interspécifique cv. Galibert 115-28</t>
  </si>
  <si>
    <t xml:space="preserve">Vitis x interspécifique cv. Galibert 14-2</t>
  </si>
  <si>
    <t xml:space="preserve">Vitis x interspécifique cv. Galibert 14-3</t>
  </si>
  <si>
    <t xml:space="preserve">Vitis x interspécifique cv. Galibert 14-4</t>
  </si>
  <si>
    <t xml:space="preserve">Vitis x interspécifique cv. Galibert 14-5</t>
  </si>
  <si>
    <t xml:space="preserve">Vitis x interspécifique cv. Galibert 201 F</t>
  </si>
  <si>
    <t xml:space="preserve">Vitis x interspécifique cv. Galibert 201 H</t>
  </si>
  <si>
    <t xml:space="preserve">Vitis x interspécifique cv. Galibert 201-8 = Inconnu</t>
  </si>
  <si>
    <t xml:space="preserve">Vitis x interspécifique cv. Galibert 20-2</t>
  </si>
  <si>
    <t xml:space="preserve">Vitis x interspécifique cv. Galibert 21-2</t>
  </si>
  <si>
    <t xml:space="preserve">Vitis x interspécifique cv. Galibert 25-2</t>
  </si>
  <si>
    <t xml:space="preserve">Vitis x interspécifique cv. Galibert 309</t>
  </si>
  <si>
    <t xml:space="preserve">Vitis x interspécifique cv. Galibert 315</t>
  </si>
  <si>
    <t xml:space="preserve">Vitis x interspécifique cv. Galibert 35-3</t>
  </si>
  <si>
    <t xml:space="preserve">Vitis x interspécifique cv. Galibert 403</t>
  </si>
  <si>
    <t xml:space="preserve">Vitis x interspécifique cv. Galibert 404</t>
  </si>
  <si>
    <t xml:space="preserve">Vitis x interspécifique cv. Galibert 408</t>
  </si>
  <si>
    <t xml:space="preserve">Vitis x interspécifique cv. Galibert 413</t>
  </si>
  <si>
    <t xml:space="preserve">Vitis x interspécifique cv. Galibert 414</t>
  </si>
  <si>
    <t xml:space="preserve">Vitis x interspécifique cv. Galibert 420</t>
  </si>
  <si>
    <t xml:space="preserve">Vitis x interspécifique cv. Galibert 42-1</t>
  </si>
  <si>
    <t xml:space="preserve">Vitis x interspécifique cv. Galibert 42-2</t>
  </si>
  <si>
    <t xml:space="preserve">Vitis x interspécifique cv. Galibert 42-3</t>
  </si>
  <si>
    <t xml:space="preserve">Vitis x interspécifique cv. Galicante blanc n°1 = Galibert 238-95</t>
  </si>
  <si>
    <t xml:space="preserve">Vitis x interspécifique cv. Galicante noir n°1 = Galibert 239-96</t>
  </si>
  <si>
    <t xml:space="preserve">Vitis x interspécifique cv. Galicoul noir = Galibert 238-35</t>
  </si>
  <si>
    <t xml:space="preserve">Vitis x interspécifique cv. Galignon n°2 = Galibert 264-34</t>
  </si>
  <si>
    <t xml:space="preserve">Vitis x interspécifique cv. Gamay Couderc = Couderc 3103</t>
  </si>
  <si>
    <t xml:space="preserve">Vitis x interspécifique cv. Garnier 15-6</t>
  </si>
  <si>
    <t xml:space="preserve">Vitis x interspécifique cv. Garonnet = Seyve-Villard 18-283</t>
  </si>
  <si>
    <t xml:space="preserve">Vitis x interspécifique cv. Gaulois 1</t>
  </si>
  <si>
    <t xml:space="preserve">Vitis x interspécifique cv. Gaulois 2</t>
  </si>
  <si>
    <t xml:space="preserve">Vitis x interspécifique cv. Geisenheim 26</t>
  </si>
  <si>
    <t xml:space="preserve">Vitis x interspécifique cv. Geisenheim 97</t>
  </si>
  <si>
    <t xml:space="preserve">Vitis x interspécifique cv. GfGa-47-42</t>
  </si>
  <si>
    <t xml:space="preserve">Vitis x interspécifique cv. Gigantesque Millardet de Grasset</t>
  </si>
  <si>
    <t xml:space="preserve">Vitis x interspécifique cv. Glenora</t>
  </si>
  <si>
    <t xml:space="preserve">Vitis x interspécifique cv. Golden Muscat</t>
  </si>
  <si>
    <t xml:space="preserve">Vitis x interspécifique cv. Golia = 1-37 Pirovano</t>
  </si>
  <si>
    <t xml:space="preserve">Vitis x interspécifique cv. Gradian noir = Galibert 23-2</t>
  </si>
  <si>
    <t xml:space="preserve">Vitis x interspécifique cv. Grand Noir de Cadoule = Galibert 115-22</t>
  </si>
  <si>
    <t xml:space="preserve">Vitis x interspécifique cv. Gravesac</t>
  </si>
  <si>
    <t xml:space="preserve">Vitis x interspécifique cv. Grimaldi 24-27</t>
  </si>
  <si>
    <t xml:space="preserve">Vitis x interspécifique cv. Grimaldi 444</t>
  </si>
  <si>
    <t xml:space="preserve">Vitis x interspécifique cv. Gros Cadillon = Galibert 261-11</t>
  </si>
  <si>
    <t xml:space="preserve">Vitis x interspécifique cv. Guillaume 35</t>
  </si>
  <si>
    <t xml:space="preserve">Vitis x interspécifique cv. Guillaume 4</t>
  </si>
  <si>
    <t xml:space="preserve">Vitis x interspécifique cv. Guillaume 6</t>
  </si>
  <si>
    <t xml:space="preserve">Vitis x interspécifique cv. Harmony</t>
  </si>
  <si>
    <t xml:space="preserve">Vitis x interspécifique cv. Hartford Prolific</t>
  </si>
  <si>
    <t xml:space="preserve">Vitis x interspécifique cv. Helios</t>
  </si>
  <si>
    <t xml:space="preserve">Vitis x interspécifique cv. Herbemont</t>
  </si>
  <si>
    <t xml:space="preserve">Vitis x interspécifique cv. Himrod</t>
  </si>
  <si>
    <t xml:space="preserve">Vitis x interspécifique cv. Humbert 3</t>
  </si>
  <si>
    <t xml:space="preserve">Vitis x interspécifique cv. Hybride Azemar</t>
  </si>
  <si>
    <t xml:space="preserve">Vitis x interspécifique cv. Hybride Boiziau</t>
  </si>
  <si>
    <t xml:space="preserve">Vitis x interspécifique cv. Hybride d'Allen</t>
  </si>
  <si>
    <t xml:space="preserve">Vitis x interspécifique cv. Hybride Fournier</t>
  </si>
  <si>
    <t xml:space="preserve">Vitis x interspécifique cv. Hybride Franc</t>
  </si>
  <si>
    <t xml:space="preserve">Vitis x interspécifique cv. Hybride Lacoste</t>
  </si>
  <si>
    <t xml:space="preserve">Vitis x interspécifique cv. Hybride Pully 1</t>
  </si>
  <si>
    <t xml:space="preserve">Vitis x interspécifique cv. Hybride Pully 7</t>
  </si>
  <si>
    <t xml:space="preserve">Vitis x interspécifique cv. Hybride Trinquier</t>
  </si>
  <si>
    <t xml:space="preserve">Vitis x interspécifique cv. INRA-Mtp-3186-1-87</t>
  </si>
  <si>
    <t xml:space="preserve">Vitis x interspécifique cv. Institut = Kühlmann 482-2</t>
  </si>
  <si>
    <t xml:space="preserve">Vitis x interspécifique cv. Jacquez</t>
  </si>
  <si>
    <t xml:space="preserve">Vitis x interspécifique cv. Jacquez d'Aurelles 1</t>
  </si>
  <si>
    <t xml:space="preserve">Vitis x interspécifique cv. Joannès Seyve 11369</t>
  </si>
  <si>
    <t xml:space="preserve">Vitis x interspécifique cv. Joannès Seyve 12426</t>
  </si>
  <si>
    <t xml:space="preserve">Vitis x interspécifique cv. Joannès Seyve 12428</t>
  </si>
  <si>
    <t xml:space="preserve">Vitis x interspécifique cv. Joannès Seyve 12448</t>
  </si>
  <si>
    <t xml:space="preserve">Vitis x interspécifique cv. Joannès Seyve 12462</t>
  </si>
  <si>
    <t xml:space="preserve">Vitis x interspécifique cv. Joannès Seyve 13733</t>
  </si>
  <si>
    <t xml:space="preserve">Vitis x interspécifique cv. Joannès Seyve 13756</t>
  </si>
  <si>
    <t xml:space="preserve">Vitis x interspécifique cv. Joannès Seyve 14924</t>
  </si>
  <si>
    <t xml:space="preserve">Vitis x interspécifique cv. Joannès Seyve 14928</t>
  </si>
  <si>
    <t xml:space="preserve">Vitis x interspécifique cv. Joannès Seyve 14982</t>
  </si>
  <si>
    <t xml:space="preserve">Vitis x interspécifique cv. Joannès Seyve 15874</t>
  </si>
  <si>
    <t xml:space="preserve">Vitis x interspécifique cv. Joannès Seyve 15875</t>
  </si>
  <si>
    <t xml:space="preserve">Vitis x interspécifique cv. Joannès Seyve 16150</t>
  </si>
  <si>
    <t xml:space="preserve">Vitis x interspécifique cv. Joannès Seyve 19103</t>
  </si>
  <si>
    <t xml:space="preserve">Vitis x interspécifique cv. Joannès Seyve 23275</t>
  </si>
  <si>
    <t xml:space="preserve">Vitis x interspécifique cv. Joannès Seyve 23284</t>
  </si>
  <si>
    <t xml:space="preserve">Vitis x interspécifique cv. Joannès Seyve 23298</t>
  </si>
  <si>
    <t xml:space="preserve">Vitis x interspécifique cv. Joannès Seyve 23416</t>
  </si>
  <si>
    <t xml:space="preserve">Vitis x interspécifique cv. Joannès Seyve 23545</t>
  </si>
  <si>
    <t xml:space="preserve">Vitis x interspécifique cv. Joannès Seyve 24298</t>
  </si>
  <si>
    <t xml:space="preserve">Vitis x interspécifique cv. Joannès Seyve 24397</t>
  </si>
  <si>
    <t xml:space="preserve">Vitis x interspécifique cv. Joannès Seyve 24398</t>
  </si>
  <si>
    <t xml:space="preserve">Vitis x interspécifique cv. Joannès Seyve 24399</t>
  </si>
  <si>
    <t xml:space="preserve">Vitis x interspécifique cv. Joannès Seyve 24408</t>
  </si>
  <si>
    <t xml:space="preserve">Vitis x interspécifique cv. Joannès Seyve 24444</t>
  </si>
  <si>
    <t xml:space="preserve">Vitis x interspécifique cv. Joannès Seyve 24610</t>
  </si>
  <si>
    <t xml:space="preserve">Vitis x interspécifique cv. Joannès Seyve 24614</t>
  </si>
  <si>
    <t xml:space="preserve">Vitis x interspécifique cv. Joannès Seyve 24651</t>
  </si>
  <si>
    <t xml:space="preserve">Vitis x interspécifique cv. Joannès Seyve 24967</t>
  </si>
  <si>
    <t xml:space="preserve">Vitis x interspécifique cv. Joannès Seyve 25444</t>
  </si>
  <si>
    <t xml:space="preserve">Vitis x interspécifique cv. Joannès Seyve 25555</t>
  </si>
  <si>
    <t xml:space="preserve">Vitis x interspécifique cv. Joannès Seyve 25874</t>
  </si>
  <si>
    <t xml:space="preserve">Vitis x interspécifique cv. Joannès Seyve 26130</t>
  </si>
  <si>
    <t xml:space="preserve">Vitis x interspécifique cv. Joannès Seyve 26470</t>
  </si>
  <si>
    <t xml:space="preserve">Vitis x interspécifique cv. Joannès Seyve 26480</t>
  </si>
  <si>
    <t xml:space="preserve">Vitis x interspécifique cv. Joannès Seyve 26482</t>
  </si>
  <si>
    <t xml:space="preserve">Vitis x interspécifique cv. Joannès Seyve 26487</t>
  </si>
  <si>
    <t xml:space="preserve">Vitis x interspécifique cv. Joannès Seyve 26490</t>
  </si>
  <si>
    <t xml:space="preserve">Vitis x interspécifique cv. Joannès Seyve 26620</t>
  </si>
  <si>
    <t xml:space="preserve">Vitis x interspécifique cv. Joannès Seyve 26627</t>
  </si>
  <si>
    <t xml:space="preserve">Vitis x interspécifique cv. Joannès Seyve 26649</t>
  </si>
  <si>
    <t xml:space="preserve">Vitis x interspécifique cv. Joannès Seyve 26651</t>
  </si>
  <si>
    <t xml:space="preserve">Vitis x interspécifique cv. Joannès Seyve 26654</t>
  </si>
  <si>
    <t xml:space="preserve">Vitis x interspécifique cv. Joannès Seyve 26674</t>
  </si>
  <si>
    <t xml:space="preserve">Vitis x interspécifique cv. Joannès Seyve 26724</t>
  </si>
  <si>
    <t xml:space="preserve">Vitis x interspécifique cv. Joannès Seyve 26790</t>
  </si>
  <si>
    <t xml:space="preserve">Vitis x interspécifique cv. Joannès Seyve 26855</t>
  </si>
  <si>
    <t xml:space="preserve">Vitis x interspécifique cv. Joannès Seyve 26924</t>
  </si>
  <si>
    <t xml:space="preserve">Vitis x interspécifique cv. Joannès Seyve 27350</t>
  </si>
  <si>
    <t xml:space="preserve">Vitis x interspécifique cv. Joannès Seyve 30158</t>
  </si>
  <si>
    <t xml:space="preserve">Vitis x interspécifique cv. Joannès Seyve 30286</t>
  </si>
  <si>
    <t xml:space="preserve">Vitis x interspécifique cv. Joannès Seyve 30555</t>
  </si>
  <si>
    <t xml:space="preserve">Vitis x interspécifique cv. Joannès Seyve 30641</t>
  </si>
  <si>
    <t xml:space="preserve">Vitis x interspécifique cv. Joannès Seyve 30662</t>
  </si>
  <si>
    <t xml:space="preserve">Vitis x interspécifique cv. Joannès Seyve 31132</t>
  </si>
  <si>
    <t xml:space="preserve">Vitis x interspécifique cv. Joannès Seyve 31392</t>
  </si>
  <si>
    <t xml:space="preserve">Vitis x interspécifique cv. Joannès Seyve 4825</t>
  </si>
  <si>
    <t xml:space="preserve">Vitis x interspécifique cv. Joannès Seyve 5563</t>
  </si>
  <si>
    <t xml:space="preserve">Vitis x interspécifique cv. Joannès Seyve 6264</t>
  </si>
  <si>
    <t xml:space="preserve">Vitis x interspécifique cv. Joannès Seyve 9149</t>
  </si>
  <si>
    <t xml:space="preserve">Vitis x interspécifique cv. Johanniter</t>
  </si>
  <si>
    <t xml:space="preserve">Vitis x interspécifique cv. Joussely 1</t>
  </si>
  <si>
    <t xml:space="preserve">Vitis x interspécifique cv. Joussely 2</t>
  </si>
  <si>
    <t xml:space="preserve">Vitis x interspécifique cv. Jurie 1975</t>
  </si>
  <si>
    <t xml:space="preserve">Vitis x interspécifique cv. Kühlmann 702 A faux</t>
  </si>
  <si>
    <t xml:space="preserve">Vitis x interspécifique cv. La Céline = Baco 12-12</t>
  </si>
  <si>
    <t xml:space="preserve">Vitis x interspécifique cv. La Madone = Couderc 4101</t>
  </si>
  <si>
    <t xml:space="preserve">Vitis x interspécifique cv. labrusca x ?</t>
  </si>
  <si>
    <t xml:space="preserve">Vitis x interspécifique cv. labrusca x vinifera</t>
  </si>
  <si>
    <t xml:space="preserve">Vitis x interspécifique cv. Laffourcade 15 V</t>
  </si>
  <si>
    <t xml:space="preserve">Vitis x interspécifique cv. Laffourcade 19</t>
  </si>
  <si>
    <t xml:space="preserve">Vitis x interspécifique cv. Laffourcade 26</t>
  </si>
  <si>
    <t xml:space="preserve">Vitis x interspécifique cv. Laffourcade 6</t>
  </si>
  <si>
    <t xml:space="preserve">Vitis x interspécifique cv. Landal = Landot 244</t>
  </si>
  <si>
    <t xml:space="preserve">Vitis x interspécifique cv. Landot 1233</t>
  </si>
  <si>
    <t xml:space="preserve">Vitis x interspécifique cv. Landot 1674</t>
  </si>
  <si>
    <t xml:space="preserve">Vitis x interspécifique cv. Landot 1678</t>
  </si>
  <si>
    <t xml:space="preserve">Vitis x interspécifique cv. Landot 1680</t>
  </si>
  <si>
    <t xml:space="preserve">Vitis x interspécifique cv. Landot 204</t>
  </si>
  <si>
    <t xml:space="preserve">Vitis x interspécifique cv. Landot 206</t>
  </si>
  <si>
    <t xml:space="preserve">Vitis x interspécifique cv. Landot 2281</t>
  </si>
  <si>
    <t xml:space="preserve">Vitis x interspécifique cv. Landot 2282</t>
  </si>
  <si>
    <t xml:space="preserve">Vitis x interspécifique cv. Landot 2283</t>
  </si>
  <si>
    <t xml:space="preserve">Vitis x interspécifique cv. Landot 2291</t>
  </si>
  <si>
    <t xml:space="preserve">Vitis x interspécifique cv. Landot 234</t>
  </si>
  <si>
    <t xml:space="preserve">Vitis x interspécifique cv. Landot 2380</t>
  </si>
  <si>
    <t xml:space="preserve">Vitis x interspécifique cv. Landot 240</t>
  </si>
  <si>
    <t xml:space="preserve">Vitis x interspécifique cv. Landot 2517</t>
  </si>
  <si>
    <t xml:space="preserve">Vitis x interspécifique cv. Landot 301</t>
  </si>
  <si>
    <t xml:space="preserve">Vitis x interspécifique cv. Landot 304</t>
  </si>
  <si>
    <t xml:space="preserve">Vitis x interspécifique cv. Landot 3381</t>
  </si>
  <si>
    <t xml:space="preserve">Vitis x interspécifique cv. Landot 3474</t>
  </si>
  <si>
    <t xml:space="preserve">Vitis x interspécifique cv. Landot 3518</t>
  </si>
  <si>
    <t xml:space="preserve">Vitis x interspécifique cv. Landot 3568</t>
  </si>
  <si>
    <t xml:space="preserve">Vitis x interspécifique cv. Landot 3901</t>
  </si>
  <si>
    <t xml:space="preserve">Vitis x interspécifique cv. Landot 4239</t>
  </si>
  <si>
    <t xml:space="preserve">Vitis x interspécifique cv. Landot 4411</t>
  </si>
  <si>
    <t xml:space="preserve">Vitis x interspécifique cv. Landot 4465</t>
  </si>
  <si>
    <t xml:space="preserve">Vitis x interspécifique cv. Landot 4511</t>
  </si>
  <si>
    <t xml:space="preserve">Vitis x interspécifique cv. Landot 506</t>
  </si>
  <si>
    <t xml:space="preserve">Vitis x interspécifique cv. Landot 508</t>
  </si>
  <si>
    <t xml:space="preserve">Vitis x interspécifique cv. Landot 540</t>
  </si>
  <si>
    <t xml:space="preserve">Vitis x interspécifique cv. Landot 562</t>
  </si>
  <si>
    <t xml:space="preserve">Vitis x interspécifique cv. Landot 742</t>
  </si>
  <si>
    <t xml:space="preserve">Vitis x interspécifique cv. Landot 760</t>
  </si>
  <si>
    <t xml:space="preserve">Vitis x interspécifique cv. Landot 790</t>
  </si>
  <si>
    <t xml:space="preserve">Vitis x interspécifique cv. Laquenexy 155-2</t>
  </si>
  <si>
    <t xml:space="preserve">Vitis x interspécifique cv. Laquenexy 43-3</t>
  </si>
  <si>
    <t xml:space="preserve">Vitis x interspécifique cv. Laquenexy 44</t>
  </si>
  <si>
    <t xml:space="preserve">Vitis x interspécifique cv. Laquenexy 4-54</t>
  </si>
  <si>
    <t xml:space="preserve">Vitis x interspécifique cv. Laquenexy 4-56</t>
  </si>
  <si>
    <t xml:space="preserve">Vitis x interspécifique cv. Le Capéran = Baco 43-23</t>
  </si>
  <si>
    <t xml:space="preserve">Vitis x interspécifique cv. Le Cazalet = Baco 58-15</t>
  </si>
  <si>
    <t xml:space="preserve">Vitis x interspécifique cv. Le Colonel = Bertille Seyve 2667</t>
  </si>
  <si>
    <t xml:space="preserve">Vitis x interspécifique cv. Le Commandant = Bertille Seyve 2862</t>
  </si>
  <si>
    <t xml:space="preserve">Vitis x interspécifique cv. Le Fondard = Le Jurassien = Jurie 580</t>
  </si>
  <si>
    <t xml:space="preserve">Vitis x interspécifique cv. Le Général = Bertille Seyve 5563</t>
  </si>
  <si>
    <t xml:space="preserve">Vitis x interspécifique cv. Le Pourpre = Seibel 4646</t>
  </si>
  <si>
    <t xml:space="preserve">Vitis x interspécifique cv. Le Rubis = Seibel 5575</t>
  </si>
  <si>
    <t xml:space="preserve">Vitis x interspécifique cv. Le Subéreux = Seibel 6905</t>
  </si>
  <si>
    <t xml:space="preserve">Vitis x interspécifique cv. Léon Millot = Kühlmann 194-2</t>
  </si>
  <si>
    <t xml:space="preserve">Vitis x interspécifique cv. Llyod's number 33 = LN 33</t>
  </si>
  <si>
    <t xml:space="preserve">Vitis x interspécifique cv. Logan</t>
  </si>
  <si>
    <t xml:space="preserve">Vitis x interspécifique cv. Lucie Kühlmann = Kühlmann 149-3</t>
  </si>
  <si>
    <t xml:space="preserve">Vitis x interspécifique cv. Maclet C 103</t>
  </si>
  <si>
    <t xml:space="preserve">Vitis x interspécifique cv. Madame Castel = Castel 1028</t>
  </si>
  <si>
    <t xml:space="preserve">Vitis x interspécifique cv. Madame Lussan = Castel 19002</t>
  </si>
  <si>
    <t xml:space="preserve">Vitis x interspécifique cv. Mademoiselle Messiny = Kühlmann 193-5</t>
  </si>
  <si>
    <t xml:space="preserve">Vitis x interspécifique cv. Malègue S 3</t>
  </si>
  <si>
    <t xml:space="preserve">Vitis x interspécifique cv. Malègue 113</t>
  </si>
  <si>
    <t xml:space="preserve">Vitis x interspécifique cv. Malègue 1157-1</t>
  </si>
  <si>
    <t xml:space="preserve">Vitis x interspécifique cv. Malègue 1157-15</t>
  </si>
  <si>
    <t xml:space="preserve">Vitis x interspécifique cv. Malègue 148-4</t>
  </si>
  <si>
    <t xml:space="preserve">Vitis x interspécifique cv. Malègue 1495-1</t>
  </si>
  <si>
    <t xml:space="preserve">Vitis x interspécifique cv. Malègue 150-13</t>
  </si>
  <si>
    <t xml:space="preserve">Vitis x interspécifique cv. Malègue 150-15</t>
  </si>
  <si>
    <t xml:space="preserve">Vitis x interspécifique cv. Malègue 150-9</t>
  </si>
  <si>
    <t xml:space="preserve">Vitis x interspécifique cv. Malègue 1647-8</t>
  </si>
  <si>
    <t xml:space="preserve">Vitis x interspécifique cv. Malègue 1995-4</t>
  </si>
  <si>
    <t xml:space="preserve">Vitis x interspécifique cv. Malègue 2049-3</t>
  </si>
  <si>
    <t xml:space="preserve">Vitis x interspécifique cv. Malègue 2094-3</t>
  </si>
  <si>
    <t xml:space="preserve">Vitis x interspécifique cv. Malègue 2236-1</t>
  </si>
  <si>
    <t xml:space="preserve">Vitis x interspécifique cv. Malègue 2623-2</t>
  </si>
  <si>
    <t xml:space="preserve">Vitis x interspécifique cv. Malègue 2627-11</t>
  </si>
  <si>
    <t xml:space="preserve">Vitis x interspécifique cv. Malègue 44-46</t>
  </si>
  <si>
    <t xml:space="preserve">Vitis x interspécifique cv. Malègue 469-2</t>
  </si>
  <si>
    <t xml:space="preserve">Vitis x interspécifique cv. Malègue 474-5</t>
  </si>
  <si>
    <t xml:space="preserve">Vitis x interspécifique cv. Malègue 51-20</t>
  </si>
  <si>
    <t xml:space="preserve">Vitis x interspécifique cv. Malègue 57</t>
  </si>
  <si>
    <t xml:space="preserve">Vitis x interspécifique cv. Malègue 653-1</t>
  </si>
  <si>
    <t xml:space="preserve">Vitis x interspécifique cv. Malègue 71-7</t>
  </si>
  <si>
    <t xml:space="preserve">Vitis x interspécifique cv. Malègue 75</t>
  </si>
  <si>
    <t xml:space="preserve">Vitis x interspécifique cv. Malègue 829-6</t>
  </si>
  <si>
    <t xml:space="preserve">Vitis x interspécifique cv. Maréchal Foch = Kühlmann 188-2</t>
  </si>
  <si>
    <t xml:space="preserve">Vitis x interspécifique cv. Maréchal Joffre = Kühlmann 187-1</t>
  </si>
  <si>
    <t xml:space="preserve">Vitis x interspécifique cv. Maxatawnay</t>
  </si>
  <si>
    <t xml:space="preserve">Vitis x interspécifique cv. Merzling</t>
  </si>
  <si>
    <t xml:space="preserve">Vitis x interspécifique cv. Meynieu 3</t>
  </si>
  <si>
    <t xml:space="preserve">Vitis x interspécifique cv. Meynieu 6</t>
  </si>
  <si>
    <t xml:space="preserve">Vitis x interspécifique cv. Meynieu 7</t>
  </si>
  <si>
    <t xml:space="preserve">Vitis x interspécifique cv. Meynieu 8-5</t>
  </si>
  <si>
    <t xml:space="preserve">Vitis x interspécifique cv. Meynieu 8-6</t>
  </si>
  <si>
    <t xml:space="preserve">Vitis x interspécifique cv. Meynieu 9-48</t>
  </si>
  <si>
    <t xml:space="preserve">Vitis x interspécifique cv. Millardet = Kühlmann 193-2</t>
  </si>
  <si>
    <t xml:space="preserve">Vitis x interspécifique cv. Millardet de Grasset 143 A</t>
  </si>
  <si>
    <t xml:space="preserve">Vitis x interspécifique cv. Millardet et de Grasset 101</t>
  </si>
  <si>
    <t xml:space="preserve">Vitis x interspécifique cv. Millardet et de Grasset 101-1</t>
  </si>
  <si>
    <t xml:space="preserve">Vitis x interspécifique cv. Millardet et de Grasset 101-10</t>
  </si>
  <si>
    <t xml:space="preserve">Vitis x interspécifique cv. Millardet et de Grasset 101-11</t>
  </si>
  <si>
    <t xml:space="preserve">Vitis x interspécifique cv. Millardet et de Grasset 101-12</t>
  </si>
  <si>
    <t xml:space="preserve">Vitis x interspécifique cv. Millardet et de Grasset 101-14 faux (Carpentras)</t>
  </si>
  <si>
    <t xml:space="preserve">Vitis x interspécifique cv. Millardet et de Grasset 101-2</t>
  </si>
  <si>
    <t xml:space="preserve">Vitis x interspécifique cv. Millardet et de Grasset 101-9</t>
  </si>
  <si>
    <t xml:space="preserve">Vitis x interspécifique cv. Millardet et de Grasset 106-8</t>
  </si>
  <si>
    <t xml:space="preserve">Vitis x interspécifique cv. Millardet et de Grasset 108-16</t>
  </si>
  <si>
    <t xml:space="preserve">Vitis x interspécifique cv. Millardet et de Grasset 125-1</t>
  </si>
  <si>
    <t xml:space="preserve">Vitis x interspécifique cv. Millardet et de Grasset 125-2</t>
  </si>
  <si>
    <t xml:space="preserve">Vitis x interspécifique cv. Millardet et de Grasset 125-4</t>
  </si>
  <si>
    <t xml:space="preserve">Vitis x interspécifique cv. Millardet et de Grasset 143</t>
  </si>
  <si>
    <t xml:space="preserve">Vitis x interspécifique cv. Millardet et de Grasset 17-37</t>
  </si>
  <si>
    <t xml:space="preserve">Vitis x interspécifique cv. Millardet et de Grasset 199-16</t>
  </si>
  <si>
    <t xml:space="preserve">Vitis x interspécifique cv. Millardet et de Grasset 202-4</t>
  </si>
  <si>
    <t xml:space="preserve">Vitis x interspécifique cv. Millardet et de Grasset 212-7</t>
  </si>
  <si>
    <t xml:space="preserve">Vitis x interspécifique cv. Millardet et de Grasset 215-2</t>
  </si>
  <si>
    <t xml:space="preserve">Vitis x interspécifique cv. Millardet et de Grasset 219-7</t>
  </si>
  <si>
    <t xml:space="preserve">Vitis x interspécifique cv. Millardet et de Grasset 227-11-29</t>
  </si>
  <si>
    <t xml:space="preserve">Vitis x interspécifique cv. Millardet et de Grasset 227-55-29</t>
  </si>
  <si>
    <t xml:space="preserve">Vitis x interspécifique cv. Millardet et de Grasset 262</t>
  </si>
  <si>
    <t xml:space="preserve">Vitis x interspécifique cv. Millardet et de Grasset 301-14-152</t>
  </si>
  <si>
    <t xml:space="preserve">Vitis x interspécifique cv. Millardet et de Grasset 301-37-152</t>
  </si>
  <si>
    <t xml:space="preserve">Vitis x interspécifique cv. Millardet et de Grasset 301-4-153</t>
  </si>
  <si>
    <t xml:space="preserve">Vitis x interspécifique cv. Millardet et de Grasset 301-43-152</t>
  </si>
  <si>
    <t xml:space="preserve">Vitis x interspécifique cv. Millardet et de Grasset 33</t>
  </si>
  <si>
    <t xml:space="preserve">Vitis x interspécifique cv. Millardet et de Grasset 420 B</t>
  </si>
  <si>
    <t xml:space="preserve">Vitis x interspécifique cv. Millardet et de Grasset 420 C</t>
  </si>
  <si>
    <t xml:space="preserve">Vitis x interspécifique cv. Millardet et de Grasset 422 A</t>
  </si>
  <si>
    <t xml:space="preserve">Vitis x interspécifique cv. Millardet et de Grasset 422 B</t>
  </si>
  <si>
    <t xml:space="preserve">Vitis x interspécifique cv. Millardet 301</t>
  </si>
  <si>
    <t xml:space="preserve">Vitis x interspécifique cv. Millardet 374</t>
  </si>
  <si>
    <t xml:space="preserve">Vitis x interspécifique cv. Molines P.F.</t>
  </si>
  <si>
    <t xml:space="preserve">Vitis x interspécifique cv. Montoneri 23</t>
  </si>
  <si>
    <t xml:space="preserve">Vitis x interspécifique cv. Mounier 14-2</t>
  </si>
  <si>
    <t xml:space="preserve">Vitis x interspécifique cv. Mounier 155-7</t>
  </si>
  <si>
    <t xml:space="preserve">Vitis x interspécifique cv. Mounier 19-3</t>
  </si>
  <si>
    <t xml:space="preserve">Vitis x interspécifique cv. Musc Delecta = Seibel 16281</t>
  </si>
  <si>
    <t xml:space="preserve">Vitis x interspécifique cv. Muscadille = Galibert 265-35</t>
  </si>
  <si>
    <t xml:space="preserve">Vitis x interspécifique cv. Muscadoule = Galibert 255-10</t>
  </si>
  <si>
    <t xml:space="preserve">Vitis x interspécifique cv. Muscat Bailey A</t>
  </si>
  <si>
    <t xml:space="preserve">Vitis x interspécifique cv. Muscat blanc = Meynieu 9-68</t>
  </si>
  <si>
    <t xml:space="preserve">Vitis x interspécifique cv. Muscat de Saint-Christol = Galibert 255-43</t>
  </si>
  <si>
    <t xml:space="preserve">Vitis x interspécifique cv. Muscat de Saint-Vallier = Seyve-Villard 20-473</t>
  </si>
  <si>
    <t xml:space="preserve">Vitis x interspécifique cv. Muscat Sélection 2 Gaillard</t>
  </si>
  <si>
    <t xml:space="preserve">Vitis x interspécifique cv. Muscolive = Galibert 15-2</t>
  </si>
  <si>
    <t xml:space="preserve">Vitis x interspécifique cv. Néo Muscat</t>
  </si>
  <si>
    <t xml:space="preserve">Vitis x interspécifique cv. Neo Muscat x Gros Sémillon</t>
  </si>
  <si>
    <t xml:space="preserve">Vitis x interspécifique cv. Néron = Kühlmann 296-1</t>
  </si>
  <si>
    <t xml:space="preserve">Vitis x interspécifique cv. Niabell</t>
  </si>
  <si>
    <t xml:space="preserve">Vitis x interspécifique cv. Niagara</t>
  </si>
  <si>
    <t xml:space="preserve">Vitis x interspécifique cv. Noah</t>
  </si>
  <si>
    <t xml:space="preserve">Vitis x interspécifique cv. Nouveau Bayard = Couderc 132-11</t>
  </si>
  <si>
    <t xml:space="preserve">Vitis x interspécifique cv. Oberlin noir = Oberlin 595</t>
  </si>
  <si>
    <t xml:space="preserve">Vitis x interspécifique cv. Oberlin 604</t>
  </si>
  <si>
    <t xml:space="preserve">Vitis x interspécifique cv. Oberlin 605</t>
  </si>
  <si>
    <t xml:space="preserve">Vitis x interspécifique cv. Oberlin 701</t>
  </si>
  <si>
    <t xml:space="preserve">Vitis x interspécifique cv. Oberlin 702 A</t>
  </si>
  <si>
    <t xml:space="preserve">Vitis x interspécifique cv. Oberlin 716</t>
  </si>
  <si>
    <t xml:space="preserve">Vitis x interspécifique cv. Oberlin 782</t>
  </si>
  <si>
    <t xml:space="preserve">Vitis x interspécifique cv. Oeillade de Conzieu = Landot 2832</t>
  </si>
  <si>
    <t xml:space="preserve">Vitis x interspécifique cv. Orion</t>
  </si>
  <si>
    <t xml:space="preserve">Vitis x interspécifique cv. Othello</t>
  </si>
  <si>
    <t xml:space="preserve">Vitis x interspécifique cv. Othello gris</t>
  </si>
  <si>
    <t xml:space="preserve">Vitis x interspécifique cv. Paulistinha</t>
  </si>
  <si>
    <t xml:space="preserve">Vitis x interspécifique cv. Paulsen 1043</t>
  </si>
  <si>
    <t xml:space="preserve">Vitis x interspécifique cv. Paulsen 1045</t>
  </si>
  <si>
    <t xml:space="preserve">Vitis x interspécifique cv. Paulsen 1119</t>
  </si>
  <si>
    <t xml:space="preserve">Vitis x interspécifique cv. Paulsen 1120</t>
  </si>
  <si>
    <t xml:space="preserve">Vitis x interspécifique cv. Paulsen 1321</t>
  </si>
  <si>
    <t xml:space="preserve">Vitis x interspécifique cv. Paulsen 1323</t>
  </si>
  <si>
    <t xml:space="preserve">Vitis x interspécifique cv. Paulsen 1381</t>
  </si>
  <si>
    <t xml:space="preserve">Vitis x interspécifique cv. Paulsen 1742</t>
  </si>
  <si>
    <t xml:space="preserve">Vitis x interspécifique cv. Paulsen 2 A</t>
  </si>
  <si>
    <t xml:space="preserve">Vitis x interspécifique cv. Paulsen 764</t>
  </si>
  <si>
    <t xml:space="preserve">Vitis x interspécifique cv. Paulsen 770</t>
  </si>
  <si>
    <t xml:space="preserve">Vitis x interspécifique cv. Paulsen 771</t>
  </si>
  <si>
    <t xml:space="preserve">Vitis x interspécifique cv. Paulsen 775</t>
  </si>
  <si>
    <t xml:space="preserve">Vitis x interspécifique cv. Paulsen 779</t>
  </si>
  <si>
    <t xml:space="preserve">Vitis x interspécifique cv. Paulsen 781</t>
  </si>
  <si>
    <t xml:space="preserve">Vitis x interspécifique cv. Paulsen 782</t>
  </si>
  <si>
    <t xml:space="preserve">Vitis x interspécifique cv. Paulsen 8302</t>
  </si>
  <si>
    <t xml:space="preserve">Vitis x interspécifique cv. Paulsen 8734</t>
  </si>
  <si>
    <t xml:space="preserve">Vitis x interspécifique cv. Peage 5-10 = Roy Chevrier 5-10</t>
  </si>
  <si>
    <t xml:space="preserve">Vitis x interspécifique cv. Perbos 137</t>
  </si>
  <si>
    <t xml:space="preserve">Vitis x interspécifique cv. Perbos 151</t>
  </si>
  <si>
    <t xml:space="preserve">Vitis x interspécifique cv. Perbos 159</t>
  </si>
  <si>
    <t xml:space="preserve">Vitis x interspécifique cv. Perbos 174</t>
  </si>
  <si>
    <t xml:space="preserve">Vitis x interspécifique cv. Perbos 180</t>
  </si>
  <si>
    <t xml:space="preserve">Vitis x interspécifique cv. Perbos 205</t>
  </si>
  <si>
    <t xml:space="preserve">Vitis x interspécifique cv. Perbos 210</t>
  </si>
  <si>
    <t xml:space="preserve">Vitis x interspécifique cv. Perbos 215</t>
  </si>
  <si>
    <t xml:space="preserve">Vitis x interspécifique cv. Perbos 226</t>
  </si>
  <si>
    <t xml:space="preserve">Vitis x interspécifique cv. Perbos 228</t>
  </si>
  <si>
    <t xml:space="preserve">Vitis x interspécifique cv. Perbos 48</t>
  </si>
  <si>
    <t xml:space="preserve">Vitis x interspécifique cv. Perbos 81</t>
  </si>
  <si>
    <t xml:space="preserve">Vitis x interspécifique cv. Perbos 82</t>
  </si>
  <si>
    <t xml:space="preserve">Vitis x interspécifique cv. Perdin</t>
  </si>
  <si>
    <t xml:space="preserve">Vitis x interspécifique cv. Perkins</t>
  </si>
  <si>
    <t xml:space="preserve">Vitis x interspécifique cv. Perle de Cadoule = Galibert 255-99</t>
  </si>
  <si>
    <t xml:space="preserve">Vitis x interspécifique cv. Perle noire = Seyve-Villard 20-347</t>
  </si>
  <si>
    <t xml:space="preserve">Vitis x interspécifique cv. Perraton 34</t>
  </si>
  <si>
    <t xml:space="preserve">Vitis x interspécifique cv. Perraton 36</t>
  </si>
  <si>
    <t xml:space="preserve">Vitis x interspécifique cv. Phénix</t>
  </si>
  <si>
    <t xml:space="preserve">Vitis x interspécifique cv. Phoenix</t>
  </si>
  <si>
    <t xml:space="preserve">Vitis x interspécifique cv. piasezkii x ?</t>
  </si>
  <si>
    <t xml:space="preserve">Vitis x interspécifique cv. piasezkii x romanetii</t>
  </si>
  <si>
    <t xml:space="preserve">Vitis x interspécifique cv. Picadoul = Galibert 221-31</t>
  </si>
  <si>
    <t xml:space="preserve">Vitis x interspécifique cv. Pierrelle = Seyve-Villard 20-366</t>
  </si>
  <si>
    <t xml:space="preserve">Vitis x interspécifique cv. Pignan noir = Galibert 23-1</t>
  </si>
  <si>
    <t xml:space="preserve">Vitis x interspécifique cv. Pignoletta</t>
  </si>
  <si>
    <t xml:space="preserve">Vitis x interspécifique cv. Pinard = Kühlmann 191-2</t>
  </si>
  <si>
    <t xml:space="preserve">Vitis x interspécifique cv. Pirobella</t>
  </si>
  <si>
    <t xml:space="preserve">Vitis x interspécifique cv. Pirovano 146</t>
  </si>
  <si>
    <t xml:space="preserve">Vitis x interspécifique cv. Pirovano 29</t>
  </si>
  <si>
    <t xml:space="preserve">Vitis x interspécifique cv. Pirovano 34</t>
  </si>
  <si>
    <t xml:space="preserve">Vitis x interspécifique cv. Pirovano 40</t>
  </si>
  <si>
    <t xml:space="preserve">Vitis x interspécifique cv. Pirovano 41</t>
  </si>
  <si>
    <t xml:space="preserve">Vitis x interspécifique cv. Pirovano 48</t>
  </si>
  <si>
    <t xml:space="preserve">Vitis x interspécifique cv. Pirovano 539 a</t>
  </si>
  <si>
    <t xml:space="preserve">Vitis x interspécifique cv. Pirovano 541</t>
  </si>
  <si>
    <t xml:space="preserve">Vitis x interspécifique cv. Pirovano 6</t>
  </si>
  <si>
    <t xml:space="preserve">Vitis x interspécifique cv. Plantet = Seibel 5455</t>
  </si>
  <si>
    <t xml:space="preserve">Vitis x interspécifique cv. Pocklington</t>
  </si>
  <si>
    <t xml:space="preserve">Vitis x interspécifique cv. Poilu = Kühlmann 252-3</t>
  </si>
  <si>
    <t xml:space="preserve">Vitis x interspécifique cv. Pougette musquée = Galibert 256-28</t>
  </si>
  <si>
    <t xml:space="preserve">Vitis x interspécifique cv. Précoce de Colmar = Kühlmann 277-2</t>
  </si>
  <si>
    <t xml:space="preserve">Vitis x interspécifique cv. Précoce Prady = Couderc 124-20</t>
  </si>
  <si>
    <t xml:space="preserve">Vitis x interspécifique cv. Précoce Prady = Couderc 126-21</t>
  </si>
  <si>
    <t xml:space="preserve">Vitis x interspécifique cv. Precursore</t>
  </si>
  <si>
    <t xml:space="preserve">Vitis x interspécifique cv. Primus = Pirovano 7</t>
  </si>
  <si>
    <t xml:space="preserve">Vitis x interspécifique cv. Prince noir Meynieu 1</t>
  </si>
  <si>
    <t xml:space="preserve">Vitis x interspécifique cv. Prosperi 11-71</t>
  </si>
  <si>
    <t xml:space="preserve">Vitis x interspécifique cv. Prosperi 11-72</t>
  </si>
  <si>
    <t xml:space="preserve">Vitis x interspécifique cv. Prosperi 15-99</t>
  </si>
  <si>
    <t xml:space="preserve">Vitis x interspécifique cv. Prosperi 16-107</t>
  </si>
  <si>
    <t xml:space="preserve">Vitis x interspécifique cv. Prosperi 16-108</t>
  </si>
  <si>
    <t xml:space="preserve">Vitis x interspécifique cv. Prosperi 16-109</t>
  </si>
  <si>
    <t xml:space="preserve">Vitis x interspécifique cv. Prosperi 5-32</t>
  </si>
  <si>
    <t xml:space="preserve">Vitis x interspécifique cv. Ranciaut blanc = Galibert 53-1</t>
  </si>
  <si>
    <t xml:space="preserve">Vitis x interspécifique cv. Ranciaut noir = Galibert 63-1</t>
  </si>
  <si>
    <t xml:space="preserve">Vitis x interspécifique cv. Ravat blanc = Ravat 6</t>
  </si>
  <si>
    <t xml:space="preserve">Vitis x interspécifique cv. Ravat 13</t>
  </si>
  <si>
    <t xml:space="preserve">Vitis x interspécifique cv. Ravat 143</t>
  </si>
  <si>
    <t xml:space="preserve">Vitis x interspécifique cv. Ravat 15</t>
  </si>
  <si>
    <t xml:space="preserve">Vitis x interspécifique cv. Ravat 16</t>
  </si>
  <si>
    <t xml:space="preserve">Vitis x interspécifique cv. Ravat 18</t>
  </si>
  <si>
    <t xml:space="preserve">Vitis x interspécifique cv. Ravat 19</t>
  </si>
  <si>
    <t xml:space="preserve">Vitis x interspécifique cv. Ravat 253</t>
  </si>
  <si>
    <t xml:space="preserve">Vitis x interspécifique cv. Ravat 262</t>
  </si>
  <si>
    <t xml:space="preserve">Vitis x interspécifique cv. Ravat 327</t>
  </si>
  <si>
    <t xml:space="preserve">Vitis x interspécifique cv. Ravat 34</t>
  </si>
  <si>
    <t xml:space="preserve">Vitis x interspécifique cv. Ravat 36</t>
  </si>
  <si>
    <t xml:space="preserve">Vitis x interspécifique cv. Ravat 507</t>
  </si>
  <si>
    <t xml:space="preserve">Vitis x interspécifique cv. Ravat 51</t>
  </si>
  <si>
    <t xml:space="preserve">Vitis x interspécifique cv. Ravat 8</t>
  </si>
  <si>
    <t xml:space="preserve">Vitis x interspécifique cv. Ravat 9</t>
  </si>
  <si>
    <t xml:space="preserve">Vitis x interspécifique cv. Ravaz 1</t>
  </si>
  <si>
    <t xml:space="preserve">Vitis x interspécifique cv. Ravaz 2</t>
  </si>
  <si>
    <t xml:space="preserve">Vitis x interspécifique cv. Rayon d'Or = Seibel 4986</t>
  </si>
  <si>
    <t xml:space="preserve">Vitis x interspécifique cv. RC 51</t>
  </si>
  <si>
    <t xml:space="preserve">Vitis x interspécifique cv. Rebecca</t>
  </si>
  <si>
    <t xml:space="preserve">Vitis x interspécifique cv. Regent</t>
  </si>
  <si>
    <t xml:space="preserve">Vitis x interspécifique cv. Rességuier sélection Birolleau 1 = RSB 1</t>
  </si>
  <si>
    <t xml:space="preserve">Vitis x interspécifique cv. Richter 31</t>
  </si>
  <si>
    <t xml:space="preserve">Vitis x interspécifique cv. Richter 57</t>
  </si>
  <si>
    <t xml:space="preserve">Vitis x interspécifique cv. Riparia Rupestris de Massannes glabre</t>
  </si>
  <si>
    <t xml:space="preserve">Vitis x interspécifique cv. riparia x berlandieri</t>
  </si>
  <si>
    <t xml:space="preserve">Vitis x interspécifique cv. riparia x rupestris</t>
  </si>
  <si>
    <t xml:space="preserve">Vitis x interspécifique cv. riparia x rupestris x candicans</t>
  </si>
  <si>
    <t xml:space="preserve">Vitis x interspécifique cv. riparia x vinifera</t>
  </si>
  <si>
    <t xml:space="preserve">Vitis x interspécifique cv. Riparia-Rupestris de Dracé</t>
  </si>
  <si>
    <t xml:space="preserve">Vitis x interspécifique cv. Riparia-Rupestris de Massannes pubescent</t>
  </si>
  <si>
    <t xml:space="preserve">Vitis x interspécifique cv. Riparia-Rupestris de Samadet</t>
  </si>
  <si>
    <t xml:space="preserve">Vitis x interspécifique cv. Riparia-Rupestris de Savènes</t>
  </si>
  <si>
    <t xml:space="preserve">Vitis x interspécifique cv. Riparia-Rupestris de Vauchretien</t>
  </si>
  <si>
    <t xml:space="preserve">Vitis x interspécifique cv. Riparia-Rupestris Schwarzmann</t>
  </si>
  <si>
    <t xml:space="preserve">Vitis x interspécifique cv. Robur</t>
  </si>
  <si>
    <t xml:space="preserve">Vitis x interspécifique cv. Roi des noirs = Seibel 4643</t>
  </si>
  <si>
    <t xml:space="preserve">Vitis x interspécifique cv. romanetii x ?</t>
  </si>
  <si>
    <t xml:space="preserve">Vitis x interspécifique cv. Rondo</t>
  </si>
  <si>
    <t xml:space="preserve">Vitis x interspécifique cv. Rosambre</t>
  </si>
  <si>
    <t xml:space="preserve">Vitis x interspécifique cv. Rosette = Seibel 1000</t>
  </si>
  <si>
    <t xml:space="preserve">Vitis x interspécifique cv. Rouby 3</t>
  </si>
  <si>
    <t xml:space="preserve">Vitis x interspécifique cv. Rouby 9</t>
  </si>
  <si>
    <t xml:space="preserve">Vitis x interspécifique cv. Roucaneuf = Seyve-Villard 12-309</t>
  </si>
  <si>
    <t xml:space="preserve">Vitis x interspécifique cv. Rougeon = Seibel 5898</t>
  </si>
  <si>
    <t xml:space="preserve">Vitis x interspécifique cv. Royalty</t>
  </si>
  <si>
    <t xml:space="preserve">Vitis x interspécifique cv. Rubilande = Seibel 11803</t>
  </si>
  <si>
    <t xml:space="preserve">Vitis x interspécifique cv. Rubino = Pirovano 192a</t>
  </si>
  <si>
    <t xml:space="preserve">Vitis x interspécifique cv. Rubiscan</t>
  </si>
  <si>
    <t xml:space="preserve">Vitis x interspécifique cv. Rudelin 101-6</t>
  </si>
  <si>
    <t xml:space="preserve">Vitis x interspécifique cv. Rudelin 101-9</t>
  </si>
  <si>
    <t xml:space="preserve">Vitis x interspécifique cv. Rudelin 102-1</t>
  </si>
  <si>
    <t xml:space="preserve">Vitis x interspécifique cv. Rudelin 102-4</t>
  </si>
  <si>
    <t xml:space="preserve">Vitis x interspécifique cv. Rudelin 102-8</t>
  </si>
  <si>
    <t xml:space="preserve">Vitis x interspécifique cv. Rudelin 102-9</t>
  </si>
  <si>
    <t xml:space="preserve">Vitis x interspécifique cv. Rudelin 103-1</t>
  </si>
  <si>
    <t xml:space="preserve">Vitis x interspécifique cv. Rudelin 103-2</t>
  </si>
  <si>
    <t xml:space="preserve">Vitis x interspécifique cv. Rudelin 103-6</t>
  </si>
  <si>
    <t xml:space="preserve">Vitis x interspécifique cv. Rudelin 103-8</t>
  </si>
  <si>
    <t xml:space="preserve">Vitis x interspécifique cv. Rudelin 104-4</t>
  </si>
  <si>
    <t xml:space="preserve">Vitis x interspécifique cv. Rudelin 104-8</t>
  </si>
  <si>
    <t xml:space="preserve">Vitis x interspécifique cv. Rudelin 105-6</t>
  </si>
  <si>
    <t xml:space="preserve">Vitis x interspécifique cv. Rudelin 106-1</t>
  </si>
  <si>
    <t xml:space="preserve">Vitis x interspécifique cv. Rudelin 106-4</t>
  </si>
  <si>
    <t xml:space="preserve">Vitis x interspécifique cv. Rudelin 108-4</t>
  </si>
  <si>
    <t xml:space="preserve">Vitis x interspécifique cv. Rudelin 109-3</t>
  </si>
  <si>
    <t xml:space="preserve">Vitis x interspécifique cv. Rudelin 109-7</t>
  </si>
  <si>
    <t xml:space="preserve">Vitis x interspécifique cv. Rudelin 111-2</t>
  </si>
  <si>
    <t xml:space="preserve">Vitis x interspécifique cv. Rudelin 111-3</t>
  </si>
  <si>
    <t xml:space="preserve">Vitis x interspécifique cv. Rudelin 111-4</t>
  </si>
  <si>
    <t xml:space="preserve">Vitis x interspécifique cv. Rudelin 111-8</t>
  </si>
  <si>
    <t xml:space="preserve">Vitis x interspécifique cv. Rudelin 122-9</t>
  </si>
  <si>
    <t xml:space="preserve">Vitis x interspécifique cv. Rudelin 125-8</t>
  </si>
  <si>
    <t xml:space="preserve">Vitis x interspécifique cv. Rudelin 126-4</t>
  </si>
  <si>
    <t xml:space="preserve">Vitis x interspécifique cv. Rudelin 126-6</t>
  </si>
  <si>
    <t xml:space="preserve">Vitis x interspécifique cv. Rudelin 130-8</t>
  </si>
  <si>
    <t xml:space="preserve">Vitis x interspécifique cv. Rudelin 131-7</t>
  </si>
  <si>
    <t xml:space="preserve">Vitis x interspécifique cv. Rudelin 132-2</t>
  </si>
  <si>
    <t xml:space="preserve">Vitis x interspécifique cv. Rudelin 17-4</t>
  </si>
  <si>
    <t xml:space="preserve">Vitis x interspécifique cv. Rudelin 17-5</t>
  </si>
  <si>
    <t xml:space="preserve">Vitis x interspécifique cv. Rudelin 18-1</t>
  </si>
  <si>
    <t xml:space="preserve">Vitis x interspécifique cv. Rudelin 3</t>
  </si>
  <si>
    <t xml:space="preserve">Vitis x interspécifique cv. Rudelin 312-1</t>
  </si>
  <si>
    <t xml:space="preserve">Vitis x interspécifique cv. Rudelin 314-3</t>
  </si>
  <si>
    <t xml:space="preserve">Vitis x interspécifique cv. Rudelin 315-1</t>
  </si>
  <si>
    <t xml:space="preserve">Vitis x interspécifique cv. Rudelin 316-5</t>
  </si>
  <si>
    <t xml:space="preserve">Vitis x interspécifique cv. Rudelin 37-3</t>
  </si>
  <si>
    <t xml:space="preserve">Vitis x interspécifique cv. Rudelin 38-6</t>
  </si>
  <si>
    <t xml:space="preserve">Vitis x interspécifique cv. Rudelin 5-41</t>
  </si>
  <si>
    <t xml:space="preserve">Vitis x interspécifique cv. Rudelin 58</t>
  </si>
  <si>
    <t xml:space="preserve">Vitis x interspécifique cv. Rudelin 610-6</t>
  </si>
  <si>
    <t xml:space="preserve">Vitis x interspécifique cv. Rudelin 611-1</t>
  </si>
  <si>
    <t xml:space="preserve">Vitis x interspécifique cv. Rudelin 613-3</t>
  </si>
  <si>
    <t xml:space="preserve">Vitis x interspécifique cv. Rudelin 6-96</t>
  </si>
  <si>
    <t xml:space="preserve">Vitis x interspécifique cv. Ruggeri 131</t>
  </si>
  <si>
    <t xml:space="preserve">Vitis x interspécifique cv. Ruggeri 188</t>
  </si>
  <si>
    <t xml:space="preserve">Vitis x interspécifique cv. Ruggeri 193</t>
  </si>
  <si>
    <t xml:space="preserve">Vitis x interspécifique cv. Ruggeri 205</t>
  </si>
  <si>
    <t xml:space="preserve">Vitis x interspécifique cv. Ruggeri 225</t>
  </si>
  <si>
    <t xml:space="preserve">Vitis x interspécifique cv. Ruggeri 240</t>
  </si>
  <si>
    <t xml:space="preserve">Vitis x interspécifique cv. Ruggeri 300</t>
  </si>
  <si>
    <t xml:space="preserve">Vitis x interspécifique cv. Ruggeri 322</t>
  </si>
  <si>
    <t xml:space="preserve">Vitis x interspécifique cv. Ruggeri 325</t>
  </si>
  <si>
    <t xml:space="preserve">Vitis x interspécifique cv. Ruggeri 333</t>
  </si>
  <si>
    <t xml:space="preserve">Vitis x interspécifique cv. Ruggeri 42</t>
  </si>
  <si>
    <t xml:space="preserve">Vitis x interspécifique cv. Ruggeri 55</t>
  </si>
  <si>
    <t xml:space="preserve">Vitis x interspécifique cv. rupestris x aestivalis</t>
  </si>
  <si>
    <t xml:space="preserve">Vitis x interspécifique cv. rupestris x aestivalis x cordifolia</t>
  </si>
  <si>
    <t xml:space="preserve">Vitis x interspécifique cv. rupestris x berlandieri</t>
  </si>
  <si>
    <t xml:space="preserve">Vitis x interspécifique cv. rupestris x candicans</t>
  </si>
  <si>
    <t xml:space="preserve">Vitis x interspécifique cv. rupestris x cordifolia</t>
  </si>
  <si>
    <t xml:space="preserve">Vitis x interspécifique cv. rupestris x vinifera</t>
  </si>
  <si>
    <t xml:space="preserve">Vitis x interspécifique cv. Sabrilong = Long 35</t>
  </si>
  <si>
    <t xml:space="preserve">Vitis x interspécifique cv. Saint-Sauveur d'Alsace = Kühlmann 65-1</t>
  </si>
  <si>
    <t xml:space="preserve">Vitis x interspécifique cv. Saint-Victor = Galibert 15-3</t>
  </si>
  <si>
    <t xml:space="preserve">Vitis x interspécifique cv. Saint-Vincent</t>
  </si>
  <si>
    <t xml:space="preserve">Vitis x interspécifique cv. Salt Creek</t>
  </si>
  <si>
    <t xml:space="preserve">Vitis x interspécifique cv. Salzmann 6-43</t>
  </si>
  <si>
    <t xml:space="preserve">Vitis x interspécifique cv. Sanson</t>
  </si>
  <si>
    <t xml:space="preserve">Vitis x interspécifique cv. Saubrians = Galibert 36-2</t>
  </si>
  <si>
    <t xml:space="preserve">Vitis x interspécifique cv. Seibel  6131</t>
  </si>
  <si>
    <t xml:space="preserve">Vitis x interspécifique cv. Seibel 1</t>
  </si>
  <si>
    <t xml:space="preserve">Vitis x interspécifique cv. Seibel 10010</t>
  </si>
  <si>
    <t xml:space="preserve">Vitis x interspécifique cv. Seibel 10020</t>
  </si>
  <si>
    <t xml:space="preserve">Vitis x interspécifique cv. Seibel 10027</t>
  </si>
  <si>
    <t xml:space="preserve">Vitis x interspécifique cv. Seibel 10033</t>
  </si>
  <si>
    <t xml:space="preserve">Vitis x interspécifique cv. Seibel 10034</t>
  </si>
  <si>
    <t xml:space="preserve">Vitis x interspécifique cv. Seibel 1004</t>
  </si>
  <si>
    <t xml:space="preserve">Vitis x interspécifique cv. Seibel 10046</t>
  </si>
  <si>
    <t xml:space="preserve">Vitis x interspécifique cv. Seibel 1007</t>
  </si>
  <si>
    <t xml:space="preserve">Vitis x interspécifique cv. Seibel 10076</t>
  </si>
  <si>
    <t xml:space="preserve">Vitis x interspécifique cv. Seibel 10078</t>
  </si>
  <si>
    <t xml:space="preserve">Vitis x interspécifique cv. Seibel 10096</t>
  </si>
  <si>
    <t xml:space="preserve">Vitis x interspécifique cv. Seibel 10114</t>
  </si>
  <si>
    <t xml:space="preserve">Vitis x interspécifique cv. Seibel 10123</t>
  </si>
  <si>
    <t xml:space="preserve">Vitis x interspécifique cv. Seibel 1013</t>
  </si>
  <si>
    <t xml:space="preserve">Vitis x interspécifique cv. Seibel 10136/2</t>
  </si>
  <si>
    <t xml:space="preserve">Vitis x interspécifique cv. Seibel 1014</t>
  </si>
  <si>
    <t xml:space="preserve">Vitis x interspécifique cv. Seibel 10146</t>
  </si>
  <si>
    <t xml:space="preserve">Vitis x interspécifique cv. Seibel 1015</t>
  </si>
  <si>
    <t xml:space="preserve">Vitis x interspécifique cv. Seibel 10172/2</t>
  </si>
  <si>
    <t xml:space="preserve">Vitis x interspécifique cv. Seibel 10186</t>
  </si>
  <si>
    <t xml:space="preserve">Vitis x interspécifique cv. Seibel 10208</t>
  </si>
  <si>
    <t xml:space="preserve">Vitis x interspécifique cv. Seibel 10215</t>
  </si>
  <si>
    <t xml:space="preserve">Vitis x interspécifique cv. Seibel 10217</t>
  </si>
  <si>
    <t xml:space="preserve">Vitis x interspécifique cv. Seibel 10230</t>
  </si>
  <si>
    <t xml:space="preserve">Vitis x interspécifique cv. Seibel 1025</t>
  </si>
  <si>
    <t xml:space="preserve">Vitis x interspécifique cv. Seibel 10259/1</t>
  </si>
  <si>
    <t xml:space="preserve">Vitis x interspécifique cv. Seibel 10267</t>
  </si>
  <si>
    <t xml:space="preserve">Vitis x interspécifique cv. Seibel 10292</t>
  </si>
  <si>
    <t xml:space="preserve">Vitis x interspécifique cv. Seibel 10295</t>
  </si>
  <si>
    <t xml:space="preserve">Vitis x interspécifique cv. Seibel 10417</t>
  </si>
  <si>
    <t xml:space="preserve">Vitis x interspécifique cv. Seibel 10420</t>
  </si>
  <si>
    <t xml:space="preserve">Vitis x interspécifique cv. Seibel 107</t>
  </si>
  <si>
    <t xml:space="preserve">Vitis x interspécifique cv. Seibel 1070</t>
  </si>
  <si>
    <t xml:space="preserve">Vitis x interspécifique cv. Seibel 10720</t>
  </si>
  <si>
    <t xml:space="preserve">Vitis x interspécifique cv. Seibel 1077</t>
  </si>
  <si>
    <t xml:space="preserve">Vitis x interspécifique cv. Seibel 10790</t>
  </si>
  <si>
    <t xml:space="preserve">Vitis x interspécifique cv. Seibel 10793</t>
  </si>
  <si>
    <t xml:space="preserve">Vitis x interspécifique cv. Seibel 10796</t>
  </si>
  <si>
    <t xml:space="preserve">Vitis x interspécifique cv. Seibel 10801</t>
  </si>
  <si>
    <t xml:space="preserve">Vitis x interspécifique cv. Seibel 10809</t>
  </si>
  <si>
    <t xml:space="preserve">Vitis x interspécifique cv. Seibel 1082</t>
  </si>
  <si>
    <t xml:space="preserve">Vitis x interspécifique cv. Seibel 10855</t>
  </si>
  <si>
    <t xml:space="preserve">Vitis x interspécifique cv. Seibel 10868</t>
  </si>
  <si>
    <t xml:space="preserve">Vitis x interspécifique cv. Seibel 10884/6</t>
  </si>
  <si>
    <t xml:space="preserve">Vitis x interspécifique cv. Seibel 110</t>
  </si>
  <si>
    <t xml:space="preserve">Vitis x interspécifique cv. Seibel 11020</t>
  </si>
  <si>
    <t xml:space="preserve">Vitis x interspécifique cv. Seibel 11023</t>
  </si>
  <si>
    <t xml:space="preserve">Vitis x interspécifique cv. Seibel 11027</t>
  </si>
  <si>
    <t xml:space="preserve">Vitis x interspécifique cv. Seibel 112</t>
  </si>
  <si>
    <t xml:space="preserve">Vitis x interspécifique cv. Seibel 11254/16</t>
  </si>
  <si>
    <t xml:space="preserve">Vitis x interspécifique cv. Seibel 11257</t>
  </si>
  <si>
    <t xml:space="preserve">Vitis x interspécifique cv. Seibel 11259</t>
  </si>
  <si>
    <t xml:space="preserve">Vitis x interspécifique cv. Seibel 11272</t>
  </si>
  <si>
    <t xml:space="preserve">Vitis x interspécifique cv. Seibel 11283</t>
  </si>
  <si>
    <t xml:space="preserve">Vitis x interspécifique cv. Seibel 11318</t>
  </si>
  <si>
    <t xml:space="preserve">Vitis x interspécifique cv. Seibel 11342</t>
  </si>
  <si>
    <t xml:space="preserve">Vitis x interspécifique cv. Seibel 114</t>
  </si>
  <si>
    <t xml:space="preserve">Vitis x interspécifique cv. Seibel 11404</t>
  </si>
  <si>
    <t xml:space="preserve">Vitis x interspécifique cv. Seibel 11431</t>
  </si>
  <si>
    <t xml:space="preserve">Vitis x interspécifique cv. Seibel 11437</t>
  </si>
  <si>
    <t xml:space="preserve">Vitis x interspécifique cv. Seibel 11486</t>
  </si>
  <si>
    <t xml:space="preserve">Vitis x interspécifique cv. Seibel 11493</t>
  </si>
  <si>
    <t xml:space="preserve">Vitis x interspécifique cv. Seibel 11670</t>
  </si>
  <si>
    <t xml:space="preserve">Vitis x interspécifique cv. Seibel 11697</t>
  </si>
  <si>
    <t xml:space="preserve">Vitis x interspécifique cv. Seibel 11701</t>
  </si>
  <si>
    <t xml:space="preserve">Vitis x interspécifique cv. Seibel 11705</t>
  </si>
  <si>
    <t xml:space="preserve">Vitis x interspécifique cv. Seibel 11729</t>
  </si>
  <si>
    <t xml:space="preserve">Vitis x interspécifique cv. Seibel 11780</t>
  </si>
  <si>
    <t xml:space="preserve">Vitis x interspécifique cv. Seibel 11815</t>
  </si>
  <si>
    <t xml:space="preserve">Vitis x interspécifique cv. Seibel 11846</t>
  </si>
  <si>
    <t xml:space="preserve">Vitis x interspécifique cv. Seibel 11875</t>
  </si>
  <si>
    <t xml:space="preserve">Vitis x interspécifique cv. Seibel 11906</t>
  </si>
  <si>
    <t xml:space="preserve">Vitis x interspécifique cv. Seibel 11929</t>
  </si>
  <si>
    <t xml:space="preserve">Vitis x interspécifique cv. Seibel 120</t>
  </si>
  <si>
    <t xml:space="preserve">Vitis x interspécifique cv. Seibel 12084</t>
  </si>
  <si>
    <t xml:space="preserve">Vitis x interspécifique cv. Seibel 12242</t>
  </si>
  <si>
    <t xml:space="preserve">Vitis x interspécifique cv. Seibel 12315</t>
  </si>
  <si>
    <t xml:space="preserve">Vitis x interspécifique cv. Seibel 12393</t>
  </si>
  <si>
    <t xml:space="preserve">Vitis x interspécifique cv. Seibel 12583</t>
  </si>
  <si>
    <t xml:space="preserve">Vitis x interspécifique cv. Seibel 126</t>
  </si>
  <si>
    <t xml:space="preserve">Vitis x interspécifique cv. Seibel 128</t>
  </si>
  <si>
    <t xml:space="preserve">Vitis x interspécifique cv. Seibel 13047</t>
  </si>
  <si>
    <t xml:space="preserve">Vitis x interspécifique cv. Seibel 13053</t>
  </si>
  <si>
    <t xml:space="preserve">Vitis x interspécifique cv. Seibel 13394</t>
  </si>
  <si>
    <t xml:space="preserve">Vitis x interspécifique cv. Seibel 13663</t>
  </si>
  <si>
    <t xml:space="preserve">Vitis x interspécifique cv. Seibel 13664</t>
  </si>
  <si>
    <t xml:space="preserve">Vitis x interspécifique cv. Seibel 13666</t>
  </si>
  <si>
    <t xml:space="preserve">Vitis x interspécifique cv. Seibel 13669</t>
  </si>
  <si>
    <t xml:space="preserve">Vitis x interspécifique cv. Seibel 13680</t>
  </si>
  <si>
    <t xml:space="preserve">Vitis x interspécifique cv. Seibel 13682</t>
  </si>
  <si>
    <t xml:space="preserve">Vitis x interspécifique cv. Seibel 13693</t>
  </si>
  <si>
    <t xml:space="preserve">Vitis x interspécifique cv. Seibel 13694</t>
  </si>
  <si>
    <t xml:space="preserve">Vitis x interspécifique cv. Seibel 13695</t>
  </si>
  <si>
    <t xml:space="preserve">Vitis x interspécifique cv. Seibel 13698</t>
  </si>
  <si>
    <t xml:space="preserve">Vitis x interspécifique cv. Seibel 13770</t>
  </si>
  <si>
    <t xml:space="preserve">Vitis x interspécifique cv. Seibel 138</t>
  </si>
  <si>
    <t xml:space="preserve">Vitis x interspécifique cv. Seibel 13846</t>
  </si>
  <si>
    <t xml:space="preserve">Vitis x interspécifique cv. Seibel 14</t>
  </si>
  <si>
    <t xml:space="preserve">Vitis x interspécifique cv. Seibel 14114</t>
  </si>
  <si>
    <t xml:space="preserve">Vitis x interspécifique cv. Seibel 14117</t>
  </si>
  <si>
    <t xml:space="preserve">Vitis x interspécifique cv. Seibel 14164</t>
  </si>
  <si>
    <t xml:space="preserve">Vitis x interspécifique cv. Seibel 14189</t>
  </si>
  <si>
    <t xml:space="preserve">Vitis x interspécifique cv. Seibel 14266</t>
  </si>
  <si>
    <t xml:space="preserve">Vitis x interspécifique cv. Seibel 14326</t>
  </si>
  <si>
    <t xml:space="preserve">Vitis x interspécifique cv. Seibel 14327</t>
  </si>
  <si>
    <t xml:space="preserve">Vitis x interspécifique cv. Seibel 14378</t>
  </si>
  <si>
    <t xml:space="preserve">Vitis x interspécifique cv. Seibel 14404</t>
  </si>
  <si>
    <t xml:space="preserve">Vitis x interspécifique cv. Seibel 14417</t>
  </si>
  <si>
    <t xml:space="preserve">Vitis x interspécifique cv. Seibel 14419</t>
  </si>
  <si>
    <t xml:space="preserve">Vitis x interspécifique cv. Seibel 14472</t>
  </si>
  <si>
    <t xml:space="preserve">Vitis x interspécifique cv. Seibel 14483</t>
  </si>
  <si>
    <t xml:space="preserve">Vitis x interspécifique cv. Seibel 14514</t>
  </si>
  <si>
    <t xml:space="preserve">Vitis x interspécifique cv. Seibel 14526</t>
  </si>
  <si>
    <t xml:space="preserve">Vitis x interspécifique cv. Seibel 14572</t>
  </si>
  <si>
    <t xml:space="preserve">Vitis x interspécifique cv. Seibel 14576</t>
  </si>
  <si>
    <t xml:space="preserve">Vitis x interspécifique cv. Seibel 14638</t>
  </si>
  <si>
    <t xml:space="preserve">Vitis x interspécifique cv. Seibel 14639</t>
  </si>
  <si>
    <t xml:space="preserve">Vitis x interspécifique cv. Seibel 14654</t>
  </si>
  <si>
    <t xml:space="preserve">Vitis x interspécifique cv. Seibel 14655</t>
  </si>
  <si>
    <t xml:space="preserve">Vitis x interspécifique cv. Seibel 14657</t>
  </si>
  <si>
    <t xml:space="preserve">Vitis x interspécifique cv. Seibel 14660</t>
  </si>
  <si>
    <t xml:space="preserve">Vitis x interspécifique cv. Seibel 14662</t>
  </si>
  <si>
    <t xml:space="preserve">Vitis x interspécifique cv. Seibel 14664</t>
  </si>
  <si>
    <t xml:space="preserve">Vitis x interspécifique cv. Seibel 14665</t>
  </si>
  <si>
    <t xml:space="preserve">Vitis x interspécifique cv. Seibel 14676</t>
  </si>
  <si>
    <t xml:space="preserve">Vitis x interspécifique cv. Seibel 14709</t>
  </si>
  <si>
    <t xml:space="preserve">Vitis x interspécifique cv. Seibel 14747</t>
  </si>
  <si>
    <t xml:space="preserve">Vitis x interspécifique cv. Seibel 14866</t>
  </si>
  <si>
    <t xml:space="preserve">Vitis x interspécifique cv. Seibel 14911</t>
  </si>
  <si>
    <t xml:space="preserve">Vitis x interspécifique cv. Seibel 14937</t>
  </si>
  <si>
    <t xml:space="preserve">Vitis x interspécifique cv. Seibel 14994</t>
  </si>
  <si>
    <t xml:space="preserve">Vitis x interspécifique cv. Seibel 14995</t>
  </si>
  <si>
    <t xml:space="preserve">Vitis x interspécifique cv. Seibel 150</t>
  </si>
  <si>
    <t xml:space="preserve">Vitis x interspécifique cv. Seibel 15024</t>
  </si>
  <si>
    <t xml:space="preserve">Vitis x interspécifique cv. Seibel 15027</t>
  </si>
  <si>
    <t xml:space="preserve">Vitis x interspécifique cv. Seibel 15051</t>
  </si>
  <si>
    <t xml:space="preserve">Vitis x interspécifique cv. Seibel 15062</t>
  </si>
  <si>
    <t xml:space="preserve">Vitis x interspécifique cv. Seibel 15074</t>
  </si>
  <si>
    <t xml:space="preserve">Vitis x interspécifique cv. Seibel 15170</t>
  </si>
  <si>
    <t xml:space="preserve">Vitis x interspécifique cv. Seibel 15245</t>
  </si>
  <si>
    <t xml:space="preserve">Vitis x interspécifique cv. Seibel 156</t>
  </si>
  <si>
    <t xml:space="preserve">Vitis x interspécifique cv. Seibel 1588</t>
  </si>
  <si>
    <t xml:space="preserve">Vitis x interspécifique cv. Seibel 15964</t>
  </si>
  <si>
    <t xml:space="preserve">Vitis x interspécifique cv. Seibel 16092</t>
  </si>
  <si>
    <t xml:space="preserve">Vitis x interspécifique cv. Seibel 16137</t>
  </si>
  <si>
    <t xml:space="preserve">Vitis x interspécifique cv. Seibel 16147</t>
  </si>
  <si>
    <t xml:space="preserve">Vitis x interspécifique cv. Seibel 16161</t>
  </si>
  <si>
    <t xml:space="preserve">Vitis x interspécifique cv. Seibel 16191</t>
  </si>
  <si>
    <t xml:space="preserve">Vitis x interspécifique cv. Seibel 16196</t>
  </si>
  <si>
    <t xml:space="preserve">Vitis x interspécifique cv. Seibel 16199</t>
  </si>
  <si>
    <t xml:space="preserve">Vitis x interspécifique cv. Seibel 16273</t>
  </si>
  <si>
    <t xml:space="preserve">Vitis x interspécifique cv. Seibel 181</t>
  </si>
  <si>
    <t xml:space="preserve">Vitis x interspécifique cv. Seibel 182</t>
  </si>
  <si>
    <t xml:space="preserve">Vitis x interspécifique cv. Seibel 2</t>
  </si>
  <si>
    <t xml:space="preserve">Vitis x interspécifique cv. Seibel 200</t>
  </si>
  <si>
    <t xml:space="preserve">Vitis x interspécifique cv. Seibel 2003</t>
  </si>
  <si>
    <t xml:space="preserve">Vitis x interspécifique cv. Seibel 2006</t>
  </si>
  <si>
    <t xml:space="preserve">Vitis x interspécifique cv. Seibel 2010</t>
  </si>
  <si>
    <t xml:space="preserve">Vitis x interspécifique cv. Seibel 2029</t>
  </si>
  <si>
    <t xml:space="preserve">Vitis x interspécifique cv. Seibel 2044</t>
  </si>
  <si>
    <t xml:space="preserve">Vitis x interspécifique cv. Seibel 206</t>
  </si>
  <si>
    <t xml:space="preserve">Vitis x interspécifique cv. Seibel 209</t>
  </si>
  <si>
    <t xml:space="preserve">Vitis x interspécifique cv. Seibel 210</t>
  </si>
  <si>
    <t xml:space="preserve">Vitis x interspécifique cv. Seibel 2120</t>
  </si>
  <si>
    <t xml:space="preserve">Vitis x interspécifique cv. Seibel 2453</t>
  </si>
  <si>
    <t xml:space="preserve">Vitis x interspécifique cv. Seibel 25</t>
  </si>
  <si>
    <t xml:space="preserve">Vitis x interspécifique cv. Seibel 2509</t>
  </si>
  <si>
    <t xml:space="preserve">Vitis x interspécifique cv. Seibel 2524</t>
  </si>
  <si>
    <t xml:space="preserve">Vitis x interspécifique cv. Seibel 2525</t>
  </si>
  <si>
    <t xml:space="preserve">Vitis x interspécifique cv. Seibel 2573</t>
  </si>
  <si>
    <t xml:space="preserve">Vitis x interspécifique cv. Seibel 2576</t>
  </si>
  <si>
    <t xml:space="preserve">Vitis x interspécifique cv. Seibel 2578</t>
  </si>
  <si>
    <t xml:space="preserve">Vitis x interspécifique cv. Seibel 2582</t>
  </si>
  <si>
    <t xml:space="preserve">Vitis x interspécifique cv. Seibel 2591</t>
  </si>
  <si>
    <t xml:space="preserve">Vitis x interspécifique cv. Seibel 2605</t>
  </si>
  <si>
    <t xml:space="preserve">Vitis x interspécifique cv. Seibel 2632</t>
  </si>
  <si>
    <t xml:space="preserve">Vitis x interspécifique cv. Seibel 2655</t>
  </si>
  <si>
    <t xml:space="preserve">Vitis x interspécifique cv. Seibel 2660</t>
  </si>
  <si>
    <t xml:space="preserve">Vitis x interspécifique cv. Seibel 2666</t>
  </si>
  <si>
    <t xml:space="preserve">Vitis x interspécifique cv. Seibel 2686</t>
  </si>
  <si>
    <t xml:space="preserve">Vitis x interspécifique cv. Seibel 270</t>
  </si>
  <si>
    <t xml:space="preserve">Vitis x interspécifique cv. Seibel 2838</t>
  </si>
  <si>
    <t xml:space="preserve">Vitis x interspécifique cv. Seibel 2859</t>
  </si>
  <si>
    <t xml:space="preserve">Vitis x interspécifique cv. Seibel 29</t>
  </si>
  <si>
    <t xml:space="preserve">Vitis x interspécifique cv. Seibel 3021</t>
  </si>
  <si>
    <t xml:space="preserve">Vitis x interspécifique cv. Seibel 36</t>
  </si>
  <si>
    <t xml:space="preserve">Vitis x interspécifique cv. Seibel 38</t>
  </si>
  <si>
    <t xml:space="preserve">Vitis x interspécifique cv. Seibel 4</t>
  </si>
  <si>
    <t xml:space="preserve">Vitis x interspécifique cv. Seibel 405</t>
  </si>
  <si>
    <t xml:space="preserve">Vitis x interspécifique cv. Seibel 41</t>
  </si>
  <si>
    <t xml:space="preserve">Vitis x interspécifique cv. Seibel 4111</t>
  </si>
  <si>
    <t xml:space="preserve">Vitis x interspécifique cv. Seibel 4121</t>
  </si>
  <si>
    <t xml:space="preserve">Vitis x interspécifique cv. Seibel 4132</t>
  </si>
  <si>
    <t xml:space="preserve">Vitis x interspécifique cv. Seibel 4464</t>
  </si>
  <si>
    <t xml:space="preserve">Vitis x interspécifique cv. Seibel 4499</t>
  </si>
  <si>
    <t xml:space="preserve">Vitis x interspécifique cv. Seibel 4504</t>
  </si>
  <si>
    <t xml:space="preserve">Vitis x interspécifique cv. Seibel 4559</t>
  </si>
  <si>
    <t xml:space="preserve">Vitis x interspécifique cv. Seibel 4589</t>
  </si>
  <si>
    <t xml:space="preserve">Vitis x interspécifique cv. Seibel 4603</t>
  </si>
  <si>
    <t xml:space="preserve">Vitis x interspécifique cv. Seibel 4605</t>
  </si>
  <si>
    <t xml:space="preserve">Vitis x interspécifique cv. Seibel 4614</t>
  </si>
  <si>
    <t xml:space="preserve">Vitis x interspécifique cv. Seibel 4615</t>
  </si>
  <si>
    <t xml:space="preserve">Vitis x interspécifique cv. Seibel 4629</t>
  </si>
  <si>
    <t xml:space="preserve">Vitis x interspécifique cv. Seibel 4633</t>
  </si>
  <si>
    <t xml:space="preserve">Vitis x interspécifique cv. Seibel 4636</t>
  </si>
  <si>
    <t xml:space="preserve">Vitis x interspécifique cv. Seibel 4638</t>
  </si>
  <si>
    <t xml:space="preserve">Vitis x interspécifique cv. Seibel 4644</t>
  </si>
  <si>
    <t xml:space="preserve">Vitis x interspécifique cv. Seibel 4648</t>
  </si>
  <si>
    <t xml:space="preserve">Vitis x interspécifique cv. Seibel 4669</t>
  </si>
  <si>
    <t xml:space="preserve">Vitis x interspécifique cv. Seibel 4672</t>
  </si>
  <si>
    <t xml:space="preserve">Vitis x interspécifique cv. Seibel 4677</t>
  </si>
  <si>
    <t xml:space="preserve">Vitis x interspécifique cv. Seibel 4681</t>
  </si>
  <si>
    <t xml:space="preserve">Vitis x interspécifique cv. Seibel 4697</t>
  </si>
  <si>
    <t xml:space="preserve">Vitis x interspécifique cv. Seibel 47</t>
  </si>
  <si>
    <t xml:space="preserve">Vitis x interspécifique cv. Seibel 4706</t>
  </si>
  <si>
    <t xml:space="preserve">Vitis x interspécifique cv. Seibel 4707</t>
  </si>
  <si>
    <t xml:space="preserve">Vitis x interspécifique cv. Seibel 4709</t>
  </si>
  <si>
    <t xml:space="preserve">Vitis x interspécifique cv. Seibel 4725</t>
  </si>
  <si>
    <t xml:space="preserve">Vitis x interspécifique cv. Seibel 4762</t>
  </si>
  <si>
    <t xml:space="preserve">Vitis x interspécifique cv. Seibel 4877 = 21 de Gléon</t>
  </si>
  <si>
    <t xml:space="preserve">Vitis x interspécifique cv. Seibel 491</t>
  </si>
  <si>
    <t xml:space="preserve">Vitis x interspécifique cv. Seibel 4955</t>
  </si>
  <si>
    <t xml:space="preserve">Vitis x interspécifique cv. Seibel 4964</t>
  </si>
  <si>
    <t xml:space="preserve">Vitis x interspécifique cv. Seibel 4982</t>
  </si>
  <si>
    <t xml:space="preserve">Vitis x interspécifique cv. Seibel 4987</t>
  </si>
  <si>
    <t xml:space="preserve">Vitis x interspécifique cv. Seibel 4989</t>
  </si>
  <si>
    <t xml:space="preserve">Vitis x interspécifique cv. Seibel 499</t>
  </si>
  <si>
    <t xml:space="preserve">Vitis x interspécifique cv. Seibel 4990</t>
  </si>
  <si>
    <t xml:space="preserve">Vitis x interspécifique cv. Seibel 4991</t>
  </si>
  <si>
    <t xml:space="preserve">Vitis x interspécifique cv. Seibel 4995</t>
  </si>
  <si>
    <t xml:space="preserve">Vitis x interspécifique cv. Seibel 5001</t>
  </si>
  <si>
    <t xml:space="preserve">Vitis x interspécifique cv. Seibel 5024</t>
  </si>
  <si>
    <t xml:space="preserve">Vitis x interspécifique cv. Seibel 5030</t>
  </si>
  <si>
    <t xml:space="preserve">Vitis x interspécifique cv. Seibel 5033</t>
  </si>
  <si>
    <t xml:space="preserve">Vitis x interspécifique cv. Seibel 5049</t>
  </si>
  <si>
    <t xml:space="preserve">Vitis x interspécifique cv. Seibel 5054</t>
  </si>
  <si>
    <t xml:space="preserve">Vitis x interspécifique cv. Seibel 5056</t>
  </si>
  <si>
    <t xml:space="preserve">Vitis x interspécifique cv. Seibel 5061</t>
  </si>
  <si>
    <t xml:space="preserve">Vitis x interspécifique cv. Seibel 5110</t>
  </si>
  <si>
    <t xml:space="preserve">Vitis x interspécifique cv. Seibel 5118</t>
  </si>
  <si>
    <t xml:space="preserve">Vitis x interspécifique cv. Seibel 5123</t>
  </si>
  <si>
    <t xml:space="preserve">Vitis x interspécifique cv. Seibel 5124</t>
  </si>
  <si>
    <t xml:space="preserve">Vitis x interspécifique cv. Seibel 5135</t>
  </si>
  <si>
    <t xml:space="preserve">Vitis x interspécifique cv. Seibel 5136</t>
  </si>
  <si>
    <t xml:space="preserve">Vitis x interspécifique cv. Seibel 5145</t>
  </si>
  <si>
    <t xml:space="preserve">Vitis x interspécifique cv. Seibel 5149</t>
  </si>
  <si>
    <t xml:space="preserve">Vitis x interspécifique cv. Seibel 5163</t>
  </si>
  <si>
    <t xml:space="preserve">Vitis x interspécifique cv. Seibel 5170</t>
  </si>
  <si>
    <t xml:space="preserve">Vitis x interspécifique cv. Seibel 5178</t>
  </si>
  <si>
    <t xml:space="preserve">Vitis x interspécifique cv. Seibel 5181</t>
  </si>
  <si>
    <t xml:space="preserve">Vitis x interspécifique cv. Seibel 5182</t>
  </si>
  <si>
    <t xml:space="preserve">Vitis x interspécifique cv. Seibel 5188</t>
  </si>
  <si>
    <t xml:space="preserve">Vitis x interspécifique cv. Seibel 5191</t>
  </si>
  <si>
    <t xml:space="preserve">Vitis x interspécifique cv. Seibel 5195</t>
  </si>
  <si>
    <t xml:space="preserve">Vitis x interspécifique cv. Seibel 5202</t>
  </si>
  <si>
    <t xml:space="preserve">Vitis x interspécifique cv. Seibel 5204</t>
  </si>
  <si>
    <t xml:space="preserve">Vitis x interspécifique cv. Seibel 5205</t>
  </si>
  <si>
    <t xml:space="preserve">Vitis x interspécifique cv. Seibel 5213</t>
  </si>
  <si>
    <t xml:space="preserve">Vitis x interspécifique cv. Seibel 5225</t>
  </si>
  <si>
    <t xml:space="preserve">Vitis x interspécifique cv. Seibel 5231</t>
  </si>
  <si>
    <t xml:space="preserve">Vitis x interspécifique cv. Seibel 5241</t>
  </si>
  <si>
    <t xml:space="preserve">Vitis x interspécifique cv. Seibel 5257</t>
  </si>
  <si>
    <t xml:space="preserve">Vitis x interspécifique cv. Seibel 5259</t>
  </si>
  <si>
    <t xml:space="preserve">Vitis x interspécifique cv. Seibel 5272</t>
  </si>
  <si>
    <t xml:space="preserve">Vitis x interspécifique cv. Seibel 5274</t>
  </si>
  <si>
    <t xml:space="preserve">Vitis x interspécifique cv. Seibel 5275</t>
  </si>
  <si>
    <t xml:space="preserve">Vitis x interspécifique cv. Seibel 5292</t>
  </si>
  <si>
    <t xml:space="preserve">Vitis x interspécifique cv. Seibel 5296</t>
  </si>
  <si>
    <t xml:space="preserve">Vitis x interspécifique cv. Seibel 5299</t>
  </si>
  <si>
    <t xml:space="preserve">Vitis x interspécifique cv. Seibel 5302</t>
  </si>
  <si>
    <t xml:space="preserve">Vitis x interspécifique cv. Seibel 5308</t>
  </si>
  <si>
    <t xml:space="preserve">Vitis x interspécifique cv. Seibel 5310</t>
  </si>
  <si>
    <t xml:space="preserve">Vitis x interspécifique cv. Seibel 5313</t>
  </si>
  <si>
    <t xml:space="preserve">Vitis x interspécifique cv. Seibel 5316</t>
  </si>
  <si>
    <t xml:space="preserve">Vitis x interspécifique cv. Seibel 5319</t>
  </si>
  <si>
    <t xml:space="preserve">Vitis x interspécifique cv. Seibel 5322</t>
  </si>
  <si>
    <t xml:space="preserve">Vitis x interspécifique cv. Seibel 5326</t>
  </si>
  <si>
    <t xml:space="preserve">Vitis x interspécifique cv. Seibel 5329</t>
  </si>
  <si>
    <t xml:space="preserve">Vitis x interspécifique cv. Seibel 5335</t>
  </si>
  <si>
    <t xml:space="preserve">Vitis x interspécifique cv. Seibel 5339</t>
  </si>
  <si>
    <t xml:space="preserve">Vitis x interspécifique cv. Seibel 5351</t>
  </si>
  <si>
    <t xml:space="preserve">Vitis x interspécifique cv. Seibel 5356</t>
  </si>
  <si>
    <t xml:space="preserve">Vitis x interspécifique cv. Seibel 5362</t>
  </si>
  <si>
    <t xml:space="preserve">Vitis x interspécifique cv. Seibel 5371</t>
  </si>
  <si>
    <t xml:space="preserve">Vitis x interspécifique cv. Seibel 5391</t>
  </si>
  <si>
    <t xml:space="preserve">Vitis x interspécifique cv. Seibel 54</t>
  </si>
  <si>
    <t xml:space="preserve">Vitis x interspécifique cv. Seibel 5405</t>
  </si>
  <si>
    <t xml:space="preserve">Vitis x interspécifique cv. Seibel 5408</t>
  </si>
  <si>
    <t xml:space="preserve">Vitis x interspécifique cv. Seibel 5409</t>
  </si>
  <si>
    <t xml:space="preserve">Vitis x interspécifique cv. Seibel 5410</t>
  </si>
  <si>
    <t xml:space="preserve">Vitis x interspécifique cv. Seibel 5412</t>
  </si>
  <si>
    <t xml:space="preserve">Vitis x interspécifique cv. Seibel 5431</t>
  </si>
  <si>
    <t xml:space="preserve">Vitis x interspécifique cv. Seibel 5437</t>
  </si>
  <si>
    <t xml:space="preserve">Vitis x interspécifique cv. Seibel 5450</t>
  </si>
  <si>
    <t xml:space="preserve">Vitis x interspécifique cv. Seibel 5466</t>
  </si>
  <si>
    <t xml:space="preserve">Vitis x interspécifique cv. Seibel 5474</t>
  </si>
  <si>
    <t xml:space="preserve">Vitis x interspécifique cv. Seibel 5484</t>
  </si>
  <si>
    <t xml:space="preserve">Vitis x interspécifique cv. Seibel 5485</t>
  </si>
  <si>
    <t xml:space="preserve">Vitis x interspécifique cv. Seibel 5486</t>
  </si>
  <si>
    <t xml:space="preserve">Vitis x interspécifique cv. Seibel 5487</t>
  </si>
  <si>
    <t xml:space="preserve">Vitis x interspécifique cv. Seibel 5504</t>
  </si>
  <si>
    <t xml:space="preserve">Vitis x interspécifique cv. Seibel 5539</t>
  </si>
  <si>
    <t xml:space="preserve">Vitis x interspécifique cv. Seibel 5551</t>
  </si>
  <si>
    <t xml:space="preserve">Vitis x interspécifique cv. Seibel 5560</t>
  </si>
  <si>
    <t xml:space="preserve">Vitis x interspécifique cv. Seibel 5561</t>
  </si>
  <si>
    <t xml:space="preserve">Vitis x interspécifique cv. Seibel 5574</t>
  </si>
  <si>
    <t xml:space="preserve">Vitis x interspécifique cv. Seibel 5580</t>
  </si>
  <si>
    <t xml:space="preserve">Vitis x interspécifique cv. Seibel 5586</t>
  </si>
  <si>
    <t xml:space="preserve">Vitis x interspécifique cv. Seibel 5593</t>
  </si>
  <si>
    <t xml:space="preserve">Vitis x interspécifique cv. Seibel 5624</t>
  </si>
  <si>
    <t xml:space="preserve">Vitis x interspécifique cv. Seibel 5632</t>
  </si>
  <si>
    <t xml:space="preserve">Vitis x interspécifique cv. Seibel 5652</t>
  </si>
  <si>
    <t xml:space="preserve">Vitis x interspécifique cv. Seibel 5653</t>
  </si>
  <si>
    <t xml:space="preserve">Vitis x interspécifique cv. Seibel 5656</t>
  </si>
  <si>
    <t xml:space="preserve">Vitis x interspécifique cv. Seibel 5658</t>
  </si>
  <si>
    <t xml:space="preserve">Vitis x interspécifique cv. Seibel 5663</t>
  </si>
  <si>
    <t xml:space="preserve">Vitis x interspécifique cv. Seibel 5683</t>
  </si>
  <si>
    <t xml:space="preserve">Vitis x interspécifique cv. Seibel 5689</t>
  </si>
  <si>
    <t xml:space="preserve">Vitis x interspécifique cv. Seibel 5717</t>
  </si>
  <si>
    <t xml:space="preserve">Vitis x interspécifique cv. Seibel 5744</t>
  </si>
  <si>
    <t xml:space="preserve">Vitis x interspécifique cv. Seibel 5757</t>
  </si>
  <si>
    <t xml:space="preserve">Vitis x interspécifique cv. Seibel 5763</t>
  </si>
  <si>
    <t xml:space="preserve">Vitis x interspécifique cv. Seibel 5773</t>
  </si>
  <si>
    <t xml:space="preserve">Vitis x interspécifique cv. Seibel 5775</t>
  </si>
  <si>
    <t xml:space="preserve">Vitis x interspécifique cv. Seibel 5778</t>
  </si>
  <si>
    <t xml:space="preserve">Vitis x interspécifique cv. Seibel 5785</t>
  </si>
  <si>
    <t xml:space="preserve">Vitis x interspécifique cv. Seibel 5810</t>
  </si>
  <si>
    <t xml:space="preserve">Vitis x interspécifique cv. Seibel 5813</t>
  </si>
  <si>
    <t xml:space="preserve">Vitis x interspécifique cv. Seibel 5815</t>
  </si>
  <si>
    <t xml:space="preserve">Vitis x interspécifique cv. Seibel 5819</t>
  </si>
  <si>
    <t xml:space="preserve">Vitis x interspécifique cv. Seibel 5820</t>
  </si>
  <si>
    <t xml:space="preserve">Vitis x interspécifique cv. Seibel 5826</t>
  </si>
  <si>
    <t xml:space="preserve">Vitis x interspécifique cv. Seibel 5839</t>
  </si>
  <si>
    <t xml:space="preserve">Vitis x interspécifique cv. Seibel 5854</t>
  </si>
  <si>
    <t xml:space="preserve">Vitis x interspécifique cv. Seibel 5860</t>
  </si>
  <si>
    <t xml:space="preserve">Vitis x interspécifique cv. Seibel 5883</t>
  </si>
  <si>
    <t xml:space="preserve">Vitis x interspécifique cv. Seibel 5889</t>
  </si>
  <si>
    <t xml:space="preserve">Vitis x interspécifique cv. Seibel 5890</t>
  </si>
  <si>
    <t xml:space="preserve">Vitis x interspécifique cv. Seibel 5891</t>
  </si>
  <si>
    <t xml:space="preserve">Vitis x interspécifique cv. Seibel 5897</t>
  </si>
  <si>
    <t xml:space="preserve">Vitis x interspécifique cv. Seibel 5900</t>
  </si>
  <si>
    <t xml:space="preserve">Vitis x interspécifique cv. Seibel 5903</t>
  </si>
  <si>
    <t xml:space="preserve">Vitis x interspécifique cv. Seibel 5907</t>
  </si>
  <si>
    <t xml:space="preserve">Vitis x interspécifique cv. Seibel 5908</t>
  </si>
  <si>
    <t xml:space="preserve">Vitis x interspécifique cv. Seibel 5912</t>
  </si>
  <si>
    <t xml:space="preserve">Vitis x interspécifique cv. Seibel 5915</t>
  </si>
  <si>
    <t xml:space="preserve">Vitis x interspécifique cv. Seibel 5916</t>
  </si>
  <si>
    <t xml:space="preserve">Vitis x interspécifique cv. Seibel 5917</t>
  </si>
  <si>
    <t xml:space="preserve">Vitis x interspécifique cv. Seibel 5937</t>
  </si>
  <si>
    <t xml:space="preserve">Vitis x interspécifique cv. Seibel 5946</t>
  </si>
  <si>
    <t xml:space="preserve">Vitis x interspécifique cv. Seibel 5952</t>
  </si>
  <si>
    <t xml:space="preserve">Vitis x interspécifique cv. Seibel 5966</t>
  </si>
  <si>
    <t xml:space="preserve">Vitis x interspécifique cv. Seibel 5979</t>
  </si>
  <si>
    <t xml:space="preserve">Vitis x interspécifique cv. Seibel 600</t>
  </si>
  <si>
    <t xml:space="preserve">Vitis x interspécifique cv. Seibel 6003</t>
  </si>
  <si>
    <t xml:space="preserve">Vitis x interspécifique cv. Seibel 6004</t>
  </si>
  <si>
    <t xml:space="preserve">Vitis x interspécifique cv. Seibel 6010</t>
  </si>
  <si>
    <t xml:space="preserve">Vitis x interspécifique cv. Seibel 6011</t>
  </si>
  <si>
    <t xml:space="preserve">Vitis x interspécifique cv. Seibel 6013</t>
  </si>
  <si>
    <t xml:space="preserve">Vitis x interspécifique cv. Seibel 6022</t>
  </si>
  <si>
    <t xml:space="preserve">Vitis x interspécifique cv. Seibel 6027</t>
  </si>
  <si>
    <t xml:space="preserve">Vitis x interspécifique cv. Seibel 6029</t>
  </si>
  <si>
    <t xml:space="preserve">Vitis x interspécifique cv. Seibel 6036</t>
  </si>
  <si>
    <t xml:space="preserve">Vitis x interspécifique cv. Seibel 6042</t>
  </si>
  <si>
    <t xml:space="preserve">Vitis x interspécifique cv. Seibel 6045</t>
  </si>
  <si>
    <t xml:space="preserve">Vitis x interspécifique cv. Seibel 6062</t>
  </si>
  <si>
    <t xml:space="preserve">Vitis x interspécifique cv. Seibel 6064</t>
  </si>
  <si>
    <t xml:space="preserve">Vitis x interspécifique cv. Seibel 6080</t>
  </si>
  <si>
    <t xml:space="preserve">Vitis x interspécifique cv. Seibel 6086</t>
  </si>
  <si>
    <t xml:space="preserve">Vitis x interspécifique cv. Seibel 6088</t>
  </si>
  <si>
    <t xml:space="preserve">Vitis x interspécifique cv. Seibel 6090</t>
  </si>
  <si>
    <t xml:space="preserve">Vitis x interspécifique cv. Seibel 6092</t>
  </si>
  <si>
    <t xml:space="preserve">Vitis x interspécifique cv. Seibel 6093</t>
  </si>
  <si>
    <t xml:space="preserve">Vitis x interspécifique cv. Seibel 6094</t>
  </si>
  <si>
    <t xml:space="preserve">Vitis x interspécifique cv. Seibel 6096</t>
  </si>
  <si>
    <t xml:space="preserve">Vitis x interspécifique cv. Seibel 6102</t>
  </si>
  <si>
    <t xml:space="preserve">Vitis x interspécifique cv. Seibel 6106</t>
  </si>
  <si>
    <t xml:space="preserve">Vitis x interspécifique cv. Seibel 6111</t>
  </si>
  <si>
    <t xml:space="preserve">Vitis x interspécifique cv. Seibel 6115</t>
  </si>
  <si>
    <t xml:space="preserve">Vitis x interspécifique cv. Seibel 6126</t>
  </si>
  <si>
    <t xml:space="preserve">Vitis x interspécifique cv. Seibel 6132</t>
  </si>
  <si>
    <t xml:space="preserve">Vitis x interspécifique cv. Seibel 6143</t>
  </si>
  <si>
    <t xml:space="preserve">Vitis x interspécifique cv. Seibel 6151</t>
  </si>
  <si>
    <t xml:space="preserve">Vitis x interspécifique cv. Seibel 6155</t>
  </si>
  <si>
    <t xml:space="preserve">Vitis x interspécifique cv. Seibel 6158</t>
  </si>
  <si>
    <t xml:space="preserve">Vitis x interspécifique cv. Seibel 6165</t>
  </si>
  <si>
    <t xml:space="preserve">Vitis x interspécifique cv. Seibel 6168</t>
  </si>
  <si>
    <t xml:space="preserve">Vitis x interspécifique cv. Seibel 6170</t>
  </si>
  <si>
    <t xml:space="preserve">Vitis x interspécifique cv. Seibel 6179</t>
  </si>
  <si>
    <t xml:space="preserve">Vitis x interspécifique cv. Seibel 6186</t>
  </si>
  <si>
    <t xml:space="preserve">Vitis x interspécifique cv. Seibel 6209</t>
  </si>
  <si>
    <t xml:space="preserve">Vitis x interspécifique cv. Seibel 6213</t>
  </si>
  <si>
    <t xml:space="preserve">Vitis x interspécifique cv. Seibel 6214</t>
  </si>
  <si>
    <t xml:space="preserve">Vitis x interspécifique cv. Seibel 6229</t>
  </si>
  <si>
    <t xml:space="preserve">Vitis x interspécifique cv. Seibel 6233</t>
  </si>
  <si>
    <t xml:space="preserve">Vitis x interspécifique cv. Seibel 6269</t>
  </si>
  <si>
    <t xml:space="preserve">Vitis x interspécifique cv. Seibel 6278</t>
  </si>
  <si>
    <t xml:space="preserve">Vitis x interspécifique cv. Seibel 6288</t>
  </si>
  <si>
    <t xml:space="preserve">Vitis x interspécifique cv. Seibel 6289</t>
  </si>
  <si>
    <t xml:space="preserve">Vitis x interspécifique cv. Seibel 6293</t>
  </si>
  <si>
    <t xml:space="preserve">Vitis x interspécifique cv. Seibel 63</t>
  </si>
  <si>
    <t xml:space="preserve">Vitis x interspécifique cv. Seibel 6318</t>
  </si>
  <si>
    <t xml:space="preserve">Vitis x interspécifique cv. Seibel 6339</t>
  </si>
  <si>
    <t xml:space="preserve">Vitis x interspécifique cv. Seibel 6350</t>
  </si>
  <si>
    <t xml:space="preserve">Vitis x interspécifique cv. Seibel 6403</t>
  </si>
  <si>
    <t xml:space="preserve">Vitis x interspécifique cv. Seibel 6419</t>
  </si>
  <si>
    <t xml:space="preserve">Vitis x interspécifique cv. Seibel 6423</t>
  </si>
  <si>
    <t xml:space="preserve">Vitis x interspécifique cv. Seibel 6425</t>
  </si>
  <si>
    <t xml:space="preserve">Vitis x interspécifique cv. Seibel 6426</t>
  </si>
  <si>
    <t xml:space="preserve">Vitis x interspécifique cv. Seibel 6439</t>
  </si>
  <si>
    <t xml:space="preserve">Vitis x interspécifique cv. Seibel 6455</t>
  </si>
  <si>
    <t xml:space="preserve">Vitis x interspécifique cv. Seibel 6460</t>
  </si>
  <si>
    <t xml:space="preserve">Vitis x interspécifique cv. Seibel 6468</t>
  </si>
  <si>
    <t xml:space="preserve">Vitis x interspécifique cv. Seibel 6478</t>
  </si>
  <si>
    <t xml:space="preserve">Vitis x interspécifique cv. Seibel 6484</t>
  </si>
  <si>
    <t xml:space="preserve">Vitis x interspécifique cv. Seibel 6488</t>
  </si>
  <si>
    <t xml:space="preserve">Vitis x interspécifique cv. Seibel 6491</t>
  </si>
  <si>
    <t xml:space="preserve">Vitis x interspécifique cv. Seibel 6496</t>
  </si>
  <si>
    <t xml:space="preserve">Vitis x interspécifique cv. Seibel 6500</t>
  </si>
  <si>
    <t xml:space="preserve">Vitis x interspécifique cv. Seibel 6572</t>
  </si>
  <si>
    <t xml:space="preserve">Vitis x interspécifique cv. Seibel 6578</t>
  </si>
  <si>
    <t xml:space="preserve">Vitis x interspécifique cv. Seibel 6605</t>
  </si>
  <si>
    <t xml:space="preserve">Vitis x interspécifique cv. Seibel 6606</t>
  </si>
  <si>
    <t xml:space="preserve">Vitis x interspécifique cv. Seibel 6623</t>
  </si>
  <si>
    <t xml:space="preserve">Vitis x interspécifique cv. Seibel 670</t>
  </si>
  <si>
    <t xml:space="preserve">Vitis x interspécifique cv. Seibel 6702</t>
  </si>
  <si>
    <t xml:space="preserve">Vitis x interspécifique cv. Seibel 6711</t>
  </si>
  <si>
    <t xml:space="preserve">Vitis x interspécifique cv. Seibel 6717</t>
  </si>
  <si>
    <t xml:space="preserve">Vitis x interspécifique cv. Seibel 6720</t>
  </si>
  <si>
    <t xml:space="preserve">Vitis x interspécifique cv. Seibel 6732</t>
  </si>
  <si>
    <t xml:space="preserve">Vitis x interspécifique cv. Seibel 6733</t>
  </si>
  <si>
    <t xml:space="preserve">Vitis x interspécifique cv. Seibel 6735</t>
  </si>
  <si>
    <t xml:space="preserve">Vitis x interspécifique cv. Seibel 6738</t>
  </si>
  <si>
    <t xml:space="preserve">Vitis x interspécifique cv. Seibel 6739</t>
  </si>
  <si>
    <t xml:space="preserve">Vitis x interspécifique cv. Seibel 6740</t>
  </si>
  <si>
    <t xml:space="preserve">Vitis x interspécifique cv. Seibel 6746</t>
  </si>
  <si>
    <t xml:space="preserve">Vitis x interspécifique cv. Seibel 6751</t>
  </si>
  <si>
    <t xml:space="preserve">Vitis x interspécifique cv. Seibel 6758</t>
  </si>
  <si>
    <t xml:space="preserve">Vitis x interspécifique cv. Seibel 6778</t>
  </si>
  <si>
    <t xml:space="preserve">Vitis x interspécifique cv. Seibel 6779</t>
  </si>
  <si>
    <t xml:space="preserve">Vitis x interspécifique cv. Seibel 6780</t>
  </si>
  <si>
    <t xml:space="preserve">Vitis x interspécifique cv. Seibel 6824</t>
  </si>
  <si>
    <t xml:space="preserve">Vitis x interspécifique cv. Seibel 6830</t>
  </si>
  <si>
    <t xml:space="preserve">Vitis x interspécifique cv. Seibel 6862</t>
  </si>
  <si>
    <t xml:space="preserve">Vitis x interspécifique cv. Seibel 6876</t>
  </si>
  <si>
    <t xml:space="preserve">Vitis x interspécifique cv. Seibel 6906</t>
  </si>
  <si>
    <t xml:space="preserve">Vitis x interspécifique cv. Seibel 6968</t>
  </si>
  <si>
    <t xml:space="preserve">Vitis x interspécifique cv. Seibel 6976</t>
  </si>
  <si>
    <t xml:space="preserve">Vitis x interspécifique cv. Seibel 6980</t>
  </si>
  <si>
    <t xml:space="preserve">Vitis x interspécifique cv. Seibel 70</t>
  </si>
  <si>
    <t xml:space="preserve">Vitis x interspécifique cv. Seibel 7000</t>
  </si>
  <si>
    <t xml:space="preserve">Vitis x interspécifique cv. Seibel 7001</t>
  </si>
  <si>
    <t xml:space="preserve">Vitis x interspécifique cv. Seibel 7005</t>
  </si>
  <si>
    <t xml:space="preserve">Vitis x interspécifique cv. Seibel 7011</t>
  </si>
  <si>
    <t xml:space="preserve">Vitis x interspécifique cv. Seibel 7016</t>
  </si>
  <si>
    <t xml:space="preserve">Vitis x interspécifique cv. Seibel 7022</t>
  </si>
  <si>
    <t xml:space="preserve">Vitis x interspécifique cv. Seibel 7033</t>
  </si>
  <si>
    <t xml:space="preserve">Vitis x interspécifique cv. Seibel 7036</t>
  </si>
  <si>
    <t xml:space="preserve">Vitis x interspécifique cv. Seibel 7042</t>
  </si>
  <si>
    <t xml:space="preserve">Vitis x interspécifique cv. Seibel 7044</t>
  </si>
  <si>
    <t xml:space="preserve">Vitis x interspécifique cv. Seibel 7046</t>
  </si>
  <si>
    <t xml:space="preserve">Vitis x interspécifique cv. Seibel 7047</t>
  </si>
  <si>
    <t xml:space="preserve">Vitis x interspécifique cv. Seibel 7052</t>
  </si>
  <si>
    <t xml:space="preserve">Vitis x interspécifique cv. Seibel 7056</t>
  </si>
  <si>
    <t xml:space="preserve">Vitis x interspécifique cv. Seibel 7071</t>
  </si>
  <si>
    <t xml:space="preserve">Vitis x interspécifique cv. Seibel 7080</t>
  </si>
  <si>
    <t xml:space="preserve">Vitis x interspécifique cv. Seibel 7082</t>
  </si>
  <si>
    <t xml:space="preserve">Vitis x interspécifique cv. Seibel 7085</t>
  </si>
  <si>
    <t xml:space="preserve">Vitis x interspécifique cv. Seibel 7090</t>
  </si>
  <si>
    <t xml:space="preserve">Vitis x interspécifique cv. Seibel 7093</t>
  </si>
  <si>
    <t xml:space="preserve">Vitis x interspécifique cv. Seibel 7099</t>
  </si>
  <si>
    <t xml:space="preserve">Vitis x interspécifique cv. Seibel 71</t>
  </si>
  <si>
    <t xml:space="preserve">Vitis x interspécifique cv. Seibel 7100</t>
  </si>
  <si>
    <t xml:space="preserve">Vitis x interspécifique cv. Seibel 7122 faux</t>
  </si>
  <si>
    <t xml:space="preserve">Vitis x interspécifique cv. Seibel 7123</t>
  </si>
  <si>
    <t xml:space="preserve">Vitis x interspécifique cv. Seibel 7130</t>
  </si>
  <si>
    <t xml:space="preserve">Vitis x interspécifique cv. Seibel 7135</t>
  </si>
  <si>
    <t xml:space="preserve">Vitis x interspécifique cv. Seibel 7136</t>
  </si>
  <si>
    <t xml:space="preserve">Vitis x interspécifique cv. Seibel 7140</t>
  </si>
  <si>
    <t xml:space="preserve">Vitis x interspécifique cv. Seibel 7144</t>
  </si>
  <si>
    <t xml:space="preserve">Vitis x interspécifique cv. Seibel 7145</t>
  </si>
  <si>
    <t xml:space="preserve">Vitis x interspécifique cv. Seibel 7157</t>
  </si>
  <si>
    <t xml:space="preserve">Vitis x interspécifique cv. Seibel 7162</t>
  </si>
  <si>
    <t xml:space="preserve">Vitis x interspécifique cv. Seibel 7181</t>
  </si>
  <si>
    <t xml:space="preserve">Vitis x interspécifique cv. Seibel 720</t>
  </si>
  <si>
    <t xml:space="preserve">Vitis x interspécifique cv. Seibel 7226</t>
  </si>
  <si>
    <t xml:space="preserve">Vitis x interspécifique cv. Seibel 7228</t>
  </si>
  <si>
    <t xml:space="preserve">Vitis x interspécifique cv. Seibel 7229</t>
  </si>
  <si>
    <t xml:space="preserve">Vitis x interspécifique cv. Seibel 7291</t>
  </si>
  <si>
    <t xml:space="preserve">Vitis x interspécifique cv. Seibel 7303</t>
  </si>
  <si>
    <t xml:space="preserve">Vitis x interspécifique cv. Seibel 7311</t>
  </si>
  <si>
    <t xml:space="preserve">Vitis x interspécifique cv. Seibel 7312</t>
  </si>
  <si>
    <t xml:space="preserve">Vitis x interspécifique cv. Seibel 7315</t>
  </si>
  <si>
    <t xml:space="preserve">Vitis x interspécifique cv. Seibel 7319</t>
  </si>
  <si>
    <t xml:space="preserve">Vitis x interspécifique cv. Seibel 7324</t>
  </si>
  <si>
    <t xml:space="preserve">Vitis x interspécifique cv. Seibel 7332</t>
  </si>
  <si>
    <t xml:space="preserve">Vitis x interspécifique cv. Seibel 7338</t>
  </si>
  <si>
    <t xml:space="preserve">Vitis x interspécifique cv. Seibel 7347</t>
  </si>
  <si>
    <t xml:space="preserve">Vitis x interspécifique cv. Seibel 7349</t>
  </si>
  <si>
    <t xml:space="preserve">Vitis x interspécifique cv. Seibel 7369</t>
  </si>
  <si>
    <t xml:space="preserve">Vitis x interspécifique cv. Seibel 7374</t>
  </si>
  <si>
    <t xml:space="preserve">Vitis x interspécifique cv. Seibel 7380</t>
  </si>
  <si>
    <t xml:space="preserve">Vitis x interspécifique cv. Seibel 7381</t>
  </si>
  <si>
    <t xml:space="preserve">Vitis x interspécifique cv. Seibel 7511</t>
  </si>
  <si>
    <t xml:space="preserve">Vitis x interspécifique cv. Seibel 7523</t>
  </si>
  <si>
    <t xml:space="preserve">Vitis x interspécifique cv. Seibel 7524</t>
  </si>
  <si>
    <t xml:space="preserve">Vitis x interspécifique cv. Seibel 753</t>
  </si>
  <si>
    <t xml:space="preserve">Vitis x interspécifique cv. Seibel 7530</t>
  </si>
  <si>
    <t xml:space="preserve">Vitis x interspécifique cv. Seibel 7545</t>
  </si>
  <si>
    <t xml:space="preserve">Vitis x interspécifique cv. Seibel 7566</t>
  </si>
  <si>
    <t xml:space="preserve">Vitis x interspécifique cv. Seibel 7568</t>
  </si>
  <si>
    <t xml:space="preserve">Vitis x interspécifique cv. Seibel 7574</t>
  </si>
  <si>
    <t xml:space="preserve">Vitis x interspécifique cv. Seibel 7584</t>
  </si>
  <si>
    <t xml:space="preserve">Vitis x interspécifique cv. Seibel 7587</t>
  </si>
  <si>
    <t xml:space="preserve">Vitis x interspécifique cv. Seibel 7598</t>
  </si>
  <si>
    <t xml:space="preserve">Vitis x interspécifique cv. Seibel 7603</t>
  </si>
  <si>
    <t xml:space="preserve">Vitis x interspécifique cv. Seibel 7606</t>
  </si>
  <si>
    <t xml:space="preserve">Vitis x interspécifique cv. Seibel 7608</t>
  </si>
  <si>
    <t xml:space="preserve">Vitis x interspécifique cv. Seibel 7609</t>
  </si>
  <si>
    <t xml:space="preserve">Vitis x interspécifique cv. Seibel 7617</t>
  </si>
  <si>
    <t xml:space="preserve">Vitis x interspécifique cv. Seibel 7620</t>
  </si>
  <si>
    <t xml:space="preserve">Vitis x interspécifique cv. Seibel 7622</t>
  </si>
  <si>
    <t xml:space="preserve">Vitis x interspécifique cv. Seibel 7632</t>
  </si>
  <si>
    <t xml:space="preserve">Vitis x interspécifique cv. Seibel 7635</t>
  </si>
  <si>
    <t xml:space="preserve">Vitis x interspécifique cv. Seibel 7668</t>
  </si>
  <si>
    <t xml:space="preserve">Vitis x interspécifique cv. Seibel 7672</t>
  </si>
  <si>
    <t xml:space="preserve">Vitis x interspécifique cv. Seibel 7673</t>
  </si>
  <si>
    <t xml:space="preserve">Vitis x interspécifique cv. Seibel 7721</t>
  </si>
  <si>
    <t xml:space="preserve">Vitis x interspécifique cv. Seibel 7787</t>
  </si>
  <si>
    <t xml:space="preserve">Vitis x interspécifique cv. Seibel 7791</t>
  </si>
  <si>
    <t xml:space="preserve">Vitis x interspécifique cv. Seibel 78</t>
  </si>
  <si>
    <t xml:space="preserve">Vitis x interspécifique cv. Seibel 7808</t>
  </si>
  <si>
    <t xml:space="preserve">Vitis x interspécifique cv. Seibel 782</t>
  </si>
  <si>
    <t xml:space="preserve">Vitis x interspécifique cv. Seibel 7822</t>
  </si>
  <si>
    <t xml:space="preserve">Vitis x interspécifique cv. Seibel 7828</t>
  </si>
  <si>
    <t xml:space="preserve">Vitis x interspécifique cv. Seibel 7833</t>
  </si>
  <si>
    <t xml:space="preserve">Vitis x interspécifique cv. Seibel 7871</t>
  </si>
  <si>
    <t xml:space="preserve">Vitis x interspécifique cv. Seibel 7882</t>
  </si>
  <si>
    <t xml:space="preserve">Vitis x interspécifique cv. Seibel 7892</t>
  </si>
  <si>
    <t xml:space="preserve">Vitis x interspécifique cv. Seibel 7905</t>
  </si>
  <si>
    <t xml:space="preserve">Vitis x interspécifique cv. Seibel 7963</t>
  </si>
  <si>
    <t xml:space="preserve">Vitis x interspécifique cv. Seibel 7984</t>
  </si>
  <si>
    <t xml:space="preserve">Vitis x interspécifique cv. Seibel 8</t>
  </si>
  <si>
    <t xml:space="preserve">Vitis x interspécifique cv. Seibel 8101</t>
  </si>
  <si>
    <t xml:space="preserve">Vitis x interspécifique cv. Seibel 8116</t>
  </si>
  <si>
    <t xml:space="preserve">Vitis x interspécifique cv. Seibel 8120</t>
  </si>
  <si>
    <t xml:space="preserve">Vitis x interspécifique cv. Seibel 8134</t>
  </si>
  <si>
    <t xml:space="preserve">Vitis x interspécifique cv. Seibel 82</t>
  </si>
  <si>
    <t xml:space="preserve">Vitis x interspécifique cv. Seibel 8203</t>
  </si>
  <si>
    <t xml:space="preserve">Vitis x interspécifique cv. Seibel 8206</t>
  </si>
  <si>
    <t xml:space="preserve">Vitis x interspécifique cv. Seibel 8209</t>
  </si>
  <si>
    <t xml:space="preserve">Vitis x interspécifique cv. Seibel 8213</t>
  </si>
  <si>
    <t xml:space="preserve">Vitis x interspécifique cv. Seibel 8214</t>
  </si>
  <si>
    <t xml:space="preserve">Vitis x interspécifique cv. Seibel 8216</t>
  </si>
  <si>
    <t xml:space="preserve">Vitis x interspécifique cv. Seibel 8217</t>
  </si>
  <si>
    <t xml:space="preserve">Vitis x interspécifique cv. Seibel 8218</t>
  </si>
  <si>
    <t xml:space="preserve">Vitis x interspécifique cv. Seibel 8219</t>
  </si>
  <si>
    <t xml:space="preserve">Vitis x interspécifique cv. Seibel 8220</t>
  </si>
  <si>
    <t xml:space="preserve">Vitis x interspécifique cv. Seibel 8223</t>
  </si>
  <si>
    <t xml:space="preserve">Vitis x interspécifique cv. Seibel 8224</t>
  </si>
  <si>
    <t xml:space="preserve">Vitis x interspécifique cv. Seibel 8225</t>
  </si>
  <si>
    <t xml:space="preserve">Vitis x interspécifique cv. Seibel 8229</t>
  </si>
  <si>
    <t xml:space="preserve">Vitis x interspécifique cv. Seibel 8231</t>
  </si>
  <si>
    <t xml:space="preserve">Vitis x interspécifique cv. Seibel 8238</t>
  </si>
  <si>
    <t xml:space="preserve">Vitis x interspécifique cv. Seibel 8239</t>
  </si>
  <si>
    <t xml:space="preserve">Vitis x interspécifique cv. Seibel 8243</t>
  </si>
  <si>
    <t xml:space="preserve">Vitis x interspécifique cv. Seibel 8259</t>
  </si>
  <si>
    <t xml:space="preserve">Vitis x interspécifique cv. Seibel 8265</t>
  </si>
  <si>
    <t xml:space="preserve">Vitis x interspécifique cv. Seibel 8336</t>
  </si>
  <si>
    <t xml:space="preserve">Vitis x interspécifique cv. Seibel 8337</t>
  </si>
  <si>
    <t xml:space="preserve">Vitis x interspécifique cv. Seibel 8343</t>
  </si>
  <si>
    <t xml:space="preserve">Vitis x interspécifique cv. Seibel 8355</t>
  </si>
  <si>
    <t xml:space="preserve">Vitis x interspécifique cv. Seibel 8361</t>
  </si>
  <si>
    <t xml:space="preserve">Vitis x interspécifique cv. Seibel 8365</t>
  </si>
  <si>
    <t xml:space="preserve">Vitis x interspécifique cv. Seibel 8376</t>
  </si>
  <si>
    <t xml:space="preserve">Vitis x interspécifique cv. Seibel 8380</t>
  </si>
  <si>
    <t xml:space="preserve">Vitis x interspécifique cv. Seibel 8382</t>
  </si>
  <si>
    <t xml:space="preserve">Vitis x interspécifique cv. Seibel 8390</t>
  </si>
  <si>
    <t xml:space="preserve">Vitis x interspécifique cv. Seibel 8392</t>
  </si>
  <si>
    <t xml:space="preserve">Vitis x interspécifique cv. Seibel 8397</t>
  </si>
  <si>
    <t xml:space="preserve">Vitis x interspécifique cv. Seibel 8402</t>
  </si>
  <si>
    <t xml:space="preserve">Vitis x interspécifique cv. Seibel 8407</t>
  </si>
  <si>
    <t xml:space="preserve">Vitis x interspécifique cv. Seibel 8418</t>
  </si>
  <si>
    <t xml:space="preserve">Vitis x interspécifique cv. Seibel 8447</t>
  </si>
  <si>
    <t xml:space="preserve">Vitis x interspécifique cv. Seibel 85</t>
  </si>
  <si>
    <t xml:space="preserve">Vitis x interspécifique cv. Seibel 8515</t>
  </si>
  <si>
    <t xml:space="preserve">Vitis x interspécifique cv. Seibel 8541</t>
  </si>
  <si>
    <t xml:space="preserve">Vitis x interspécifique cv. Seibel 8602</t>
  </si>
  <si>
    <t xml:space="preserve">Vitis x interspécifique cv. Seibel 8611</t>
  </si>
  <si>
    <t xml:space="preserve">Vitis x interspécifique cv. Seibel 8616</t>
  </si>
  <si>
    <t xml:space="preserve">Vitis x interspécifique cv. Seibel 8620</t>
  </si>
  <si>
    <t xml:space="preserve">Vitis x interspécifique cv. Seibel 8647</t>
  </si>
  <si>
    <t xml:space="preserve">Vitis x interspécifique cv. Seibel 867</t>
  </si>
  <si>
    <t xml:space="preserve">Vitis x interspécifique cv. Seibel 8675</t>
  </si>
  <si>
    <t xml:space="preserve">Vitis x interspécifique cv. Seibel 8678</t>
  </si>
  <si>
    <t xml:space="preserve">Vitis x interspécifique cv. Seibel 87</t>
  </si>
  <si>
    <t xml:space="preserve">Vitis x interspécifique cv. Seibel 8704</t>
  </si>
  <si>
    <t xml:space="preserve">Vitis x interspécifique cv. Seibel 8710</t>
  </si>
  <si>
    <t xml:space="preserve">Vitis x interspécifique cv. Seibel 8712</t>
  </si>
  <si>
    <t xml:space="preserve">Vitis x interspécifique cv. Seibel 8713</t>
  </si>
  <si>
    <t xml:space="preserve">Vitis x interspécifique cv. Seibel 8716</t>
  </si>
  <si>
    <t xml:space="preserve">Vitis x interspécifique cv. Seibel 8717</t>
  </si>
  <si>
    <t xml:space="preserve">Vitis x interspécifique cv. Seibel 8718</t>
  </si>
  <si>
    <t xml:space="preserve">Vitis x interspécifique cv. Seibel 8719</t>
  </si>
  <si>
    <t xml:space="preserve">Vitis x interspécifique cv. Seibel 8724</t>
  </si>
  <si>
    <t xml:space="preserve">Vitis x interspécifique cv. Seibel 8731</t>
  </si>
  <si>
    <t xml:space="preserve">Vitis x interspécifique cv. Seibel 8744</t>
  </si>
  <si>
    <t xml:space="preserve">Vitis x interspécifique cv. Seibel 8748</t>
  </si>
  <si>
    <t xml:space="preserve">Vitis x interspécifique cv. Seibel 8753</t>
  </si>
  <si>
    <t xml:space="preserve">Vitis x interspécifique cv. Seibel 8764</t>
  </si>
  <si>
    <t xml:space="preserve">Vitis x interspécifique cv. Seibel 877</t>
  </si>
  <si>
    <t xml:space="preserve">Vitis x interspécifique cv. Seibel 8786</t>
  </si>
  <si>
    <t xml:space="preserve">Vitis x interspécifique cv. Seibel 880</t>
  </si>
  <si>
    <t xml:space="preserve">Vitis x interspécifique cv. Seibel 8818</t>
  </si>
  <si>
    <t xml:space="preserve">Vitis x interspécifique cv. Seibel 8820</t>
  </si>
  <si>
    <t xml:space="preserve">Vitis x interspécifique cv. Seibel 8824</t>
  </si>
  <si>
    <t xml:space="preserve">Vitis x interspécifique cv. Seibel 8831</t>
  </si>
  <si>
    <t xml:space="preserve">Vitis x interspécifique cv. Seibel 8902</t>
  </si>
  <si>
    <t xml:space="preserve">Vitis x interspécifique cv. Seibel 8906</t>
  </si>
  <si>
    <t xml:space="preserve">Vitis x interspécifique cv. Seibel 8907</t>
  </si>
  <si>
    <t xml:space="preserve">Vitis x interspécifique cv. Seibel 8916</t>
  </si>
  <si>
    <t xml:space="preserve">Vitis x interspécifique cv. Seibel 8917</t>
  </si>
  <si>
    <t xml:space="preserve">Vitis x interspécifique cv. Seibel 8943</t>
  </si>
  <si>
    <t xml:space="preserve">Vitis x interspécifique cv. Seibel 8954</t>
  </si>
  <si>
    <t xml:space="preserve">Vitis x interspécifique cv. Seibel 8974</t>
  </si>
  <si>
    <t xml:space="preserve">Vitis x interspécifique cv. Seibel 9008</t>
  </si>
  <si>
    <t xml:space="preserve">Vitis x interspécifique cv. Seibel 9045</t>
  </si>
  <si>
    <t xml:space="preserve">Vitis x interspécifique cv. Seibel 9095</t>
  </si>
  <si>
    <t xml:space="preserve">Vitis x interspécifique cv. Seibel 9110</t>
  </si>
  <si>
    <t xml:space="preserve">Vitis x interspécifique cv. Seibel 9116</t>
  </si>
  <si>
    <t xml:space="preserve">Vitis x interspécifique cv. Seibel 9123</t>
  </si>
  <si>
    <t xml:space="preserve">Vitis x interspécifique cv. Seibel 9175</t>
  </si>
  <si>
    <t xml:space="preserve">Vitis x interspécifique cv. Seibel 9246</t>
  </si>
  <si>
    <t xml:space="preserve">Vitis x interspécifique cv. Seibel 9249</t>
  </si>
  <si>
    <t xml:space="preserve">Vitis x interspécifique cv. Seibel 9413</t>
  </si>
  <si>
    <t xml:space="preserve">Vitis x interspécifique cv. Seibel 9458</t>
  </si>
  <si>
    <t xml:space="preserve">Vitis x interspécifique cv. Seibel 9569</t>
  </si>
  <si>
    <t xml:space="preserve">Vitis x interspécifique cv. Seibel 9780</t>
  </si>
  <si>
    <t xml:space="preserve">Vitis x interspécifique cv. Seibel 9872</t>
  </si>
  <si>
    <t xml:space="preserve">Vitis x interspécifique cv. Seibel 9875/8</t>
  </si>
  <si>
    <t xml:space="preserve">Vitis x interspécifique cv. Seibel 9932</t>
  </si>
  <si>
    <t xml:space="preserve">Vitis x interspécifique cv. Seinoir = Seibel 8745</t>
  </si>
  <si>
    <t xml:space="preserve">Vitis x interspécifique cv. Semis de 41 B (Malleu)</t>
  </si>
  <si>
    <t xml:space="preserve">Vitis x interspécifique cv. Seyval = Seyve-Villard 5-276</t>
  </si>
  <si>
    <t xml:space="preserve">Vitis x interspécifique cv. Seyve Villard 23-23</t>
  </si>
  <si>
    <t xml:space="preserve">Vitis x interspécifique cv. Seyve-Villard 10-271</t>
  </si>
  <si>
    <t xml:space="preserve">Vitis x interspécifique cv. Seyve-Villard 10-300</t>
  </si>
  <si>
    <t xml:space="preserve">Vitis x interspécifique cv. Seyve-Villard 10-319</t>
  </si>
  <si>
    <t xml:space="preserve">Vitis x interspécifique cv. Seyve-Villard 10-347</t>
  </si>
  <si>
    <t xml:space="preserve">Vitis x interspécifique cv. Seyve-Villard 11-318</t>
  </si>
  <si>
    <t xml:space="preserve">Vitis x interspécifique cv. Seyve-Villard 12-129</t>
  </si>
  <si>
    <t xml:space="preserve">Vitis x interspécifique cv. Seyve-Villard 12-132</t>
  </si>
  <si>
    <t xml:space="preserve">Vitis x interspécifique cv. Seyve-Villard 12-259</t>
  </si>
  <si>
    <t xml:space="preserve">Vitis x interspécifique cv. Seyve-Villard 12-267</t>
  </si>
  <si>
    <t xml:space="preserve">Vitis x interspécifique cv. Seyve-Villard 12-286</t>
  </si>
  <si>
    <t xml:space="preserve">Vitis x interspécifique cv. Seyve-Villard 12-303</t>
  </si>
  <si>
    <t xml:space="preserve">Vitis x interspécifique cv. Seyve-Villard 12-308</t>
  </si>
  <si>
    <t xml:space="preserve">Vitis x interspécifique cv. Seyve-Villard 12-327</t>
  </si>
  <si>
    <t xml:space="preserve">Vitis x interspécifique cv. Seyve-Villard 12-328</t>
  </si>
  <si>
    <t xml:space="preserve">Vitis x interspécifique cv. Seyve-Villard 12-331</t>
  </si>
  <si>
    <t xml:space="preserve">Vitis x interspécifique cv. Seyve-Villard 12-347</t>
  </si>
  <si>
    <t xml:space="preserve">Vitis x interspécifique cv. Seyve-Villard 12-358</t>
  </si>
  <si>
    <t xml:space="preserve">Vitis x interspécifique cv. Seyve-Villard 12-364</t>
  </si>
  <si>
    <t xml:space="preserve">Vitis x interspécifique cv. Seyve-Villard 12-390</t>
  </si>
  <si>
    <t xml:space="preserve">Vitis x interspécifique cv. Seyve-Villard 12-391</t>
  </si>
  <si>
    <t xml:space="preserve">Vitis x interspécifique cv. Seyve-Villard 12-395</t>
  </si>
  <si>
    <t xml:space="preserve">Vitis x interspécifique cv. Seyve-Villard 12-397</t>
  </si>
  <si>
    <t xml:space="preserve">Vitis x interspécifique cv. Seyve-Villard 12-401</t>
  </si>
  <si>
    <t xml:space="preserve">Vitis x interspécifique cv. Seyve-Villard 12-413</t>
  </si>
  <si>
    <t xml:space="preserve">Vitis x interspécifique cv. Seyve-Villard 12-417</t>
  </si>
  <si>
    <t xml:space="preserve">Vitis x interspécifique cv. Seyve-Villard 12-426</t>
  </si>
  <si>
    <t xml:space="preserve">Vitis x interspécifique cv. Seyve-Villard 12-474</t>
  </si>
  <si>
    <t xml:space="preserve">Vitis x interspécifique cv. Seyve-Villard 12-481</t>
  </si>
  <si>
    <t xml:space="preserve">Vitis x interspécifique cv. Seyve-Villard 12-622</t>
  </si>
  <si>
    <t xml:space="preserve">Vitis x interspécifique cv. Seyve-Villard 12-734</t>
  </si>
  <si>
    <t xml:space="preserve">Vitis x interspécifique cv. Seyve-Villard 12-789</t>
  </si>
  <si>
    <t xml:space="preserve">Vitis x interspécifique cv. Seyve-Villard 13-359</t>
  </si>
  <si>
    <t xml:space="preserve">Vitis x interspécifique cv. Seyve-Villard 14-270</t>
  </si>
  <si>
    <t xml:space="preserve">Vitis x interspécifique cv. Seyve-Villard 14-281</t>
  </si>
  <si>
    <t xml:space="preserve">Vitis x interspécifique cv. Seyve-Villard 14-287</t>
  </si>
  <si>
    <t xml:space="preserve">Vitis x interspécifique cv. Seyve-Villard 14-472</t>
  </si>
  <si>
    <t xml:space="preserve">Vitis x interspécifique cv. Seyve-Villard 15-151</t>
  </si>
  <si>
    <t xml:space="preserve">Vitis x interspécifique cv. Seyve-Villard 15-174</t>
  </si>
  <si>
    <t xml:space="preserve">Vitis x interspécifique cv. Seyve-Villard 15-403</t>
  </si>
  <si>
    <t xml:space="preserve">Vitis x interspécifique cv. Seyve-Villard 15-505</t>
  </si>
  <si>
    <t xml:space="preserve">Vitis x interspécifique cv. Seyve-Villard 16-207</t>
  </si>
  <si>
    <t xml:space="preserve">Vitis x interspécifique cv. Seyve-Villard 1-72</t>
  </si>
  <si>
    <t xml:space="preserve">Vitis x interspécifique cv. Seyve-Villard 18-118</t>
  </si>
  <si>
    <t xml:space="preserve">Vitis x interspécifique cv. Seyve-Villard 18-304</t>
  </si>
  <si>
    <t xml:space="preserve">Vitis x interspécifique cv. Seyve-Villard 18-307</t>
  </si>
  <si>
    <t xml:space="preserve">Vitis x interspécifique cv. Seyve-Villard 18-402</t>
  </si>
  <si>
    <t xml:space="preserve">Vitis x interspécifique cv. Seyve-Villard 18-422</t>
  </si>
  <si>
    <t xml:space="preserve">Vitis x interspécifique cv. Seyve-Villard 18-425</t>
  </si>
  <si>
    <t xml:space="preserve">Vitis x interspécifique cv. Seyve-Villard 19-159</t>
  </si>
  <si>
    <t xml:space="preserve">Vitis x interspécifique cv. Seyve-Villard 19-228</t>
  </si>
  <si>
    <t xml:space="preserve">Vitis x interspécifique cv. Seyve-Villard 19-233</t>
  </si>
  <si>
    <t xml:space="preserve">Vitis x interspécifique cv. Seyve-Villard 19-275</t>
  </si>
  <si>
    <t xml:space="preserve">Vitis x interspécifique cv. Seyve-Villard 19-409</t>
  </si>
  <si>
    <t xml:space="preserve">Vitis x interspécifique cv. Seyve-Villard 19-410</t>
  </si>
  <si>
    <t xml:space="preserve">Vitis x interspécifique cv. Seyve-Villard 19-421</t>
  </si>
  <si>
    <t xml:space="preserve">Vitis x interspécifique cv. Seyve-Villard 19-439</t>
  </si>
  <si>
    <t xml:space="preserve">Vitis x interspécifique cv. Seyve-Villard 22-130</t>
  </si>
  <si>
    <t xml:space="preserve">Vitis x interspécifique cv. Seyve-Villard 22-140</t>
  </si>
  <si>
    <t xml:space="preserve">Vitis x interspécifique cv. Seyve-Villard 22-228</t>
  </si>
  <si>
    <t xml:space="preserve">Vitis x interspécifique cv. Seyve-Villard 22-25</t>
  </si>
  <si>
    <t xml:space="preserve">Vitis x interspécifique cv. Seyve-Villard 23-10</t>
  </si>
  <si>
    <t xml:space="preserve">Vitis x interspécifique cv. Seyve-Villard 23-118</t>
  </si>
  <si>
    <t xml:space="preserve">Vitis x interspécifique cv. Seyve-Villard 23120</t>
  </si>
  <si>
    <t xml:space="preserve">Vitis x interspécifique cv. Seyve-Villard 23-18</t>
  </si>
  <si>
    <t xml:space="preserve">Vitis x interspécifique cv. Seyve-Villard 23-251</t>
  </si>
  <si>
    <t xml:space="preserve">Vitis x interspécifique cv. Seyve-Villard 23-286</t>
  </si>
  <si>
    <t xml:space="preserve">Vitis x interspécifique cv. Seyve-Villard 23-296</t>
  </si>
  <si>
    <t xml:space="preserve">Vitis x interspécifique cv. Seyve-Villard 23-314</t>
  </si>
  <si>
    <t xml:space="preserve">Vitis x interspécifique cv. Seyve-Villard 23-346</t>
  </si>
  <si>
    <t xml:space="preserve">Vitis x interspécifique cv. Seyve-Villard 23-350</t>
  </si>
  <si>
    <t xml:space="preserve">Vitis x interspécifique cv. Seyve-Villard 23-353</t>
  </si>
  <si>
    <t xml:space="preserve">Vitis x interspécifique cv. Seyve-Villard 23-356</t>
  </si>
  <si>
    <t xml:space="preserve">Vitis x interspécifique cv. Seyve-Villard 23-359</t>
  </si>
  <si>
    <t xml:space="preserve">Vitis x interspécifique cv. Seyve-Villard 23-36</t>
  </si>
  <si>
    <t xml:space="preserve">Vitis x interspécifique cv. Seyve-Villard 23-369</t>
  </si>
  <si>
    <t xml:space="preserve">Vitis x interspécifique cv. Seyve-Villard 23-400</t>
  </si>
  <si>
    <t xml:space="preserve">Vitis x interspécifique cv. Seyve-Villard 23-421</t>
  </si>
  <si>
    <t xml:space="preserve">Vitis x interspécifique cv. Seyve-Villard 23-501</t>
  </si>
  <si>
    <t xml:space="preserve">Vitis x interspécifique cv. Seyve-Villard 23-502</t>
  </si>
  <si>
    <t xml:space="preserve">Vitis x interspécifique cv. Seyve-Villard 23-504</t>
  </si>
  <si>
    <t xml:space="preserve">Vitis x interspécifique cv. Seyve-Villard 23-510</t>
  </si>
  <si>
    <t xml:space="preserve">Vitis x interspécifique cv. Seyve-Villard 23-512</t>
  </si>
  <si>
    <t xml:space="preserve">Vitis x interspécifique cv. Seyve-Villard 23-519</t>
  </si>
  <si>
    <t xml:space="preserve">Vitis x interspécifique cv. Seyve-Villard 23-545</t>
  </si>
  <si>
    <t xml:space="preserve">Vitis x interspécifique cv. Seyve-Villard 23-564</t>
  </si>
  <si>
    <t xml:space="preserve">Vitis x interspécifique cv. Seyve-Villard 23-841</t>
  </si>
  <si>
    <t xml:space="preserve">Vitis x interspécifique cv. Seyve-Villard 23-898</t>
  </si>
  <si>
    <t xml:space="preserve">Vitis x interspécifique cv. Seyve-Villard 24-280</t>
  </si>
  <si>
    <t xml:space="preserve">Vitis x interspécifique cv. Seyve-Villard 24-282</t>
  </si>
  <si>
    <t xml:space="preserve">Vitis x interspécifique cv. Seyve-Villard 24-397</t>
  </si>
  <si>
    <t xml:space="preserve">Vitis x interspécifique cv. Seyve-Villard 24-418</t>
  </si>
  <si>
    <t xml:space="preserve">Vitis x interspécifique cv. Seyve-Villard 24-520</t>
  </si>
  <si>
    <t xml:space="preserve">Vitis x interspécifique cv. Seyve-Villard 24-531</t>
  </si>
  <si>
    <t xml:space="preserve">Vitis x interspécifique cv. Seyve-Villard 24-535</t>
  </si>
  <si>
    <t xml:space="preserve">Vitis x interspécifique cv. Seyve-Villard 24-614</t>
  </si>
  <si>
    <t xml:space="preserve">Vitis x interspécifique cv. Seyve-Villard 26-166</t>
  </si>
  <si>
    <t xml:space="preserve">Vitis x interspécifique cv. Seyve-Villard 26-205</t>
  </si>
  <si>
    <t xml:space="preserve">Vitis x interspécifique cv. Seyve-Villard 26-482</t>
  </si>
  <si>
    <t xml:space="preserve">Vitis x interspécifique cv. Seyve-Villard 26-490</t>
  </si>
  <si>
    <t xml:space="preserve">Vitis x interspécifique cv. Seyve-Villard 26-924</t>
  </si>
  <si>
    <t xml:space="preserve">Vitis x interspécifique cv. Seyve-Villard 27-236</t>
  </si>
  <si>
    <t xml:space="preserve">Vitis x interspécifique cv. Seyve-Villard 27-350</t>
  </si>
  <si>
    <t xml:space="preserve">Vitis x interspécifique cv. Seyve-Villard 27-531</t>
  </si>
  <si>
    <t xml:space="preserve">Vitis x interspécifique cv. Seyve-Villard 27-91</t>
  </si>
  <si>
    <t xml:space="preserve">Vitis x interspécifique cv. Seyve-Villard 28-415</t>
  </si>
  <si>
    <t xml:space="preserve">Vitis x interspécifique cv. Seyve-Villard 28-497</t>
  </si>
  <si>
    <t xml:space="preserve">Vitis x interspécifique cv. Seyve-Villard 28-527</t>
  </si>
  <si>
    <t xml:space="preserve">Vitis x interspécifique cv. Seyve-Villard 28-86</t>
  </si>
  <si>
    <t xml:space="preserve">Vitis x interspécifique cv. Seyve-Villard 29-399</t>
  </si>
  <si>
    <t xml:space="preserve">Vitis x interspécifique cv. Seyve-Villard 30-5</t>
  </si>
  <si>
    <t xml:space="preserve">Vitis x interspécifique cv. Seyve-Villard 30-56</t>
  </si>
  <si>
    <t xml:space="preserve">Vitis x interspécifique cv. Seyve-Villard 31-358</t>
  </si>
  <si>
    <t xml:space="preserve">Vitis x interspécifique cv. Seyve-Villard 3-160</t>
  </si>
  <si>
    <t xml:space="preserve">Vitis x interspécifique cv. Seyve-Villard 33-412</t>
  </si>
  <si>
    <t xml:space="preserve">Vitis x interspécifique cv. Seyve-Villard 34-211</t>
  </si>
  <si>
    <t xml:space="preserve">Vitis x interspécifique cv. Seyve-Villard 34-273</t>
  </si>
  <si>
    <t xml:space="preserve">Vitis x interspécifique cv. Seyve-Villard 36-152</t>
  </si>
  <si>
    <t xml:space="preserve">Vitis x interspécifique cv. Seyve-Villard 39-229</t>
  </si>
  <si>
    <t xml:space="preserve">Vitis x interspécifique cv. Seyve-Villard 39-522</t>
  </si>
  <si>
    <t xml:space="preserve">Vitis x interspécifique cv. Seyve-Villard 39-639</t>
  </si>
  <si>
    <t xml:space="preserve">Vitis x interspécifique cv. Seyve-Villard 41-471</t>
  </si>
  <si>
    <t xml:space="preserve">Vitis x interspécifique cv. Seyve-Villard 43-438</t>
  </si>
  <si>
    <t xml:space="preserve">Vitis x interspécifique cv. Seyve-Villard 45-440</t>
  </si>
  <si>
    <t xml:space="preserve">Vitis x interspécifique cv. Seyve-Villard 46-215</t>
  </si>
  <si>
    <t xml:space="preserve">Vitis x interspécifique cv. Seyve-Villard 46-434</t>
  </si>
  <si>
    <t xml:space="preserve">Vitis x interspécifique cv. Seyve-Villard 5-247</t>
  </si>
  <si>
    <t xml:space="preserve">Vitis x interspécifique cv. Seyve-Villard 7-111</t>
  </si>
  <si>
    <t xml:space="preserve">Vitis x interspécifique cv. Seyve-Villard 7-135</t>
  </si>
  <si>
    <t xml:space="preserve">Vitis x interspécifique cv. Seyve-Villard 7-216</t>
  </si>
  <si>
    <t xml:space="preserve">Vitis x interspécifique cv. Seyve-Villard 7-235</t>
  </si>
  <si>
    <t xml:space="preserve">Vitis x interspécifique cv. Siegfried rèbe</t>
  </si>
  <si>
    <t xml:space="preserve">Vitis x interspécifique cv. Sioux</t>
  </si>
  <si>
    <t xml:space="preserve">Vitis x interspécifique cv. Sirius</t>
  </si>
  <si>
    <t xml:space="preserve">Vitis x interspécifique cv. Solaris</t>
  </si>
  <si>
    <t xml:space="preserve">Vitis x interspécifique cv. Solonis</t>
  </si>
  <si>
    <t xml:space="preserve">Vitis x interspécifique cv. Solonis x Goldriesling</t>
  </si>
  <si>
    <t xml:space="preserve">Vitis x interspécifique cv. Sori = 353 Geisenheim</t>
  </si>
  <si>
    <t xml:space="preserve">Vitis x interspécifique cv. SO4 = Sélection Oppenheim 4</t>
  </si>
  <si>
    <t xml:space="preserve">Vitis x interspécifique cv. Staufer</t>
  </si>
  <si>
    <t xml:space="preserve">Vitis x interspécifique cv. Sulima</t>
  </si>
  <si>
    <t xml:space="preserve">Vitis x interspécifique cv. Super 99 Richter</t>
  </si>
  <si>
    <t xml:space="preserve">Vitis x interspécifique cv. Superbe</t>
  </si>
  <si>
    <t xml:space="preserve">Vitis x interspécifique cv. Surfin blanc</t>
  </si>
  <si>
    <t xml:space="preserve">Vitis x interspécifique cv. Sylvestre Warre</t>
  </si>
  <si>
    <t xml:space="preserve">Vitis x interspécifique cv. Takao</t>
  </si>
  <si>
    <t xml:space="preserve">Vitis x interspécifique cv. Tank = Couderc 4401</t>
  </si>
  <si>
    <t xml:space="preserve">Vitis x interspécifique cv. Téhère doré = Tissier Ravat 578</t>
  </si>
  <si>
    <t xml:space="preserve">Vitis x interspécifique cv. Teleki 10 A</t>
  </si>
  <si>
    <t xml:space="preserve">Vitis x interspécifique cv. Teresa Pirovano = Pirovano 192</t>
  </si>
  <si>
    <t xml:space="preserve">Vitis x interspécifique cv. Termidoro = Pirovano 33</t>
  </si>
  <si>
    <t xml:space="preserve">Vitis x interspécifique cv. Terzi 1</t>
  </si>
  <si>
    <t xml:space="preserve">Vitis x interspécifique cv. Terzi 108-6</t>
  </si>
  <si>
    <t xml:space="preserve">Vitis x interspécifique cv. Terzi 111-4</t>
  </si>
  <si>
    <t xml:space="preserve">Vitis x interspécifique cv. Terzi 1-6</t>
  </si>
  <si>
    <t xml:space="preserve">Vitis x interspécifique cv. Terzi 6-26</t>
  </si>
  <si>
    <t xml:space="preserve">Vitis x interspécifique cv. Terzi 6-6</t>
  </si>
  <si>
    <t xml:space="preserve">Vitis x interspécifique cv. Terzi 72-6</t>
  </si>
  <si>
    <t xml:space="preserve">Vitis x interspécifique cv. Terzi 78-13</t>
  </si>
  <si>
    <t xml:space="preserve">Vitis x interspécifique cv. Tinctarel n° 2 = Galibert 182-15</t>
  </si>
  <si>
    <t xml:space="preserve">Vitis x interspécifique cv. Tinctarel N°1 = Galibert 182-14</t>
  </si>
  <si>
    <t xml:space="preserve">Vitis x interspécifique cv. Tôtmur = Baco 2-16</t>
  </si>
  <si>
    <t xml:space="preserve">Vitis x interspécifique cv. Tréblanc</t>
  </si>
  <si>
    <t xml:space="preserve">Vitis x interspécifique cv. Triomphe d'Alsace = Kühlmann 319-3</t>
  </si>
  <si>
    <t xml:space="preserve">Vitis x interspécifique cv. Union Village</t>
  </si>
  <si>
    <t xml:space="preserve">Vitis x interspécifique cv. Uvade blanche n° 1 = Galibert 221-32</t>
  </si>
  <si>
    <t xml:space="preserve">Vitis x interspécifique cv. Uvade blanche n° 3 = Galibert 223-61</t>
  </si>
  <si>
    <t xml:space="preserve">Vitis x interspécifique cv. Uvade blanche n°2 = Galibert 223-59</t>
  </si>
  <si>
    <t xml:space="preserve">Vitis x interspécifique cv. Uvade blanche n°4 = Galibert 223-77</t>
  </si>
  <si>
    <t xml:space="preserve">Vitis x interspécifique cv. Uvanère</t>
  </si>
  <si>
    <t xml:space="preserve">Vitis x interspécifique cv. Uvette blanche n°1 = Galibert 239-41</t>
  </si>
  <si>
    <t xml:space="preserve">Vitis x interspécifique cv. Uvette blanche n°2 = Galibert 239-44</t>
  </si>
  <si>
    <t xml:space="preserve">Vitis x interspécifique cv. Uvette dorée n°1 = Galibert 230-91</t>
  </si>
  <si>
    <t xml:space="preserve">Vitis x interspécifique cv. Uvette dorée n°2 = Galibert 238-70</t>
  </si>
  <si>
    <t xml:space="preserve">Vitis x interspécifique cv. Uvine</t>
  </si>
  <si>
    <t xml:space="preserve">Vitis x interspécifique cv. V 15</t>
  </si>
  <si>
    <t xml:space="preserve">Vitis x interspécifique cv. Valérien = Seyve-Villard 23-410</t>
  </si>
  <si>
    <t xml:space="preserve">Vitis x interspécifique cv. Varousset = Seyve-Villard 23-657</t>
  </si>
  <si>
    <t xml:space="preserve">Vitis x interspécifique cv. Venango</t>
  </si>
  <si>
    <t xml:space="preserve">Vitis x interspécifique cv. Vialla</t>
  </si>
  <si>
    <t xml:space="preserve">Vitis x interspécifique cv. Victoire = Kühlmann 272-1</t>
  </si>
  <si>
    <t xml:space="preserve">Vitis x interspécifique cv. Vidal 254</t>
  </si>
  <si>
    <t xml:space="preserve">Vitis x interspécifique cv. Vidal 256</t>
  </si>
  <si>
    <t xml:space="preserve">Vitis x interspécifique cv. Vidal 286</t>
  </si>
  <si>
    <t xml:space="preserve">Vitis x interspécifique cv. Villard blanc = Seyve-Villard 12-375</t>
  </si>
  <si>
    <t xml:space="preserve">Vitis x interspécifique cv. Villard noir = Seyve-Villard 18-315</t>
  </si>
  <si>
    <t xml:space="preserve">Vitis x interspécifique cv. vinifera x aestivalis</t>
  </si>
  <si>
    <t xml:space="preserve">Vitis x interspécifique cv. vinifera x aestivalis x labrusca</t>
  </si>
  <si>
    <t xml:space="preserve">Vitis x interspécifique cv. vinifera x berlandieri</t>
  </si>
  <si>
    <t xml:space="preserve">Vitis x interspécifique cv. vinifera x californica</t>
  </si>
  <si>
    <t xml:space="preserve">Vitis x interspécifique cv. Vosgien</t>
  </si>
  <si>
    <t xml:space="preserve">Vitis x interspécifique cv. Wilhelma 1</t>
  </si>
  <si>
    <t xml:space="preserve">Vitis x interspécifique cv. Wilson grape = Kühlmann 252-1</t>
  </si>
  <si>
    <t xml:space="preserve">Vitis x interspécifique cv. 10-11</t>
  </si>
  <si>
    <t xml:space="preserve">Vitis x interspécifique cv. 101-14 MGT = Millardet et de Grasset 101-14</t>
  </si>
  <si>
    <t xml:space="preserve">Vitis x interspécifique cv. 102 EM</t>
  </si>
  <si>
    <t xml:space="preserve">Vitis x interspécifique cv. 10-5</t>
  </si>
  <si>
    <t xml:space="preserve">Vitis x interspécifique cv. 110 R = Richter 110</t>
  </si>
  <si>
    <t xml:space="preserve">Vitis x interspécifique cv. 1103 Pa = Paulsen 1103</t>
  </si>
  <si>
    <t xml:space="preserve">Vitis x interspécifique cv. 125 AA = Kober 125 AA</t>
  </si>
  <si>
    <t xml:space="preserve">Vitis x interspécifique cv. 136 EM</t>
  </si>
  <si>
    <t xml:space="preserve">Vitis x interspécifique cv. 140 Ru = Ruggeri 140</t>
  </si>
  <si>
    <t xml:space="preserve">Vitis x interspécifique cv. 142 EM</t>
  </si>
  <si>
    <t xml:space="preserve">Vitis x interspécifique cv. 1447 Pa = Paulsen 1447</t>
  </si>
  <si>
    <t xml:space="preserve">Vitis x interspécifique cv. 161-49 C = Couderc 161-49</t>
  </si>
  <si>
    <t xml:space="preserve">Vitis x interspécifique cv. 1616 C = Couderc 1616</t>
  </si>
  <si>
    <t xml:space="preserve">Vitis x interspécifique cv. 196-17 Cl = Castel 196-17</t>
  </si>
  <si>
    <t xml:space="preserve">Vitis x interspécifique cv. 216-3 Cl = Castel 216-3</t>
  </si>
  <si>
    <t xml:space="preserve">Vitis x interspécifique cv. 33 EM</t>
  </si>
  <si>
    <t xml:space="preserve">Vitis x interspécifique cv. 3309 C = Couderc 3309</t>
  </si>
  <si>
    <t xml:space="preserve">Vitis x interspécifique cv. 333 EM = 333 Ecole de Montpellier</t>
  </si>
  <si>
    <t xml:space="preserve">Vitis x interspécifique cv. 34 EM = 34 Ecole de Montpellier</t>
  </si>
  <si>
    <t xml:space="preserve">Vitis x interspécifique cv. 4010 Cl = Castel 4010</t>
  </si>
  <si>
    <t xml:space="preserve">Vitis x interspécifique cv. 41 B = Millardet et de Grasset 41 B</t>
  </si>
  <si>
    <t xml:space="preserve">Vitis x interspécifique cv. 420 A = Millardet et de Grasset 420 A</t>
  </si>
  <si>
    <t xml:space="preserve">Vitis x interspécifique cv. 420 Foex</t>
  </si>
  <si>
    <t xml:space="preserve">Vitis x interspécifique cv. 44-53 Ma = Malègue 44-53</t>
  </si>
  <si>
    <t xml:space="preserve">Vitis x interspécifique cv. 45 EM</t>
  </si>
  <si>
    <t xml:space="preserve">Vitis x interspécifique cv. 5 BB = Téléki sélection Kober 5 BB</t>
  </si>
  <si>
    <t xml:space="preserve">Vitis x interspécifique cv. 5 BB Evin</t>
  </si>
  <si>
    <t xml:space="preserve">Vitis x interspécifique cv. 5 BB Grimaud</t>
  </si>
  <si>
    <t xml:space="preserve">Vitis x interspécifique cv. 5 BB Tramier 2</t>
  </si>
  <si>
    <t xml:space="preserve">Vitis x interspécifique cv. 5 BB Trilobé</t>
  </si>
  <si>
    <t xml:space="preserve">Vitis x interspécifique cv. 5 C = Téléki 5 C</t>
  </si>
  <si>
    <t xml:space="preserve">Vitis x interspécifique cv. 503 Barr</t>
  </si>
  <si>
    <t xml:space="preserve">Vitis x interspécifique cv. 59 B</t>
  </si>
  <si>
    <t xml:space="preserve">Vitis x interspécifique cv. 6-23</t>
  </si>
  <si>
    <t xml:space="preserve">Vitis x interspécifique cv. 7-13</t>
  </si>
  <si>
    <t xml:space="preserve">Vitis x interspécifique cv. 7-16</t>
  </si>
  <si>
    <t xml:space="preserve">Vitis x interspécifique cv. 8 B = Téléki B</t>
  </si>
  <si>
    <t xml:space="preserve">Vitis x interspécifique cv. 8 B clone A</t>
  </si>
  <si>
    <t xml:space="preserve">Vitis x interspécifique cv. 8 B Faux</t>
  </si>
  <si>
    <t xml:space="preserve">Vitis x interspécifique cv. 8 B Femelle</t>
  </si>
  <si>
    <t xml:space="preserve">Vitis x interspécifique cv. 8 B Ferrari</t>
  </si>
  <si>
    <t xml:space="preserve">Vitis x interspécifique cv. 8-5</t>
  </si>
  <si>
    <t xml:space="preserve">Vitis x interspécifique cv. 99 R = Richter 99</t>
  </si>
  <si>
    <t xml:space="preserve">Vitis yanshanensis J.X.Chen</t>
  </si>
  <si>
    <t xml:space="preserve">Zea L.</t>
  </si>
  <si>
    <t xml:space="preserve">Zea mays L.</t>
  </si>
  <si>
    <t xml:space="preserve">Zinnia elegans</t>
  </si>
  <si>
    <t xml:space="preserve">Sol argileux et profond (80cm)</t>
  </si>
  <si>
    <t xml:space="preserve">Limon</t>
  </si>
  <si>
    <t xml:space="preserve">sable</t>
  </si>
  <si>
    <t xml:space="preserve">argile</t>
  </si>
  <si>
    <t xml:space="preserve">A. Previous croppings</t>
  </si>
  <si>
    <t xml:space="preserve">Year</t>
  </si>
  <si>
    <t xml:space="preserve">LR11</t>
  </si>
  <si>
    <t xml:space="preserve">n-3</t>
  </si>
  <si>
    <t xml:space="preserve">Wheat</t>
  </si>
  <si>
    <t xml:space="preserve">n-2</t>
  </si>
  <si>
    <t xml:space="preserve">Tritical</t>
  </si>
  <si>
    <t xml:space="preserve">n-1</t>
  </si>
  <si>
    <t xml:space="preserve">Winter barley*</t>
  </si>
  <si>
    <t xml:space="preserve">n</t>
  </si>
  <si>
    <t xml:space="preserve">LR11 trial</t>
  </si>
  <si>
    <t xml:space="preserve">4/5</t>
  </si>
  <si>
    <t xml:space="preserve">1/5</t>
  </si>
  <si>
    <t xml:space="preserve">Total</t>
  </si>
  <si>
    <t xml:space="preserve">N % DUMAS Spécial Ferti</t>
  </si>
  <si>
    <t xml:space="preserve">Manip</t>
  </si>
  <si>
    <t xml:space="preserve">Modalite</t>
  </si>
  <si>
    <t xml:space="preserve">Genotype</t>
  </si>
  <si>
    <t xml:space="preserve">Stade</t>
  </si>
  <si>
    <t xml:space="preserve">Nbr</t>
  </si>
  <si>
    <t xml:space="preserve">MF (g)</t>
  </si>
  <si>
    <t xml:space="preserve">MS (g)</t>
  </si>
  <si>
    <t xml:space="preserve">% Humidité</t>
  </si>
  <si>
    <t xml:space="preserve">MF Feuilles (g)</t>
  </si>
  <si>
    <t xml:space="preserve">MF Tige (g)</t>
  </si>
  <si>
    <t xml:space="preserve">MF Aér</t>
  </si>
  <si>
    <t xml:space="preserve">MS Feuilles (g)</t>
  </si>
  <si>
    <t xml:space="preserve">MS Tige (g)</t>
  </si>
  <si>
    <t xml:space="preserve">MS Aér (g)</t>
  </si>
  <si>
    <t xml:space="preserve">MS Totale (t)</t>
  </si>
  <si>
    <t xml:space="preserve">%N critique</t>
  </si>
  <si>
    <t xml:space="preserve">Feuilles</t>
  </si>
  <si>
    <t xml:space="preserve">Tiges</t>
  </si>
  <si>
    <t xml:space="preserve">Qté N Total</t>
  </si>
  <si>
    <t xml:space="preserve">% Azote MS (1/5)</t>
  </si>
  <si>
    <t xml:space="preserve">INN</t>
  </si>
  <si>
    <t xml:space="preserve">INN1</t>
  </si>
  <si>
    <t xml:space="preserve">N1 B0</t>
  </si>
  <si>
    <t xml:space="preserve">N1 b1</t>
  </si>
  <si>
    <t xml:space="preserve">N1 b2</t>
  </si>
  <si>
    <t xml:space="preserve">N1 b3</t>
  </si>
  <si>
    <t xml:space="preserve">INN2</t>
  </si>
  <si>
    <t xml:space="preserve">N2 B0</t>
  </si>
  <si>
    <t xml:space="preserve">N2 b3</t>
  </si>
  <si>
    <t xml:space="preserve">N2 b1</t>
  </si>
  <si>
    <t xml:space="preserve">N2 b2</t>
  </si>
  <si>
    <t xml:space="preserve">INN3</t>
  </si>
  <si>
    <t xml:space="preserve">N0 B0</t>
  </si>
  <si>
    <t xml:space="preserve">De "Parcelle" à "Genotype" = données générales sur l'essai</t>
  </si>
  <si>
    <r>
      <rPr>
        <b val="true"/>
        <sz val="10"/>
        <rFont val="Arial"/>
        <family val="2"/>
        <charset val="1"/>
      </rPr>
      <t xml:space="preserve">Manip</t>
    </r>
    <r>
      <rPr>
        <sz val="10"/>
        <rFont val="Arial"/>
        <family val="2"/>
        <charset val="1"/>
      </rPr>
      <t xml:space="preserve"> = quelle INN</t>
    </r>
  </si>
  <si>
    <r>
      <rPr>
        <b val="true"/>
        <sz val="10"/>
        <rFont val="Arial"/>
        <family val="2"/>
        <charset val="1"/>
      </rPr>
      <t xml:space="preserve">Date</t>
    </r>
    <r>
      <rPr>
        <sz val="10"/>
        <rFont val="Arial"/>
        <family val="2"/>
        <charset val="1"/>
      </rPr>
      <t xml:space="preserve"> = date de prélèvement</t>
    </r>
  </si>
  <si>
    <r>
      <rPr>
        <b val="true"/>
        <sz val="10"/>
        <rFont val="Arial"/>
        <family val="2"/>
        <charset val="1"/>
      </rPr>
      <t xml:space="preserve">Stade</t>
    </r>
    <r>
      <rPr>
        <sz val="10"/>
        <rFont val="Arial"/>
        <family val="2"/>
        <charset val="1"/>
      </rPr>
      <t xml:space="preserve"> = stade moyen de la parcelle</t>
    </r>
  </si>
  <si>
    <t xml:space="preserve">Deux échantillons différents sont identifiés : 1/5 des plantes et 4/5 des plantes </t>
  </si>
  <si>
    <t xml:space="preserve">A partir des INN3, une distinction est faite entre les feuilles et le tiges pour les pesées </t>
  </si>
  <si>
    <t xml:space="preserve">et les analyses par SAS pour l'échantillon 1/5</t>
  </si>
  <si>
    <r>
      <rPr>
        <b val="true"/>
        <sz val="10"/>
        <rFont val="Arial"/>
        <family val="2"/>
        <charset val="1"/>
      </rPr>
      <t xml:space="preserve">Nbr</t>
    </r>
    <r>
      <rPr>
        <sz val="10"/>
        <rFont val="Arial"/>
        <family val="2"/>
        <charset val="1"/>
      </rPr>
      <t xml:space="preserve"> = nombre de plantes du prélèvement</t>
    </r>
  </si>
  <si>
    <r>
      <rPr>
        <b val="true"/>
        <sz val="10"/>
        <rFont val="Arial"/>
        <family val="2"/>
        <charset val="1"/>
      </rPr>
      <t xml:space="preserve">MF</t>
    </r>
    <r>
      <rPr>
        <sz val="10"/>
        <rFont val="Arial"/>
        <family val="2"/>
        <charset val="1"/>
      </rPr>
      <t xml:space="preserve"> = matière fraiche du prélèvement en grammes</t>
    </r>
  </si>
  <si>
    <r>
      <rPr>
        <b val="true"/>
        <sz val="10"/>
        <rFont val="Arial"/>
        <family val="2"/>
        <charset val="1"/>
      </rPr>
      <t xml:space="preserve">MS</t>
    </r>
    <r>
      <rPr>
        <sz val="10"/>
        <rFont val="Arial"/>
        <family val="2"/>
        <charset val="1"/>
      </rPr>
      <t xml:space="preserve"> = matière séche du prélèvement en grammes</t>
    </r>
  </si>
  <si>
    <r>
      <rPr>
        <b val="true"/>
        <sz val="10"/>
        <rFont val="Arial"/>
        <family val="2"/>
        <charset val="1"/>
      </rPr>
      <t xml:space="preserve">N % DUMAS Spérial Ferti</t>
    </r>
    <r>
      <rPr>
        <sz val="10"/>
        <rFont val="Arial"/>
        <family val="2"/>
        <charset val="1"/>
      </rPr>
      <t xml:space="preserve"> = pourcentage d'azote dans la plante (résultat laboratoire)</t>
    </r>
  </si>
  <si>
    <r>
      <rPr>
        <b val="true"/>
        <sz val="10"/>
        <rFont val="Arial"/>
        <family val="2"/>
        <charset val="1"/>
      </rPr>
      <t xml:space="preserve">INN</t>
    </r>
    <r>
      <rPr>
        <sz val="10"/>
        <rFont val="Arial"/>
        <family val="2"/>
        <charset val="1"/>
      </rPr>
      <t xml:space="preserve"> = (Qté N tot / MS (1/5) (g)) / %Ncritique</t>
    </r>
  </si>
  <si>
    <t xml:space="preserve">G-001: Aviso</t>
  </si>
  <si>
    <t xml:space="preserve">G-002: Montego</t>
  </si>
  <si>
    <t xml:space="preserve">G-125: Tenor</t>
  </si>
  <si>
    <t xml:space="preserve">G-126:Express</t>
  </si>
  <si>
    <t xml:space="preserve">ATTENTION : B3 N1 =&gt; 119 individus (117 + 1 Aviso + 1 Montego)</t>
  </si>
  <si>
    <t xml:space="preserve">B3 N2 =&gt; 117 individus</t>
  </si>
  <si>
    <t xml:space="preserve">B3</t>
  </si>
  <si>
    <t xml:space="preserve">B</t>
  </si>
  <si>
    <t xml:space="preserve">V</t>
  </si>
  <si>
    <t xml:space="preserve">01</t>
  </si>
  <si>
    <t xml:space="preserve">02</t>
  </si>
  <si>
    <t xml:space="preserve">03</t>
  </si>
  <si>
    <t xml:space="preserve">04</t>
  </si>
  <si>
    <t xml:space="preserve">05</t>
  </si>
  <si>
    <t xml:space="preserve">06</t>
  </si>
  <si>
    <t xml:space="preserve">07</t>
  </si>
  <si>
    <t xml:space="preserve">08</t>
  </si>
  <si>
    <t xml:space="preserve">09</t>
  </si>
  <si>
    <t xml:space="preserve">10</t>
  </si>
  <si>
    <t xml:space="preserve">B2</t>
  </si>
  <si>
    <t xml:space="preserve">GENO HD</t>
  </si>
  <si>
    <t xml:space="preserve">Code Geno</t>
  </si>
  <si>
    <t xml:space="preserve">Vide</t>
  </si>
  <si>
    <t xml:space="preserve">DK</t>
  </si>
  <si>
    <t xml:space="preserve">AM</t>
  </si>
  <si>
    <t xml:space="preserve">G-166</t>
  </si>
  <si>
    <t xml:space="preserve">G-126</t>
  </si>
  <si>
    <t xml:space="preserve">G-136</t>
  </si>
  <si>
    <t xml:space="preserve">G-181</t>
  </si>
  <si>
    <t xml:space="preserve">G-178</t>
  </si>
  <si>
    <t xml:space="preserve">G-193</t>
  </si>
  <si>
    <t xml:space="preserve">1-1</t>
  </si>
  <si>
    <t xml:space="preserve">1-2</t>
  </si>
  <si>
    <t xml:space="preserve">1-3</t>
  </si>
  <si>
    <t xml:space="preserve">1-4</t>
  </si>
  <si>
    <t xml:space="preserve">1-5</t>
  </si>
  <si>
    <t xml:space="preserve">1-6</t>
  </si>
  <si>
    <t xml:space="preserve">1-7</t>
  </si>
  <si>
    <t xml:space="preserve">1-8</t>
  </si>
  <si>
    <t xml:space="preserve">1-9</t>
  </si>
  <si>
    <t xml:space="preserve">1-10</t>
  </si>
  <si>
    <t xml:space="preserve">G-205</t>
  </si>
  <si>
    <t xml:space="preserve">G-187</t>
  </si>
  <si>
    <t xml:space="preserve">G-125</t>
  </si>
  <si>
    <t xml:space="preserve">G-139</t>
  </si>
  <si>
    <t xml:space="preserve">2-1</t>
  </si>
  <si>
    <t xml:space="preserve">2-2</t>
  </si>
  <si>
    <t xml:space="preserve">2-3</t>
  </si>
  <si>
    <t xml:space="preserve">2-4</t>
  </si>
  <si>
    <t xml:space="preserve">2-5</t>
  </si>
  <si>
    <t xml:space="preserve">2-6</t>
  </si>
  <si>
    <t xml:space="preserve">2-7</t>
  </si>
  <si>
    <t xml:space="preserve">2-8</t>
  </si>
  <si>
    <t xml:space="preserve">2-9</t>
  </si>
  <si>
    <t xml:space="preserve">2-10</t>
  </si>
  <si>
    <t xml:space="preserve">G-145</t>
  </si>
  <si>
    <t xml:space="preserve">G-151</t>
  </si>
  <si>
    <t xml:space="preserve">G-196</t>
  </si>
  <si>
    <t xml:space="preserve">G-163</t>
  </si>
  <si>
    <t xml:space="preserve">3-1</t>
  </si>
  <si>
    <t xml:space="preserve">3-2</t>
  </si>
  <si>
    <t xml:space="preserve">3-3</t>
  </si>
  <si>
    <t xml:space="preserve">3-4</t>
  </si>
  <si>
    <t xml:space="preserve">3-5</t>
  </si>
  <si>
    <t xml:space="preserve">3-6</t>
  </si>
  <si>
    <t xml:space="preserve">3-7</t>
  </si>
  <si>
    <t xml:space="preserve">3-8</t>
  </si>
  <si>
    <t xml:space="preserve">3-9</t>
  </si>
  <si>
    <t xml:space="preserve">3-10</t>
  </si>
  <si>
    <t xml:space="preserve">G-160</t>
  </si>
  <si>
    <t xml:space="preserve">G-169</t>
  </si>
  <si>
    <t xml:space="preserve">G-148</t>
  </si>
  <si>
    <t xml:space="preserve">4-1</t>
  </si>
  <si>
    <t xml:space="preserve">4-2</t>
  </si>
  <si>
    <t xml:space="preserve">4-3</t>
  </si>
  <si>
    <t xml:space="preserve">4-4</t>
  </si>
  <si>
    <t xml:space="preserve">4-5</t>
  </si>
  <si>
    <t xml:space="preserve">4-6</t>
  </si>
  <si>
    <t xml:space="preserve">4-7</t>
  </si>
  <si>
    <t xml:space="preserve">4-8</t>
  </si>
  <si>
    <t xml:space="preserve">4-9</t>
  </si>
  <si>
    <t xml:space="preserve">4-10</t>
  </si>
  <si>
    <t xml:space="preserve">4-2 :</t>
  </si>
  <si>
    <t xml:space="preserve">2m linéaires</t>
  </si>
  <si>
    <t xml:space="preserve">b1, b2, b3, b4</t>
  </si>
  <si>
    <t xml:space="preserve">blocs 1, 2, 3, 4</t>
  </si>
  <si>
    <t xml:space="preserve">PIQUETS</t>
  </si>
  <si>
    <t xml:space="preserve">0 azote</t>
  </si>
  <si>
    <t xml:space="preserve">N-</t>
  </si>
  <si>
    <t xml:space="preserve">G-184</t>
  </si>
  <si>
    <t xml:space="preserve">G-130</t>
  </si>
  <si>
    <t xml:space="preserve">N+</t>
  </si>
  <si>
    <t xml:space="preserve">IRN/tensionics (N0)</t>
  </si>
  <si>
    <t xml:space="preserve">5-1</t>
  </si>
  <si>
    <t xml:space="preserve">5-2</t>
  </si>
  <si>
    <t xml:space="preserve">5-3</t>
  </si>
  <si>
    <t xml:space="preserve">5-4</t>
  </si>
  <si>
    <t xml:space="preserve">5-5</t>
  </si>
  <si>
    <t xml:space="preserve">5-6</t>
  </si>
  <si>
    <t xml:space="preserve">5-7</t>
  </si>
  <si>
    <t xml:space="preserve">5-8</t>
  </si>
  <si>
    <t xml:space="preserve">5-9</t>
  </si>
  <si>
    <t xml:space="preserve">5-10</t>
  </si>
  <si>
    <t xml:space="preserve">G</t>
  </si>
  <si>
    <t xml:space="preserve">Génotype</t>
  </si>
  <si>
    <t xml:space="preserve">Temoins</t>
  </si>
  <si>
    <t xml:space="preserve">4 piquets rouges délimitent la placette de prélèvement</t>
  </si>
  <si>
    <t xml:space="preserve">G-127</t>
  </si>
  <si>
    <t xml:space="preserve">G-154</t>
  </si>
  <si>
    <t xml:space="preserve">6-1</t>
  </si>
  <si>
    <t xml:space="preserve">6-2</t>
  </si>
  <si>
    <t xml:space="preserve">6-3</t>
  </si>
  <si>
    <t xml:space="preserve">6-4</t>
  </si>
  <si>
    <t xml:space="preserve">6-5</t>
  </si>
  <si>
    <t xml:space="preserve">6-6</t>
  </si>
  <si>
    <t xml:space="preserve">6-7</t>
  </si>
  <si>
    <t xml:space="preserve">6-8</t>
  </si>
  <si>
    <t xml:space="preserve">6-9</t>
  </si>
  <si>
    <t xml:space="preserve">6-10</t>
  </si>
  <si>
    <t xml:space="preserve">IRN+Rec</t>
  </si>
  <si>
    <t xml:space="preserve">G-157</t>
  </si>
  <si>
    <t xml:space="preserve">7-1</t>
  </si>
  <si>
    <t xml:space="preserve">7-2</t>
  </si>
  <si>
    <t xml:space="preserve">7-3</t>
  </si>
  <si>
    <t xml:space="preserve">7-4</t>
  </si>
  <si>
    <t xml:space="preserve">7-5</t>
  </si>
  <si>
    <t xml:space="preserve">7-6</t>
  </si>
  <si>
    <t xml:space="preserve">7-7</t>
  </si>
  <si>
    <t xml:space="preserve">7-8</t>
  </si>
  <si>
    <t xml:space="preserve">7-9</t>
  </si>
  <si>
    <t xml:space="preserve">7-10</t>
  </si>
  <si>
    <t xml:space="preserve">G-199</t>
  </si>
  <si>
    <t xml:space="preserve">G-208</t>
  </si>
  <si>
    <t xml:space="preserve">G-175</t>
  </si>
  <si>
    <t xml:space="preserve">G-190</t>
  </si>
  <si>
    <t xml:space="preserve">G-172</t>
  </si>
  <si>
    <t xml:space="preserve">G-214</t>
  </si>
  <si>
    <t xml:space="preserve">G-142</t>
  </si>
  <si>
    <t xml:space="preserve">G-202</t>
  </si>
  <si>
    <t xml:space="preserve">G-133</t>
  </si>
  <si>
    <t xml:space="preserve">8-1</t>
  </si>
  <si>
    <t xml:space="preserve">8-2</t>
  </si>
  <si>
    <t xml:space="preserve">8-3</t>
  </si>
  <si>
    <t xml:space="preserve">8-4</t>
  </si>
  <si>
    <t xml:space="preserve">8-5</t>
  </si>
  <si>
    <t xml:space="preserve">8-6</t>
  </si>
  <si>
    <t xml:space="preserve">8-7</t>
  </si>
  <si>
    <t xml:space="preserve">8-8</t>
  </si>
  <si>
    <t xml:space="preserve">8-9</t>
  </si>
  <si>
    <t xml:space="preserve">8-10</t>
  </si>
  <si>
    <t xml:space="preserve">Action</t>
  </si>
  <si>
    <t xml:space="preserve">Produits</t>
  </si>
  <si>
    <t xml:space="preserve">Cibles</t>
  </si>
  <si>
    <t xml:space="preserve">Détails</t>
  </si>
  <si>
    <t xml:space="preserve">LABOUR</t>
  </si>
  <si>
    <t xml:space="preserve">ROULLAGE</t>
  </si>
  <si>
    <t xml:space="preserve">Engrais P2O5/45</t>
  </si>
  <si>
    <t xml:space="preserve">Superphospahate 45</t>
  </si>
  <si>
    <t xml:space="preserve">210Kg/ha ; 0,45</t>
  </si>
  <si>
    <t xml:space="preserve">PREPARATION SOL</t>
  </si>
  <si>
    <t xml:space="preserve">HERSE PACKER</t>
  </si>
  <si>
    <t xml:space="preserve">SEMIS ( 311 )</t>
  </si>
  <si>
    <t xml:space="preserve">14-15-16/09/2010</t>
  </si>
  <si>
    <t xml:space="preserve">ONCOL .S</t>
  </si>
  <si>
    <t xml:space="preserve">5,09 Kg / Ha ; 0,086</t>
  </si>
  <si>
    <t xml:space="preserve">REMPLISSAGE</t>
  </si>
  <si>
    <t xml:space="preserve">FACILE</t>
  </si>
  <si>
    <t xml:space="preserve">HERBICIDE</t>
  </si>
  <si>
    <t xml:space="preserve">NOVALL</t>
  </si>
  <si>
    <t xml:space="preserve">2.3 L / Ha ; 100g/l+400g/l</t>
  </si>
  <si>
    <t xml:space="preserve">ANTI - LIMACES</t>
  </si>
  <si>
    <t xml:space="preserve">MESUROL PRO</t>
  </si>
  <si>
    <t xml:space="preserve">3 Kg / Ha ; 0,04</t>
  </si>
  <si>
    <t xml:space="preserve">FONGICIDE</t>
  </si>
  <si>
    <t xml:space="preserve">PICTOR PRO</t>
  </si>
  <si>
    <t xml:space="preserve">0.5 Kg / Ha ; 0,5</t>
  </si>
  <si>
    <t xml:space="preserve">DELIMITAGES  ALLEES</t>
  </si>
  <si>
    <t xml:space="preserve">ROUNDUP</t>
  </si>
  <si>
    <t xml:space="preserve">  450g/l</t>
  </si>
  <si>
    <t xml:space="preserve">APPORT D'AZOTE</t>
  </si>
  <si>
    <t xml:space="preserve">LIQUIDE</t>
  </si>
  <si>
    <t xml:space="preserve"> 40U/N2 ; 50% uréique, 25% ammoniacal, 25% nitrique</t>
  </si>
  <si>
    <t xml:space="preserve">APPORT SOUFRE</t>
  </si>
  <si>
    <t xml:space="preserve">SULFATE DE POTASSE 43 %</t>
  </si>
  <si>
    <t xml:space="preserve">271Kg/ha ; 50% K2O dont 42% oxyde de potassium, 43% SO3 dont 17% anhydride sulfurique</t>
  </si>
  <si>
    <t xml:space="preserve">ROTA ALLEES</t>
  </si>
  <si>
    <t xml:space="preserve">8-9/03/11</t>
  </si>
  <si>
    <t xml:space="preserve"> 40U/N1 &amp; 90U/N2 ; 50% uréique, 25% ammoniacal, 25% nitrique</t>
  </si>
  <si>
    <t xml:space="preserve">INSECTICIDE</t>
  </si>
  <si>
    <t xml:space="preserve">TALSTAR FLO</t>
  </si>
  <si>
    <t xml:space="preserve">0.11 L / Ha ; 80g/l</t>
  </si>
  <si>
    <t xml:space="preserve">MAVRIK FLO</t>
  </si>
  <si>
    <t xml:space="preserve">0.2 L / Ha ; 240g/l</t>
  </si>
  <si>
    <t xml:space="preserve">JOAO</t>
  </si>
  <si>
    <t xml:space="preserve">0.71 L / Ha ; 250g/l</t>
  </si>
  <si>
    <t xml:space="preserve">PIRIMOR G</t>
  </si>
  <si>
    <t xml:space="preserve">Andainage N0 &amp; B3</t>
  </si>
  <si>
    <t xml:space="preserve">Haldrup 625</t>
  </si>
  <si>
    <t xml:space="preserve">Andainage B1 &amp; B2</t>
  </si>
  <si>
    <t xml:space="preserve">17 &amp; 21/06</t>
  </si>
  <si>
    <t xml:space="preserve">Moisson N0 &amp; B3</t>
  </si>
  <si>
    <t xml:space="preserve">28-30/06</t>
  </si>
  <si>
    <t xml:space="preserve">Haldrup 637</t>
  </si>
  <si>
    <t xml:space="preserve">Moisson B1 &amp; B2</t>
  </si>
  <si>
    <t xml:space="preserve">29-30/06&amp;1/07</t>
  </si>
  <si>
    <t xml:space="preserve">Haldrup 633</t>
  </si>
  <si>
    <t xml:space="preserve">Nettoyage parcelle</t>
  </si>
  <si>
    <t xml:space="preserve">Roundup Flash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</si>
</sst>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_-* #,##0.00\ _€_-;\-* #,##0.00\ _€_-;_-* \-??\ _€_-;_-@_-"/>
    <numFmt numFmtId="166" formatCode="dd/mm/yy"/>
    <numFmt numFmtId="167" formatCode="@"/>
    <numFmt numFmtId="168" formatCode="dd/mm/yyyy"/>
    <numFmt numFmtId="169" formatCode="d/mm/yyyy;@"/>
    <numFmt numFmtId="170" formatCode="0.00"/>
    <numFmt numFmtId="171" formatCode="0\ %"/>
    <numFmt numFmtId="172" formatCode="dd\-mmm\-yy"/>
    <numFmt numFmtId="173" formatCode="0.000"/>
    <numFmt numFmtId="174" formatCode="0.0000"/>
    <numFmt numFmtId="175" formatCode="0"/>
    <numFmt numFmtId="176" formatCode="dd\-mmm"/>
  </numFmts>
  <fonts count="72">
    <font>
      <sz val="9"/>
      <name val="Geneva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sz val="11"/>
      <color rgb="FFFFFFFF"/>
      <name val="Calibri"/>
      <family val="2"/>
      <charset val="1"/>
    </font>
    <font>
      <sz val="11"/>
      <color rgb="FFFF0000"/>
      <name val="Calibri"/>
      <family val="2"/>
      <charset val="1"/>
    </font>
    <font>
      <b val="true"/>
      <sz val="11"/>
      <color rgb="FFFF9900"/>
      <name val="Calibri"/>
      <family val="2"/>
      <charset val="1"/>
    </font>
    <font>
      <sz val="11"/>
      <color rgb="FFFF9900"/>
      <name val="Calibri"/>
      <family val="2"/>
      <charset val="1"/>
    </font>
    <font>
      <sz val="11"/>
      <color rgb="FF333399"/>
      <name val="Calibri"/>
      <family val="2"/>
      <charset val="1"/>
    </font>
    <font>
      <sz val="11"/>
      <color rgb="FF800080"/>
      <name val="Calibri"/>
      <family val="2"/>
      <charset val="1"/>
    </font>
    <font>
      <u val="single"/>
      <sz val="10"/>
      <color rgb="FF0000FF"/>
      <name val="Arial"/>
      <family val="2"/>
      <charset val="1"/>
    </font>
    <font>
      <u val="single"/>
      <sz val="11"/>
      <color rgb="FF0000FF"/>
      <name val="Calibri"/>
      <family val="2"/>
      <charset val="1"/>
    </font>
    <font>
      <sz val="11"/>
      <color rgb="FF993300"/>
      <name val="Calibri"/>
      <family val="2"/>
      <charset val="1"/>
    </font>
    <font>
      <sz val="10"/>
      <name val="Arial"/>
      <family val="2"/>
      <charset val="1"/>
    </font>
    <font>
      <sz val="10"/>
      <name val="Tahoma"/>
      <family val="2"/>
      <charset val="1"/>
    </font>
    <font>
      <sz val="11"/>
      <color theme="1"/>
      <name val="Calibri"/>
      <family val="2"/>
      <charset val="1"/>
    </font>
    <font>
      <sz val="10"/>
      <color rgb="FF000000"/>
      <name val="Arial"/>
      <family val="2"/>
      <charset val="1"/>
    </font>
    <font>
      <sz val="11"/>
      <color rgb="FF000000"/>
      <name val="Calibri"/>
      <family val="2"/>
      <charset val="238"/>
    </font>
    <font>
      <sz val="11"/>
      <color rgb="FF008000"/>
      <name val="Calibri"/>
      <family val="2"/>
      <charset val="1"/>
    </font>
    <font>
      <b val="true"/>
      <sz val="11"/>
      <color rgb="FF1A1A1A"/>
      <name val="Calibri"/>
      <family val="2"/>
      <charset val="1"/>
    </font>
    <font>
      <i val="true"/>
      <sz val="11"/>
      <color rgb="FF808080"/>
      <name val="Calibri"/>
      <family val="2"/>
      <charset val="1"/>
    </font>
    <font>
      <b val="true"/>
      <sz val="18"/>
      <color rgb="FF17375E"/>
      <name val="Cambria"/>
      <family val="2"/>
      <charset val="1"/>
    </font>
    <font>
      <b val="true"/>
      <sz val="15"/>
      <color rgb="FF17375E"/>
      <name val="Calibri"/>
      <family val="2"/>
      <charset val="1"/>
    </font>
    <font>
      <b val="true"/>
      <sz val="13"/>
      <color rgb="FF17375E"/>
      <name val="Calibri"/>
      <family val="2"/>
      <charset val="1"/>
    </font>
    <font>
      <b val="true"/>
      <sz val="11"/>
      <color rgb="FF17375E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b val="true"/>
      <sz val="11"/>
      <color rgb="FFFFFFFF"/>
      <name val="Calibri"/>
      <family val="2"/>
      <charset val="1"/>
    </font>
    <font>
      <b val="true"/>
      <sz val="8"/>
      <name val="Arial"/>
      <family val="2"/>
      <charset val="1"/>
    </font>
    <font>
      <b val="true"/>
      <sz val="10"/>
      <name val="Arial"/>
      <family val="2"/>
      <charset val="1"/>
    </font>
    <font>
      <b val="true"/>
      <sz val="10"/>
      <color rgb="FFFF0000"/>
      <name val="Arial"/>
      <family val="2"/>
      <charset val="1"/>
    </font>
    <font>
      <b val="true"/>
      <sz val="10"/>
      <color rgb="FF0000FF"/>
      <name val="Arial"/>
      <family val="2"/>
      <charset val="1"/>
    </font>
    <font>
      <sz val="10"/>
      <color rgb="FF00CCFF"/>
      <name val="Arial"/>
      <family val="2"/>
      <charset val="1"/>
    </font>
    <font>
      <sz val="10"/>
      <color rgb="FF00B0F0"/>
      <name val="Arial"/>
      <family val="2"/>
      <charset val="1"/>
    </font>
    <font>
      <b val="true"/>
      <sz val="10"/>
      <color rgb="FF000000"/>
      <name val="Arial"/>
      <family val="2"/>
      <charset val="1"/>
    </font>
    <font>
      <b val="true"/>
      <sz val="9"/>
      <name val="Geneva"/>
      <family val="2"/>
      <charset val="1"/>
    </font>
    <font>
      <b val="true"/>
      <sz val="9"/>
      <color rgb="FFFF0000"/>
      <name val="Geneva"/>
      <family val="2"/>
      <charset val="1"/>
    </font>
    <font>
      <sz val="10"/>
      <color rgb="FF0000FF"/>
      <name val="Arial"/>
      <family val="2"/>
      <charset val="1"/>
    </font>
    <font>
      <i val="true"/>
      <u val="single"/>
      <sz val="10"/>
      <name val="Arial"/>
      <family val="2"/>
      <charset val="1"/>
    </font>
    <font>
      <i val="true"/>
      <sz val="10"/>
      <name val="Arial"/>
      <family val="2"/>
      <charset val="1"/>
    </font>
    <font>
      <sz val="10"/>
      <name val="Arial"/>
      <family val="2"/>
    </font>
    <font>
      <sz val="9"/>
      <color rgb="FF000000"/>
      <name val="Tahoma"/>
      <family val="2"/>
      <charset val="1"/>
    </font>
    <font>
      <sz val="10"/>
      <color rgb="FFC00000"/>
      <name val="Arial"/>
      <family val="2"/>
      <charset val="1"/>
    </font>
    <font>
      <b val="true"/>
      <sz val="9"/>
      <color rgb="FF333399"/>
      <name val="Geneva"/>
      <family val="2"/>
      <charset val="1"/>
    </font>
    <font>
      <sz val="9"/>
      <name val="Geneva"/>
      <family val="2"/>
      <charset val="238"/>
    </font>
    <font>
      <sz val="10"/>
      <color theme="1"/>
      <name val="Calibri"/>
      <family val="2"/>
      <charset val="1"/>
    </font>
    <font>
      <sz val="10"/>
      <name val="Calibri"/>
      <family val="2"/>
      <charset val="1"/>
    </font>
    <font>
      <sz val="9"/>
      <name val="Arial"/>
      <family val="2"/>
      <charset val="1"/>
    </font>
    <font>
      <sz val="10"/>
      <color rgb="FF17375E"/>
      <name val="Arial"/>
      <family val="2"/>
      <charset val="1"/>
    </font>
    <font>
      <b val="true"/>
      <sz val="11"/>
      <color theme="1"/>
      <name val="Calibri"/>
      <family val="2"/>
      <charset val="1"/>
    </font>
    <font>
      <b val="true"/>
      <sz val="11"/>
      <color theme="1"/>
      <name val="Times New Roman"/>
      <family val="1"/>
      <charset val="1"/>
    </font>
    <font>
      <b val="true"/>
      <sz val="12"/>
      <color theme="1"/>
      <name val="Times New Roman"/>
      <family val="1"/>
      <charset val="1"/>
    </font>
    <font>
      <b val="true"/>
      <sz val="10"/>
      <color theme="1"/>
      <name val="Times New Roman"/>
      <family val="1"/>
      <charset val="1"/>
    </font>
    <font>
      <sz val="10"/>
      <color theme="1"/>
      <name val="Times New Roman"/>
      <family val="1"/>
      <charset val="1"/>
    </font>
    <font>
      <b val="true"/>
      <sz val="12"/>
      <name val="Arial"/>
      <family val="2"/>
      <charset val="1"/>
    </font>
    <font>
      <b val="true"/>
      <sz val="12"/>
      <name val="Geneva"/>
      <family val="0"/>
      <charset val="1"/>
    </font>
    <font>
      <sz val="10"/>
      <color rgb="FF000000"/>
      <name val="Calibri"/>
      <family val="2"/>
      <charset val="1"/>
    </font>
    <font>
      <b val="true"/>
      <sz val="16"/>
      <color theme="1"/>
      <name val="Calibri"/>
      <family val="2"/>
      <charset val="1"/>
    </font>
    <font>
      <sz val="8"/>
      <name val="Arial"/>
      <family val="2"/>
      <charset val="1"/>
    </font>
    <font>
      <b val="true"/>
      <sz val="28"/>
      <name val="Arial"/>
      <family val="2"/>
      <charset val="1"/>
    </font>
    <font>
      <sz val="12"/>
      <name val="Arial"/>
      <family val="2"/>
      <charset val="1"/>
    </font>
    <font>
      <b val="true"/>
      <sz val="18"/>
      <name val="Arial"/>
      <family val="2"/>
      <charset val="1"/>
    </font>
    <font>
      <b val="true"/>
      <sz val="16"/>
      <name val="Arial"/>
      <family val="2"/>
      <charset val="1"/>
    </font>
    <font>
      <sz val="11"/>
      <name val="Arial"/>
      <family val="2"/>
      <charset val="1"/>
    </font>
    <font>
      <b val="true"/>
      <sz val="11"/>
      <name val="Arial"/>
      <family val="2"/>
      <charset val="1"/>
    </font>
    <font>
      <b val="true"/>
      <sz val="9"/>
      <name val="Arial"/>
      <family val="2"/>
      <charset val="1"/>
    </font>
    <font>
      <b val="true"/>
      <sz val="14"/>
      <name val="Arial"/>
      <family val="2"/>
      <charset val="1"/>
    </font>
    <font>
      <sz val="14"/>
      <name val="Arial"/>
      <family val="2"/>
      <charset val="1"/>
    </font>
    <font>
      <sz val="10"/>
      <color rgb="FF000000"/>
      <name val="Arial"/>
      <family val="0"/>
    </font>
    <font>
      <b val="true"/>
      <sz val="12"/>
      <color rgb="FF000000"/>
      <name val="Arial"/>
      <family val="0"/>
    </font>
    <font>
      <b val="true"/>
      <sz val="12"/>
      <color theme="1"/>
      <name val="Calibri"/>
      <family val="2"/>
      <charset val="1"/>
    </font>
    <font>
      <sz val="12"/>
      <color theme="1"/>
      <name val="Calibri"/>
      <family val="2"/>
      <charset val="1"/>
    </font>
  </fonts>
  <fills count="38">
    <fill>
      <patternFill patternType="none"/>
    </fill>
    <fill>
      <patternFill patternType="gray125"/>
    </fill>
    <fill>
      <patternFill patternType="solid">
        <fgColor rgb="FFCCCCFF"/>
        <bgColor rgb="FFDCE6F2"/>
      </patternFill>
    </fill>
    <fill>
      <patternFill patternType="solid">
        <fgColor rgb="FFFF99CC"/>
        <bgColor rgb="FFFF8080"/>
      </patternFill>
    </fill>
    <fill>
      <patternFill patternType="solid">
        <fgColor rgb="FFCCFFCC"/>
        <bgColor rgb="FFDCE6F2"/>
      </patternFill>
    </fill>
    <fill>
      <patternFill patternType="solid">
        <fgColor rgb="FFCC99FF"/>
        <bgColor rgb="FFFF99CC"/>
      </patternFill>
    </fill>
    <fill>
      <patternFill patternType="solid">
        <fgColor rgb="FFDCE6F2"/>
        <bgColor rgb="FFCCCCFF"/>
      </patternFill>
    </fill>
    <fill>
      <patternFill patternType="solid">
        <fgColor rgb="FFFFCC99"/>
        <bgColor rgb="FFFAC090"/>
      </patternFill>
    </fill>
    <fill>
      <patternFill patternType="solid">
        <fgColor rgb="FF99CCFF"/>
        <bgColor rgb="FFCCCCFF"/>
      </patternFill>
    </fill>
    <fill>
      <patternFill patternType="solid">
        <fgColor rgb="FFFF8080"/>
        <bgColor rgb="FFFF99CC"/>
      </patternFill>
    </fill>
    <fill>
      <patternFill patternType="solid">
        <fgColor rgb="FF00FF00"/>
        <bgColor rgb="FF00C000"/>
      </patternFill>
    </fill>
    <fill>
      <patternFill patternType="solid">
        <fgColor rgb="FFFFCC00"/>
        <bgColor rgb="FFFFC000"/>
      </patternFill>
    </fill>
    <fill>
      <patternFill patternType="solid">
        <fgColor rgb="FF0066CC"/>
        <bgColor rgb="FF333399"/>
      </patternFill>
    </fill>
    <fill>
      <patternFill patternType="solid">
        <fgColor rgb="FF800080"/>
        <bgColor rgb="FF800080"/>
      </patternFill>
    </fill>
    <fill>
      <patternFill patternType="solid">
        <fgColor rgb="FF00B0F0"/>
        <bgColor rgb="FF00CCFF"/>
      </patternFill>
    </fill>
    <fill>
      <patternFill patternType="solid">
        <fgColor rgb="FFFF9900"/>
        <bgColor rgb="FFFFC000"/>
      </patternFill>
    </fill>
    <fill>
      <patternFill patternType="solid">
        <fgColor rgb="FF333399"/>
        <bgColor rgb="FF17375E"/>
      </patternFill>
    </fill>
    <fill>
      <patternFill patternType="solid">
        <fgColor rgb="FFFF0000"/>
        <bgColor rgb="FFC00000"/>
      </patternFill>
    </fill>
    <fill>
      <patternFill patternType="solid">
        <fgColor rgb="FF339966"/>
        <bgColor rgb="FF00B050"/>
      </patternFill>
    </fill>
    <fill>
      <patternFill patternType="solid">
        <fgColor rgb="FFFF6600"/>
        <bgColor rgb="FFFF9900"/>
      </patternFill>
    </fill>
    <fill>
      <patternFill patternType="solid">
        <fgColor rgb="FFFAC090"/>
        <bgColor rgb="FFFFCC99"/>
      </patternFill>
    </fill>
    <fill>
      <patternFill patternType="solid">
        <fgColor rgb="FFFCD5B5"/>
        <bgColor rgb="FFFFCC99"/>
      </patternFill>
    </fill>
    <fill>
      <patternFill patternType="solid">
        <fgColor rgb="FFFFFF99"/>
        <bgColor rgb="FFCCFFCC"/>
      </patternFill>
    </fill>
    <fill>
      <patternFill patternType="solid">
        <fgColor rgb="FF969696"/>
        <bgColor rgb="FF808080"/>
      </patternFill>
    </fill>
    <fill>
      <patternFill patternType="solid">
        <fgColor rgb="FFFFFF00"/>
        <bgColor rgb="FFFFCC00"/>
      </patternFill>
    </fill>
    <fill>
      <patternFill patternType="solid">
        <fgColor rgb="FFFFFFFF"/>
        <bgColor rgb="FFDCE6F2"/>
      </patternFill>
    </fill>
    <fill>
      <patternFill patternType="solid">
        <fgColor rgb="FF00B050"/>
        <bgColor rgb="FF00C000"/>
      </patternFill>
    </fill>
    <fill>
      <patternFill patternType="solid">
        <fgColor rgb="FFFFC000"/>
        <bgColor rgb="FFFFCC00"/>
      </patternFill>
    </fill>
    <fill>
      <patternFill patternType="solid">
        <fgColor theme="0" tint="-0.25"/>
        <bgColor rgb="FFC0C0C0"/>
      </patternFill>
    </fill>
    <fill>
      <patternFill patternType="solid">
        <fgColor rgb="FF907357"/>
        <bgColor rgb="FF808080"/>
      </patternFill>
    </fill>
    <fill>
      <patternFill patternType="solid">
        <fgColor rgb="FFC0C0C0"/>
        <bgColor rgb="FFBFBFBF"/>
      </patternFill>
    </fill>
    <fill>
      <patternFill patternType="solid">
        <fgColor rgb="FFC09973"/>
        <bgColor rgb="FFBC906C"/>
      </patternFill>
    </fill>
    <fill>
      <patternFill patternType="solid">
        <fgColor rgb="FFBC906C"/>
        <bgColor rgb="FFC09973"/>
      </patternFill>
    </fill>
    <fill>
      <patternFill patternType="solid">
        <fgColor rgb="FFC0C000"/>
        <bgColor rgb="FFFFC000"/>
      </patternFill>
    </fill>
    <fill>
      <patternFill patternType="solid">
        <fgColor rgb="FFC00000"/>
        <bgColor rgb="FFFF0000"/>
      </patternFill>
    </fill>
    <fill>
      <patternFill patternType="solid">
        <fgColor rgb="FFC0C073"/>
        <bgColor rgb="FF99C099"/>
      </patternFill>
    </fill>
    <fill>
      <patternFill patternType="solid">
        <fgColor rgb="FF00C000"/>
        <bgColor rgb="FF00B050"/>
      </patternFill>
    </fill>
    <fill>
      <patternFill patternType="solid">
        <fgColor rgb="FF99C099"/>
        <bgColor rgb="FFBFBFBF"/>
      </patternFill>
    </fill>
  </fills>
  <borders count="70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/>
      <right/>
      <top/>
      <bottom style="double">
        <color rgb="FFFF9900"/>
      </bottom>
      <diagonal/>
    </border>
    <border diagonalUp="false" diagonalDown="false">
      <left style="thin">
        <color rgb="FFFAC090"/>
      </left>
      <right style="thin">
        <color rgb="FFFAC090"/>
      </right>
      <top style="thin">
        <color rgb="FFFAC090"/>
      </top>
      <bottom style="thin">
        <color rgb="FFFAC090"/>
      </bottom>
      <diagonal/>
    </border>
    <border diagonalUp="false" diagonalDown="false">
      <left style="thin">
        <color rgb="FF1A1A1A"/>
      </left>
      <right style="thin">
        <color rgb="FF1A1A1A"/>
      </right>
      <top style="thin">
        <color rgb="FF1A1A1A"/>
      </top>
      <bottom style="thin">
        <color rgb="FF1A1A1A"/>
      </bottom>
      <diagonal/>
    </border>
    <border diagonalUp="false" diagonalDown="false">
      <left/>
      <right/>
      <top/>
      <bottom style="thick">
        <color rgb="FF333399"/>
      </bottom>
      <diagonal/>
    </border>
    <border diagonalUp="false" diagonalDown="false">
      <left/>
      <right/>
      <top/>
      <bottom style="thick">
        <color rgb="FFFAC090"/>
      </bottom>
      <diagonal/>
    </border>
    <border diagonalUp="false" diagonalDown="false">
      <left/>
      <right/>
      <top/>
      <bottom style="medium">
        <color rgb="FF0066CC"/>
      </bottom>
      <diagonal/>
    </border>
    <border diagonalUp="false" diagonalDown="false">
      <left/>
      <right/>
      <top style="thin">
        <color rgb="FF333399"/>
      </top>
      <bottom style="double">
        <color rgb="FF333399"/>
      </bottom>
      <diagonal/>
    </border>
    <border diagonalUp="false" diagonalDown="false">
      <left style="double">
        <color rgb="FF1A1A1A"/>
      </left>
      <right style="double">
        <color rgb="FF1A1A1A"/>
      </right>
      <top style="double">
        <color rgb="FF1A1A1A"/>
      </top>
      <bottom style="double">
        <color rgb="FF1A1A1A"/>
      </bottom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>
        <color rgb="FF1A1A1A"/>
      </left>
      <right/>
      <top style="thin">
        <color rgb="FF1A1A1A"/>
      </top>
      <bottom style="thin">
        <color rgb="FF1A1A1A"/>
      </bottom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medium">
        <color rgb="FF1A1A1A"/>
      </left>
      <right/>
      <top/>
      <bottom/>
      <diagonal/>
    </border>
    <border diagonalUp="false" diagonalDown="false">
      <left style="medium">
        <color rgb="FF1A1A1A"/>
      </left>
      <right style="thin">
        <color rgb="FF1A1A1A"/>
      </right>
      <top style="thin"/>
      <bottom/>
      <diagonal/>
    </border>
    <border diagonalUp="false" diagonalDown="false">
      <left style="medium">
        <color rgb="FF1A1A1A"/>
      </left>
      <right style="thin">
        <color rgb="FF1A1A1A"/>
      </right>
      <top style="thin">
        <color rgb="FF1A1A1A"/>
      </top>
      <bottom/>
      <diagonal/>
    </border>
    <border diagonalUp="false" diagonalDown="false">
      <left style="hair">
        <color rgb="FF1A1A1A"/>
      </left>
      <right style="hair">
        <color rgb="FF1A1A1A"/>
      </right>
      <top style="hair">
        <color rgb="FF1A1A1A"/>
      </top>
      <bottom style="hair">
        <color rgb="FF1A1A1A"/>
      </bottom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 style="thin">
        <color rgb="FF1A1A1A"/>
      </left>
      <right style="thin">
        <color rgb="FF1A1A1A"/>
      </right>
      <top style="thin">
        <color rgb="FF1A1A1A"/>
      </top>
      <bottom style="medium">
        <color rgb="FF1A1A1A"/>
      </bottom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hair">
        <color rgb="FF1A1A1A"/>
      </left>
      <right/>
      <top style="hair">
        <color rgb="FF1A1A1A"/>
      </top>
      <bottom style="hair">
        <color rgb="FF1A1A1A"/>
      </bottom>
      <diagonal/>
    </border>
    <border diagonalUp="false" diagonalDown="false">
      <left style="thin">
        <color rgb="FF1A1A1A"/>
      </left>
      <right style="thin">
        <color rgb="FF1A1A1A"/>
      </right>
      <top/>
      <bottom style="thin">
        <color rgb="FF1A1A1A"/>
      </bottom>
      <diagonal/>
    </border>
    <border diagonalUp="false" diagonalDown="false">
      <left style="thin">
        <color rgb="FF1A1A1A"/>
      </left>
      <right style="thin">
        <color rgb="FF1A1A1A"/>
      </right>
      <top style="thin">
        <color rgb="FF1A1A1A"/>
      </top>
      <bottom/>
      <diagonal/>
    </border>
    <border diagonalUp="false" diagonalDown="false">
      <left style="hair"/>
      <right style="hair"/>
      <top style="hair"/>
      <bottom/>
      <diagonal/>
    </border>
    <border diagonalUp="false" diagonalDown="false">
      <left style="hair">
        <color rgb="FF1A1A1A"/>
      </left>
      <right style="hair">
        <color rgb="FF1A1A1A"/>
      </right>
      <top/>
      <bottom style="hair">
        <color rgb="FF1A1A1A"/>
      </bottom>
      <diagonal/>
    </border>
    <border diagonalUp="false" diagonalDown="false">
      <left style="hair"/>
      <right style="hair"/>
      <top/>
      <bottom style="hair"/>
      <diagonal/>
    </border>
    <border diagonalUp="false" diagonalDown="false">
      <left/>
      <right style="medium"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/>
      <diagonal/>
    </border>
    <border diagonalUp="false" diagonalDown="false">
      <left style="thin"/>
      <right style="double"/>
      <top style="thin"/>
      <bottom style="thin"/>
      <diagonal/>
    </border>
    <border diagonalUp="false" diagonalDown="false">
      <left style="double"/>
      <right style="double"/>
      <top style="thin"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double"/>
      <top style="thin"/>
      <bottom/>
      <diagonal/>
    </border>
    <border diagonalUp="false" diagonalDown="false">
      <left style="double"/>
      <right style="thin"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medium"/>
      <right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/>
      <right/>
      <top style="medium"/>
      <bottom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 style="thin"/>
      <top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 style="thin"/>
      <right style="medium"/>
      <top/>
      <bottom style="medium"/>
      <diagonal/>
    </border>
    <border diagonalUp="false" diagonalDown="false">
      <left style="thin"/>
      <right/>
      <top/>
      <bottom style="medium"/>
      <diagonal/>
    </border>
    <border diagonalUp="false" diagonalDown="false">
      <left style="thin"/>
      <right style="medium"/>
      <top style="medium"/>
      <bottom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/>
      <right style="thin"/>
      <top style="medium"/>
      <bottom/>
      <diagonal/>
    </border>
    <border diagonalUp="false" diagonalDown="false">
      <left/>
      <right style="thin"/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/>
      <right style="thin"/>
      <top/>
      <bottom style="medium"/>
      <diagonal/>
    </border>
  </borders>
  <cellStyleXfs count="127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11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2" borderId="0" applyFont="true" applyBorder="false" applyAlignment="true" applyProtection="false">
      <alignment horizontal="general" vertical="bottom" textRotation="0" wrapText="false" indent="0" shrinkToFit="false"/>
    </xf>
    <xf numFmtId="164" fontId="4" fillId="2" borderId="0" applyFont="true" applyBorder="false" applyAlignment="true" applyProtection="false">
      <alignment horizontal="general" vertical="bottom" textRotation="0" wrapText="false" indent="0" shrinkToFit="false"/>
    </xf>
    <xf numFmtId="164" fontId="4" fillId="3" borderId="0" applyFont="true" applyBorder="false" applyAlignment="true" applyProtection="false">
      <alignment horizontal="general" vertical="bottom" textRotation="0" wrapText="false" indent="0" shrinkToFit="false"/>
    </xf>
    <xf numFmtId="164" fontId="4" fillId="3" borderId="0" applyFont="true" applyBorder="false" applyAlignment="true" applyProtection="false">
      <alignment horizontal="general" vertical="bottom" textRotation="0" wrapText="false" indent="0" shrinkToFit="false"/>
    </xf>
    <xf numFmtId="164" fontId="4" fillId="4" borderId="0" applyFont="true" applyBorder="false" applyAlignment="true" applyProtection="false">
      <alignment horizontal="general" vertical="bottom" textRotation="0" wrapText="false" indent="0" shrinkToFit="false"/>
    </xf>
    <xf numFmtId="164" fontId="4" fillId="4" borderId="0" applyFont="true" applyBorder="false" applyAlignment="true" applyProtection="false">
      <alignment horizontal="general" vertical="bottom" textRotation="0" wrapText="false" indent="0" shrinkToFit="false"/>
    </xf>
    <xf numFmtId="164" fontId="4" fillId="5" borderId="0" applyFont="true" applyBorder="false" applyAlignment="true" applyProtection="false">
      <alignment horizontal="general" vertical="bottom" textRotation="0" wrapText="false" indent="0" shrinkToFit="false"/>
    </xf>
    <xf numFmtId="164" fontId="4" fillId="5" borderId="0" applyFont="true" applyBorder="false" applyAlignment="true" applyProtection="false">
      <alignment horizontal="general" vertical="bottom" textRotation="0" wrapText="false" indent="0" shrinkToFit="false"/>
    </xf>
    <xf numFmtId="164" fontId="4" fillId="6" borderId="0" applyFont="true" applyBorder="false" applyAlignment="true" applyProtection="false">
      <alignment horizontal="general" vertical="bottom" textRotation="0" wrapText="false" indent="0" shrinkToFit="false"/>
    </xf>
    <xf numFmtId="164" fontId="4" fillId="6" borderId="0" applyFont="true" applyBorder="false" applyAlignment="true" applyProtection="false">
      <alignment horizontal="general" vertical="bottom" textRotation="0" wrapText="false" indent="0" shrinkToFit="false"/>
    </xf>
    <xf numFmtId="164" fontId="4" fillId="7" borderId="0" applyFont="true" applyBorder="false" applyAlignment="true" applyProtection="false">
      <alignment horizontal="general" vertical="bottom" textRotation="0" wrapText="false" indent="0" shrinkToFit="false"/>
    </xf>
    <xf numFmtId="164" fontId="4" fillId="7" borderId="0" applyFont="true" applyBorder="false" applyAlignment="true" applyProtection="false">
      <alignment horizontal="general" vertical="bottom" textRotation="0" wrapText="false" indent="0" shrinkToFit="false"/>
    </xf>
    <xf numFmtId="164" fontId="4" fillId="8" borderId="0" applyFont="true" applyBorder="false" applyAlignment="true" applyProtection="false">
      <alignment horizontal="general" vertical="bottom" textRotation="0" wrapText="false" indent="0" shrinkToFit="false"/>
    </xf>
    <xf numFmtId="164" fontId="4" fillId="8" borderId="0" applyFont="true" applyBorder="false" applyAlignment="true" applyProtection="false">
      <alignment horizontal="general" vertical="bottom" textRotation="0" wrapText="false" indent="0" shrinkToFit="false"/>
    </xf>
    <xf numFmtId="164" fontId="4" fillId="9" borderId="0" applyFont="true" applyBorder="false" applyAlignment="true" applyProtection="false">
      <alignment horizontal="general" vertical="bottom" textRotation="0" wrapText="false" indent="0" shrinkToFit="false"/>
    </xf>
    <xf numFmtId="164" fontId="4" fillId="9" borderId="0" applyFont="true" applyBorder="false" applyAlignment="true" applyProtection="false">
      <alignment horizontal="general" vertical="bottom" textRotation="0" wrapText="false" indent="0" shrinkToFit="false"/>
    </xf>
    <xf numFmtId="164" fontId="4" fillId="10" borderId="0" applyFont="true" applyBorder="false" applyAlignment="true" applyProtection="false">
      <alignment horizontal="general" vertical="bottom" textRotation="0" wrapText="false" indent="0" shrinkToFit="false"/>
    </xf>
    <xf numFmtId="164" fontId="4" fillId="10" borderId="0" applyFont="true" applyBorder="false" applyAlignment="true" applyProtection="false">
      <alignment horizontal="general" vertical="bottom" textRotation="0" wrapText="false" indent="0" shrinkToFit="false"/>
    </xf>
    <xf numFmtId="164" fontId="4" fillId="5" borderId="0" applyFont="true" applyBorder="false" applyAlignment="true" applyProtection="false">
      <alignment horizontal="general" vertical="bottom" textRotation="0" wrapText="false" indent="0" shrinkToFit="false"/>
    </xf>
    <xf numFmtId="164" fontId="4" fillId="5" borderId="0" applyFont="true" applyBorder="false" applyAlignment="true" applyProtection="false">
      <alignment horizontal="general" vertical="bottom" textRotation="0" wrapText="false" indent="0" shrinkToFit="false"/>
    </xf>
    <xf numFmtId="164" fontId="4" fillId="8" borderId="0" applyFont="true" applyBorder="false" applyAlignment="true" applyProtection="false">
      <alignment horizontal="general" vertical="bottom" textRotation="0" wrapText="false" indent="0" shrinkToFit="false"/>
    </xf>
    <xf numFmtId="164" fontId="4" fillId="8" borderId="0" applyFont="true" applyBorder="false" applyAlignment="true" applyProtection="false">
      <alignment horizontal="general" vertical="bottom" textRotation="0" wrapText="false" indent="0" shrinkToFit="false"/>
    </xf>
    <xf numFmtId="164" fontId="4" fillId="11" borderId="0" applyFont="true" applyBorder="false" applyAlignment="true" applyProtection="false">
      <alignment horizontal="general" vertical="bottom" textRotation="0" wrapText="false" indent="0" shrinkToFit="false"/>
    </xf>
    <xf numFmtId="164" fontId="4" fillId="11" borderId="0" applyFont="true" applyBorder="false" applyAlignment="true" applyProtection="false">
      <alignment horizontal="general" vertical="bottom" textRotation="0" wrapText="false" indent="0" shrinkToFit="false"/>
    </xf>
    <xf numFmtId="164" fontId="5" fillId="12" borderId="0" applyFont="true" applyBorder="false" applyAlignment="true" applyProtection="false">
      <alignment horizontal="general" vertical="bottom" textRotation="0" wrapText="false" indent="0" shrinkToFit="false"/>
    </xf>
    <xf numFmtId="164" fontId="5" fillId="12" borderId="0" applyFont="true" applyBorder="false" applyAlignment="true" applyProtection="false">
      <alignment horizontal="general" vertical="bottom" textRotation="0" wrapText="false" indent="0" shrinkToFit="false"/>
    </xf>
    <xf numFmtId="164" fontId="5" fillId="9" borderId="0" applyFont="true" applyBorder="false" applyAlignment="true" applyProtection="false">
      <alignment horizontal="general" vertical="bottom" textRotation="0" wrapText="false" indent="0" shrinkToFit="false"/>
    </xf>
    <xf numFmtId="164" fontId="5" fillId="9" borderId="0" applyFont="true" applyBorder="false" applyAlignment="true" applyProtection="false">
      <alignment horizontal="general" vertical="bottom" textRotation="0" wrapText="false" indent="0" shrinkToFit="false"/>
    </xf>
    <xf numFmtId="164" fontId="5" fillId="10" borderId="0" applyFont="true" applyBorder="false" applyAlignment="true" applyProtection="false">
      <alignment horizontal="general" vertical="bottom" textRotation="0" wrapText="false" indent="0" shrinkToFit="false"/>
    </xf>
    <xf numFmtId="164" fontId="5" fillId="10" borderId="0" applyFont="true" applyBorder="false" applyAlignment="true" applyProtection="false">
      <alignment horizontal="general" vertical="bottom" textRotation="0" wrapText="false" indent="0" shrinkToFit="false"/>
    </xf>
    <xf numFmtId="164" fontId="5" fillId="13" borderId="0" applyFont="true" applyBorder="false" applyAlignment="true" applyProtection="false">
      <alignment horizontal="general" vertical="bottom" textRotation="0" wrapText="false" indent="0" shrinkToFit="false"/>
    </xf>
    <xf numFmtId="164" fontId="5" fillId="13" borderId="0" applyFont="true" applyBorder="false" applyAlignment="true" applyProtection="false">
      <alignment horizontal="general" vertical="bottom" textRotation="0" wrapText="false" indent="0" shrinkToFit="false"/>
    </xf>
    <xf numFmtId="164" fontId="5" fillId="14" borderId="0" applyFont="true" applyBorder="false" applyAlignment="true" applyProtection="false">
      <alignment horizontal="general" vertical="bottom" textRotation="0" wrapText="false" indent="0" shrinkToFit="false"/>
    </xf>
    <xf numFmtId="164" fontId="5" fillId="14" borderId="0" applyFont="true" applyBorder="false" applyAlignment="true" applyProtection="false">
      <alignment horizontal="general" vertical="bottom" textRotation="0" wrapText="false" indent="0" shrinkToFit="false"/>
    </xf>
    <xf numFmtId="164" fontId="5" fillId="15" borderId="0" applyFont="true" applyBorder="false" applyAlignment="true" applyProtection="false">
      <alignment horizontal="general" vertical="bottom" textRotation="0" wrapText="false" indent="0" shrinkToFit="false"/>
    </xf>
    <xf numFmtId="164" fontId="5" fillId="15" borderId="0" applyFont="true" applyBorder="false" applyAlignment="true" applyProtection="false">
      <alignment horizontal="general" vertical="bottom" textRotation="0" wrapText="false" indent="0" shrinkToFit="false"/>
    </xf>
    <xf numFmtId="164" fontId="5" fillId="16" borderId="0" applyFont="true" applyBorder="false" applyAlignment="true" applyProtection="false">
      <alignment horizontal="general" vertical="bottom" textRotation="0" wrapText="false" indent="0" shrinkToFit="false"/>
    </xf>
    <xf numFmtId="164" fontId="5" fillId="16" borderId="0" applyFont="true" applyBorder="false" applyAlignment="true" applyProtection="false">
      <alignment horizontal="general" vertical="bottom" textRotation="0" wrapText="false" indent="0" shrinkToFit="false"/>
    </xf>
    <xf numFmtId="164" fontId="5" fillId="17" borderId="0" applyFont="true" applyBorder="false" applyAlignment="true" applyProtection="false">
      <alignment horizontal="general" vertical="bottom" textRotation="0" wrapText="false" indent="0" shrinkToFit="false"/>
    </xf>
    <xf numFmtId="164" fontId="5" fillId="17" borderId="0" applyFont="true" applyBorder="false" applyAlignment="true" applyProtection="false">
      <alignment horizontal="general" vertical="bottom" textRotation="0" wrapText="false" indent="0" shrinkToFit="false"/>
    </xf>
    <xf numFmtId="164" fontId="5" fillId="18" borderId="0" applyFont="true" applyBorder="false" applyAlignment="true" applyProtection="false">
      <alignment horizontal="general" vertical="bottom" textRotation="0" wrapText="false" indent="0" shrinkToFit="false"/>
    </xf>
    <xf numFmtId="164" fontId="5" fillId="18" borderId="0" applyFont="true" applyBorder="false" applyAlignment="true" applyProtection="false">
      <alignment horizontal="general" vertical="bottom" textRotation="0" wrapText="false" indent="0" shrinkToFit="false"/>
    </xf>
    <xf numFmtId="164" fontId="5" fillId="13" borderId="0" applyFont="true" applyBorder="false" applyAlignment="true" applyProtection="false">
      <alignment horizontal="general" vertical="bottom" textRotation="0" wrapText="false" indent="0" shrinkToFit="false"/>
    </xf>
    <xf numFmtId="164" fontId="5" fillId="13" borderId="0" applyFont="true" applyBorder="false" applyAlignment="true" applyProtection="false">
      <alignment horizontal="general" vertical="bottom" textRotation="0" wrapText="false" indent="0" shrinkToFit="false"/>
    </xf>
    <xf numFmtId="164" fontId="5" fillId="14" borderId="0" applyFont="true" applyBorder="false" applyAlignment="true" applyProtection="false">
      <alignment horizontal="general" vertical="bottom" textRotation="0" wrapText="false" indent="0" shrinkToFit="false"/>
    </xf>
    <xf numFmtId="164" fontId="5" fillId="14" borderId="0" applyFont="true" applyBorder="false" applyAlignment="true" applyProtection="false">
      <alignment horizontal="general" vertical="bottom" textRotation="0" wrapText="false" indent="0" shrinkToFit="false"/>
    </xf>
    <xf numFmtId="164" fontId="5" fillId="19" borderId="0" applyFont="true" applyBorder="false" applyAlignment="true" applyProtection="false">
      <alignment horizontal="general" vertical="bottom" textRotation="0" wrapText="false" indent="0" shrinkToFit="false"/>
    </xf>
    <xf numFmtId="164" fontId="5" fillId="19" borderId="0" applyFont="true" applyBorder="false" applyAlignment="true" applyProtection="false">
      <alignment horizontal="general" vertical="bottom" textRotation="0" wrapText="false" indent="0" shrinkToFit="false"/>
    </xf>
    <xf numFmtId="164" fontId="6" fillId="0" borderId="0" applyFont="true" applyBorder="false" applyAlignment="true" applyProtection="false">
      <alignment horizontal="general" vertical="bottom" textRotation="0" wrapText="false" indent="0" shrinkToFit="false"/>
    </xf>
    <xf numFmtId="164" fontId="6" fillId="0" borderId="0" applyFont="true" applyBorder="false" applyAlignment="true" applyProtection="false">
      <alignment horizontal="general" vertical="bottom" textRotation="0" wrapText="false" indent="0" shrinkToFit="false"/>
    </xf>
    <xf numFmtId="164" fontId="7" fillId="20" borderId="1" applyFont="true" applyBorder="true" applyAlignment="true" applyProtection="false">
      <alignment horizontal="general" vertical="bottom" textRotation="0" wrapText="false" indent="0" shrinkToFit="false"/>
    </xf>
    <xf numFmtId="164" fontId="7" fillId="20" borderId="1" applyFont="true" applyBorder="true" applyAlignment="true" applyProtection="false">
      <alignment horizontal="general" vertical="bottom" textRotation="0" wrapText="false" indent="0" shrinkToFit="false"/>
    </xf>
    <xf numFmtId="164" fontId="8" fillId="0" borderId="2" applyFont="true" applyBorder="true" applyAlignment="true" applyProtection="false">
      <alignment horizontal="general" vertical="bottom" textRotation="0" wrapText="false" indent="0" shrinkToFit="false"/>
    </xf>
    <xf numFmtId="164" fontId="8" fillId="0" borderId="2" applyFont="true" applyBorder="true" applyAlignment="true" applyProtection="false">
      <alignment horizontal="general" vertical="bottom" textRotation="0" wrapText="false" indent="0" shrinkToFit="false"/>
    </xf>
    <xf numFmtId="164" fontId="0" fillId="21" borderId="3" applyFont="true" applyBorder="true" applyAlignment="true" applyProtection="false">
      <alignment horizontal="general" vertical="bottom" textRotation="0" wrapText="false" indent="0" shrinkToFit="false"/>
    </xf>
    <xf numFmtId="164" fontId="0" fillId="21" borderId="3" applyFont="true" applyBorder="true" applyAlignment="true" applyProtection="false">
      <alignment horizontal="general" vertical="bottom" textRotation="0" wrapText="false" indent="0" shrinkToFit="false"/>
    </xf>
    <xf numFmtId="164" fontId="9" fillId="7" borderId="1" applyFont="true" applyBorder="true" applyAlignment="true" applyProtection="false">
      <alignment horizontal="general" vertical="bottom" textRotation="0" wrapText="false" indent="0" shrinkToFit="false"/>
    </xf>
    <xf numFmtId="164" fontId="9" fillId="7" borderId="1" applyFont="true" applyBorder="true" applyAlignment="true" applyProtection="false">
      <alignment horizontal="general" vertical="bottom" textRotation="0" wrapText="false" indent="0" shrinkToFit="false"/>
    </xf>
    <xf numFmtId="164" fontId="10" fillId="3" borderId="0" applyFont="true" applyBorder="false" applyAlignment="true" applyProtection="false">
      <alignment horizontal="general" vertical="bottom" textRotation="0" wrapText="false" indent="0" shrinkToFit="false"/>
    </xf>
    <xf numFmtId="164" fontId="10" fillId="3" borderId="0" applyFont="true" applyBorder="false" applyAlignment="true" applyProtection="false">
      <alignment horizontal="general" vertical="bottom" textRotation="0" wrapText="false" indent="0" shrinkToFit="false"/>
    </xf>
    <xf numFmtId="164" fontId="11" fillId="0" borderId="0" applyFont="true" applyBorder="false" applyAlignment="true" applyProtection="false">
      <alignment horizontal="general" vertical="bottom" textRotation="0" wrapText="false" indent="0" shrinkToFit="false"/>
    </xf>
    <xf numFmtId="164" fontId="12" fillId="0" borderId="0" applyFont="true" applyBorder="false" applyAlignment="true" applyProtection="false">
      <alignment horizontal="general" vertical="bottom" textRotation="0" wrapText="false" indent="0" shrinkToFit="false"/>
    </xf>
    <xf numFmtId="164" fontId="11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13" fillId="22" borderId="0" applyFont="true" applyBorder="false" applyAlignment="true" applyProtection="false">
      <alignment horizontal="general" vertical="bottom" textRotation="0" wrapText="false" indent="0" shrinkToFit="false"/>
    </xf>
    <xf numFmtId="164" fontId="13" fillId="22" borderId="0" applyFont="true" applyBorder="false" applyAlignment="true" applyProtection="false">
      <alignment horizontal="general" vertical="bottom" textRotation="0" wrapText="false" indent="0" shrinkToFit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4" borderId="0" applyFont="true" applyBorder="false" applyAlignment="true" applyProtection="false">
      <alignment horizontal="general" vertical="bottom" textRotation="0" wrapText="false" indent="0" shrinkToFit="false"/>
    </xf>
    <xf numFmtId="164" fontId="19" fillId="4" borderId="0" applyFont="true" applyBorder="false" applyAlignment="true" applyProtection="false">
      <alignment horizontal="general" vertical="bottom" textRotation="0" wrapText="false" indent="0" shrinkToFit="false"/>
    </xf>
    <xf numFmtId="164" fontId="20" fillId="20" borderId="4" applyFont="true" applyBorder="true" applyAlignment="true" applyProtection="false">
      <alignment horizontal="general" vertical="bottom" textRotation="0" wrapText="false" indent="0" shrinkToFit="false"/>
    </xf>
    <xf numFmtId="164" fontId="20" fillId="20" borderId="4" applyFont="true" applyBorder="true" applyAlignment="true" applyProtection="false">
      <alignment horizontal="general" vertical="bottom" textRotation="0" wrapText="false" indent="0" shrinkToFit="false"/>
    </xf>
    <xf numFmtId="164" fontId="21" fillId="0" borderId="0" applyFont="true" applyBorder="false" applyAlignment="true" applyProtection="false">
      <alignment horizontal="general" vertical="bottom" textRotation="0" wrapText="false" indent="0" shrinkToFit="false"/>
    </xf>
    <xf numFmtId="164" fontId="21" fillId="0" borderId="0" applyFont="true" applyBorder="false" applyAlignment="true" applyProtection="false">
      <alignment horizontal="general" vertical="bottom" textRotation="0" wrapText="false" indent="0" shrinkToFit="false"/>
    </xf>
    <xf numFmtId="164" fontId="22" fillId="0" borderId="0" applyFont="true" applyBorder="false" applyAlignment="true" applyProtection="false">
      <alignment horizontal="general" vertical="bottom" textRotation="0" wrapText="false" indent="0" shrinkToFit="false"/>
    </xf>
    <xf numFmtId="164" fontId="23" fillId="0" borderId="5" applyFont="true" applyBorder="true" applyAlignment="true" applyProtection="false">
      <alignment horizontal="general" vertical="bottom" textRotation="0" wrapText="false" indent="0" shrinkToFit="false"/>
    </xf>
    <xf numFmtId="164" fontId="23" fillId="0" borderId="5" applyFont="true" applyBorder="true" applyAlignment="true" applyProtection="false">
      <alignment horizontal="general" vertical="bottom" textRotation="0" wrapText="false" indent="0" shrinkToFit="false"/>
    </xf>
    <xf numFmtId="164" fontId="24" fillId="0" borderId="6" applyFont="true" applyBorder="true" applyAlignment="true" applyProtection="false">
      <alignment horizontal="general" vertical="bottom" textRotation="0" wrapText="false" indent="0" shrinkToFit="false"/>
    </xf>
    <xf numFmtId="164" fontId="24" fillId="0" borderId="6" applyFont="true" applyBorder="true" applyAlignment="true" applyProtection="false">
      <alignment horizontal="general" vertical="bottom" textRotation="0" wrapText="false" indent="0" shrinkToFit="false"/>
    </xf>
    <xf numFmtId="164" fontId="25" fillId="0" borderId="7" applyFont="true" applyBorder="true" applyAlignment="true" applyProtection="false">
      <alignment horizontal="general" vertical="bottom" textRotation="0" wrapText="false" indent="0" shrinkToFit="false"/>
    </xf>
    <xf numFmtId="164" fontId="25" fillId="0" borderId="7" applyFont="true" applyBorder="true" applyAlignment="true" applyProtection="false">
      <alignment horizontal="general" vertical="bottom" textRotation="0" wrapText="false" indent="0" shrinkToFit="false"/>
    </xf>
    <xf numFmtId="164" fontId="25" fillId="0" borderId="0" applyFont="true" applyBorder="false" applyAlignment="true" applyProtection="false">
      <alignment horizontal="general" vertical="bottom" textRotation="0" wrapText="false" indent="0" shrinkToFit="false"/>
    </xf>
    <xf numFmtId="164" fontId="25" fillId="0" borderId="0" applyFont="true" applyBorder="false" applyAlignment="true" applyProtection="false">
      <alignment horizontal="general" vertical="bottom" textRotation="0" wrapText="false" indent="0" shrinkToFit="false"/>
    </xf>
    <xf numFmtId="164" fontId="26" fillId="0" borderId="8" applyFont="true" applyBorder="true" applyAlignment="true" applyProtection="false">
      <alignment horizontal="general" vertical="bottom" textRotation="0" wrapText="false" indent="0" shrinkToFit="false"/>
    </xf>
    <xf numFmtId="164" fontId="26" fillId="0" borderId="8" applyFont="true" applyBorder="true" applyAlignment="true" applyProtection="false">
      <alignment horizontal="general" vertical="bottom" textRotation="0" wrapText="false" indent="0" shrinkToFit="false"/>
    </xf>
    <xf numFmtId="164" fontId="27" fillId="23" borderId="9" applyFont="true" applyBorder="true" applyAlignment="true" applyProtection="false">
      <alignment horizontal="general" vertical="bottom" textRotation="0" wrapText="false" indent="0" shrinkToFit="false"/>
    </xf>
    <xf numFmtId="164" fontId="27" fillId="23" borderId="9" applyFont="true" applyBorder="true" applyAlignment="true" applyProtection="false">
      <alignment horizontal="general" vertical="bottom" textRotation="0" wrapText="false" indent="0" shrinkToFit="false"/>
    </xf>
  </cellStyleXfs>
  <cellXfs count="47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28" fillId="0" borderId="0" xfId="88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28" fillId="0" borderId="0" xfId="88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29" fillId="0" borderId="0" xfId="88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4" fillId="0" borderId="0" xfId="98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29" fillId="0" borderId="0" xfId="88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4" fillId="0" borderId="0" xfId="88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29" fillId="0" borderId="0" xfId="98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4" fillId="0" borderId="0" xfId="98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9" fillId="0" borderId="10" xfId="98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0" fillId="0" borderId="11" xfId="98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9" fillId="0" borderId="12" xfId="98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1" fillId="0" borderId="13" xfId="98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3" fillId="0" borderId="0" xfId="98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9" fillId="0" borderId="0" xfId="98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31" fillId="0" borderId="0" xfId="98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30" fillId="0" borderId="0" xfId="98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29" fillId="22" borderId="10" xfId="98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0" fillId="22" borderId="1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4" fillId="22" borderId="1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34" fillId="22" borderId="1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1" fillId="22" borderId="1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9" fillId="0" borderId="10" xfId="98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0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0" borderId="10" xfId="98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0" borderId="10" xfId="87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1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0" borderId="1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0" borderId="10" xfId="87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29" fillId="0" borderId="10" xfId="98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0" borderId="10" xfId="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7" fontId="14" fillId="0" borderId="1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0" borderId="15" xfId="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4" fontId="14" fillId="0" borderId="1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0" borderId="10" xfId="98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10" xfId="98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0" borderId="15" xfId="98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0" borderId="1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9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0" borderId="0" xfId="98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0" borderId="0" xfId="98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14" fillId="0" borderId="1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4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0" fillId="0" borderId="1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9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0" borderId="1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22" borderId="10" xfId="98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5" fillId="22" borderId="1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6" fillId="22" borderId="1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9" fillId="0" borderId="11" xfId="98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0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4" fillId="0" borderId="11" xfId="98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0" borderId="1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4" fillId="0" borderId="10" xfId="98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14" fillId="0" borderId="0" xfId="98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0" fillId="0" borderId="0" xfId="98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0" fillId="22" borderId="10" xfId="98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4" fillId="22" borderId="10" xfId="98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7" fillId="0" borderId="10" xfId="98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0" borderId="10" xfId="98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4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29" fillId="0" borderId="0" xfId="98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0" fillId="0" borderId="0" xfId="98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9" fillId="0" borderId="0" xfId="98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9" fillId="0" borderId="0" xfId="98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0" fillId="22" borderId="1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34" fillId="22" borderId="1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34" fillId="22" borderId="15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4" fillId="0" borderId="4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29" fillId="0" borderId="1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0" borderId="10" xfId="0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4" fontId="14" fillId="0" borderId="10" xfId="0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4" fontId="11" fillId="0" borderId="15" xfId="2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30" fillId="22" borderId="10" xfId="101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9" fillId="22" borderId="10" xfId="101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4" fillId="0" borderId="10" xfId="101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0" borderId="1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14" fillId="0" borderId="1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0" borderId="1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9" fillId="0" borderId="1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0" borderId="1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4" fillId="0" borderId="10" xfId="98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30" fillId="22" borderId="1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34" fillId="22" borderId="1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31" fillId="22" borderId="10" xfId="0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4" fontId="34" fillId="22" borderId="1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38" fillId="0" borderId="1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7" fontId="38" fillId="0" borderId="10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14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8" fillId="0" borderId="10" xfId="98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0" borderId="1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2" borderId="1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22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22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9" fillId="0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9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0" xfId="82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8" fontId="14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0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9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6" fillId="22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10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42" fillId="7" borderId="1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2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6" borderId="2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0" fillId="7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4" fillId="0" borderId="22" xfId="98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1" fillId="6" borderId="2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4" fillId="24" borderId="22" xfId="98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7" borderId="2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2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0" fillId="7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9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4" fillId="0" borderId="10" xfId="98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7" borderId="1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4" fillId="0" borderId="22" xfId="98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7" borderId="2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0" xfId="2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3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1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30" fillId="7" borderId="2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4" fillId="0" borderId="11" xfId="98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4" fillId="0" borderId="11" xfId="98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4" fillId="0" borderId="22" xfId="98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4" fillId="7" borderId="2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11" xfId="98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11" xfId="98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22" xfId="98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7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5" fillId="0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2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0" borderId="2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7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6" fillId="0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0" xfId="88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26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7" borderId="2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2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25" borderId="1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29" fillId="25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0" fillId="7" borderId="2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25" borderId="2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2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4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0" fontId="4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4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30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0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4" fillId="0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14" fillId="0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8" fontId="14" fillId="0" borderId="0" xfId="0" applyFont="true" applyBorder="false" applyAlignment="true" applyProtection="true">
      <alignment horizontal="right" vertical="bottom" textRotation="0" wrapText="false" indent="0" shrinkToFit="false"/>
      <protection locked="false" hidden="false"/>
    </xf>
    <xf numFmtId="169" fontId="14" fillId="0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4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6" borderId="2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2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4" fillId="7" borderId="1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6" borderId="2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7" fillId="0" borderId="2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7" fillId="7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0" borderId="2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2" fillId="21" borderId="20" xfId="87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8" fillId="0" borderId="20" xfId="87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20" xfId="87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87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0" fillId="21" borderId="10" xfId="87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9" fillId="0" borderId="10" xfId="87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9" fillId="0" borderId="10" xfId="87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0" borderId="2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6" fillId="2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94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xfId="105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0" xfId="10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9" fillId="0" borderId="0" xfId="105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0" xfId="105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9" fillId="0" borderId="10" xfId="105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0" xfId="10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6" fillId="0" borderId="10" xfId="105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0" fillId="0" borderId="0" xfId="88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88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1" fillId="0" borderId="0" xfId="88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2" fillId="0" borderId="29" xfId="88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2" fillId="0" borderId="30" xfId="88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2" fillId="0" borderId="31" xfId="88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3" fillId="0" borderId="0" xfId="88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3" fillId="0" borderId="30" xfId="88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0" xfId="89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102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89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54" fillId="26" borderId="32" xfId="8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4" fillId="26" borderId="33" xfId="8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5" fillId="26" borderId="34" xfId="102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9" fillId="26" borderId="15" xfId="102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0" xfId="102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102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9" fillId="27" borderId="11" xfId="8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27" borderId="35" xfId="8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27" borderId="36" xfId="8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27" borderId="37" xfId="8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27" borderId="12" xfId="8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27" borderId="38" xfId="8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17" borderId="11" xfId="8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6" fillId="28" borderId="13" xfId="95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46" fillId="28" borderId="39" xfId="95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6" fillId="28" borderId="10" xfId="95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28" borderId="10" xfId="8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46" fillId="28" borderId="40" xfId="95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28" borderId="41" xfId="95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4" fillId="28" borderId="10" xfId="8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8" borderId="10" xfId="102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0" fillId="28" borderId="10" xfId="102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8" borderId="10" xfId="10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46" fillId="28" borderId="15" xfId="95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46" fillId="28" borderId="42" xfId="95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28" borderId="43" xfId="95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28" borderId="10" xfId="8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6" fillId="0" borderId="10" xfId="95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46" fillId="0" borderId="15" xfId="95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10" xfId="8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10" xfId="8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46" fillId="0" borderId="42" xfId="95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43" xfId="95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4" fillId="0" borderId="10" xfId="8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4" fillId="0" borderId="10" xfId="8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0" fillId="0" borderId="10" xfId="102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0" xfId="10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4" fillId="0" borderId="43" xfId="95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5" fontId="14" fillId="0" borderId="10" xfId="8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46" fillId="28" borderId="10" xfId="95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4" fillId="28" borderId="43" xfId="95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6" fillId="28" borderId="10" xfId="106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56" fillId="28" borderId="42" xfId="106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28" borderId="43" xfId="106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6" fillId="28" borderId="10" xfId="8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46" fillId="28" borderId="42" xfId="8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28" borderId="43" xfId="8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0" borderId="0" xfId="89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7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8" fillId="29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9" fillId="0" borderId="0" xfId="0" applyFont="true" applyBorder="false" applyAlignment="true" applyProtection="false">
      <alignment horizontal="center" vertical="center" textRotation="90" wrapText="false" indent="0" shrinkToFit="false"/>
      <protection locked="true" hidden="false"/>
    </xf>
    <xf numFmtId="164" fontId="6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2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6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9" fillId="0" borderId="3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8" fillId="0" borderId="4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8" fillId="30" borderId="4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8" fillId="0" borderId="4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8" fillId="0" borderId="4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8" fillId="24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8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8" fillId="17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8" fillId="0" borderId="4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9" fillId="0" borderId="3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8" fillId="30" borderId="4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8" fillId="22" borderId="4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8" fillId="20" borderId="4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8" fillId="20" borderId="4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8" fillId="3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8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8" fillId="3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8" fillId="2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8" fillId="2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8" fillId="1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8" fillId="4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8" fillId="30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8" fillId="0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8" fillId="31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8" fillId="30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8" fillId="0" borderId="4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8" fillId="3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8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8" fillId="0" borderId="4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8" fillId="3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8" fillId="2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8" fillId="2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8" fillId="20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8" fillId="0" borderId="4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8" fillId="25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58" fillId="31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8" fillId="25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8" fillId="0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8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8" fillId="0" borderId="5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8" fillId="0" borderId="5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8" fillId="3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8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8" fillId="0" borderId="3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8" fillId="20" borderId="4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8" fillId="30" borderId="5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8" fillId="20" borderId="4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8" fillId="30" borderId="3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8" fillId="0" borderId="5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8" fillId="3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8" fillId="0" borderId="3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8" fillId="30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8" fillId="20" borderId="4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8" fillId="25" borderId="4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8" fillId="2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8" fillId="20" borderId="5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8" fillId="20" borderId="5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8" fillId="20" borderId="5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8" fillId="20" borderId="5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8" fillId="30" borderId="5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8" fillId="20" borderId="5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8" fillId="25" borderId="5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8" fillId="22" borderId="3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8" fillId="0" borderId="5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8" fillId="30" borderId="5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8" fillId="3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8" fillId="2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29" fillId="30" borderId="3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8" fillId="32" borderId="4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8" fillId="32" borderId="4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8" fillId="33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8" fillId="32" borderId="4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8" fillId="34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8" fillId="35" borderId="4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8" fillId="32" borderId="4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8" fillId="30" borderId="5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8" fillId="32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8" fillId="31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8" fillId="3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8" fillId="36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8" fillId="37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8" fillId="32" borderId="4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8" fillId="32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8" fillId="32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8" fillId="30" borderId="4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8" fillId="3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8" fillId="32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9" fillId="30" borderId="3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8" fillId="30" borderId="4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8" fillId="30" borderId="4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8" fillId="30" borderId="4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8" fillId="32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8" fillId="32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8" fillId="30" borderId="5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8" fillId="30" borderId="4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8" fillId="3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9" fillId="3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8" fillId="30" borderId="5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8" fillId="30" borderId="3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8" fillId="30" borderId="4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8" fillId="3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8" fillId="30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8" fillId="3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8" fillId="30" borderId="5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8" fillId="30" borderId="5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8" fillId="30" borderId="5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4" fillId="3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8" fillId="30" borderId="5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8" fillId="30" borderId="3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8" fillId="35" borderId="3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8" fillId="32" borderId="4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8" fillId="32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8" fillId="32" borderId="5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8" fillId="32" borderId="4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5" fillId="0" borderId="6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5" fillId="0" borderId="6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7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7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5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7" fillId="0" borderId="5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8" fillId="32" borderId="5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8" fillId="32" borderId="5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8" fillId="32" borderId="5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8" fillId="30" borderId="5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8" fillId="32" borderId="5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3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3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0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4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0" borderId="6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8" fillId="0" borderId="4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0" borderId="6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8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66" fillId="31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0" borderId="3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8" fillId="0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6" fillId="31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4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0" borderId="37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8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6" fillId="29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6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9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7" fillId="0" borderId="6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7" fillId="17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7" fillId="1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6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7" fillId="7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8" fillId="0" borderId="5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6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6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7" fillId="24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0" borderId="69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102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0" fillId="27" borderId="10" xfId="102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1" fillId="26" borderId="10" xfId="102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1" fillId="0" borderId="10" xfId="102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1" fillId="0" borderId="10" xfId="102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1" fillId="0" borderId="10" xfId="102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71" fillId="0" borderId="10" xfId="102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1" fillId="0" borderId="10" xfId="102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1" fillId="0" borderId="10" xfId="102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0" xfId="102" applyFont="tru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113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20 % - Accent1 2" xfId="21"/>
    <cellStyle name="20 % - Accent1 3" xfId="22"/>
    <cellStyle name="20 % - Accent2 2" xfId="23"/>
    <cellStyle name="20 % - Accent2 3" xfId="24"/>
    <cellStyle name="20 % - Accent3 2" xfId="25"/>
    <cellStyle name="20 % - Accent3 3" xfId="26"/>
    <cellStyle name="20 % - Accent4 2" xfId="27"/>
    <cellStyle name="20 % - Accent4 3" xfId="28"/>
    <cellStyle name="20 % - Accent5 2" xfId="29"/>
    <cellStyle name="20 % - Accent5 3" xfId="30"/>
    <cellStyle name="20 % - Accent6 2" xfId="31"/>
    <cellStyle name="20 % - Accent6 3" xfId="32"/>
    <cellStyle name="40 % - Accent1 2" xfId="33"/>
    <cellStyle name="40 % - Accent1 3" xfId="34"/>
    <cellStyle name="40 % - Accent2 2" xfId="35"/>
    <cellStyle name="40 % - Accent2 3" xfId="36"/>
    <cellStyle name="40 % - Accent3 2" xfId="37"/>
    <cellStyle name="40 % - Accent3 3" xfId="38"/>
    <cellStyle name="40 % - Accent4 2" xfId="39"/>
    <cellStyle name="40 % - Accent4 3" xfId="40"/>
    <cellStyle name="40 % - Accent5 2" xfId="41"/>
    <cellStyle name="40 % - Accent5 3" xfId="42"/>
    <cellStyle name="40 % - Accent6 2" xfId="43"/>
    <cellStyle name="40 % - Accent6 3" xfId="44"/>
    <cellStyle name="60 % - Accent1 2" xfId="45"/>
    <cellStyle name="60 % - Accent1 3" xfId="46"/>
    <cellStyle name="60 % - Accent2 2" xfId="47"/>
    <cellStyle name="60 % - Accent2 3" xfId="48"/>
    <cellStyle name="60 % - Accent3 2" xfId="49"/>
    <cellStyle name="60 % - Accent3 3" xfId="50"/>
    <cellStyle name="60 % - Accent4 2" xfId="51"/>
    <cellStyle name="60 % - Accent4 3" xfId="52"/>
    <cellStyle name="60 % - Accent5 2" xfId="53"/>
    <cellStyle name="60 % - Accent5 3" xfId="54"/>
    <cellStyle name="60 % - Accent6 2" xfId="55"/>
    <cellStyle name="60 % - Accent6 3" xfId="56"/>
    <cellStyle name="Accent1 2" xfId="57"/>
    <cellStyle name="Accent1 3" xfId="58"/>
    <cellStyle name="Accent2 2" xfId="59"/>
    <cellStyle name="Accent2 3" xfId="60"/>
    <cellStyle name="Accent3 2" xfId="61"/>
    <cellStyle name="Accent3 3" xfId="62"/>
    <cellStyle name="Accent4 2" xfId="63"/>
    <cellStyle name="Accent4 3" xfId="64"/>
    <cellStyle name="Accent5 2" xfId="65"/>
    <cellStyle name="Accent5 3" xfId="66"/>
    <cellStyle name="Accent6 2" xfId="67"/>
    <cellStyle name="Accent6 3" xfId="68"/>
    <cellStyle name="Avertissement 2" xfId="69"/>
    <cellStyle name="Avertissement 3" xfId="70"/>
    <cellStyle name="Calcul 2" xfId="71"/>
    <cellStyle name="Calcul 3" xfId="72"/>
    <cellStyle name="Cellule liée 2" xfId="73"/>
    <cellStyle name="Cellule liée 3" xfId="74"/>
    <cellStyle name="Commentaire 2" xfId="75"/>
    <cellStyle name="Commentaire 3" xfId="76"/>
    <cellStyle name="Entrée 2" xfId="77"/>
    <cellStyle name="Entrée 3" xfId="78"/>
    <cellStyle name="Insatisfaisant 2" xfId="79"/>
    <cellStyle name="Insatisfaisant 3" xfId="80"/>
    <cellStyle name="Lien hypertexte 2" xfId="81"/>
    <cellStyle name="Lien hypertexte 3" xfId="82"/>
    <cellStyle name="Lien hypertexte 4" xfId="83"/>
    <cellStyle name="Milliers 2" xfId="84"/>
    <cellStyle name="Neutre 2" xfId="85"/>
    <cellStyle name="Neutre 3" xfId="86"/>
    <cellStyle name="Normal 10" xfId="87"/>
    <cellStyle name="Normal 2" xfId="88"/>
    <cellStyle name="Normal 2 2" xfId="89"/>
    <cellStyle name="Normal 2 2 2" xfId="90"/>
    <cellStyle name="Normal 2 2 3" xfId="91"/>
    <cellStyle name="Normal 2 2 3 2" xfId="92"/>
    <cellStyle name="Normal 2 2 4" xfId="93"/>
    <cellStyle name="Normal 2 3" xfId="94"/>
    <cellStyle name="Normal 3" xfId="95"/>
    <cellStyle name="Normal 3 2" xfId="96"/>
    <cellStyle name="Normal 3 3" xfId="97"/>
    <cellStyle name="Normal 4" xfId="98"/>
    <cellStyle name="Normal 4 2" xfId="99"/>
    <cellStyle name="Normal 4 3" xfId="100"/>
    <cellStyle name="Normal 5" xfId="101"/>
    <cellStyle name="Normal 6" xfId="102"/>
    <cellStyle name="Normal 7" xfId="103"/>
    <cellStyle name="Normal 8" xfId="104"/>
    <cellStyle name="Normal 8 2" xfId="105"/>
    <cellStyle name="Normal_Feuil1" xfId="106"/>
    <cellStyle name="Normalny 2" xfId="107"/>
    <cellStyle name="Satisfaisant 2" xfId="108"/>
    <cellStyle name="Satisfaisant 3" xfId="109"/>
    <cellStyle name="Sortie 2" xfId="110"/>
    <cellStyle name="Sortie 3" xfId="111"/>
    <cellStyle name="Texte explicatif 2" xfId="112"/>
    <cellStyle name="Texte explicatif 3" xfId="113"/>
    <cellStyle name="Titre 3" xfId="114"/>
    <cellStyle name="Titre 1 2" xfId="115"/>
    <cellStyle name="Titre 1 3" xfId="116"/>
    <cellStyle name="Titre 2 2" xfId="117"/>
    <cellStyle name="Titre 2 3" xfId="118"/>
    <cellStyle name="Titre 3 2" xfId="119"/>
    <cellStyle name="Titre 3 3" xfId="120"/>
    <cellStyle name="Titre 4 2" xfId="121"/>
    <cellStyle name="Titre 4 3" xfId="122"/>
    <cellStyle name="Total 2" xfId="123"/>
    <cellStyle name="Total 3" xfId="124"/>
    <cellStyle name="Vérification 2" xfId="125"/>
    <cellStyle name="Vérification 3" xfId="126"/>
    <cellStyle name="*unknown*" xfId="20" builtinId="8"/>
  </cellStyles>
  <dxfs count="9">
    <dxf>
      <fill>
        <patternFill patternType="solid">
          <fgColor rgb="FFFFCC99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CE6F2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BFBFBF"/>
          <bgColor rgb="FF000000"/>
        </patternFill>
      </fill>
    </dxf>
    <dxf>
      <fill>
        <patternFill patternType="solid">
          <fgColor rgb="FFFFC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008000"/>
      <rgbColor rgb="FF000080"/>
      <rgbColor rgb="FF907357"/>
      <rgbColor rgb="FF800080"/>
      <rgbColor rgb="FF00B050"/>
      <rgbColor rgb="FFC0C0C0"/>
      <rgbColor rgb="FF808080"/>
      <rgbColor rgb="FFBFBFBF"/>
      <rgbColor rgb="FFC09973"/>
      <rgbColor rgb="FFFCD5B5"/>
      <rgbColor rgb="FFDCE6F2"/>
      <rgbColor rgb="FF660066"/>
      <rgbColor rgb="FFFF8080"/>
      <rgbColor rgb="FF0066CC"/>
      <rgbColor rgb="FFCCCCFF"/>
      <rgbColor rgb="FF000080"/>
      <rgbColor rgb="FFFF00FF"/>
      <rgbColor rgb="FFFFC000"/>
      <rgbColor rgb="FF00FFFF"/>
      <rgbColor rgb="FF800080"/>
      <rgbColor rgb="FF800000"/>
      <rgbColor rgb="FF00C000"/>
      <rgbColor rgb="FF0000FF"/>
      <rgbColor rgb="FF00CCFF"/>
      <rgbColor rgb="FF99C099"/>
      <rgbColor rgb="FFCCFFCC"/>
      <rgbColor rgb="FFFFFF99"/>
      <rgbColor rgb="FF99CCFF"/>
      <rgbColor rgb="FFFF99CC"/>
      <rgbColor rgb="FFCC99FF"/>
      <rgbColor rgb="FFFFCC99"/>
      <rgbColor rgb="FFFAC090"/>
      <rgbColor rgb="FF00B0F0"/>
      <rgbColor rgb="FFC0C000"/>
      <rgbColor rgb="FFFFCC00"/>
      <rgbColor rgb="FFFF9900"/>
      <rgbColor rgb="FFFF6600"/>
      <rgbColor rgb="FFBC906C"/>
      <rgbColor rgb="FF969696"/>
      <rgbColor rgb="FF17375E"/>
      <rgbColor rgb="FF339966"/>
      <rgbColor rgb="FF003300"/>
      <rgbColor rgb="FF333300"/>
      <rgbColor rgb="FF993300"/>
      <rgbColor rgb="FFC0C073"/>
      <rgbColor rgb="FF333399"/>
      <rgbColor rgb="FF1A1A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externalLink" Target="externalLinks/externalLink1.xml"/><Relationship Id="rId21" Type="http://schemas.openxmlformats.org/officeDocument/2006/relationships/externalLink" Target="externalLinks/externalLink2.xml"/><Relationship Id="rId22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2</xdr:col>
      <xdr:colOff>111600</xdr:colOff>
      <xdr:row>43</xdr:row>
      <xdr:rowOff>151200</xdr:rowOff>
    </xdr:to>
    <xdr:pic>
      <xdr:nvPicPr>
        <xdr:cNvPr id="0" name="Image 1" descr=""/>
        <xdr:cNvPicPr/>
      </xdr:nvPicPr>
      <xdr:blipFill>
        <a:blip r:embed="rId1"/>
        <a:stretch/>
      </xdr:blipFill>
      <xdr:spPr>
        <a:xfrm>
          <a:off x="0" y="0"/>
          <a:ext cx="2469960" cy="711396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53</xdr:col>
      <xdr:colOff>57240</xdr:colOff>
      <xdr:row>3</xdr:row>
      <xdr:rowOff>104760</xdr:rowOff>
    </xdr:from>
    <xdr:to>
      <xdr:col>54</xdr:col>
      <xdr:colOff>276120</xdr:colOff>
      <xdr:row>5</xdr:row>
      <xdr:rowOff>142560</xdr:rowOff>
    </xdr:to>
    <xdr:sp>
      <xdr:nvSpPr>
        <xdr:cNvPr id="1" name="Text Box 72"/>
        <xdr:cNvSpPr/>
      </xdr:nvSpPr>
      <xdr:spPr>
        <a:xfrm>
          <a:off x="17660880" y="561960"/>
          <a:ext cx="572400" cy="34272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vertOverflow="clip" lIns="27360" rIns="27360" tIns="23040" bIns="23040" anchor="ctr" upright="1">
          <a:noAutofit/>
        </a:bodyPr>
        <a:p>
          <a:pPr algn="ctr">
            <a:lnSpc>
              <a:spcPct val="100000"/>
            </a:lnSpc>
          </a:pPr>
          <a:r>
            <a:rPr b="0" lang="fr-FR" sz="1000" strike="noStrike" u="none">
              <a:solidFill>
                <a:srgbClr val="000000"/>
              </a:solidFill>
              <a:effectLst/>
              <a:uFillTx/>
              <a:latin typeface="Arial"/>
            </a:rPr>
            <a:t>52.5 m</a:t>
          </a:r>
          <a:endParaRPr b="0" lang="fr-FR" sz="1000" strike="noStrike" u="none">
            <a:effectLst/>
            <a:uFillTx/>
            <a:latin typeface="Times New Roman"/>
          </a:endParaRPr>
        </a:p>
      </xdr:txBody>
    </xdr:sp>
    <xdr:clientData/>
  </xdr:twoCellAnchor>
  <xdr:twoCellAnchor editAs="twoCell">
    <xdr:from>
      <xdr:col>35</xdr:col>
      <xdr:colOff>9360</xdr:colOff>
      <xdr:row>5</xdr:row>
      <xdr:rowOff>56880</xdr:rowOff>
    </xdr:from>
    <xdr:to>
      <xdr:col>70</xdr:col>
      <xdr:colOff>5040</xdr:colOff>
      <xdr:row>5</xdr:row>
      <xdr:rowOff>56880</xdr:rowOff>
    </xdr:to>
    <xdr:sp>
      <xdr:nvSpPr>
        <xdr:cNvPr id="2" name="Line 73"/>
        <xdr:cNvSpPr/>
      </xdr:nvSpPr>
      <xdr:spPr>
        <a:xfrm>
          <a:off x="12371040" y="819000"/>
          <a:ext cx="10306800" cy="0"/>
        </a:xfrm>
        <a:prstGeom prst="line">
          <a:avLst/>
        </a:prstGeom>
        <a:ln w="19050">
          <a:solidFill>
            <a:srgbClr val="ff0000"/>
          </a:solidFill>
          <a:round/>
          <a:headEnd len="med" type="triangle" w="med"/>
          <a:tailEnd len="med" type="triangle" w="med"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80</xdr:col>
      <xdr:colOff>9360</xdr:colOff>
      <xdr:row>5</xdr:row>
      <xdr:rowOff>37800</xdr:rowOff>
    </xdr:from>
    <xdr:to>
      <xdr:col>115</xdr:col>
      <xdr:colOff>9360</xdr:colOff>
      <xdr:row>5</xdr:row>
      <xdr:rowOff>37800</xdr:rowOff>
    </xdr:to>
    <xdr:sp>
      <xdr:nvSpPr>
        <xdr:cNvPr id="3" name="Line 74"/>
        <xdr:cNvSpPr/>
      </xdr:nvSpPr>
      <xdr:spPr>
        <a:xfrm>
          <a:off x="25584120" y="799920"/>
          <a:ext cx="10609920" cy="0"/>
        </a:xfrm>
        <a:prstGeom prst="line">
          <a:avLst/>
        </a:prstGeom>
        <a:ln w="19050">
          <a:solidFill>
            <a:srgbClr val="ff0000"/>
          </a:solidFill>
          <a:round/>
          <a:headEnd len="med" type="triangle" w="med"/>
          <a:tailEnd len="med" type="triangle" w="med"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97</xdr:col>
      <xdr:colOff>5040</xdr:colOff>
      <xdr:row>4</xdr:row>
      <xdr:rowOff>38160</xdr:rowOff>
    </xdr:from>
    <xdr:to>
      <xdr:col>98</xdr:col>
      <xdr:colOff>132840</xdr:colOff>
      <xdr:row>5</xdr:row>
      <xdr:rowOff>123480</xdr:rowOff>
    </xdr:to>
    <xdr:sp>
      <xdr:nvSpPr>
        <xdr:cNvPr id="4" name="Text Box 75"/>
        <xdr:cNvSpPr/>
      </xdr:nvSpPr>
      <xdr:spPr>
        <a:xfrm>
          <a:off x="30812040" y="647640"/>
          <a:ext cx="417960" cy="23796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vertOverflow="clip" lIns="27360" rIns="27360" tIns="23040" bIns="23040" anchor="ctr" upright="1">
          <a:noAutofit/>
        </a:bodyPr>
        <a:p>
          <a:pPr algn="ctr">
            <a:lnSpc>
              <a:spcPct val="100000"/>
            </a:lnSpc>
          </a:pPr>
          <a:r>
            <a:rPr b="0" lang="fr-FR" sz="1000" strike="noStrike" u="none">
              <a:solidFill>
                <a:srgbClr val="000000"/>
              </a:solidFill>
              <a:effectLst/>
              <a:uFillTx/>
              <a:latin typeface="Arial"/>
            </a:rPr>
            <a:t>52.5 m</a:t>
          </a:r>
          <a:endParaRPr b="0" lang="fr-FR" sz="1000" strike="noStrike" u="none">
            <a:effectLst/>
            <a:uFillTx/>
            <a:latin typeface="Times New Roman"/>
          </a:endParaRPr>
        </a:p>
      </xdr:txBody>
    </xdr:sp>
    <xdr:clientData/>
  </xdr:twoCellAnchor>
  <xdr:twoCellAnchor editAs="twoCell">
    <xdr:from>
      <xdr:col>70</xdr:col>
      <xdr:colOff>61920</xdr:colOff>
      <xdr:row>5</xdr:row>
      <xdr:rowOff>85680</xdr:rowOff>
    </xdr:from>
    <xdr:to>
      <xdr:col>80</xdr:col>
      <xdr:colOff>24120</xdr:colOff>
      <xdr:row>5</xdr:row>
      <xdr:rowOff>85680</xdr:rowOff>
    </xdr:to>
    <xdr:sp>
      <xdr:nvSpPr>
        <xdr:cNvPr id="5" name="Line 76"/>
        <xdr:cNvSpPr/>
      </xdr:nvSpPr>
      <xdr:spPr>
        <a:xfrm flipH="1">
          <a:off x="22734720" y="847800"/>
          <a:ext cx="2864160" cy="0"/>
        </a:xfrm>
        <a:prstGeom prst="line">
          <a:avLst/>
        </a:prstGeom>
        <a:ln w="28575">
          <a:solidFill>
            <a:srgbClr val="ff0000"/>
          </a:solidFill>
          <a:round/>
          <a:headEnd len="med" type="triangle" w="med"/>
          <a:tailEnd len="med" type="triangle" w="med"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71</xdr:col>
      <xdr:colOff>104760</xdr:colOff>
      <xdr:row>4</xdr:row>
      <xdr:rowOff>85680</xdr:rowOff>
    </xdr:from>
    <xdr:to>
      <xdr:col>78</xdr:col>
      <xdr:colOff>209160</xdr:colOff>
      <xdr:row>6</xdr:row>
      <xdr:rowOff>28080</xdr:rowOff>
    </xdr:to>
    <xdr:sp>
      <xdr:nvSpPr>
        <xdr:cNvPr id="6" name="Text Box 77"/>
        <xdr:cNvSpPr/>
      </xdr:nvSpPr>
      <xdr:spPr>
        <a:xfrm>
          <a:off x="23067720" y="695160"/>
          <a:ext cx="2135520" cy="24732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vertOverflow="clip" lIns="27360" rIns="27360" tIns="23040" bIns="23040" anchor="ctr" upright="1">
          <a:noAutofit/>
        </a:bodyPr>
        <a:p>
          <a:pPr algn="ctr">
            <a:lnSpc>
              <a:spcPct val="100000"/>
            </a:lnSpc>
          </a:pPr>
          <a:r>
            <a:rPr b="0" lang="fr-FR" sz="1000" strike="noStrike" u="none">
              <a:solidFill>
                <a:srgbClr val="000000"/>
              </a:solidFill>
              <a:effectLst/>
              <a:uFillTx/>
              <a:latin typeface="Arial"/>
            </a:rPr>
            <a:t>15 m</a:t>
          </a:r>
          <a:endParaRPr b="0" lang="fr-FR" sz="1000" strike="noStrike" u="none">
            <a:effectLst/>
            <a:uFillTx/>
            <a:latin typeface="Times New Roman"/>
          </a:endParaRPr>
        </a:p>
      </xdr:txBody>
    </xdr:sp>
    <xdr:clientData/>
  </xdr:twoCellAnchor>
  <xdr:twoCellAnchor editAs="twoCell">
    <xdr:from>
      <xdr:col>115</xdr:col>
      <xdr:colOff>295200</xdr:colOff>
      <xdr:row>7</xdr:row>
      <xdr:rowOff>123480</xdr:rowOff>
    </xdr:from>
    <xdr:to>
      <xdr:col>115</xdr:col>
      <xdr:colOff>304560</xdr:colOff>
      <xdr:row>67</xdr:row>
      <xdr:rowOff>54360</xdr:rowOff>
    </xdr:to>
    <xdr:sp>
      <xdr:nvSpPr>
        <xdr:cNvPr id="7" name="Line 78"/>
        <xdr:cNvSpPr/>
      </xdr:nvSpPr>
      <xdr:spPr>
        <a:xfrm flipV="1">
          <a:off x="36479880" y="1190160"/>
          <a:ext cx="9360" cy="9392040"/>
        </a:xfrm>
        <a:prstGeom prst="line">
          <a:avLst/>
        </a:prstGeom>
        <a:ln w="19050">
          <a:solidFill>
            <a:srgbClr val="ff0000"/>
          </a:solidFill>
          <a:round/>
          <a:headEnd len="med" type="triangle" w="med"/>
          <a:tailEnd len="med" type="triangle" w="med"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115</xdr:col>
      <xdr:colOff>390600</xdr:colOff>
      <xdr:row>40</xdr:row>
      <xdr:rowOff>91440</xdr:rowOff>
    </xdr:from>
    <xdr:to>
      <xdr:col>116</xdr:col>
      <xdr:colOff>498600</xdr:colOff>
      <xdr:row>43</xdr:row>
      <xdr:rowOff>148320</xdr:rowOff>
    </xdr:to>
    <xdr:sp>
      <xdr:nvSpPr>
        <xdr:cNvPr id="8" name="Text Box 79"/>
        <xdr:cNvSpPr/>
      </xdr:nvSpPr>
      <xdr:spPr>
        <a:xfrm>
          <a:off x="36575280" y="6391440"/>
          <a:ext cx="607320" cy="51408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vertOverflow="clip" lIns="36720" rIns="36720" tIns="27360" bIns="27360" anchor="ctr" upright="1">
          <a:noAutofit/>
        </a:bodyPr>
        <a:p>
          <a:pPr algn="ctr">
            <a:lnSpc>
              <a:spcPct val="100000"/>
            </a:lnSpc>
          </a:pPr>
          <a:r>
            <a:rPr b="1" lang="fr-FR" sz="1200" strike="noStrike" u="none">
              <a:solidFill>
                <a:srgbClr val="000000"/>
              </a:solidFill>
              <a:effectLst/>
              <a:uFillTx/>
              <a:latin typeface="Arial"/>
            </a:rPr>
            <a:t>136.5 m</a:t>
          </a:r>
          <a:endParaRPr b="0" lang="fr-FR" sz="1200" strike="noStrike" u="none">
            <a:effectLst/>
            <a:uFillTx/>
            <a:latin typeface="Times New Roman"/>
          </a:endParaRPr>
        </a:p>
      </xdr:txBody>
    </xdr:sp>
    <xdr:clientData/>
  </xdr:twoCellAnchor>
  <xdr:twoCellAnchor editAs="twoCell">
    <xdr:from>
      <xdr:col>74</xdr:col>
      <xdr:colOff>123840</xdr:colOff>
      <xdr:row>16</xdr:row>
      <xdr:rowOff>110520</xdr:rowOff>
    </xdr:from>
    <xdr:to>
      <xdr:col>75</xdr:col>
      <xdr:colOff>171000</xdr:colOff>
      <xdr:row>18</xdr:row>
      <xdr:rowOff>119520</xdr:rowOff>
    </xdr:to>
    <xdr:sp>
      <xdr:nvSpPr>
        <xdr:cNvPr id="9" name="AutoShape 80"/>
        <xdr:cNvSpPr/>
      </xdr:nvSpPr>
      <xdr:spPr>
        <a:xfrm>
          <a:off x="23957280" y="2695680"/>
          <a:ext cx="337320" cy="313560"/>
        </a:xfrm>
        <a:prstGeom prst="flowChartSummingJunction">
          <a:avLst/>
        </a:prstGeom>
        <a:solidFill>
          <a:srgbClr val="ffffff"/>
        </a:solidFill>
        <a:ln w="9525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32</xdr:col>
      <xdr:colOff>285480</xdr:colOff>
      <xdr:row>7</xdr:row>
      <xdr:rowOff>161640</xdr:rowOff>
    </xdr:from>
    <xdr:to>
      <xdr:col>32</xdr:col>
      <xdr:colOff>285480</xdr:colOff>
      <xdr:row>83</xdr:row>
      <xdr:rowOff>63720</xdr:rowOff>
    </xdr:to>
    <xdr:sp>
      <xdr:nvSpPr>
        <xdr:cNvPr id="10" name="Line 81"/>
        <xdr:cNvSpPr/>
      </xdr:nvSpPr>
      <xdr:spPr>
        <a:xfrm flipV="1">
          <a:off x="11295000" y="1228320"/>
          <a:ext cx="0" cy="11801520"/>
        </a:xfrm>
        <a:prstGeom prst="line">
          <a:avLst/>
        </a:prstGeom>
        <a:ln w="19050">
          <a:solidFill>
            <a:srgbClr val="ff0000"/>
          </a:solidFill>
          <a:round/>
          <a:headEnd len="med" type="triangle" w="med"/>
          <a:tailEnd len="med" type="triangle" w="med"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32</xdr:col>
      <xdr:colOff>38160</xdr:colOff>
      <xdr:row>36</xdr:row>
      <xdr:rowOff>15120</xdr:rowOff>
    </xdr:from>
    <xdr:to>
      <xdr:col>33</xdr:col>
      <xdr:colOff>142560</xdr:colOff>
      <xdr:row>37</xdr:row>
      <xdr:rowOff>43200</xdr:rowOff>
    </xdr:to>
    <xdr:sp>
      <xdr:nvSpPr>
        <xdr:cNvPr id="11" name="Text Box 82"/>
        <xdr:cNvSpPr/>
      </xdr:nvSpPr>
      <xdr:spPr>
        <a:xfrm>
          <a:off x="11047680" y="5686200"/>
          <a:ext cx="603720" cy="1998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vertOverflow="clip" lIns="27360" rIns="27360" tIns="23040" bIns="23040" anchor="ctr" upright="1">
          <a:noAutofit/>
        </a:bodyPr>
        <a:p>
          <a:pPr algn="ctr">
            <a:lnSpc>
              <a:spcPct val="100000"/>
            </a:lnSpc>
          </a:pPr>
          <a:r>
            <a:rPr b="0" lang="fr-FR" sz="1000" strike="noStrike" u="none">
              <a:solidFill>
                <a:srgbClr val="000000"/>
              </a:solidFill>
              <a:effectLst/>
              <a:uFillTx/>
              <a:latin typeface="Arial"/>
            </a:rPr>
            <a:t>129.5 m</a:t>
          </a:r>
          <a:endParaRPr b="0" lang="fr-FR" sz="1000" strike="noStrike" u="none">
            <a:effectLst/>
            <a:uFillTx/>
            <a:latin typeface="Times New Roman"/>
          </a:endParaRPr>
        </a:p>
      </xdr:txBody>
    </xdr:sp>
    <xdr:clientData/>
  </xdr:twoCellAnchor>
  <xdr:twoCellAnchor editAs="twoCell">
    <xdr:from>
      <xdr:col>2</xdr:col>
      <xdr:colOff>56880</xdr:colOff>
      <xdr:row>6</xdr:row>
      <xdr:rowOff>9360</xdr:rowOff>
    </xdr:from>
    <xdr:to>
      <xdr:col>32</xdr:col>
      <xdr:colOff>9360</xdr:colOff>
      <xdr:row>6</xdr:row>
      <xdr:rowOff>9360</xdr:rowOff>
    </xdr:to>
    <xdr:sp>
      <xdr:nvSpPr>
        <xdr:cNvPr id="12" name="Line 83"/>
        <xdr:cNvSpPr/>
      </xdr:nvSpPr>
      <xdr:spPr>
        <a:xfrm>
          <a:off x="455760" y="923760"/>
          <a:ext cx="10563120" cy="0"/>
        </a:xfrm>
        <a:prstGeom prst="line">
          <a:avLst/>
        </a:prstGeom>
        <a:ln w="19050">
          <a:solidFill>
            <a:srgbClr val="ff0000"/>
          </a:solidFill>
          <a:round/>
          <a:headEnd len="med" type="triangle" w="med"/>
          <a:tailEnd len="med" type="triangle" w="med"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17</xdr:col>
      <xdr:colOff>57240</xdr:colOff>
      <xdr:row>5</xdr:row>
      <xdr:rowOff>28440</xdr:rowOff>
    </xdr:from>
    <xdr:to>
      <xdr:col>18</xdr:col>
      <xdr:colOff>152280</xdr:colOff>
      <xdr:row>6</xdr:row>
      <xdr:rowOff>66240</xdr:rowOff>
    </xdr:to>
    <xdr:sp>
      <xdr:nvSpPr>
        <xdr:cNvPr id="13" name="Text Box 84"/>
        <xdr:cNvSpPr/>
      </xdr:nvSpPr>
      <xdr:spPr>
        <a:xfrm>
          <a:off x="5761440" y="790560"/>
          <a:ext cx="448920" cy="19008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vertOverflow="clip" lIns="27360" rIns="27360" tIns="23040" bIns="23040" anchor="ctr" upright="1">
          <a:noAutofit/>
        </a:bodyPr>
        <a:p>
          <a:pPr algn="ctr">
            <a:lnSpc>
              <a:spcPct val="100000"/>
            </a:lnSpc>
          </a:pPr>
          <a:r>
            <a:rPr b="0" lang="fr-FR" sz="1000" strike="noStrike" u="none">
              <a:solidFill>
                <a:srgbClr val="000000"/>
              </a:solidFill>
              <a:effectLst/>
              <a:uFillTx/>
              <a:latin typeface="Arial"/>
            </a:rPr>
            <a:t>45 m</a:t>
          </a:r>
          <a:endParaRPr b="0" lang="fr-FR" sz="1000" strike="noStrike" u="none">
            <a:effectLst/>
            <a:uFillTx/>
            <a:latin typeface="Times New Roman"/>
          </a:endParaRPr>
        </a:p>
      </xdr:txBody>
    </xdr:sp>
    <xdr:clientData/>
  </xdr:twoCellAnchor>
</xdr:wsDr>
</file>

<file path=xl/externalLinks/_rels/externalLink1.xml.rels><?xml version="1.0" encoding="UTF-8"?>
<Relationships xmlns="http://schemas.openxmlformats.org/package/2006/relationships"><Relationship Id="rId1" Type="http://schemas.openxmlformats.org/officeDocument/2006/relationships/externalLinkPath" Target="Donn&#233;es%20exp&#233;rimentales%202010_2011_LR11.xls" TargetMode="External"/>
</Relationships>
</file>

<file path=xl/externalLinks/_rels/externalLink2.xml.rels><?xml version="1.0" encoding="UTF-8"?>
<Relationships xmlns="http://schemas.openxmlformats.org/package/2006/relationships"><Relationship Id="rId1" Type="http://schemas.openxmlformats.org/officeDocument/2006/relationships/externalLinkPath" Target="../../../../../../../../../../A_documents/2010-2011/genergy/tensio_2011-1.xls" TargetMode="External"/>
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cénarios"/>
      <sheetName val="sachets graines"/>
      <sheetName val="liste-dispositif  "/>
      <sheetName val="TRAVAUX H 10-11"/>
      <sheetName val="azote1"/>
      <sheetName val="azote2"/>
      <sheetName val="plan recolte"/>
      <sheetName val="plan expe"/>
      <sheetName val="plan detail"/>
      <sheetName val="plan_tensio"/>
      <sheetName val="liste tensio"/>
      <sheetName val="liste complet essai"/>
      <sheetName val="LISTING N0"/>
      <sheetName val="Correspondance Geno"/>
      <sheetName val="Envoi Toulouse"/>
      <sheetName val="liste recolte"/>
      <sheetName val="NIRS"/>
      <sheetName val="liste recolte_acces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4">
          <cell r="A4" t="str">
            <v>02-01</v>
          </cell>
          <cell r="B4">
            <v>65</v>
          </cell>
          <cell r="C4" t="str">
            <v>C1.AM.02.01</v>
          </cell>
          <cell r="D4" t="str">
            <v>AM</v>
          </cell>
          <cell r="E4" t="str">
            <v>G-003</v>
          </cell>
          <cell r="F4" t="str">
            <v>AM014</v>
          </cell>
          <cell r="G4" t="str">
            <v>N1</v>
          </cell>
          <cell r="H4" t="str">
            <v>b1</v>
          </cell>
          <cell r="I4" t="str">
            <v>N1-b1</v>
          </cell>
          <cell r="J4" t="str">
            <v>02</v>
          </cell>
          <cell r="K4" t="str">
            <v>01</v>
          </cell>
        </row>
        <row r="5">
          <cell r="A5" t="str">
            <v>04-47</v>
          </cell>
          <cell r="B5">
            <v>239</v>
          </cell>
          <cell r="C5" t="str">
            <v>C1.AM.04.47</v>
          </cell>
          <cell r="D5" t="str">
            <v>AM</v>
          </cell>
          <cell r="E5" t="str">
            <v>G-003</v>
          </cell>
          <cell r="F5" t="str">
            <v>AM014</v>
          </cell>
          <cell r="G5" t="str">
            <v>N2</v>
          </cell>
          <cell r="H5" t="str">
            <v>b2</v>
          </cell>
          <cell r="I5" t="str">
            <v>N2-b2</v>
          </cell>
          <cell r="J5" t="str">
            <v>04</v>
          </cell>
          <cell r="K5" t="str">
            <v>47</v>
          </cell>
        </row>
        <row r="6">
          <cell r="A6" t="str">
            <v>05-54</v>
          </cell>
          <cell r="B6">
            <v>310</v>
          </cell>
          <cell r="C6" t="str">
            <v>C1.AM.05.54</v>
          </cell>
          <cell r="D6" t="str">
            <v>AM</v>
          </cell>
          <cell r="E6" t="str">
            <v>G-003</v>
          </cell>
          <cell r="F6" t="str">
            <v>AM014</v>
          </cell>
          <cell r="G6" t="str">
            <v>N1</v>
          </cell>
          <cell r="H6" t="str">
            <v>b2</v>
          </cell>
          <cell r="I6" t="str">
            <v>N1-b2</v>
          </cell>
          <cell r="J6" t="str">
            <v>05</v>
          </cell>
          <cell r="K6" t="str">
            <v>54</v>
          </cell>
        </row>
        <row r="7">
          <cell r="A7" t="str">
            <v>06-19</v>
          </cell>
          <cell r="B7">
            <v>339</v>
          </cell>
          <cell r="C7" t="str">
            <v>C1.AM.06.19</v>
          </cell>
          <cell r="D7" t="str">
            <v>AM</v>
          </cell>
          <cell r="E7" t="str">
            <v>G-003</v>
          </cell>
          <cell r="F7" t="str">
            <v>AM014</v>
          </cell>
          <cell r="G7" t="str">
            <v>N2</v>
          </cell>
          <cell r="H7" t="str">
            <v>b1</v>
          </cell>
          <cell r="I7" t="str">
            <v>N2-b1</v>
          </cell>
          <cell r="J7" t="str">
            <v>06</v>
          </cell>
          <cell r="K7" t="str">
            <v>19</v>
          </cell>
        </row>
        <row r="8">
          <cell r="A8" t="str">
            <v>19-69</v>
          </cell>
          <cell r="B8">
            <v>1005</v>
          </cell>
          <cell r="C8" t="str">
            <v>C1.AM.19.69</v>
          </cell>
          <cell r="D8" t="str">
            <v>AM</v>
          </cell>
          <cell r="E8" t="str">
            <v>G-003</v>
          </cell>
          <cell r="F8" t="str">
            <v>AM014</v>
          </cell>
          <cell r="G8" t="str">
            <v>N1</v>
          </cell>
          <cell r="H8" t="str">
            <v>b3</v>
          </cell>
          <cell r="I8" t="str">
            <v>N1-b3</v>
          </cell>
          <cell r="J8">
            <v>19</v>
          </cell>
          <cell r="K8" t="str">
            <v>69</v>
          </cell>
        </row>
        <row r="9">
          <cell r="A9" t="str">
            <v>20-71</v>
          </cell>
          <cell r="B9">
            <v>1033</v>
          </cell>
          <cell r="C9" t="str">
            <v>C1.AM.20.71</v>
          </cell>
          <cell r="D9" t="str">
            <v>AM</v>
          </cell>
          <cell r="E9" t="str">
            <v>G-003</v>
          </cell>
          <cell r="F9" t="str">
            <v>AM014</v>
          </cell>
          <cell r="G9" t="str">
            <v>N2</v>
          </cell>
          <cell r="H9" t="str">
            <v>b3</v>
          </cell>
          <cell r="I9" t="str">
            <v>N2-b3</v>
          </cell>
          <cell r="J9">
            <v>20</v>
          </cell>
          <cell r="K9" t="str">
            <v>71</v>
          </cell>
        </row>
        <row r="10">
          <cell r="A10" t="str">
            <v>01-63</v>
          </cell>
          <cell r="B10">
            <v>63</v>
          </cell>
          <cell r="C10" t="str">
            <v>C1.AM.01.63</v>
          </cell>
          <cell r="D10" t="str">
            <v>AM</v>
          </cell>
          <cell r="E10" t="str">
            <v>G-004</v>
          </cell>
          <cell r="F10" t="str">
            <v>AM015</v>
          </cell>
          <cell r="G10" t="str">
            <v>N2</v>
          </cell>
          <cell r="H10" t="str">
            <v>b2</v>
          </cell>
          <cell r="I10" t="str">
            <v>N2-b2</v>
          </cell>
          <cell r="J10" t="str">
            <v>01</v>
          </cell>
          <cell r="K10" t="str">
            <v>63</v>
          </cell>
        </row>
        <row r="11">
          <cell r="A11" t="str">
            <v>04-22</v>
          </cell>
          <cell r="B11">
            <v>214</v>
          </cell>
          <cell r="C11" t="str">
            <v>C1.AM.04.22</v>
          </cell>
          <cell r="D11" t="str">
            <v>AM</v>
          </cell>
          <cell r="E11" t="str">
            <v>G-004</v>
          </cell>
          <cell r="F11" t="str">
            <v>AM015</v>
          </cell>
          <cell r="G11" t="str">
            <v>N1</v>
          </cell>
          <cell r="H11" t="str">
            <v>b1</v>
          </cell>
          <cell r="I11" t="str">
            <v>N1-b1</v>
          </cell>
          <cell r="J11" t="str">
            <v>04</v>
          </cell>
          <cell r="K11" t="str">
            <v>22</v>
          </cell>
        </row>
        <row r="12">
          <cell r="A12" t="str">
            <v>06-15</v>
          </cell>
          <cell r="B12">
            <v>335</v>
          </cell>
          <cell r="C12" t="str">
            <v>C1.AM.06.15</v>
          </cell>
          <cell r="D12" t="str">
            <v>AM</v>
          </cell>
          <cell r="E12" t="str">
            <v>G-004</v>
          </cell>
          <cell r="F12" t="str">
            <v>AM015</v>
          </cell>
          <cell r="G12" t="str">
            <v>N2</v>
          </cell>
          <cell r="H12" t="str">
            <v>b1</v>
          </cell>
          <cell r="I12" t="str">
            <v>N2-b1</v>
          </cell>
          <cell r="J12" t="str">
            <v>06</v>
          </cell>
          <cell r="K12" t="str">
            <v>15</v>
          </cell>
        </row>
        <row r="13">
          <cell r="A13" t="str">
            <v>07-48</v>
          </cell>
          <cell r="B13">
            <v>432</v>
          </cell>
          <cell r="C13" t="str">
            <v>C1.AM.07.48</v>
          </cell>
          <cell r="D13" t="str">
            <v>AM</v>
          </cell>
          <cell r="E13" t="str">
            <v>G-004</v>
          </cell>
          <cell r="F13" t="str">
            <v>AM015</v>
          </cell>
          <cell r="G13" t="str">
            <v>N1</v>
          </cell>
          <cell r="H13" t="str">
            <v>b2</v>
          </cell>
          <cell r="I13" t="str">
            <v>N1-b2</v>
          </cell>
          <cell r="J13" t="str">
            <v>07</v>
          </cell>
          <cell r="K13" t="str">
            <v>48</v>
          </cell>
        </row>
        <row r="14">
          <cell r="A14" t="str">
            <v>18-80</v>
          </cell>
          <cell r="B14">
            <v>990</v>
          </cell>
          <cell r="C14" t="str">
            <v>C1.AM.18.80</v>
          </cell>
          <cell r="D14" t="str">
            <v>AM</v>
          </cell>
          <cell r="E14" t="str">
            <v>G-004</v>
          </cell>
          <cell r="F14" t="str">
            <v>AM015</v>
          </cell>
          <cell r="G14" t="str">
            <v>N1</v>
          </cell>
          <cell r="H14" t="str">
            <v>b3</v>
          </cell>
          <cell r="I14" t="str">
            <v>N1-b3</v>
          </cell>
          <cell r="J14">
            <v>18</v>
          </cell>
          <cell r="K14" t="str">
            <v>80</v>
          </cell>
        </row>
        <row r="15">
          <cell r="A15" t="str">
            <v>22-88</v>
          </cell>
          <cell r="B15">
            <v>1102</v>
          </cell>
          <cell r="C15" t="str">
            <v>C1.AM.22.88</v>
          </cell>
          <cell r="D15" t="str">
            <v>AM</v>
          </cell>
          <cell r="E15" t="str">
            <v>G-004</v>
          </cell>
          <cell r="F15" t="str">
            <v>AM015</v>
          </cell>
          <cell r="G15" t="str">
            <v>N2</v>
          </cell>
          <cell r="H15" t="str">
            <v>b3</v>
          </cell>
          <cell r="I15" t="str">
            <v>N2-b3</v>
          </cell>
          <cell r="J15">
            <v>22</v>
          </cell>
          <cell r="K15" t="str">
            <v>88</v>
          </cell>
        </row>
        <row r="16">
          <cell r="A16" t="str">
            <v>03-41</v>
          </cell>
          <cell r="B16">
            <v>169</v>
          </cell>
          <cell r="C16" t="str">
            <v>C1.AM.03.41</v>
          </cell>
          <cell r="D16" t="str">
            <v>AM</v>
          </cell>
          <cell r="E16" t="str">
            <v>G-005</v>
          </cell>
          <cell r="F16" t="str">
            <v>AM016</v>
          </cell>
          <cell r="G16" t="str">
            <v>N2</v>
          </cell>
          <cell r="H16" t="str">
            <v>b2</v>
          </cell>
          <cell r="I16" t="str">
            <v>N2-b2</v>
          </cell>
          <cell r="J16" t="str">
            <v>03</v>
          </cell>
          <cell r="K16" t="str">
            <v>41</v>
          </cell>
        </row>
        <row r="17">
          <cell r="A17" t="str">
            <v>04-27</v>
          </cell>
          <cell r="B17">
            <v>219</v>
          </cell>
          <cell r="C17" t="str">
            <v>C1.AM.04.27</v>
          </cell>
          <cell r="D17" t="str">
            <v>AM</v>
          </cell>
          <cell r="E17" t="str">
            <v>G-005</v>
          </cell>
          <cell r="F17" t="str">
            <v>AM016</v>
          </cell>
          <cell r="G17" t="str">
            <v>N1</v>
          </cell>
          <cell r="H17" t="str">
            <v>b1</v>
          </cell>
          <cell r="I17" t="str">
            <v>N1-b1</v>
          </cell>
          <cell r="J17" t="str">
            <v>04</v>
          </cell>
          <cell r="K17" t="str">
            <v>27</v>
          </cell>
        </row>
        <row r="18">
          <cell r="A18" t="str">
            <v>06-12</v>
          </cell>
          <cell r="B18">
            <v>332</v>
          </cell>
          <cell r="C18" t="str">
            <v>C1.AM.06.12</v>
          </cell>
          <cell r="D18" t="str">
            <v>AM</v>
          </cell>
          <cell r="E18" t="str">
            <v>G-005</v>
          </cell>
          <cell r="F18" t="str">
            <v>AM016</v>
          </cell>
          <cell r="G18" t="str">
            <v>N2</v>
          </cell>
          <cell r="H18" t="str">
            <v>b1</v>
          </cell>
          <cell r="I18" t="str">
            <v>N2-b1</v>
          </cell>
          <cell r="J18" t="str">
            <v>06</v>
          </cell>
          <cell r="K18" t="str">
            <v>12</v>
          </cell>
        </row>
        <row r="19">
          <cell r="A19" t="str">
            <v>06-47</v>
          </cell>
          <cell r="B19">
            <v>367</v>
          </cell>
          <cell r="C19" t="str">
            <v>C1.AM.06.47</v>
          </cell>
          <cell r="D19" t="str">
            <v>AM</v>
          </cell>
          <cell r="E19" t="str">
            <v>G-005</v>
          </cell>
          <cell r="F19" t="str">
            <v>AM016</v>
          </cell>
          <cell r="G19" t="str">
            <v>N1</v>
          </cell>
          <cell r="H19" t="str">
            <v>b2</v>
          </cell>
          <cell r="I19" t="str">
            <v>N1-b2</v>
          </cell>
          <cell r="J19" t="str">
            <v>06</v>
          </cell>
          <cell r="K19" t="str">
            <v>47</v>
          </cell>
        </row>
        <row r="20">
          <cell r="A20" t="str">
            <v>17-88</v>
          </cell>
          <cell r="B20">
            <v>972</v>
          </cell>
          <cell r="C20" t="str">
            <v>C1.AM.17.88</v>
          </cell>
          <cell r="D20" t="str">
            <v>AM</v>
          </cell>
          <cell r="E20" t="str">
            <v>G-005</v>
          </cell>
          <cell r="F20" t="str">
            <v>AM016</v>
          </cell>
          <cell r="G20" t="str">
            <v>N1</v>
          </cell>
          <cell r="H20" t="str">
            <v>b3</v>
          </cell>
          <cell r="I20" t="str">
            <v>N1-b3</v>
          </cell>
          <cell r="J20">
            <v>17</v>
          </cell>
          <cell r="K20" t="str">
            <v>88</v>
          </cell>
        </row>
        <row r="21">
          <cell r="A21" t="str">
            <v>24-70</v>
          </cell>
          <cell r="B21">
            <v>1136</v>
          </cell>
          <cell r="C21" t="str">
            <v>C1.AM.24.70</v>
          </cell>
          <cell r="D21" t="str">
            <v>AM</v>
          </cell>
          <cell r="E21" t="str">
            <v>G-005</v>
          </cell>
          <cell r="F21" t="str">
            <v>AM016</v>
          </cell>
          <cell r="G21" t="str">
            <v>N2</v>
          </cell>
          <cell r="H21" t="str">
            <v>b3</v>
          </cell>
          <cell r="I21" t="str">
            <v>N2-b3</v>
          </cell>
          <cell r="J21">
            <v>24</v>
          </cell>
          <cell r="K21" t="str">
            <v>70</v>
          </cell>
        </row>
        <row r="22">
          <cell r="A22" t="str">
            <v>01-26</v>
          </cell>
          <cell r="B22">
            <v>26</v>
          </cell>
          <cell r="C22" t="str">
            <v>C1.AM.01.26</v>
          </cell>
          <cell r="D22" t="str">
            <v>AM</v>
          </cell>
          <cell r="E22" t="str">
            <v>G-006</v>
          </cell>
          <cell r="F22" t="str">
            <v>AM017</v>
          </cell>
          <cell r="G22" t="str">
            <v>N1</v>
          </cell>
          <cell r="H22" t="str">
            <v>b1</v>
          </cell>
          <cell r="I22" t="str">
            <v>N1-b1</v>
          </cell>
          <cell r="J22" t="str">
            <v>01</v>
          </cell>
          <cell r="K22" t="str">
            <v>26</v>
          </cell>
        </row>
        <row r="23">
          <cell r="A23" t="str">
            <v>04-49</v>
          </cell>
          <cell r="B23">
            <v>241</v>
          </cell>
          <cell r="C23" t="str">
            <v>C1.AM.04.49</v>
          </cell>
          <cell r="D23" t="str">
            <v>AM</v>
          </cell>
          <cell r="E23" t="str">
            <v>G-006</v>
          </cell>
          <cell r="F23" t="str">
            <v>AM017</v>
          </cell>
          <cell r="G23" t="str">
            <v>N2</v>
          </cell>
          <cell r="H23" t="str">
            <v>b2</v>
          </cell>
          <cell r="I23" t="str">
            <v>N2-b2</v>
          </cell>
          <cell r="J23" t="str">
            <v>04</v>
          </cell>
          <cell r="K23" t="str">
            <v>49</v>
          </cell>
        </row>
        <row r="24">
          <cell r="A24" t="str">
            <v>06-23</v>
          </cell>
          <cell r="B24">
            <v>343</v>
          </cell>
          <cell r="C24" t="str">
            <v>C1.AM.06.23</v>
          </cell>
          <cell r="D24" t="str">
            <v>AM</v>
          </cell>
          <cell r="E24" t="str">
            <v>G-006</v>
          </cell>
          <cell r="F24" t="str">
            <v>AM017</v>
          </cell>
          <cell r="G24" t="str">
            <v>N2</v>
          </cell>
          <cell r="H24" t="str">
            <v>b1</v>
          </cell>
          <cell r="I24" t="str">
            <v>N2-b1</v>
          </cell>
          <cell r="J24" t="str">
            <v>06</v>
          </cell>
          <cell r="K24" t="str">
            <v>23</v>
          </cell>
        </row>
        <row r="25">
          <cell r="A25" t="str">
            <v>07-64</v>
          </cell>
          <cell r="B25">
            <v>448</v>
          </cell>
          <cell r="C25" t="str">
            <v>C1.AM.07.64</v>
          </cell>
          <cell r="D25" t="str">
            <v>AM</v>
          </cell>
          <cell r="E25" t="str">
            <v>G-006</v>
          </cell>
          <cell r="F25" t="str">
            <v>AM017</v>
          </cell>
          <cell r="G25" t="str">
            <v>N1</v>
          </cell>
          <cell r="H25" t="str">
            <v>b2</v>
          </cell>
          <cell r="I25" t="str">
            <v>N1-b2</v>
          </cell>
          <cell r="J25" t="str">
            <v>07</v>
          </cell>
          <cell r="K25" t="str">
            <v>64</v>
          </cell>
        </row>
        <row r="26">
          <cell r="A26" t="str">
            <v>15-71</v>
          </cell>
          <cell r="B26">
            <v>903</v>
          </cell>
          <cell r="C26" t="str">
            <v>C1.AM.15.71</v>
          </cell>
          <cell r="D26" t="str">
            <v>AM</v>
          </cell>
          <cell r="E26" t="str">
            <v>G-006</v>
          </cell>
          <cell r="F26" t="str">
            <v>AM017</v>
          </cell>
          <cell r="G26" t="str">
            <v>N1</v>
          </cell>
          <cell r="H26" t="str">
            <v>b3</v>
          </cell>
          <cell r="I26" t="str">
            <v>N1-b3</v>
          </cell>
          <cell r="J26">
            <v>15</v>
          </cell>
          <cell r="K26" t="str">
            <v>71</v>
          </cell>
        </row>
        <row r="27">
          <cell r="A27" t="str">
            <v>23-73</v>
          </cell>
          <cell r="B27">
            <v>1113</v>
          </cell>
          <cell r="C27" t="str">
            <v>C1.AM.23.73</v>
          </cell>
          <cell r="D27" t="str">
            <v>AM</v>
          </cell>
          <cell r="E27" t="str">
            <v>G-006</v>
          </cell>
          <cell r="F27" t="str">
            <v>AM017</v>
          </cell>
          <cell r="G27" t="str">
            <v>N2</v>
          </cell>
          <cell r="H27" t="str">
            <v>b3</v>
          </cell>
          <cell r="I27" t="str">
            <v>N2-b3</v>
          </cell>
          <cell r="J27">
            <v>23</v>
          </cell>
          <cell r="K27" t="str">
            <v>73</v>
          </cell>
        </row>
        <row r="28">
          <cell r="A28" t="str">
            <v>02-32</v>
          </cell>
          <cell r="B28">
            <v>96</v>
          </cell>
          <cell r="C28" t="str">
            <v>C1.AM.02.32</v>
          </cell>
          <cell r="D28" t="str">
            <v>AM</v>
          </cell>
          <cell r="E28" t="str">
            <v>G-007</v>
          </cell>
          <cell r="F28" t="str">
            <v>AM018</v>
          </cell>
          <cell r="G28" t="str">
            <v>N1</v>
          </cell>
          <cell r="H28" t="str">
            <v>b1</v>
          </cell>
          <cell r="I28" t="str">
            <v>N1-b1</v>
          </cell>
          <cell r="J28" t="str">
            <v>02</v>
          </cell>
          <cell r="K28" t="str">
            <v>32</v>
          </cell>
        </row>
        <row r="29">
          <cell r="A29" t="str">
            <v>04-38</v>
          </cell>
          <cell r="B29">
            <v>230</v>
          </cell>
          <cell r="C29" t="str">
            <v>C1.AM.04.38</v>
          </cell>
          <cell r="D29" t="str">
            <v>AM</v>
          </cell>
          <cell r="E29" t="str">
            <v>G-007</v>
          </cell>
          <cell r="F29" t="str">
            <v>AM018</v>
          </cell>
          <cell r="G29" t="str">
            <v>N2</v>
          </cell>
          <cell r="H29" t="str">
            <v>b2</v>
          </cell>
          <cell r="I29" t="str">
            <v>N2-b2</v>
          </cell>
          <cell r="J29" t="str">
            <v>04</v>
          </cell>
          <cell r="K29" t="str">
            <v>38</v>
          </cell>
        </row>
        <row r="30">
          <cell r="A30" t="str">
            <v>05-39</v>
          </cell>
          <cell r="B30">
            <v>295</v>
          </cell>
          <cell r="C30" t="str">
            <v>C1.AM.05.39</v>
          </cell>
          <cell r="D30" t="str">
            <v>AM</v>
          </cell>
          <cell r="E30" t="str">
            <v>G-007</v>
          </cell>
          <cell r="F30" t="str">
            <v>AM018</v>
          </cell>
          <cell r="G30" t="str">
            <v>N1</v>
          </cell>
          <cell r="H30" t="str">
            <v>b2</v>
          </cell>
          <cell r="I30" t="str">
            <v>N1-b2</v>
          </cell>
          <cell r="J30" t="str">
            <v>05</v>
          </cell>
          <cell r="K30" t="str">
            <v>39</v>
          </cell>
        </row>
        <row r="31">
          <cell r="A31" t="str">
            <v>06-10</v>
          </cell>
          <cell r="B31">
            <v>330</v>
          </cell>
          <cell r="C31" t="str">
            <v>C1.AM.06.10</v>
          </cell>
          <cell r="D31" t="str">
            <v>AM</v>
          </cell>
          <cell r="E31" t="str">
            <v>G-007</v>
          </cell>
          <cell r="F31" t="str">
            <v>AM018</v>
          </cell>
          <cell r="G31" t="str">
            <v>N2</v>
          </cell>
          <cell r="H31" t="str">
            <v>b1</v>
          </cell>
          <cell r="I31" t="str">
            <v>N2-b1</v>
          </cell>
          <cell r="J31" t="str">
            <v>06</v>
          </cell>
          <cell r="K31" t="str">
            <v>10</v>
          </cell>
        </row>
        <row r="32">
          <cell r="A32" t="str">
            <v>17-84</v>
          </cell>
          <cell r="B32">
            <v>968</v>
          </cell>
          <cell r="C32" t="str">
            <v>C1.AM.17.84</v>
          </cell>
          <cell r="D32" t="str">
            <v>AM</v>
          </cell>
          <cell r="E32" t="str">
            <v>G-007</v>
          </cell>
          <cell r="F32" t="str">
            <v>AM018</v>
          </cell>
          <cell r="G32" t="str">
            <v>N1</v>
          </cell>
          <cell r="H32" t="str">
            <v>b3</v>
          </cell>
          <cell r="I32" t="str">
            <v>N1-b3</v>
          </cell>
          <cell r="J32">
            <v>17</v>
          </cell>
          <cell r="K32" t="str">
            <v>84</v>
          </cell>
        </row>
        <row r="33">
          <cell r="A33" t="str">
            <v>22-73</v>
          </cell>
          <cell r="B33">
            <v>1087</v>
          </cell>
          <cell r="C33" t="str">
            <v>C1.AM.22.73</v>
          </cell>
          <cell r="D33" t="str">
            <v>AM</v>
          </cell>
          <cell r="E33" t="str">
            <v>G-007</v>
          </cell>
          <cell r="F33" t="str">
            <v>AM018</v>
          </cell>
          <cell r="G33" t="str">
            <v>N2</v>
          </cell>
          <cell r="H33" t="str">
            <v>b3</v>
          </cell>
          <cell r="I33" t="str">
            <v>N2-b3</v>
          </cell>
          <cell r="J33">
            <v>22</v>
          </cell>
          <cell r="K33" t="str">
            <v>73</v>
          </cell>
        </row>
        <row r="34">
          <cell r="A34" t="str">
            <v>02-44</v>
          </cell>
          <cell r="B34">
            <v>108</v>
          </cell>
          <cell r="C34" t="str">
            <v>C1.AM.02.44</v>
          </cell>
          <cell r="D34" t="str">
            <v>AM</v>
          </cell>
          <cell r="E34" t="str">
            <v>G-008</v>
          </cell>
          <cell r="F34" t="str">
            <v>AM019</v>
          </cell>
          <cell r="G34" t="str">
            <v>N2</v>
          </cell>
          <cell r="H34" t="str">
            <v>b2</v>
          </cell>
          <cell r="I34" t="str">
            <v>N2-b2</v>
          </cell>
          <cell r="J34" t="str">
            <v>02</v>
          </cell>
          <cell r="K34" t="str">
            <v>44</v>
          </cell>
        </row>
        <row r="35">
          <cell r="A35" t="str">
            <v>04-10</v>
          </cell>
          <cell r="B35">
            <v>202</v>
          </cell>
          <cell r="C35" t="str">
            <v>C1.AM.04.10</v>
          </cell>
          <cell r="D35" t="str">
            <v>AM</v>
          </cell>
          <cell r="E35" t="str">
            <v>G-008</v>
          </cell>
          <cell r="F35" t="str">
            <v>AM019</v>
          </cell>
          <cell r="G35" t="str">
            <v>N1</v>
          </cell>
          <cell r="H35" t="str">
            <v>b1</v>
          </cell>
          <cell r="I35" t="str">
            <v>N1-b1</v>
          </cell>
          <cell r="J35" t="str">
            <v>04</v>
          </cell>
          <cell r="K35" t="str">
            <v>10</v>
          </cell>
        </row>
        <row r="36">
          <cell r="A36" t="str">
            <v>05-20</v>
          </cell>
          <cell r="B36">
            <v>276</v>
          </cell>
          <cell r="C36" t="str">
            <v>C1.AM.05.20</v>
          </cell>
          <cell r="D36" t="str">
            <v>AM</v>
          </cell>
          <cell r="E36" t="str">
            <v>G-008</v>
          </cell>
          <cell r="F36" t="str">
            <v>AM019</v>
          </cell>
          <cell r="G36" t="str">
            <v>N2</v>
          </cell>
          <cell r="H36" t="str">
            <v>b1</v>
          </cell>
          <cell r="I36" t="str">
            <v>N2-b1</v>
          </cell>
          <cell r="J36" t="str">
            <v>05</v>
          </cell>
          <cell r="K36" t="str">
            <v>20</v>
          </cell>
        </row>
        <row r="37">
          <cell r="A37" t="str">
            <v>06-43</v>
          </cell>
          <cell r="B37">
            <v>363</v>
          </cell>
          <cell r="C37" t="str">
            <v>C1.AM.06.43</v>
          </cell>
          <cell r="D37" t="str">
            <v>AM</v>
          </cell>
          <cell r="E37" t="str">
            <v>G-008</v>
          </cell>
          <cell r="F37" t="str">
            <v>AM019</v>
          </cell>
          <cell r="G37" t="str">
            <v>N1</v>
          </cell>
          <cell r="H37" t="str">
            <v>b2</v>
          </cell>
          <cell r="I37" t="str">
            <v>N1-b2</v>
          </cell>
          <cell r="J37" t="str">
            <v>06</v>
          </cell>
          <cell r="K37" t="str">
            <v>43</v>
          </cell>
        </row>
        <row r="38">
          <cell r="A38" t="str">
            <v>18-76</v>
          </cell>
          <cell r="B38">
            <v>986</v>
          </cell>
          <cell r="C38" t="str">
            <v>C1.AM.18.76</v>
          </cell>
          <cell r="D38" t="str">
            <v>AM</v>
          </cell>
          <cell r="E38" t="str">
            <v>G-008</v>
          </cell>
          <cell r="F38" t="str">
            <v>AM019</v>
          </cell>
          <cell r="G38" t="str">
            <v>N1</v>
          </cell>
          <cell r="H38" t="str">
            <v>b3</v>
          </cell>
          <cell r="I38" t="str">
            <v>N1-b3</v>
          </cell>
          <cell r="J38">
            <v>18</v>
          </cell>
          <cell r="K38" t="str">
            <v>76</v>
          </cell>
        </row>
        <row r="39">
          <cell r="A39" t="str">
            <v>24-72</v>
          </cell>
          <cell r="B39">
            <v>1138</v>
          </cell>
          <cell r="C39" t="str">
            <v>C1.AM.24.72</v>
          </cell>
          <cell r="D39" t="str">
            <v>AM</v>
          </cell>
          <cell r="E39" t="str">
            <v>G-008</v>
          </cell>
          <cell r="F39" t="str">
            <v>AM019</v>
          </cell>
          <cell r="G39" t="str">
            <v>N2</v>
          </cell>
          <cell r="H39" t="str">
            <v>b3</v>
          </cell>
          <cell r="I39" t="str">
            <v>N2-b3</v>
          </cell>
          <cell r="J39">
            <v>24</v>
          </cell>
          <cell r="K39" t="str">
            <v>72</v>
          </cell>
        </row>
        <row r="40">
          <cell r="A40" t="str">
            <v>01-15</v>
          </cell>
          <cell r="B40">
            <v>15</v>
          </cell>
          <cell r="C40" t="str">
            <v>C1.AM.01.15</v>
          </cell>
          <cell r="D40" t="str">
            <v>AM</v>
          </cell>
          <cell r="E40" t="str">
            <v>G-009</v>
          </cell>
          <cell r="F40" t="str">
            <v>AM020</v>
          </cell>
          <cell r="G40" t="str">
            <v>N1</v>
          </cell>
          <cell r="H40" t="str">
            <v>b1</v>
          </cell>
          <cell r="I40" t="str">
            <v>N1-b1</v>
          </cell>
          <cell r="J40" t="str">
            <v>01</v>
          </cell>
          <cell r="K40" t="str">
            <v>15</v>
          </cell>
        </row>
        <row r="41">
          <cell r="A41" t="str">
            <v>03-35</v>
          </cell>
          <cell r="B41">
            <v>163</v>
          </cell>
          <cell r="C41" t="str">
            <v>C1.AM.03.35</v>
          </cell>
          <cell r="D41" t="str">
            <v>AM</v>
          </cell>
          <cell r="E41" t="str">
            <v>G-009</v>
          </cell>
          <cell r="F41" t="str">
            <v>AM020</v>
          </cell>
          <cell r="G41" t="str">
            <v>N2</v>
          </cell>
          <cell r="H41" t="str">
            <v>b2</v>
          </cell>
          <cell r="I41" t="str">
            <v>N2-b2</v>
          </cell>
          <cell r="J41" t="str">
            <v>03</v>
          </cell>
          <cell r="K41" t="str">
            <v>35</v>
          </cell>
        </row>
        <row r="42">
          <cell r="A42" t="str">
            <v>05-29</v>
          </cell>
          <cell r="B42">
            <v>285</v>
          </cell>
          <cell r="C42" t="str">
            <v>C1.AM.05.29</v>
          </cell>
          <cell r="D42" t="str">
            <v>AM</v>
          </cell>
          <cell r="E42" t="str">
            <v>G-009</v>
          </cell>
          <cell r="F42" t="str">
            <v>AM020</v>
          </cell>
          <cell r="G42" t="str">
            <v>N2</v>
          </cell>
          <cell r="H42" t="str">
            <v>b1</v>
          </cell>
          <cell r="I42" t="str">
            <v>N2-b1</v>
          </cell>
          <cell r="J42" t="str">
            <v>05</v>
          </cell>
          <cell r="K42" t="str">
            <v>29</v>
          </cell>
        </row>
        <row r="43">
          <cell r="A43" t="str">
            <v>06-34</v>
          </cell>
          <cell r="B43">
            <v>354</v>
          </cell>
          <cell r="C43" t="str">
            <v>C1.AM.06.34</v>
          </cell>
          <cell r="D43" t="str">
            <v>AM</v>
          </cell>
          <cell r="E43" t="str">
            <v>G-009</v>
          </cell>
          <cell r="F43" t="str">
            <v>AM020</v>
          </cell>
          <cell r="G43" t="str">
            <v>N1</v>
          </cell>
          <cell r="H43" t="str">
            <v>b2</v>
          </cell>
          <cell r="I43" t="str">
            <v>N1-b2</v>
          </cell>
          <cell r="J43" t="str">
            <v>06</v>
          </cell>
          <cell r="K43" t="str">
            <v>34</v>
          </cell>
        </row>
        <row r="44">
          <cell r="A44" t="str">
            <v>15-65</v>
          </cell>
          <cell r="B44">
            <v>897</v>
          </cell>
          <cell r="C44" t="str">
            <v>C1.AM.15.65</v>
          </cell>
          <cell r="D44" t="str">
            <v>AM</v>
          </cell>
          <cell r="E44" t="str">
            <v>G-009</v>
          </cell>
          <cell r="F44" t="str">
            <v>AM020</v>
          </cell>
          <cell r="G44" t="str">
            <v>N1</v>
          </cell>
          <cell r="H44" t="str">
            <v>b3</v>
          </cell>
          <cell r="I44" t="str">
            <v>N1-b3</v>
          </cell>
          <cell r="J44">
            <v>15</v>
          </cell>
          <cell r="K44" t="str">
            <v>65</v>
          </cell>
        </row>
        <row r="45">
          <cell r="A45" t="str">
            <v>21-85</v>
          </cell>
          <cell r="B45">
            <v>1073</v>
          </cell>
          <cell r="C45" t="str">
            <v>C1.AM.21.85</v>
          </cell>
          <cell r="D45" t="str">
            <v>AM</v>
          </cell>
          <cell r="E45" t="str">
            <v>G-009</v>
          </cell>
          <cell r="F45" t="str">
            <v>AM020</v>
          </cell>
          <cell r="G45" t="str">
            <v>N2</v>
          </cell>
          <cell r="H45" t="str">
            <v>b3</v>
          </cell>
          <cell r="I45" t="str">
            <v>N2-b3</v>
          </cell>
          <cell r="J45">
            <v>21</v>
          </cell>
          <cell r="K45" t="str">
            <v>85</v>
          </cell>
        </row>
        <row r="46">
          <cell r="A46" t="str">
            <v>04-29</v>
          </cell>
          <cell r="B46">
            <v>221</v>
          </cell>
          <cell r="C46" t="str">
            <v>C1.AM.04.29</v>
          </cell>
          <cell r="D46" t="str">
            <v>AM</v>
          </cell>
          <cell r="E46" t="str">
            <v>G-010</v>
          </cell>
          <cell r="F46" t="str">
            <v>AM022</v>
          </cell>
          <cell r="G46" t="str">
            <v>N1</v>
          </cell>
          <cell r="H46" t="str">
            <v>b1</v>
          </cell>
          <cell r="I46" t="str">
            <v>N1-b1</v>
          </cell>
          <cell r="J46" t="str">
            <v>04</v>
          </cell>
          <cell r="K46" t="str">
            <v>29</v>
          </cell>
        </row>
        <row r="47">
          <cell r="A47" t="str">
            <v>04-59</v>
          </cell>
          <cell r="B47">
            <v>251</v>
          </cell>
          <cell r="C47" t="str">
            <v>C1.AM.04.59</v>
          </cell>
          <cell r="D47" t="str">
            <v>AM</v>
          </cell>
          <cell r="E47" t="str">
            <v>G-010</v>
          </cell>
          <cell r="F47" t="str">
            <v>AM022</v>
          </cell>
          <cell r="G47" t="str">
            <v>N2</v>
          </cell>
          <cell r="H47" t="str">
            <v>b2</v>
          </cell>
          <cell r="I47" t="str">
            <v>N2-b2</v>
          </cell>
          <cell r="J47" t="str">
            <v>04</v>
          </cell>
          <cell r="K47" t="str">
            <v>59</v>
          </cell>
        </row>
        <row r="48">
          <cell r="A48" t="str">
            <v>08-27</v>
          </cell>
          <cell r="B48">
            <v>475</v>
          </cell>
          <cell r="C48" t="str">
            <v>C1.AM.08.27</v>
          </cell>
          <cell r="D48" t="str">
            <v>AM</v>
          </cell>
          <cell r="E48" t="str">
            <v>G-010</v>
          </cell>
          <cell r="F48" t="str">
            <v>AM022</v>
          </cell>
          <cell r="G48" t="str">
            <v>N2</v>
          </cell>
          <cell r="H48" t="str">
            <v>b1</v>
          </cell>
          <cell r="I48" t="str">
            <v>N2-b1</v>
          </cell>
          <cell r="J48" t="str">
            <v>08</v>
          </cell>
          <cell r="K48" t="str">
            <v>27</v>
          </cell>
        </row>
        <row r="49">
          <cell r="A49" t="str">
            <v>08-39</v>
          </cell>
          <cell r="B49">
            <v>487</v>
          </cell>
          <cell r="C49" t="str">
            <v>C1.AM.08.39</v>
          </cell>
          <cell r="D49" t="str">
            <v>AM</v>
          </cell>
          <cell r="E49" t="str">
            <v>G-010</v>
          </cell>
          <cell r="F49" t="str">
            <v>AM022</v>
          </cell>
          <cell r="G49" t="str">
            <v>N1</v>
          </cell>
          <cell r="H49" t="str">
            <v>b2</v>
          </cell>
          <cell r="I49" t="str">
            <v>N1-b2</v>
          </cell>
          <cell r="J49" t="str">
            <v>08</v>
          </cell>
          <cell r="K49" t="str">
            <v>39</v>
          </cell>
        </row>
        <row r="50">
          <cell r="A50" t="str">
            <v>18-78</v>
          </cell>
          <cell r="B50">
            <v>988</v>
          </cell>
          <cell r="C50" t="str">
            <v>C1.AM.18.78</v>
          </cell>
          <cell r="D50" t="str">
            <v>AM</v>
          </cell>
          <cell r="E50" t="str">
            <v>G-010</v>
          </cell>
          <cell r="F50" t="str">
            <v>AM022</v>
          </cell>
          <cell r="G50" t="str">
            <v>N1</v>
          </cell>
          <cell r="H50" t="str">
            <v>b3</v>
          </cell>
          <cell r="I50" t="str">
            <v>N1-b3</v>
          </cell>
          <cell r="J50">
            <v>18</v>
          </cell>
          <cell r="K50" t="str">
            <v>78</v>
          </cell>
        </row>
        <row r="51">
          <cell r="A51" t="str">
            <v>24-84</v>
          </cell>
          <cell r="B51">
            <v>1150</v>
          </cell>
          <cell r="C51" t="str">
            <v>C1.AM.24.84</v>
          </cell>
          <cell r="D51" t="str">
            <v>AM</v>
          </cell>
          <cell r="E51" t="str">
            <v>G-010</v>
          </cell>
          <cell r="F51" t="str">
            <v>AM022</v>
          </cell>
          <cell r="G51" t="str">
            <v>N2</v>
          </cell>
          <cell r="H51" t="str">
            <v>b3</v>
          </cell>
          <cell r="I51" t="str">
            <v>N2-b3</v>
          </cell>
          <cell r="J51">
            <v>24</v>
          </cell>
          <cell r="K51" t="str">
            <v>84</v>
          </cell>
        </row>
        <row r="52">
          <cell r="A52" t="str">
            <v>02-55</v>
          </cell>
          <cell r="B52">
            <v>119</v>
          </cell>
          <cell r="C52" t="str">
            <v>C1.AM.02.55</v>
          </cell>
          <cell r="D52" t="str">
            <v>AM</v>
          </cell>
          <cell r="E52" t="str">
            <v>G-011</v>
          </cell>
          <cell r="F52" t="str">
            <v>AM027</v>
          </cell>
          <cell r="G52" t="str">
            <v>N2</v>
          </cell>
          <cell r="H52" t="str">
            <v>b2</v>
          </cell>
          <cell r="I52" t="str">
            <v>N2-b2</v>
          </cell>
          <cell r="J52" t="str">
            <v>02</v>
          </cell>
          <cell r="K52" t="str">
            <v>55</v>
          </cell>
        </row>
        <row r="53">
          <cell r="A53" t="str">
            <v>03-22</v>
          </cell>
          <cell r="B53">
            <v>150</v>
          </cell>
          <cell r="C53" t="str">
            <v>C1.AM.03.22</v>
          </cell>
          <cell r="D53" t="str">
            <v>AM</v>
          </cell>
          <cell r="E53" t="str">
            <v>G-011</v>
          </cell>
          <cell r="F53" t="str">
            <v>AM027</v>
          </cell>
          <cell r="G53" t="str">
            <v>N1</v>
          </cell>
          <cell r="H53" t="str">
            <v>b1</v>
          </cell>
          <cell r="I53" t="str">
            <v>N1-b1</v>
          </cell>
          <cell r="J53" t="str">
            <v>03</v>
          </cell>
          <cell r="K53" t="str">
            <v>22</v>
          </cell>
        </row>
        <row r="54">
          <cell r="A54" t="str">
            <v>08-16</v>
          </cell>
          <cell r="B54">
            <v>464</v>
          </cell>
          <cell r="C54" t="str">
            <v>C1.AM.08.16</v>
          </cell>
          <cell r="D54" t="str">
            <v>AM</v>
          </cell>
          <cell r="E54" t="str">
            <v>G-011</v>
          </cell>
          <cell r="F54" t="str">
            <v>AM027</v>
          </cell>
          <cell r="G54" t="str">
            <v>N2</v>
          </cell>
          <cell r="H54" t="str">
            <v>b1</v>
          </cell>
          <cell r="I54" t="str">
            <v>N2-b1</v>
          </cell>
          <cell r="J54" t="str">
            <v>08</v>
          </cell>
          <cell r="K54" t="str">
            <v>16</v>
          </cell>
        </row>
        <row r="55">
          <cell r="A55" t="str">
            <v>08-60</v>
          </cell>
          <cell r="B55">
            <v>508</v>
          </cell>
          <cell r="C55" t="str">
            <v>C1.AM.08.60</v>
          </cell>
          <cell r="D55" t="str">
            <v>AM</v>
          </cell>
          <cell r="E55" t="str">
            <v>G-011</v>
          </cell>
          <cell r="F55" t="str">
            <v>AM027</v>
          </cell>
          <cell r="G55" t="str">
            <v>N1</v>
          </cell>
          <cell r="H55" t="str">
            <v>b2</v>
          </cell>
          <cell r="I55" t="str">
            <v>N1-b2</v>
          </cell>
          <cell r="J55" t="str">
            <v>08</v>
          </cell>
          <cell r="K55" t="str">
            <v>60</v>
          </cell>
        </row>
        <row r="56">
          <cell r="A56" t="str">
            <v>16-80</v>
          </cell>
          <cell r="B56">
            <v>938</v>
          </cell>
          <cell r="C56" t="str">
            <v>C1.AM.16.80</v>
          </cell>
          <cell r="D56" t="str">
            <v>AM</v>
          </cell>
          <cell r="E56" t="str">
            <v>G-011</v>
          </cell>
          <cell r="F56" t="str">
            <v>AM027</v>
          </cell>
          <cell r="G56" t="str">
            <v>N1</v>
          </cell>
          <cell r="H56" t="str">
            <v>b3</v>
          </cell>
          <cell r="I56" t="str">
            <v>N1-b3</v>
          </cell>
          <cell r="J56" t="str">
            <v>16</v>
          </cell>
          <cell r="K56" t="str">
            <v>80</v>
          </cell>
        </row>
        <row r="57">
          <cell r="A57" t="str">
            <v>24-89</v>
          </cell>
          <cell r="B57">
            <v>1155</v>
          </cell>
          <cell r="C57" t="str">
            <v>C1.AM.24.89</v>
          </cell>
          <cell r="D57" t="str">
            <v>AM</v>
          </cell>
          <cell r="E57" t="str">
            <v>G-011</v>
          </cell>
          <cell r="F57" t="str">
            <v>AM027</v>
          </cell>
          <cell r="G57" t="str">
            <v>N2</v>
          </cell>
          <cell r="H57" t="str">
            <v>b3</v>
          </cell>
          <cell r="I57" t="str">
            <v>N2-b3</v>
          </cell>
          <cell r="J57">
            <v>24</v>
          </cell>
          <cell r="K57" t="str">
            <v>89</v>
          </cell>
        </row>
        <row r="58">
          <cell r="A58" t="str">
            <v>02-30</v>
          </cell>
          <cell r="B58">
            <v>94</v>
          </cell>
          <cell r="C58" t="str">
            <v>C1.AM.02.30</v>
          </cell>
          <cell r="D58" t="str">
            <v>AM</v>
          </cell>
          <cell r="E58" t="str">
            <v>G-012</v>
          </cell>
          <cell r="F58" t="str">
            <v>AM028</v>
          </cell>
          <cell r="G58" t="str">
            <v>N1</v>
          </cell>
          <cell r="H58" t="str">
            <v>b1</v>
          </cell>
          <cell r="I58" t="str">
            <v>N1-b1</v>
          </cell>
          <cell r="J58" t="str">
            <v>02</v>
          </cell>
          <cell r="K58" t="str">
            <v>30</v>
          </cell>
        </row>
        <row r="59">
          <cell r="A59" t="str">
            <v>02-33</v>
          </cell>
          <cell r="B59">
            <v>97</v>
          </cell>
          <cell r="C59" t="str">
            <v>C1.AM.02.33</v>
          </cell>
          <cell r="D59" t="str">
            <v>AM</v>
          </cell>
          <cell r="E59" t="str">
            <v>G-012</v>
          </cell>
          <cell r="F59" t="str">
            <v>AM028</v>
          </cell>
          <cell r="G59" t="str">
            <v>N2</v>
          </cell>
          <cell r="H59" t="str">
            <v>b2</v>
          </cell>
          <cell r="I59" t="str">
            <v>N2-b2</v>
          </cell>
          <cell r="J59" t="str">
            <v>02</v>
          </cell>
          <cell r="K59" t="str">
            <v>33</v>
          </cell>
        </row>
        <row r="60">
          <cell r="A60" t="str">
            <v>06-13</v>
          </cell>
          <cell r="B60">
            <v>333</v>
          </cell>
          <cell r="C60" t="str">
            <v>C1.AM.06.13</v>
          </cell>
          <cell r="D60" t="str">
            <v>AM</v>
          </cell>
          <cell r="E60" t="str">
            <v>G-012</v>
          </cell>
          <cell r="F60" t="str">
            <v>AM028</v>
          </cell>
          <cell r="G60" t="str">
            <v>N2</v>
          </cell>
          <cell r="H60" t="str">
            <v>b1</v>
          </cell>
          <cell r="I60" t="str">
            <v>N2-b1</v>
          </cell>
          <cell r="J60" t="str">
            <v>06</v>
          </cell>
          <cell r="K60" t="str">
            <v>13</v>
          </cell>
        </row>
        <row r="61">
          <cell r="A61" t="str">
            <v>06-33</v>
          </cell>
          <cell r="B61">
            <v>353</v>
          </cell>
          <cell r="C61" t="str">
            <v>C1.AM.06.33</v>
          </cell>
          <cell r="D61" t="str">
            <v>AM</v>
          </cell>
          <cell r="E61" t="str">
            <v>G-012</v>
          </cell>
          <cell r="F61" t="str">
            <v>AM028</v>
          </cell>
          <cell r="G61" t="str">
            <v>N1</v>
          </cell>
          <cell r="H61" t="str">
            <v>b2</v>
          </cell>
          <cell r="I61" t="str">
            <v>N1-b2</v>
          </cell>
          <cell r="J61" t="str">
            <v>06</v>
          </cell>
          <cell r="K61" t="str">
            <v>33</v>
          </cell>
        </row>
        <row r="62">
          <cell r="A62" t="str">
            <v>16-82</v>
          </cell>
          <cell r="B62">
            <v>940</v>
          </cell>
          <cell r="C62" t="str">
            <v>C1.AM.16.82</v>
          </cell>
          <cell r="D62" t="str">
            <v>AM</v>
          </cell>
          <cell r="E62" t="str">
            <v>G-012</v>
          </cell>
          <cell r="F62" t="str">
            <v>AM028</v>
          </cell>
          <cell r="G62" t="str">
            <v>N1</v>
          </cell>
          <cell r="H62" t="str">
            <v>b3</v>
          </cell>
          <cell r="I62" t="str">
            <v>N1-b3</v>
          </cell>
          <cell r="J62" t="str">
            <v>16</v>
          </cell>
          <cell r="K62" t="str">
            <v>82</v>
          </cell>
        </row>
        <row r="63">
          <cell r="A63" t="str">
            <v>23-85</v>
          </cell>
          <cell r="B63">
            <v>1125</v>
          </cell>
          <cell r="C63" t="str">
            <v>C1.AM.23.85</v>
          </cell>
          <cell r="D63" t="str">
            <v>AM</v>
          </cell>
          <cell r="E63" t="str">
            <v>G-012</v>
          </cell>
          <cell r="F63" t="str">
            <v>AM028</v>
          </cell>
          <cell r="G63" t="str">
            <v>N2</v>
          </cell>
          <cell r="H63" t="str">
            <v>b3</v>
          </cell>
          <cell r="I63" t="str">
            <v>N2-b3</v>
          </cell>
          <cell r="J63">
            <v>23</v>
          </cell>
          <cell r="K63" t="str">
            <v>85</v>
          </cell>
        </row>
        <row r="64">
          <cell r="A64" t="str">
            <v>01-62</v>
          </cell>
          <cell r="B64">
            <v>62</v>
          </cell>
          <cell r="C64" t="str">
            <v>C1.AM.01.62</v>
          </cell>
          <cell r="D64" t="str">
            <v>AM</v>
          </cell>
          <cell r="E64" t="str">
            <v>G-013</v>
          </cell>
          <cell r="F64" t="str">
            <v>AM030</v>
          </cell>
          <cell r="G64" t="str">
            <v>N2</v>
          </cell>
          <cell r="H64" t="str">
            <v>b2</v>
          </cell>
          <cell r="I64" t="str">
            <v>N2-b2</v>
          </cell>
          <cell r="J64" t="str">
            <v>01</v>
          </cell>
          <cell r="K64" t="str">
            <v>62</v>
          </cell>
        </row>
        <row r="65">
          <cell r="A65" t="str">
            <v>03-32</v>
          </cell>
          <cell r="B65">
            <v>160</v>
          </cell>
          <cell r="C65" t="str">
            <v>C1.AM.03.32</v>
          </cell>
          <cell r="D65" t="str">
            <v>AM</v>
          </cell>
          <cell r="E65" t="str">
            <v>G-013</v>
          </cell>
          <cell r="F65" t="str">
            <v>AM030</v>
          </cell>
          <cell r="G65" t="str">
            <v>N1</v>
          </cell>
          <cell r="H65" t="str">
            <v>b1</v>
          </cell>
          <cell r="I65" t="str">
            <v>N1-b1</v>
          </cell>
          <cell r="J65" t="str">
            <v>03</v>
          </cell>
          <cell r="K65" t="str">
            <v>32</v>
          </cell>
        </row>
        <row r="66">
          <cell r="A66" t="str">
            <v>06-31</v>
          </cell>
          <cell r="B66">
            <v>351</v>
          </cell>
          <cell r="C66" t="str">
            <v>C1.AM.06.31</v>
          </cell>
          <cell r="D66" t="str">
            <v>AM</v>
          </cell>
          <cell r="E66" t="str">
            <v>G-013</v>
          </cell>
          <cell r="F66" t="str">
            <v>AM030</v>
          </cell>
          <cell r="G66" t="str">
            <v>N2</v>
          </cell>
          <cell r="H66" t="str">
            <v>b1</v>
          </cell>
          <cell r="I66" t="str">
            <v>N2-b1</v>
          </cell>
          <cell r="J66" t="str">
            <v>06</v>
          </cell>
          <cell r="K66" t="str">
            <v>31</v>
          </cell>
        </row>
        <row r="67">
          <cell r="A67" t="str">
            <v>08-63</v>
          </cell>
          <cell r="B67">
            <v>511</v>
          </cell>
          <cell r="C67" t="str">
            <v>C1.AM.08.63</v>
          </cell>
          <cell r="D67" t="str">
            <v>AM</v>
          </cell>
          <cell r="E67" t="str">
            <v>G-013</v>
          </cell>
          <cell r="F67" t="str">
            <v>AM030</v>
          </cell>
          <cell r="G67" t="str">
            <v>N1</v>
          </cell>
          <cell r="H67" t="str">
            <v>b2</v>
          </cell>
          <cell r="I67" t="str">
            <v>N1-b2</v>
          </cell>
          <cell r="J67" t="str">
            <v>08</v>
          </cell>
          <cell r="K67" t="str">
            <v>63</v>
          </cell>
        </row>
        <row r="68">
          <cell r="A68" t="str">
            <v>19-76</v>
          </cell>
          <cell r="B68">
            <v>1012</v>
          </cell>
          <cell r="C68" t="str">
            <v>C1.AM.19.76</v>
          </cell>
          <cell r="D68" t="str">
            <v>AM</v>
          </cell>
          <cell r="E68" t="str">
            <v>G-013</v>
          </cell>
          <cell r="F68" t="str">
            <v>AM030</v>
          </cell>
          <cell r="G68" t="str">
            <v>N1</v>
          </cell>
          <cell r="H68" t="str">
            <v>b3</v>
          </cell>
          <cell r="I68" t="str">
            <v>N1-b3</v>
          </cell>
          <cell r="J68">
            <v>19</v>
          </cell>
          <cell r="K68" t="str">
            <v>76</v>
          </cell>
        </row>
        <row r="69">
          <cell r="A69" t="str">
            <v>23-77</v>
          </cell>
          <cell r="B69">
            <v>1117</v>
          </cell>
          <cell r="C69" t="str">
            <v>C1.AM.23.77</v>
          </cell>
          <cell r="D69" t="str">
            <v>AM</v>
          </cell>
          <cell r="E69" t="str">
            <v>G-013</v>
          </cell>
          <cell r="F69" t="str">
            <v>AM030</v>
          </cell>
          <cell r="G69" t="str">
            <v>N2</v>
          </cell>
          <cell r="H69" t="str">
            <v>b3</v>
          </cell>
          <cell r="I69" t="str">
            <v>N2-b3</v>
          </cell>
          <cell r="J69">
            <v>23</v>
          </cell>
          <cell r="K69" t="str">
            <v>77</v>
          </cell>
        </row>
        <row r="70">
          <cell r="A70" t="str">
            <v>03-06</v>
          </cell>
          <cell r="B70">
            <v>134</v>
          </cell>
          <cell r="C70" t="str">
            <v>C1.AM.03.06</v>
          </cell>
          <cell r="D70" t="str">
            <v>AM</v>
          </cell>
          <cell r="E70" t="str">
            <v>G-014</v>
          </cell>
          <cell r="F70" t="str">
            <v>AM031</v>
          </cell>
          <cell r="G70" t="str">
            <v>N1</v>
          </cell>
          <cell r="H70" t="str">
            <v>b1</v>
          </cell>
          <cell r="I70" t="str">
            <v>N1-b1</v>
          </cell>
          <cell r="J70" t="str">
            <v>03</v>
          </cell>
          <cell r="K70" t="str">
            <v>06</v>
          </cell>
        </row>
        <row r="71">
          <cell r="A71" t="str">
            <v>03-63</v>
          </cell>
          <cell r="B71">
            <v>191</v>
          </cell>
          <cell r="C71" t="str">
            <v>C1.AM.03.63</v>
          </cell>
          <cell r="D71" t="str">
            <v>AM</v>
          </cell>
          <cell r="E71" t="str">
            <v>G-014</v>
          </cell>
          <cell r="F71" t="str">
            <v>AM031</v>
          </cell>
          <cell r="G71" t="str">
            <v>N2</v>
          </cell>
          <cell r="H71" t="str">
            <v>b2</v>
          </cell>
          <cell r="I71" t="str">
            <v>N2-b2</v>
          </cell>
          <cell r="J71" t="str">
            <v>03</v>
          </cell>
          <cell r="K71" t="str">
            <v>63</v>
          </cell>
        </row>
        <row r="72">
          <cell r="A72" t="str">
            <v>05-27</v>
          </cell>
          <cell r="B72">
            <v>283</v>
          </cell>
          <cell r="C72" t="str">
            <v>C1.AM.05.27</v>
          </cell>
          <cell r="D72" t="str">
            <v>AM</v>
          </cell>
          <cell r="E72" t="str">
            <v>G-014</v>
          </cell>
          <cell r="F72" t="str">
            <v>AM031</v>
          </cell>
          <cell r="G72" t="str">
            <v>N2</v>
          </cell>
          <cell r="H72" t="str">
            <v>b1</v>
          </cell>
          <cell r="I72" t="str">
            <v>N2-b1</v>
          </cell>
          <cell r="J72" t="str">
            <v>05</v>
          </cell>
          <cell r="K72" t="str">
            <v>27</v>
          </cell>
        </row>
        <row r="73">
          <cell r="A73" t="str">
            <v>06-53</v>
          </cell>
          <cell r="B73">
            <v>373</v>
          </cell>
          <cell r="C73" t="str">
            <v>C1.AM.06.53</v>
          </cell>
          <cell r="D73" t="str">
            <v>AM</v>
          </cell>
          <cell r="E73" t="str">
            <v>G-014</v>
          </cell>
          <cell r="F73" t="str">
            <v>AM031</v>
          </cell>
          <cell r="G73" t="str">
            <v>N1</v>
          </cell>
          <cell r="H73" t="str">
            <v>b2</v>
          </cell>
          <cell r="I73" t="str">
            <v>N1-b2</v>
          </cell>
          <cell r="J73" t="str">
            <v>06</v>
          </cell>
          <cell r="K73" t="str">
            <v>53</v>
          </cell>
        </row>
        <row r="74">
          <cell r="A74" t="str">
            <v>15-75</v>
          </cell>
          <cell r="B74">
            <v>907</v>
          </cell>
          <cell r="C74" t="str">
            <v>C1.AM.15.75</v>
          </cell>
          <cell r="D74" t="str">
            <v>AM</v>
          </cell>
          <cell r="E74" t="str">
            <v>G-014</v>
          </cell>
          <cell r="F74" t="str">
            <v>AM031</v>
          </cell>
          <cell r="G74" t="str">
            <v>N1</v>
          </cell>
          <cell r="H74" t="str">
            <v>b3</v>
          </cell>
          <cell r="I74" t="str">
            <v>N1-b3</v>
          </cell>
          <cell r="J74">
            <v>15</v>
          </cell>
          <cell r="K74" t="str">
            <v>75</v>
          </cell>
        </row>
        <row r="75">
          <cell r="A75" t="str">
            <v>22-70</v>
          </cell>
          <cell r="B75">
            <v>1084</v>
          </cell>
          <cell r="C75" t="str">
            <v>C1.AM.22.70</v>
          </cell>
          <cell r="D75" t="str">
            <v>AM</v>
          </cell>
          <cell r="E75" t="str">
            <v>G-014</v>
          </cell>
          <cell r="F75" t="str">
            <v>AM031</v>
          </cell>
          <cell r="G75" t="str">
            <v>N2</v>
          </cell>
          <cell r="H75" t="str">
            <v>b3</v>
          </cell>
          <cell r="I75" t="str">
            <v>N2-b3</v>
          </cell>
          <cell r="J75">
            <v>22</v>
          </cell>
          <cell r="K75" t="str">
            <v>70</v>
          </cell>
        </row>
        <row r="76">
          <cell r="A76" t="str">
            <v>02-08</v>
          </cell>
          <cell r="B76">
            <v>72</v>
          </cell>
          <cell r="C76" t="str">
            <v>C1.AM.02.08</v>
          </cell>
          <cell r="D76" t="str">
            <v>AM</v>
          </cell>
          <cell r="E76" t="str">
            <v>G-015</v>
          </cell>
          <cell r="F76" t="str">
            <v>AM032</v>
          </cell>
          <cell r="G76" t="str">
            <v>N1</v>
          </cell>
          <cell r="H76" t="str">
            <v>b1</v>
          </cell>
          <cell r="I76" t="str">
            <v>N1-b1</v>
          </cell>
          <cell r="J76" t="str">
            <v>02</v>
          </cell>
          <cell r="K76" t="str">
            <v>08</v>
          </cell>
        </row>
        <row r="77">
          <cell r="A77" t="str">
            <v>03-34</v>
          </cell>
          <cell r="B77">
            <v>162</v>
          </cell>
          <cell r="C77" t="str">
            <v>C1.AM.03.34</v>
          </cell>
          <cell r="D77" t="str">
            <v>AM</v>
          </cell>
          <cell r="E77" t="str">
            <v>G-015</v>
          </cell>
          <cell r="F77" t="str">
            <v>AM032</v>
          </cell>
          <cell r="G77" t="str">
            <v>N2</v>
          </cell>
          <cell r="H77" t="str">
            <v>b2</v>
          </cell>
          <cell r="I77" t="str">
            <v>N2-b2</v>
          </cell>
          <cell r="J77" t="str">
            <v>03</v>
          </cell>
          <cell r="K77" t="str">
            <v>34</v>
          </cell>
        </row>
        <row r="78">
          <cell r="A78" t="str">
            <v>07-17</v>
          </cell>
          <cell r="B78">
            <v>401</v>
          </cell>
          <cell r="C78" t="str">
            <v>C1.AM.07.17</v>
          </cell>
          <cell r="D78" t="str">
            <v>AM</v>
          </cell>
          <cell r="E78" t="str">
            <v>G-015</v>
          </cell>
          <cell r="F78" t="str">
            <v>AM032</v>
          </cell>
          <cell r="G78" t="str">
            <v>N2</v>
          </cell>
          <cell r="H78" t="str">
            <v>b1</v>
          </cell>
          <cell r="I78" t="str">
            <v>N2-b1</v>
          </cell>
          <cell r="J78" t="str">
            <v>07</v>
          </cell>
          <cell r="K78" t="str">
            <v>17</v>
          </cell>
        </row>
        <row r="79">
          <cell r="A79" t="str">
            <v>08-58</v>
          </cell>
          <cell r="B79">
            <v>506</v>
          </cell>
          <cell r="C79" t="str">
            <v>C1.AM.08.58</v>
          </cell>
          <cell r="D79" t="str">
            <v>AM</v>
          </cell>
          <cell r="E79" t="str">
            <v>G-015</v>
          </cell>
          <cell r="F79" t="str">
            <v>AM032</v>
          </cell>
          <cell r="G79" t="str">
            <v>N1</v>
          </cell>
          <cell r="H79" t="str">
            <v>b2</v>
          </cell>
          <cell r="I79" t="str">
            <v>N1-b2</v>
          </cell>
          <cell r="J79" t="str">
            <v>08</v>
          </cell>
          <cell r="K79" t="str">
            <v>58</v>
          </cell>
        </row>
        <row r="80">
          <cell r="A80" t="str">
            <v>18-69</v>
          </cell>
          <cell r="B80">
            <v>979</v>
          </cell>
          <cell r="C80" t="str">
            <v>C1.AM.18.69</v>
          </cell>
          <cell r="D80" t="str">
            <v>AM</v>
          </cell>
          <cell r="E80" t="str">
            <v>G-015</v>
          </cell>
          <cell r="F80" t="str">
            <v>AM032</v>
          </cell>
          <cell r="G80" t="str">
            <v>N1</v>
          </cell>
          <cell r="H80" t="str">
            <v>b3</v>
          </cell>
          <cell r="I80" t="str">
            <v>N1-b3</v>
          </cell>
          <cell r="J80">
            <v>18</v>
          </cell>
          <cell r="K80" t="str">
            <v>69</v>
          </cell>
        </row>
        <row r="81">
          <cell r="A81" t="str">
            <v>24-83</v>
          </cell>
          <cell r="B81">
            <v>1149</v>
          </cell>
          <cell r="C81" t="str">
            <v>C1.AM.24.83</v>
          </cell>
          <cell r="D81" t="str">
            <v>AM</v>
          </cell>
          <cell r="E81" t="str">
            <v>G-015</v>
          </cell>
          <cell r="F81" t="str">
            <v>AM032</v>
          </cell>
          <cell r="G81" t="str">
            <v>N2</v>
          </cell>
          <cell r="H81" t="str">
            <v>b3</v>
          </cell>
          <cell r="I81" t="str">
            <v>N2-b3</v>
          </cell>
          <cell r="J81">
            <v>24</v>
          </cell>
          <cell r="K81" t="str">
            <v>83</v>
          </cell>
        </row>
        <row r="82">
          <cell r="A82" t="str">
            <v>02-54</v>
          </cell>
          <cell r="B82">
            <v>118</v>
          </cell>
          <cell r="C82" t="str">
            <v>C1.AM.02.54</v>
          </cell>
          <cell r="D82" t="str">
            <v>AM</v>
          </cell>
          <cell r="E82" t="str">
            <v>G-016</v>
          </cell>
          <cell r="F82" t="str">
            <v>AM033</v>
          </cell>
          <cell r="G82" t="str">
            <v>N2</v>
          </cell>
          <cell r="H82" t="str">
            <v>b2</v>
          </cell>
          <cell r="I82" t="str">
            <v>N2-b2</v>
          </cell>
          <cell r="J82" t="str">
            <v>02</v>
          </cell>
          <cell r="K82" t="str">
            <v>54</v>
          </cell>
        </row>
        <row r="83">
          <cell r="A83" t="str">
            <v>04-20</v>
          </cell>
          <cell r="B83">
            <v>212</v>
          </cell>
          <cell r="C83" t="str">
            <v>C1.AM.04.20</v>
          </cell>
          <cell r="D83" t="str">
            <v>AM</v>
          </cell>
          <cell r="E83" t="str">
            <v>G-016</v>
          </cell>
          <cell r="F83" t="str">
            <v>AM033</v>
          </cell>
          <cell r="G83" t="str">
            <v>N1</v>
          </cell>
          <cell r="H83" t="str">
            <v>b1</v>
          </cell>
          <cell r="I83" t="str">
            <v>N1-b1</v>
          </cell>
          <cell r="J83" t="str">
            <v>04</v>
          </cell>
          <cell r="K83" t="str">
            <v>20</v>
          </cell>
        </row>
        <row r="84">
          <cell r="A84" t="str">
            <v>07-46</v>
          </cell>
          <cell r="B84">
            <v>430</v>
          </cell>
          <cell r="C84" t="str">
            <v>C1.AM.07.46</v>
          </cell>
          <cell r="D84" t="str">
            <v>AM</v>
          </cell>
          <cell r="E84" t="str">
            <v>G-016</v>
          </cell>
          <cell r="F84" t="str">
            <v>AM033</v>
          </cell>
          <cell r="G84" t="str">
            <v>N1</v>
          </cell>
          <cell r="H84" t="str">
            <v>b2</v>
          </cell>
          <cell r="I84" t="str">
            <v>N1-b2</v>
          </cell>
          <cell r="J84" t="str">
            <v>07</v>
          </cell>
          <cell r="K84" t="str">
            <v>46</v>
          </cell>
        </row>
        <row r="85">
          <cell r="A85" t="str">
            <v>08-10</v>
          </cell>
          <cell r="B85">
            <v>458</v>
          </cell>
          <cell r="C85" t="str">
            <v>C1.AM.08.10</v>
          </cell>
          <cell r="D85" t="str">
            <v>AM</v>
          </cell>
          <cell r="E85" t="str">
            <v>G-016</v>
          </cell>
          <cell r="F85" t="str">
            <v>AM033</v>
          </cell>
          <cell r="G85" t="str">
            <v>N2</v>
          </cell>
          <cell r="H85" t="str">
            <v>b1</v>
          </cell>
          <cell r="I85" t="str">
            <v>N2-b1</v>
          </cell>
          <cell r="J85" t="str">
            <v>08</v>
          </cell>
          <cell r="K85" t="str">
            <v>10</v>
          </cell>
        </row>
        <row r="86">
          <cell r="A86" t="str">
            <v>16-89</v>
          </cell>
          <cell r="B86">
            <v>947</v>
          </cell>
          <cell r="C86" t="str">
            <v>C1.AM.16.89</v>
          </cell>
          <cell r="D86" t="str">
            <v>AM</v>
          </cell>
          <cell r="E86" t="str">
            <v>G-016</v>
          </cell>
          <cell r="F86" t="str">
            <v>AM033</v>
          </cell>
          <cell r="G86" t="str">
            <v>N1</v>
          </cell>
          <cell r="H86" t="str">
            <v>b3</v>
          </cell>
          <cell r="I86" t="str">
            <v>N1-b3</v>
          </cell>
          <cell r="J86" t="str">
            <v>16</v>
          </cell>
          <cell r="K86" t="str">
            <v>89</v>
          </cell>
        </row>
        <row r="87">
          <cell r="A87" t="str">
            <v>20-75</v>
          </cell>
          <cell r="B87">
            <v>1037</v>
          </cell>
          <cell r="C87" t="str">
            <v>C1.AM.20.75</v>
          </cell>
          <cell r="D87" t="str">
            <v>AM</v>
          </cell>
          <cell r="E87" t="str">
            <v>G-016</v>
          </cell>
          <cell r="F87" t="str">
            <v>AM033</v>
          </cell>
          <cell r="G87" t="str">
            <v>N2</v>
          </cell>
          <cell r="H87" t="str">
            <v>b3</v>
          </cell>
          <cell r="I87" t="str">
            <v>N2-b3</v>
          </cell>
          <cell r="J87">
            <v>20</v>
          </cell>
          <cell r="K87" t="str">
            <v>75</v>
          </cell>
        </row>
        <row r="88">
          <cell r="A88" t="str">
            <v>02-16</v>
          </cell>
          <cell r="B88">
            <v>80</v>
          </cell>
          <cell r="C88" t="str">
            <v>C1.AM.02.16</v>
          </cell>
          <cell r="D88" t="str">
            <v>AM</v>
          </cell>
          <cell r="E88" t="str">
            <v>G-017</v>
          </cell>
          <cell r="F88" t="str">
            <v>AM034</v>
          </cell>
          <cell r="G88" t="str">
            <v>N1</v>
          </cell>
          <cell r="H88" t="str">
            <v>b1</v>
          </cell>
          <cell r="I88" t="str">
            <v>N1-b1</v>
          </cell>
          <cell r="J88" t="str">
            <v>02</v>
          </cell>
          <cell r="K88" t="str">
            <v>16</v>
          </cell>
        </row>
        <row r="89">
          <cell r="A89" t="str">
            <v>04-56</v>
          </cell>
          <cell r="B89">
            <v>248</v>
          </cell>
          <cell r="C89" t="str">
            <v>C1.AM.04.56</v>
          </cell>
          <cell r="D89" t="str">
            <v>AM</v>
          </cell>
          <cell r="E89" t="str">
            <v>G-017</v>
          </cell>
          <cell r="F89" t="str">
            <v>AM034</v>
          </cell>
          <cell r="G89" t="str">
            <v>N2</v>
          </cell>
          <cell r="H89" t="str">
            <v>b2</v>
          </cell>
          <cell r="I89" t="str">
            <v>N2-b2</v>
          </cell>
          <cell r="J89" t="str">
            <v>04</v>
          </cell>
          <cell r="K89" t="str">
            <v>56</v>
          </cell>
        </row>
        <row r="90">
          <cell r="A90" t="str">
            <v>07-28</v>
          </cell>
          <cell r="B90">
            <v>412</v>
          </cell>
          <cell r="C90" t="str">
            <v>C1.AM.07.28</v>
          </cell>
          <cell r="D90" t="str">
            <v>AM</v>
          </cell>
          <cell r="E90" t="str">
            <v>G-017</v>
          </cell>
          <cell r="F90" t="str">
            <v>AM034</v>
          </cell>
          <cell r="G90" t="str">
            <v>N2</v>
          </cell>
          <cell r="H90" t="str">
            <v>b1</v>
          </cell>
          <cell r="I90" t="str">
            <v>N2-b1</v>
          </cell>
          <cell r="J90" t="str">
            <v>07</v>
          </cell>
          <cell r="K90" t="str">
            <v>28</v>
          </cell>
        </row>
        <row r="91">
          <cell r="A91" t="str">
            <v>07-57</v>
          </cell>
          <cell r="B91">
            <v>441</v>
          </cell>
          <cell r="C91" t="str">
            <v>C1.AM.07.57</v>
          </cell>
          <cell r="D91" t="str">
            <v>AM</v>
          </cell>
          <cell r="E91" t="str">
            <v>G-017</v>
          </cell>
          <cell r="F91" t="str">
            <v>AM034</v>
          </cell>
          <cell r="G91" t="str">
            <v>N1</v>
          </cell>
          <cell r="H91" t="str">
            <v>b2</v>
          </cell>
          <cell r="I91" t="str">
            <v>N1-b2</v>
          </cell>
          <cell r="J91" t="str">
            <v>07</v>
          </cell>
          <cell r="K91" t="str">
            <v>57</v>
          </cell>
        </row>
        <row r="92">
          <cell r="A92" t="str">
            <v>17-79</v>
          </cell>
          <cell r="B92">
            <v>963</v>
          </cell>
          <cell r="C92" t="str">
            <v>C1.AM.17.79</v>
          </cell>
          <cell r="D92" t="str">
            <v>AM</v>
          </cell>
          <cell r="E92" t="str">
            <v>G-017</v>
          </cell>
          <cell r="F92" t="str">
            <v>AM034</v>
          </cell>
          <cell r="G92" t="str">
            <v>N1</v>
          </cell>
          <cell r="H92" t="str">
            <v>b3</v>
          </cell>
          <cell r="I92" t="str">
            <v>N1-b3</v>
          </cell>
          <cell r="J92">
            <v>17</v>
          </cell>
          <cell r="K92" t="str">
            <v>79</v>
          </cell>
        </row>
        <row r="93">
          <cell r="A93" t="str">
            <v>24-71</v>
          </cell>
          <cell r="B93">
            <v>1137</v>
          </cell>
          <cell r="C93" t="str">
            <v>C1.AM.24.71</v>
          </cell>
          <cell r="D93" t="str">
            <v>AM</v>
          </cell>
          <cell r="E93" t="str">
            <v>G-017</v>
          </cell>
          <cell r="F93" t="str">
            <v>AM034</v>
          </cell>
          <cell r="G93" t="str">
            <v>N2</v>
          </cell>
          <cell r="H93" t="str">
            <v>b3</v>
          </cell>
          <cell r="I93" t="str">
            <v>N2-b3</v>
          </cell>
          <cell r="J93">
            <v>24</v>
          </cell>
          <cell r="K93" t="str">
            <v>71</v>
          </cell>
        </row>
        <row r="94">
          <cell r="A94" t="str">
            <v>02-27</v>
          </cell>
          <cell r="B94">
            <v>91</v>
          </cell>
          <cell r="C94" t="str">
            <v>C1.AM.02.27</v>
          </cell>
          <cell r="D94" t="str">
            <v>AM</v>
          </cell>
          <cell r="E94" t="str">
            <v>G-018</v>
          </cell>
          <cell r="F94" t="str">
            <v>AM035</v>
          </cell>
          <cell r="G94" t="str">
            <v>N1</v>
          </cell>
          <cell r="H94" t="str">
            <v>b1</v>
          </cell>
          <cell r="I94" t="str">
            <v>N1-b1</v>
          </cell>
          <cell r="J94" t="str">
            <v>02</v>
          </cell>
          <cell r="K94" t="str">
            <v>27</v>
          </cell>
        </row>
        <row r="95">
          <cell r="A95" t="str">
            <v>04-39</v>
          </cell>
          <cell r="B95">
            <v>231</v>
          </cell>
          <cell r="C95" t="str">
            <v>C1.AM.04.39</v>
          </cell>
          <cell r="D95" t="str">
            <v>AM</v>
          </cell>
          <cell r="E95" t="str">
            <v>G-018</v>
          </cell>
          <cell r="F95" t="str">
            <v>AM035</v>
          </cell>
          <cell r="G95" t="str">
            <v>N2</v>
          </cell>
          <cell r="H95" t="str">
            <v>b2</v>
          </cell>
          <cell r="I95" t="str">
            <v>N2-b2</v>
          </cell>
          <cell r="J95" t="str">
            <v>04</v>
          </cell>
          <cell r="K95" t="str">
            <v>39</v>
          </cell>
        </row>
        <row r="96">
          <cell r="A96" t="str">
            <v>05-40</v>
          </cell>
          <cell r="B96">
            <v>296</v>
          </cell>
          <cell r="C96" t="str">
            <v>C1.AM.05.40</v>
          </cell>
          <cell r="D96" t="str">
            <v>AM</v>
          </cell>
          <cell r="E96" t="str">
            <v>G-018</v>
          </cell>
          <cell r="F96" t="str">
            <v>AM035</v>
          </cell>
          <cell r="G96" t="str">
            <v>N1</v>
          </cell>
          <cell r="H96" t="str">
            <v>b2</v>
          </cell>
          <cell r="I96" t="str">
            <v>N1-b2</v>
          </cell>
          <cell r="J96" t="str">
            <v>05</v>
          </cell>
          <cell r="K96" t="str">
            <v>40</v>
          </cell>
        </row>
        <row r="97">
          <cell r="A97" t="str">
            <v>07-22</v>
          </cell>
          <cell r="B97">
            <v>406</v>
          </cell>
          <cell r="C97" t="str">
            <v>C1.AM.07.22</v>
          </cell>
          <cell r="D97" t="str">
            <v>AM</v>
          </cell>
          <cell r="E97" t="str">
            <v>G-018</v>
          </cell>
          <cell r="F97" t="str">
            <v>AM035</v>
          </cell>
          <cell r="G97" t="str">
            <v>N2</v>
          </cell>
          <cell r="H97" t="str">
            <v>b1</v>
          </cell>
          <cell r="I97" t="str">
            <v>N2-b1</v>
          </cell>
          <cell r="J97" t="str">
            <v>07</v>
          </cell>
          <cell r="K97" t="str">
            <v>22</v>
          </cell>
        </row>
        <row r="98">
          <cell r="A98" t="str">
            <v>18-67</v>
          </cell>
          <cell r="B98">
            <v>977</v>
          </cell>
          <cell r="C98" t="str">
            <v>C1.AM.18.67</v>
          </cell>
          <cell r="D98" t="str">
            <v>AM</v>
          </cell>
          <cell r="E98" t="str">
            <v>G-018</v>
          </cell>
          <cell r="F98" t="str">
            <v>AM035</v>
          </cell>
          <cell r="G98" t="str">
            <v>N1</v>
          </cell>
          <cell r="H98" t="str">
            <v>b3</v>
          </cell>
          <cell r="I98" t="str">
            <v>N1-b3</v>
          </cell>
          <cell r="J98">
            <v>18</v>
          </cell>
          <cell r="K98" t="str">
            <v>67</v>
          </cell>
        </row>
        <row r="99">
          <cell r="A99" t="str">
            <v>24-75</v>
          </cell>
          <cell r="B99">
            <v>1141</v>
          </cell>
          <cell r="C99" t="str">
            <v>C1.AM.24.75</v>
          </cell>
          <cell r="D99" t="str">
            <v>AM</v>
          </cell>
          <cell r="E99" t="str">
            <v>G-018</v>
          </cell>
          <cell r="F99" t="str">
            <v>AM035</v>
          </cell>
          <cell r="G99" t="str">
            <v>N2</v>
          </cell>
          <cell r="H99" t="str">
            <v>b3</v>
          </cell>
          <cell r="I99" t="str">
            <v>N2-b3</v>
          </cell>
          <cell r="J99">
            <v>24</v>
          </cell>
          <cell r="K99" t="str">
            <v>75</v>
          </cell>
        </row>
        <row r="100">
          <cell r="A100" t="str">
            <v>04-30</v>
          </cell>
          <cell r="B100">
            <v>222</v>
          </cell>
          <cell r="C100" t="str">
            <v>C1.AM.04.30</v>
          </cell>
          <cell r="D100" t="str">
            <v>AM</v>
          </cell>
          <cell r="E100" t="str">
            <v>G-019</v>
          </cell>
          <cell r="F100" t="str">
            <v>AM036</v>
          </cell>
          <cell r="G100" t="str">
            <v>N1</v>
          </cell>
          <cell r="H100" t="str">
            <v>b1</v>
          </cell>
          <cell r="I100" t="str">
            <v>N1-b1</v>
          </cell>
          <cell r="J100" t="str">
            <v>04</v>
          </cell>
          <cell r="K100" t="str">
            <v>30</v>
          </cell>
        </row>
        <row r="101">
          <cell r="A101" t="str">
            <v>04-50</v>
          </cell>
          <cell r="B101">
            <v>242</v>
          </cell>
          <cell r="C101" t="str">
            <v>C1.AM.04.50</v>
          </cell>
          <cell r="D101" t="str">
            <v>AM</v>
          </cell>
          <cell r="E101" t="str">
            <v>G-019</v>
          </cell>
          <cell r="F101" t="str">
            <v>AM036</v>
          </cell>
          <cell r="G101" t="str">
            <v>N2</v>
          </cell>
          <cell r="H101" t="str">
            <v>b2</v>
          </cell>
          <cell r="I101" t="str">
            <v>N2-b2</v>
          </cell>
          <cell r="J101" t="str">
            <v>04</v>
          </cell>
          <cell r="K101" t="str">
            <v>50</v>
          </cell>
        </row>
        <row r="102">
          <cell r="A102" t="str">
            <v>06-25</v>
          </cell>
          <cell r="B102">
            <v>345</v>
          </cell>
          <cell r="C102" t="str">
            <v>C1.AM.06.25</v>
          </cell>
          <cell r="D102" t="str">
            <v>AM</v>
          </cell>
          <cell r="E102" t="str">
            <v>G-019</v>
          </cell>
          <cell r="F102" t="str">
            <v>AM036</v>
          </cell>
          <cell r="G102" t="str">
            <v>N2</v>
          </cell>
          <cell r="H102" t="str">
            <v>b1</v>
          </cell>
          <cell r="I102" t="str">
            <v>N2-b1</v>
          </cell>
          <cell r="J102" t="str">
            <v>06</v>
          </cell>
          <cell r="K102" t="str">
            <v>25</v>
          </cell>
        </row>
        <row r="103">
          <cell r="A103" t="str">
            <v>07-56</v>
          </cell>
          <cell r="B103">
            <v>440</v>
          </cell>
          <cell r="C103" t="str">
            <v>C1.AM.07.56</v>
          </cell>
          <cell r="D103" t="str">
            <v>AM</v>
          </cell>
          <cell r="E103" t="str">
            <v>G-019</v>
          </cell>
          <cell r="F103" t="str">
            <v>AM036</v>
          </cell>
          <cell r="G103" t="str">
            <v>N1</v>
          </cell>
          <cell r="H103" t="str">
            <v>b2</v>
          </cell>
          <cell r="I103" t="str">
            <v>N1-b2</v>
          </cell>
          <cell r="J103" t="str">
            <v>07</v>
          </cell>
          <cell r="K103" t="str">
            <v>56</v>
          </cell>
        </row>
        <row r="104">
          <cell r="A104" t="str">
            <v>15-74</v>
          </cell>
          <cell r="B104">
            <v>906</v>
          </cell>
          <cell r="C104" t="str">
            <v>C1.AM.15.74</v>
          </cell>
          <cell r="D104" t="str">
            <v>AM</v>
          </cell>
          <cell r="E104" t="str">
            <v>G-019</v>
          </cell>
          <cell r="F104" t="str">
            <v>AM036</v>
          </cell>
          <cell r="G104" t="str">
            <v>N1</v>
          </cell>
          <cell r="H104" t="str">
            <v>b3</v>
          </cell>
          <cell r="I104" t="str">
            <v>N1-b3</v>
          </cell>
          <cell r="J104">
            <v>15</v>
          </cell>
          <cell r="K104" t="str">
            <v>74</v>
          </cell>
        </row>
        <row r="105">
          <cell r="A105" t="str">
            <v>21-89</v>
          </cell>
          <cell r="B105">
            <v>1077</v>
          </cell>
          <cell r="C105" t="str">
            <v>C1.AM.21.89</v>
          </cell>
          <cell r="D105" t="str">
            <v>AM</v>
          </cell>
          <cell r="E105" t="str">
            <v>G-019</v>
          </cell>
          <cell r="F105" t="str">
            <v>AM036</v>
          </cell>
          <cell r="G105" t="str">
            <v>N2</v>
          </cell>
          <cell r="H105" t="str">
            <v>b3</v>
          </cell>
          <cell r="I105" t="str">
            <v>N2-b3</v>
          </cell>
          <cell r="J105">
            <v>21</v>
          </cell>
          <cell r="K105" t="str">
            <v>89</v>
          </cell>
        </row>
        <row r="106">
          <cell r="A106" t="str">
            <v>04-31</v>
          </cell>
          <cell r="B106">
            <v>223</v>
          </cell>
          <cell r="C106" t="str">
            <v>C1.AM.04.31</v>
          </cell>
          <cell r="D106" t="str">
            <v>AM</v>
          </cell>
          <cell r="E106" t="str">
            <v>G-020</v>
          </cell>
          <cell r="F106" t="str">
            <v>AM037</v>
          </cell>
          <cell r="G106" t="str">
            <v>N1</v>
          </cell>
          <cell r="H106" t="str">
            <v>b1</v>
          </cell>
          <cell r="I106" t="str">
            <v>N1-b1</v>
          </cell>
          <cell r="J106" t="str">
            <v>04</v>
          </cell>
          <cell r="K106" t="str">
            <v>31</v>
          </cell>
        </row>
        <row r="107">
          <cell r="A107" t="str">
            <v>04-48</v>
          </cell>
          <cell r="B107">
            <v>240</v>
          </cell>
          <cell r="C107" t="str">
            <v>C1.AM.04.48</v>
          </cell>
          <cell r="D107" t="str">
            <v>AM</v>
          </cell>
          <cell r="E107" t="str">
            <v>G-020</v>
          </cell>
          <cell r="F107" t="str">
            <v>AM037</v>
          </cell>
          <cell r="G107" t="str">
            <v>N2</v>
          </cell>
          <cell r="H107" t="str">
            <v>b2</v>
          </cell>
          <cell r="I107" t="str">
            <v>N2-b2</v>
          </cell>
          <cell r="J107" t="str">
            <v>04</v>
          </cell>
          <cell r="K107" t="str">
            <v>48</v>
          </cell>
        </row>
        <row r="108">
          <cell r="A108" t="str">
            <v>05-32</v>
          </cell>
          <cell r="B108">
            <v>288</v>
          </cell>
          <cell r="C108" t="str">
            <v>C1.AM.05.32</v>
          </cell>
          <cell r="D108" t="str">
            <v>AM</v>
          </cell>
          <cell r="E108" t="str">
            <v>G-020</v>
          </cell>
          <cell r="F108" t="str">
            <v>AM037</v>
          </cell>
          <cell r="G108" t="str">
            <v>N2</v>
          </cell>
          <cell r="H108" t="str">
            <v>b1</v>
          </cell>
          <cell r="I108" t="str">
            <v>N2-b1</v>
          </cell>
          <cell r="J108" t="str">
            <v>05</v>
          </cell>
          <cell r="K108" t="str">
            <v>32</v>
          </cell>
        </row>
        <row r="109">
          <cell r="A109" t="str">
            <v>08-45</v>
          </cell>
          <cell r="B109">
            <v>493</v>
          </cell>
          <cell r="C109" t="str">
            <v>C1.AM.08.45</v>
          </cell>
          <cell r="D109" t="str">
            <v>AM</v>
          </cell>
          <cell r="E109" t="str">
            <v>G-020</v>
          </cell>
          <cell r="F109" t="str">
            <v>AM037</v>
          </cell>
          <cell r="G109" t="str">
            <v>N1</v>
          </cell>
          <cell r="H109" t="str">
            <v>b2</v>
          </cell>
          <cell r="I109" t="str">
            <v>N1-b2</v>
          </cell>
          <cell r="J109" t="str">
            <v>08</v>
          </cell>
          <cell r="K109" t="str">
            <v>45</v>
          </cell>
        </row>
        <row r="110">
          <cell r="A110" t="str">
            <v>19-71</v>
          </cell>
          <cell r="B110">
            <v>1007</v>
          </cell>
          <cell r="C110" t="str">
            <v>C1.AM.19.71</v>
          </cell>
          <cell r="D110" t="str">
            <v>AM</v>
          </cell>
          <cell r="E110" t="str">
            <v>G-020</v>
          </cell>
          <cell r="F110" t="str">
            <v>AM037</v>
          </cell>
          <cell r="G110" t="str">
            <v>N1</v>
          </cell>
          <cell r="H110" t="str">
            <v>b3</v>
          </cell>
          <cell r="I110" t="str">
            <v>N1-b3</v>
          </cell>
          <cell r="J110">
            <v>19</v>
          </cell>
          <cell r="K110" t="str">
            <v>71</v>
          </cell>
        </row>
        <row r="111">
          <cell r="A111" t="str">
            <v>20-78</v>
          </cell>
          <cell r="B111">
            <v>1040</v>
          </cell>
          <cell r="C111" t="str">
            <v>C1.AM.20.78</v>
          </cell>
          <cell r="D111" t="str">
            <v>AM</v>
          </cell>
          <cell r="E111" t="str">
            <v>G-020</v>
          </cell>
          <cell r="F111" t="str">
            <v>AM037</v>
          </cell>
          <cell r="G111" t="str">
            <v>N2</v>
          </cell>
          <cell r="H111" t="str">
            <v>b3</v>
          </cell>
          <cell r="I111" t="str">
            <v>N2-b3</v>
          </cell>
          <cell r="J111">
            <v>20</v>
          </cell>
          <cell r="K111" t="str">
            <v>78</v>
          </cell>
        </row>
        <row r="112">
          <cell r="A112" t="str">
            <v>02-64</v>
          </cell>
          <cell r="B112">
            <v>128</v>
          </cell>
          <cell r="C112" t="str">
            <v>C1.AM.02.64</v>
          </cell>
          <cell r="D112" t="str">
            <v>AM</v>
          </cell>
          <cell r="E112" t="str">
            <v>G-021</v>
          </cell>
          <cell r="F112" t="str">
            <v>AM038</v>
          </cell>
          <cell r="G112" t="str">
            <v>N2</v>
          </cell>
          <cell r="H112" t="str">
            <v>b2</v>
          </cell>
          <cell r="I112" t="str">
            <v>N2-b2</v>
          </cell>
          <cell r="J112" t="str">
            <v>02</v>
          </cell>
          <cell r="K112" t="str">
            <v>64</v>
          </cell>
        </row>
        <row r="113">
          <cell r="A113" t="str">
            <v>04-14</v>
          </cell>
          <cell r="B113">
            <v>206</v>
          </cell>
          <cell r="C113" t="str">
            <v>C1.AM.04.14</v>
          </cell>
          <cell r="D113" t="str">
            <v>AM</v>
          </cell>
          <cell r="E113" t="str">
            <v>G-021</v>
          </cell>
          <cell r="F113" t="str">
            <v>AM038</v>
          </cell>
          <cell r="G113" t="str">
            <v>N1</v>
          </cell>
          <cell r="H113" t="str">
            <v>b1</v>
          </cell>
          <cell r="I113" t="str">
            <v>N1-b1</v>
          </cell>
          <cell r="J113" t="str">
            <v>04</v>
          </cell>
          <cell r="K113" t="str">
            <v>14</v>
          </cell>
        </row>
        <row r="114">
          <cell r="A114" t="str">
            <v>05-15</v>
          </cell>
          <cell r="B114">
            <v>271</v>
          </cell>
          <cell r="C114" t="str">
            <v>C1.AM.05.15</v>
          </cell>
          <cell r="D114" t="str">
            <v>AM</v>
          </cell>
          <cell r="E114" t="str">
            <v>G-021</v>
          </cell>
          <cell r="F114" t="str">
            <v>AM038</v>
          </cell>
          <cell r="G114" t="str">
            <v>N2</v>
          </cell>
          <cell r="H114" t="str">
            <v>b1</v>
          </cell>
          <cell r="I114" t="str">
            <v>N2-b1</v>
          </cell>
          <cell r="J114" t="str">
            <v>05</v>
          </cell>
          <cell r="K114" t="str">
            <v>15</v>
          </cell>
        </row>
        <row r="115">
          <cell r="A115" t="str">
            <v>08-36</v>
          </cell>
          <cell r="B115">
            <v>484</v>
          </cell>
          <cell r="C115" t="str">
            <v>C1.AM.08.36</v>
          </cell>
          <cell r="D115" t="str">
            <v>AM</v>
          </cell>
          <cell r="E115" t="str">
            <v>G-021</v>
          </cell>
          <cell r="F115" t="str">
            <v>AM038</v>
          </cell>
          <cell r="G115" t="str">
            <v>N1</v>
          </cell>
          <cell r="H115" t="str">
            <v>b2</v>
          </cell>
          <cell r="I115" t="str">
            <v>N1-b2</v>
          </cell>
          <cell r="J115" t="str">
            <v>08</v>
          </cell>
          <cell r="K115" t="str">
            <v>36</v>
          </cell>
        </row>
        <row r="116">
          <cell r="A116" t="str">
            <v>17-70</v>
          </cell>
          <cell r="B116">
            <v>954</v>
          </cell>
          <cell r="C116" t="str">
            <v>C1.AM.17.70</v>
          </cell>
          <cell r="D116" t="str">
            <v>AM</v>
          </cell>
          <cell r="E116" t="str">
            <v>G-021</v>
          </cell>
          <cell r="F116" t="str">
            <v>AM038</v>
          </cell>
          <cell r="G116" t="str">
            <v>N1</v>
          </cell>
          <cell r="H116" t="str">
            <v>b3</v>
          </cell>
          <cell r="I116" t="str">
            <v>N1-b3</v>
          </cell>
          <cell r="J116">
            <v>17</v>
          </cell>
          <cell r="K116" t="str">
            <v>70</v>
          </cell>
        </row>
        <row r="117">
          <cell r="A117" t="str">
            <v>21-73</v>
          </cell>
          <cell r="B117">
            <v>1061</v>
          </cell>
          <cell r="C117" t="str">
            <v>C1.AM.21.73</v>
          </cell>
          <cell r="D117" t="str">
            <v>AM</v>
          </cell>
          <cell r="E117" t="str">
            <v>G-021</v>
          </cell>
          <cell r="F117" t="str">
            <v>AM038</v>
          </cell>
          <cell r="G117" t="str">
            <v>N2</v>
          </cell>
          <cell r="H117" t="str">
            <v>b3</v>
          </cell>
          <cell r="I117" t="str">
            <v>N2-b3</v>
          </cell>
          <cell r="J117">
            <v>21</v>
          </cell>
          <cell r="K117" t="str">
            <v>73</v>
          </cell>
        </row>
        <row r="118">
          <cell r="A118" t="str">
            <v>02-52</v>
          </cell>
          <cell r="B118">
            <v>116</v>
          </cell>
          <cell r="C118" t="str">
            <v>C1.AM.02.52</v>
          </cell>
          <cell r="D118" t="str">
            <v>AM</v>
          </cell>
          <cell r="E118" t="str">
            <v>G-022</v>
          </cell>
          <cell r="F118" t="str">
            <v>AM039</v>
          </cell>
          <cell r="G118" t="str">
            <v>N2</v>
          </cell>
          <cell r="H118" t="str">
            <v>b2</v>
          </cell>
          <cell r="I118" t="str">
            <v>N2-b2</v>
          </cell>
          <cell r="J118" t="str">
            <v>02</v>
          </cell>
          <cell r="K118" t="str">
            <v>52</v>
          </cell>
        </row>
        <row r="119">
          <cell r="A119" t="str">
            <v>04-08</v>
          </cell>
          <cell r="B119">
            <v>200</v>
          </cell>
          <cell r="C119" t="str">
            <v>C1.AM.04.08</v>
          </cell>
          <cell r="D119" t="str">
            <v>AM</v>
          </cell>
          <cell r="E119" t="str">
            <v>G-022</v>
          </cell>
          <cell r="F119" t="str">
            <v>AM039</v>
          </cell>
          <cell r="G119" t="str">
            <v>N1</v>
          </cell>
          <cell r="H119" t="str">
            <v>b1</v>
          </cell>
          <cell r="I119" t="str">
            <v>N1-b1</v>
          </cell>
          <cell r="J119" t="str">
            <v>04</v>
          </cell>
          <cell r="K119" t="str">
            <v>08</v>
          </cell>
        </row>
        <row r="120">
          <cell r="A120" t="str">
            <v>05-06</v>
          </cell>
          <cell r="B120">
            <v>262</v>
          </cell>
          <cell r="C120" t="str">
            <v>C1.AM.05.06</v>
          </cell>
          <cell r="D120" t="str">
            <v>AM</v>
          </cell>
          <cell r="E120" t="str">
            <v>G-022</v>
          </cell>
          <cell r="F120" t="str">
            <v>AM039</v>
          </cell>
          <cell r="G120" t="str">
            <v>N2</v>
          </cell>
          <cell r="H120" t="str">
            <v>b1</v>
          </cell>
          <cell r="I120" t="str">
            <v>N2-b1</v>
          </cell>
          <cell r="J120" t="str">
            <v>05</v>
          </cell>
          <cell r="K120" t="str">
            <v>06</v>
          </cell>
        </row>
        <row r="121">
          <cell r="A121" t="str">
            <v>05-60</v>
          </cell>
          <cell r="B121">
            <v>316</v>
          </cell>
          <cell r="C121" t="str">
            <v>C1.AM.05.60</v>
          </cell>
          <cell r="D121" t="str">
            <v>AM</v>
          </cell>
          <cell r="E121" t="str">
            <v>G-022</v>
          </cell>
          <cell r="F121" t="str">
            <v>AM039</v>
          </cell>
          <cell r="G121" t="str">
            <v>N1</v>
          </cell>
          <cell r="H121" t="str">
            <v>b2</v>
          </cell>
          <cell r="I121" t="str">
            <v>N1-b2</v>
          </cell>
          <cell r="J121" t="str">
            <v>05</v>
          </cell>
          <cell r="K121" t="str">
            <v>60</v>
          </cell>
        </row>
        <row r="122">
          <cell r="A122" t="str">
            <v>18-72</v>
          </cell>
          <cell r="B122">
            <v>982</v>
          </cell>
          <cell r="C122" t="str">
            <v>C1.AM.18.72</v>
          </cell>
          <cell r="D122" t="str">
            <v>AM</v>
          </cell>
          <cell r="E122" t="str">
            <v>G-022</v>
          </cell>
          <cell r="F122" t="str">
            <v>AM039</v>
          </cell>
          <cell r="G122" t="str">
            <v>N1</v>
          </cell>
          <cell r="H122" t="str">
            <v>b3</v>
          </cell>
          <cell r="I122" t="str">
            <v>N1-b3</v>
          </cell>
          <cell r="J122">
            <v>18</v>
          </cell>
          <cell r="K122" t="str">
            <v>72</v>
          </cell>
        </row>
        <row r="123">
          <cell r="A123" t="str">
            <v>20-76</v>
          </cell>
          <cell r="B123">
            <v>1038</v>
          </cell>
          <cell r="C123" t="str">
            <v>C1.AM.20.76</v>
          </cell>
          <cell r="D123" t="str">
            <v>AM</v>
          </cell>
          <cell r="E123" t="str">
            <v>G-022</v>
          </cell>
          <cell r="F123" t="str">
            <v>AM039</v>
          </cell>
          <cell r="G123" t="str">
            <v>N2</v>
          </cell>
          <cell r="H123" t="str">
            <v>b3</v>
          </cell>
          <cell r="I123" t="str">
            <v>N2-b3</v>
          </cell>
          <cell r="J123">
            <v>20</v>
          </cell>
          <cell r="K123" t="str">
            <v>76</v>
          </cell>
        </row>
        <row r="124">
          <cell r="A124" t="str">
            <v>01-08</v>
          </cell>
          <cell r="B124">
            <v>8</v>
          </cell>
          <cell r="C124" t="str">
            <v>C1.AM.01.08</v>
          </cell>
          <cell r="D124" t="str">
            <v>AM</v>
          </cell>
          <cell r="E124" t="str">
            <v>G-023</v>
          </cell>
          <cell r="F124" t="str">
            <v>AM040</v>
          </cell>
          <cell r="G124" t="str">
            <v>N1</v>
          </cell>
          <cell r="H124" t="str">
            <v>b1</v>
          </cell>
          <cell r="I124" t="str">
            <v>N1-b1</v>
          </cell>
          <cell r="J124" t="str">
            <v>01</v>
          </cell>
          <cell r="K124" t="str">
            <v>08</v>
          </cell>
        </row>
        <row r="125">
          <cell r="A125" t="str">
            <v>01-55</v>
          </cell>
          <cell r="B125">
            <v>55</v>
          </cell>
          <cell r="C125" t="str">
            <v>C1.AM.01.55</v>
          </cell>
          <cell r="D125" t="str">
            <v>AM</v>
          </cell>
          <cell r="E125" t="str">
            <v>G-023</v>
          </cell>
          <cell r="F125" t="str">
            <v>AM040</v>
          </cell>
          <cell r="G125" t="str">
            <v>N2</v>
          </cell>
          <cell r="H125" t="str">
            <v>b2</v>
          </cell>
          <cell r="I125" t="str">
            <v>N2-b2</v>
          </cell>
          <cell r="J125" t="str">
            <v>01</v>
          </cell>
          <cell r="K125" t="str">
            <v>55</v>
          </cell>
        </row>
        <row r="126">
          <cell r="A126" t="str">
            <v>06-06</v>
          </cell>
          <cell r="B126">
            <v>326</v>
          </cell>
          <cell r="C126" t="str">
            <v>C1.AM.06.06</v>
          </cell>
          <cell r="D126" t="str">
            <v>AM</v>
          </cell>
          <cell r="E126" t="str">
            <v>G-023</v>
          </cell>
          <cell r="F126" t="str">
            <v>AM040</v>
          </cell>
          <cell r="G126" t="str">
            <v>N2</v>
          </cell>
          <cell r="H126" t="str">
            <v>b1</v>
          </cell>
          <cell r="I126" t="str">
            <v>N2-b1</v>
          </cell>
          <cell r="J126" t="str">
            <v>06</v>
          </cell>
          <cell r="K126" t="str">
            <v>06</v>
          </cell>
        </row>
        <row r="127">
          <cell r="A127" t="str">
            <v>06-45</v>
          </cell>
          <cell r="B127">
            <v>365</v>
          </cell>
          <cell r="C127" t="str">
            <v>C1.AM.06.45</v>
          </cell>
          <cell r="D127" t="str">
            <v>AM</v>
          </cell>
          <cell r="E127" t="str">
            <v>G-023</v>
          </cell>
          <cell r="F127" t="str">
            <v>AM040</v>
          </cell>
          <cell r="G127" t="str">
            <v>N1</v>
          </cell>
          <cell r="H127" t="str">
            <v>b2</v>
          </cell>
          <cell r="I127" t="str">
            <v>N1-b2</v>
          </cell>
          <cell r="J127" t="str">
            <v>06</v>
          </cell>
          <cell r="K127" t="str">
            <v>45</v>
          </cell>
        </row>
        <row r="128">
          <cell r="A128" t="str">
            <v>17-69</v>
          </cell>
          <cell r="B128">
            <v>953</v>
          </cell>
          <cell r="C128" t="str">
            <v>C1.AM.17.69</v>
          </cell>
          <cell r="D128" t="str">
            <v>AM</v>
          </cell>
          <cell r="E128" t="str">
            <v>G-023</v>
          </cell>
          <cell r="F128" t="str">
            <v>AM040</v>
          </cell>
          <cell r="G128" t="str">
            <v>N1</v>
          </cell>
          <cell r="H128" t="str">
            <v>b3</v>
          </cell>
          <cell r="I128" t="str">
            <v>N1-b3</v>
          </cell>
          <cell r="J128">
            <v>17</v>
          </cell>
          <cell r="K128" t="str">
            <v>69</v>
          </cell>
        </row>
        <row r="129">
          <cell r="A129" t="str">
            <v>24-82</v>
          </cell>
          <cell r="B129">
            <v>1148</v>
          </cell>
          <cell r="C129" t="str">
            <v>C1.AM.24.82</v>
          </cell>
          <cell r="D129" t="str">
            <v>AM</v>
          </cell>
          <cell r="E129" t="str">
            <v>G-023</v>
          </cell>
          <cell r="F129" t="str">
            <v>AM040</v>
          </cell>
          <cell r="G129" t="str">
            <v>N2</v>
          </cell>
          <cell r="H129" t="str">
            <v>b3</v>
          </cell>
          <cell r="I129" t="str">
            <v>N2-b3</v>
          </cell>
          <cell r="J129">
            <v>24</v>
          </cell>
          <cell r="K129" t="str">
            <v>82</v>
          </cell>
        </row>
        <row r="130">
          <cell r="A130" t="str">
            <v>02-37</v>
          </cell>
          <cell r="B130">
            <v>101</v>
          </cell>
          <cell r="C130" t="str">
            <v>C1.AM.02.37</v>
          </cell>
          <cell r="D130" t="str">
            <v>AM</v>
          </cell>
          <cell r="E130" t="str">
            <v>G-024</v>
          </cell>
          <cell r="F130" t="str">
            <v>AM042</v>
          </cell>
          <cell r="G130" t="str">
            <v>N2</v>
          </cell>
          <cell r="H130" t="str">
            <v>b2</v>
          </cell>
          <cell r="I130" t="str">
            <v>N2-b2</v>
          </cell>
          <cell r="J130" t="str">
            <v>02</v>
          </cell>
          <cell r="K130" t="str">
            <v>37</v>
          </cell>
        </row>
        <row r="131">
          <cell r="A131" t="str">
            <v>04-11</v>
          </cell>
          <cell r="B131">
            <v>203</v>
          </cell>
          <cell r="C131" t="str">
            <v>C1.AM.04.11</v>
          </cell>
          <cell r="D131" t="str">
            <v>AM</v>
          </cell>
          <cell r="E131" t="str">
            <v>G-024</v>
          </cell>
          <cell r="F131" t="str">
            <v>AM042</v>
          </cell>
          <cell r="G131" t="str">
            <v>N1</v>
          </cell>
          <cell r="H131" t="str">
            <v>b1</v>
          </cell>
          <cell r="I131" t="str">
            <v>N1-b1</v>
          </cell>
          <cell r="J131" t="str">
            <v>04</v>
          </cell>
          <cell r="K131" t="str">
            <v>11</v>
          </cell>
        </row>
        <row r="132">
          <cell r="A132" t="str">
            <v>07-11</v>
          </cell>
          <cell r="B132">
            <v>395</v>
          </cell>
          <cell r="C132" t="str">
            <v>C1.AM.07.11</v>
          </cell>
          <cell r="D132" t="str">
            <v>AM</v>
          </cell>
          <cell r="E132" t="str">
            <v>G-024</v>
          </cell>
          <cell r="F132" t="str">
            <v>AM042</v>
          </cell>
          <cell r="G132" t="str">
            <v>N2</v>
          </cell>
          <cell r="H132" t="str">
            <v>b1</v>
          </cell>
          <cell r="I132" t="str">
            <v>N2-b1</v>
          </cell>
          <cell r="J132" t="str">
            <v>07</v>
          </cell>
          <cell r="K132" t="str">
            <v>11</v>
          </cell>
        </row>
        <row r="133">
          <cell r="A133" t="str">
            <v>07-45</v>
          </cell>
          <cell r="B133">
            <v>429</v>
          </cell>
          <cell r="C133" t="str">
            <v>C1.AM.07.45</v>
          </cell>
          <cell r="D133" t="str">
            <v>AM</v>
          </cell>
          <cell r="E133" t="str">
            <v>G-024</v>
          </cell>
          <cell r="F133" t="str">
            <v>AM042</v>
          </cell>
          <cell r="G133" t="str">
            <v>N1</v>
          </cell>
          <cell r="H133" t="str">
            <v>b2</v>
          </cell>
          <cell r="I133" t="str">
            <v>N1-b2</v>
          </cell>
          <cell r="J133" t="str">
            <v>07</v>
          </cell>
          <cell r="K133" t="str">
            <v>45</v>
          </cell>
        </row>
        <row r="134">
          <cell r="A134" t="str">
            <v>18-73</v>
          </cell>
          <cell r="B134">
            <v>983</v>
          </cell>
          <cell r="C134" t="str">
            <v>C1.AM.18.73</v>
          </cell>
          <cell r="D134" t="str">
            <v>AM</v>
          </cell>
          <cell r="E134" t="str">
            <v>G-024</v>
          </cell>
          <cell r="F134" t="str">
            <v>AM042</v>
          </cell>
          <cell r="G134" t="str">
            <v>N1</v>
          </cell>
          <cell r="H134" t="str">
            <v>b3</v>
          </cell>
          <cell r="I134" t="str">
            <v>N1-b3</v>
          </cell>
          <cell r="J134">
            <v>18</v>
          </cell>
          <cell r="K134" t="str">
            <v>73</v>
          </cell>
        </row>
        <row r="135">
          <cell r="A135" t="str">
            <v>23-72</v>
          </cell>
          <cell r="B135">
            <v>1112</v>
          </cell>
          <cell r="C135" t="str">
            <v>C1.AM.23.72</v>
          </cell>
          <cell r="D135" t="str">
            <v>AM</v>
          </cell>
          <cell r="E135" t="str">
            <v>G-024</v>
          </cell>
          <cell r="F135" t="str">
            <v>AM042</v>
          </cell>
          <cell r="G135" t="str">
            <v>N2</v>
          </cell>
          <cell r="H135" t="str">
            <v>b3</v>
          </cell>
          <cell r="I135" t="str">
            <v>N2-b3</v>
          </cell>
          <cell r="J135">
            <v>23</v>
          </cell>
          <cell r="K135" t="str">
            <v>72</v>
          </cell>
        </row>
        <row r="136">
          <cell r="A136" t="str">
            <v>01-58</v>
          </cell>
          <cell r="B136">
            <v>58</v>
          </cell>
          <cell r="C136" t="str">
            <v>C1.AM.01.58</v>
          </cell>
          <cell r="D136" t="str">
            <v>AM</v>
          </cell>
          <cell r="E136" t="str">
            <v>G-025</v>
          </cell>
          <cell r="F136" t="str">
            <v>AM045</v>
          </cell>
          <cell r="G136" t="str">
            <v>N2</v>
          </cell>
          <cell r="H136" t="str">
            <v>b2</v>
          </cell>
          <cell r="I136" t="str">
            <v>N2-b2</v>
          </cell>
          <cell r="J136" t="str">
            <v>01</v>
          </cell>
          <cell r="K136" t="str">
            <v>58</v>
          </cell>
        </row>
        <row r="137">
          <cell r="A137" t="str">
            <v>02-23</v>
          </cell>
          <cell r="B137">
            <v>87</v>
          </cell>
          <cell r="C137" t="str">
            <v>C1.AM.02.23</v>
          </cell>
          <cell r="D137" t="str">
            <v>AM</v>
          </cell>
          <cell r="E137" t="str">
            <v>G-025</v>
          </cell>
          <cell r="F137" t="str">
            <v>AM045</v>
          </cell>
          <cell r="G137" t="str">
            <v>N1</v>
          </cell>
          <cell r="H137" t="str">
            <v>b1</v>
          </cell>
          <cell r="I137" t="str">
            <v>N1-b1</v>
          </cell>
          <cell r="J137" t="str">
            <v>02</v>
          </cell>
          <cell r="K137" t="str">
            <v>23</v>
          </cell>
        </row>
        <row r="138">
          <cell r="A138" t="str">
            <v>06-03</v>
          </cell>
          <cell r="B138">
            <v>323</v>
          </cell>
          <cell r="C138" t="str">
            <v>C1.AM.06.03</v>
          </cell>
          <cell r="D138" t="str">
            <v>AM</v>
          </cell>
          <cell r="E138" t="str">
            <v>G-025</v>
          </cell>
          <cell r="F138" t="str">
            <v>AM045</v>
          </cell>
          <cell r="G138" t="str">
            <v>N2</v>
          </cell>
          <cell r="H138" t="str">
            <v>b1</v>
          </cell>
          <cell r="I138" t="str">
            <v>N2-b1</v>
          </cell>
          <cell r="J138" t="str">
            <v>06</v>
          </cell>
          <cell r="K138" t="str">
            <v>03</v>
          </cell>
        </row>
        <row r="139">
          <cell r="A139" t="str">
            <v>06-57</v>
          </cell>
          <cell r="B139">
            <v>377</v>
          </cell>
          <cell r="C139" t="str">
            <v>C1.AM.06.57</v>
          </cell>
          <cell r="D139" t="str">
            <v>AM</v>
          </cell>
          <cell r="E139" t="str">
            <v>G-025</v>
          </cell>
          <cell r="F139" t="str">
            <v>AM045</v>
          </cell>
          <cell r="G139" t="str">
            <v>N1</v>
          </cell>
          <cell r="H139" t="str">
            <v>b2</v>
          </cell>
          <cell r="I139" t="str">
            <v>N1-b2</v>
          </cell>
          <cell r="J139" t="str">
            <v>06</v>
          </cell>
          <cell r="K139" t="str">
            <v>57</v>
          </cell>
        </row>
        <row r="140">
          <cell r="A140" t="str">
            <v>16-87</v>
          </cell>
          <cell r="B140">
            <v>945</v>
          </cell>
          <cell r="C140" t="str">
            <v>C1.AM.16.87</v>
          </cell>
          <cell r="D140" t="str">
            <v>AM</v>
          </cell>
          <cell r="E140" t="str">
            <v>G-025</v>
          </cell>
          <cell r="F140" t="str">
            <v>AM045</v>
          </cell>
          <cell r="G140" t="str">
            <v>N1</v>
          </cell>
          <cell r="H140" t="str">
            <v>b3</v>
          </cell>
          <cell r="I140" t="str">
            <v>N1-b3</v>
          </cell>
          <cell r="J140" t="str">
            <v>16</v>
          </cell>
          <cell r="K140" t="str">
            <v>87</v>
          </cell>
        </row>
        <row r="141">
          <cell r="A141" t="str">
            <v>22-86</v>
          </cell>
          <cell r="B141">
            <v>1100</v>
          </cell>
          <cell r="C141" t="str">
            <v>C1.AM.22.86</v>
          </cell>
          <cell r="D141" t="str">
            <v>AM</v>
          </cell>
          <cell r="E141" t="str">
            <v>G-025</v>
          </cell>
          <cell r="F141" t="str">
            <v>AM045</v>
          </cell>
          <cell r="G141" t="str">
            <v>N2</v>
          </cell>
          <cell r="H141" t="str">
            <v>b3</v>
          </cell>
          <cell r="I141" t="str">
            <v>N2-b3</v>
          </cell>
          <cell r="J141">
            <v>22</v>
          </cell>
          <cell r="K141" t="str">
            <v>86</v>
          </cell>
        </row>
        <row r="142">
          <cell r="A142" t="str">
            <v>01-16</v>
          </cell>
          <cell r="B142">
            <v>16</v>
          </cell>
          <cell r="C142" t="str">
            <v>C1.AM.01.16</v>
          </cell>
          <cell r="D142" t="str">
            <v>AM</v>
          </cell>
          <cell r="E142" t="str">
            <v>G-026</v>
          </cell>
          <cell r="F142" t="str">
            <v>AM046</v>
          </cell>
          <cell r="G142" t="str">
            <v>N1</v>
          </cell>
          <cell r="H142" t="str">
            <v>b1</v>
          </cell>
          <cell r="I142" t="str">
            <v>N1-b1</v>
          </cell>
          <cell r="J142" t="str">
            <v>01</v>
          </cell>
          <cell r="K142" t="str">
            <v>16</v>
          </cell>
        </row>
        <row r="143">
          <cell r="A143" t="str">
            <v>01-53</v>
          </cell>
          <cell r="B143">
            <v>53</v>
          </cell>
          <cell r="C143" t="str">
            <v>C1.AM.01.53</v>
          </cell>
          <cell r="D143" t="str">
            <v>AM</v>
          </cell>
          <cell r="E143" t="str">
            <v>G-026</v>
          </cell>
          <cell r="F143" t="str">
            <v>AM046</v>
          </cell>
          <cell r="G143" t="str">
            <v>N2</v>
          </cell>
          <cell r="H143" t="str">
            <v>b2</v>
          </cell>
          <cell r="I143" t="str">
            <v>N2-b2</v>
          </cell>
          <cell r="J143" t="str">
            <v>01</v>
          </cell>
          <cell r="K143" t="str">
            <v>53</v>
          </cell>
        </row>
        <row r="144">
          <cell r="A144" t="str">
            <v>08-06</v>
          </cell>
          <cell r="B144">
            <v>454</v>
          </cell>
          <cell r="C144" t="str">
            <v>C1.AM.08.06</v>
          </cell>
          <cell r="D144" t="str">
            <v>AM</v>
          </cell>
          <cell r="E144" t="str">
            <v>G-026</v>
          </cell>
          <cell r="F144" t="str">
            <v>AM046</v>
          </cell>
          <cell r="G144" t="str">
            <v>N2</v>
          </cell>
          <cell r="H144" t="str">
            <v>b1</v>
          </cell>
          <cell r="I144" t="str">
            <v>N2-b1</v>
          </cell>
          <cell r="J144" t="str">
            <v>08</v>
          </cell>
          <cell r="K144" t="str">
            <v>06</v>
          </cell>
        </row>
        <row r="145">
          <cell r="A145" t="str">
            <v>08-50</v>
          </cell>
          <cell r="B145">
            <v>498</v>
          </cell>
          <cell r="C145" t="str">
            <v>C1.AM.08.50</v>
          </cell>
          <cell r="D145" t="str">
            <v>AM</v>
          </cell>
          <cell r="E145" t="str">
            <v>G-026</v>
          </cell>
          <cell r="F145" t="str">
            <v>AM046</v>
          </cell>
          <cell r="G145" t="str">
            <v>N1</v>
          </cell>
          <cell r="H145" t="str">
            <v>b2</v>
          </cell>
          <cell r="I145" t="str">
            <v>N1-b2</v>
          </cell>
          <cell r="J145" t="str">
            <v>08</v>
          </cell>
          <cell r="K145" t="str">
            <v>50</v>
          </cell>
        </row>
        <row r="146">
          <cell r="A146" t="str">
            <v>17-74</v>
          </cell>
          <cell r="B146">
            <v>958</v>
          </cell>
          <cell r="C146" t="str">
            <v>C1.AM.17.74</v>
          </cell>
          <cell r="D146" t="str">
            <v>AM</v>
          </cell>
          <cell r="E146" t="str">
            <v>G-026</v>
          </cell>
          <cell r="F146" t="str">
            <v>AM046</v>
          </cell>
          <cell r="G146" t="str">
            <v>N1</v>
          </cell>
          <cell r="H146" t="str">
            <v>b3</v>
          </cell>
          <cell r="I146" t="str">
            <v>N1-b3</v>
          </cell>
          <cell r="J146">
            <v>17</v>
          </cell>
          <cell r="K146" t="str">
            <v>74</v>
          </cell>
        </row>
        <row r="147">
          <cell r="A147" t="str">
            <v>21-78</v>
          </cell>
          <cell r="B147">
            <v>1066</v>
          </cell>
          <cell r="C147" t="str">
            <v>C1.AM.21.78</v>
          </cell>
          <cell r="D147" t="str">
            <v>AM</v>
          </cell>
          <cell r="E147" t="str">
            <v>G-026</v>
          </cell>
          <cell r="F147" t="str">
            <v>AM046</v>
          </cell>
          <cell r="G147" t="str">
            <v>N2</v>
          </cell>
          <cell r="H147" t="str">
            <v>b3</v>
          </cell>
          <cell r="I147" t="str">
            <v>N2-b3</v>
          </cell>
          <cell r="J147">
            <v>21</v>
          </cell>
          <cell r="K147" t="str">
            <v>78</v>
          </cell>
        </row>
        <row r="148">
          <cell r="A148" t="str">
            <v>02-25</v>
          </cell>
          <cell r="B148">
            <v>89</v>
          </cell>
          <cell r="C148" t="str">
            <v>C1.AM.02.25</v>
          </cell>
          <cell r="D148" t="str">
            <v>AM</v>
          </cell>
          <cell r="E148" t="str">
            <v>G-027</v>
          </cell>
          <cell r="F148" t="str">
            <v>AM048</v>
          </cell>
          <cell r="G148" t="str">
            <v>N1</v>
          </cell>
          <cell r="H148" t="str">
            <v>b1</v>
          </cell>
          <cell r="I148" t="str">
            <v>N1-b1</v>
          </cell>
          <cell r="J148" t="str">
            <v>02</v>
          </cell>
          <cell r="K148" t="str">
            <v>25</v>
          </cell>
        </row>
        <row r="149">
          <cell r="A149" t="str">
            <v>04-51</v>
          </cell>
          <cell r="B149">
            <v>243</v>
          </cell>
          <cell r="C149" t="str">
            <v>C1.AM.04.51</v>
          </cell>
          <cell r="D149" t="str">
            <v>AM</v>
          </cell>
          <cell r="E149" t="str">
            <v>G-027</v>
          </cell>
          <cell r="F149" t="str">
            <v>AM048</v>
          </cell>
          <cell r="G149" t="str">
            <v>N2</v>
          </cell>
          <cell r="H149" t="str">
            <v>b2</v>
          </cell>
          <cell r="I149" t="str">
            <v>N2-b2</v>
          </cell>
          <cell r="J149" t="str">
            <v>04</v>
          </cell>
          <cell r="K149" t="str">
            <v>51</v>
          </cell>
        </row>
        <row r="150">
          <cell r="A150" t="str">
            <v>06-09</v>
          </cell>
          <cell r="B150">
            <v>329</v>
          </cell>
          <cell r="C150" t="str">
            <v>C1.AM.06.09</v>
          </cell>
          <cell r="D150" t="str">
            <v>AM</v>
          </cell>
          <cell r="E150" t="str">
            <v>G-027</v>
          </cell>
          <cell r="F150" t="str">
            <v>AM048</v>
          </cell>
          <cell r="G150" t="str">
            <v>N2</v>
          </cell>
          <cell r="H150" t="str">
            <v>b1</v>
          </cell>
          <cell r="I150" t="str">
            <v>N2-b1</v>
          </cell>
          <cell r="J150" t="str">
            <v>06</v>
          </cell>
          <cell r="K150" t="str">
            <v>09</v>
          </cell>
        </row>
        <row r="151">
          <cell r="A151" t="str">
            <v>07-34</v>
          </cell>
          <cell r="B151">
            <v>418</v>
          </cell>
          <cell r="C151" t="str">
            <v>C1.AM.07.34</v>
          </cell>
          <cell r="D151" t="str">
            <v>AM</v>
          </cell>
          <cell r="E151" t="str">
            <v>G-027</v>
          </cell>
          <cell r="F151" t="str">
            <v>AM048</v>
          </cell>
          <cell r="G151" t="str">
            <v>N1</v>
          </cell>
          <cell r="H151" t="str">
            <v>b2</v>
          </cell>
          <cell r="I151" t="str">
            <v>N1-b2</v>
          </cell>
          <cell r="J151" t="str">
            <v>07</v>
          </cell>
          <cell r="K151" t="str">
            <v>34</v>
          </cell>
        </row>
        <row r="152">
          <cell r="A152" t="str">
            <v>19-73</v>
          </cell>
          <cell r="B152">
            <v>1009</v>
          </cell>
          <cell r="C152" t="str">
            <v>C1.AM.19.73</v>
          </cell>
          <cell r="D152" t="str">
            <v>AM</v>
          </cell>
          <cell r="E152" t="str">
            <v>G-027</v>
          </cell>
          <cell r="F152" t="str">
            <v>AM048</v>
          </cell>
          <cell r="G152" t="str">
            <v>N1</v>
          </cell>
          <cell r="H152" t="str">
            <v>b3</v>
          </cell>
          <cell r="I152" t="str">
            <v>N1-b3</v>
          </cell>
          <cell r="J152">
            <v>19</v>
          </cell>
          <cell r="K152" t="str">
            <v>73</v>
          </cell>
        </row>
        <row r="153">
          <cell r="A153" t="str">
            <v>20-66</v>
          </cell>
          <cell r="B153">
            <v>1028</v>
          </cell>
          <cell r="C153" t="str">
            <v>C1.AM.20.66</v>
          </cell>
          <cell r="D153" t="str">
            <v>AM</v>
          </cell>
          <cell r="E153" t="str">
            <v>G-027</v>
          </cell>
          <cell r="F153" t="str">
            <v>AM048</v>
          </cell>
          <cell r="G153" t="str">
            <v>N2</v>
          </cell>
          <cell r="H153" t="str">
            <v>b3</v>
          </cell>
          <cell r="I153" t="str">
            <v>N2-b3</v>
          </cell>
          <cell r="J153">
            <v>20</v>
          </cell>
          <cell r="K153" t="str">
            <v>66</v>
          </cell>
        </row>
        <row r="154">
          <cell r="A154" t="str">
            <v>02-40</v>
          </cell>
          <cell r="B154">
            <v>104</v>
          </cell>
          <cell r="C154" t="str">
            <v>C1.AM.02.40</v>
          </cell>
          <cell r="D154" t="str">
            <v>AM</v>
          </cell>
          <cell r="E154" t="str">
            <v>G-028</v>
          </cell>
          <cell r="F154" t="str">
            <v>AM049</v>
          </cell>
          <cell r="G154" t="str">
            <v>N2</v>
          </cell>
          <cell r="H154" t="str">
            <v>b2</v>
          </cell>
          <cell r="I154" t="str">
            <v>N2-b2</v>
          </cell>
          <cell r="J154" t="str">
            <v>02</v>
          </cell>
          <cell r="K154" t="str">
            <v>40</v>
          </cell>
        </row>
        <row r="155">
          <cell r="A155" t="str">
            <v>04-16</v>
          </cell>
          <cell r="B155">
            <v>208</v>
          </cell>
          <cell r="C155" t="str">
            <v>C1.AM.04.16</v>
          </cell>
          <cell r="D155" t="str">
            <v>AM</v>
          </cell>
          <cell r="E155" t="str">
            <v>G-028</v>
          </cell>
          <cell r="F155" t="str">
            <v>AM049</v>
          </cell>
          <cell r="G155" t="str">
            <v>N1</v>
          </cell>
          <cell r="H155" t="str">
            <v>b1</v>
          </cell>
          <cell r="I155" t="str">
            <v>N1-b1</v>
          </cell>
          <cell r="J155" t="str">
            <v>04</v>
          </cell>
          <cell r="K155" t="str">
            <v>16</v>
          </cell>
        </row>
        <row r="156">
          <cell r="A156" t="str">
            <v>07-15</v>
          </cell>
          <cell r="B156">
            <v>399</v>
          </cell>
          <cell r="C156" t="str">
            <v>C1.AM.07.15</v>
          </cell>
          <cell r="D156" t="str">
            <v>AM</v>
          </cell>
          <cell r="E156" t="str">
            <v>G-028</v>
          </cell>
          <cell r="F156" t="str">
            <v>AM049</v>
          </cell>
          <cell r="G156" t="str">
            <v>N2</v>
          </cell>
          <cell r="H156" t="str">
            <v>b1</v>
          </cell>
          <cell r="I156" t="str">
            <v>N2-b1</v>
          </cell>
          <cell r="J156" t="str">
            <v>07</v>
          </cell>
          <cell r="K156" t="str">
            <v>15</v>
          </cell>
        </row>
        <row r="157">
          <cell r="A157" t="str">
            <v>07-60</v>
          </cell>
          <cell r="B157">
            <v>444</v>
          </cell>
          <cell r="C157" t="str">
            <v>C1.AM.07.60</v>
          </cell>
          <cell r="D157" t="str">
            <v>AM</v>
          </cell>
          <cell r="E157" t="str">
            <v>G-028</v>
          </cell>
          <cell r="F157" t="str">
            <v>AM049</v>
          </cell>
          <cell r="G157" t="str">
            <v>N1</v>
          </cell>
          <cell r="H157" t="str">
            <v>b2</v>
          </cell>
          <cell r="I157" t="str">
            <v>N1-b2</v>
          </cell>
          <cell r="J157" t="str">
            <v>07</v>
          </cell>
          <cell r="K157" t="str">
            <v>60</v>
          </cell>
        </row>
        <row r="158">
          <cell r="A158" t="str">
            <v>16-76</v>
          </cell>
          <cell r="B158">
            <v>934</v>
          </cell>
          <cell r="C158" t="str">
            <v>C1.AM.16.76</v>
          </cell>
          <cell r="D158" t="str">
            <v>AM</v>
          </cell>
          <cell r="E158" t="str">
            <v>G-028</v>
          </cell>
          <cell r="F158" t="str">
            <v>AM049</v>
          </cell>
          <cell r="G158" t="str">
            <v>N1</v>
          </cell>
          <cell r="H158" t="str">
            <v>b3</v>
          </cell>
          <cell r="I158" t="str">
            <v>N1-b3</v>
          </cell>
          <cell r="J158" t="str">
            <v>16</v>
          </cell>
          <cell r="K158" t="str">
            <v>76</v>
          </cell>
        </row>
        <row r="159">
          <cell r="A159" t="str">
            <v>20-89</v>
          </cell>
          <cell r="B159">
            <v>1051</v>
          </cell>
          <cell r="C159" t="str">
            <v>C1.AM.20.89</v>
          </cell>
          <cell r="D159" t="str">
            <v>AM</v>
          </cell>
          <cell r="E159" t="str">
            <v>G-028</v>
          </cell>
          <cell r="F159" t="str">
            <v>AM049</v>
          </cell>
          <cell r="G159" t="str">
            <v>N2</v>
          </cell>
          <cell r="H159" t="str">
            <v>b3</v>
          </cell>
          <cell r="I159" t="str">
            <v>N2-b3</v>
          </cell>
          <cell r="J159">
            <v>20</v>
          </cell>
          <cell r="K159" t="str">
            <v>89</v>
          </cell>
        </row>
        <row r="160">
          <cell r="A160" t="str">
            <v>03-12</v>
          </cell>
          <cell r="B160">
            <v>140</v>
          </cell>
          <cell r="C160" t="str">
            <v>C1.AM.03.12</v>
          </cell>
          <cell r="D160" t="str">
            <v>AM</v>
          </cell>
          <cell r="E160" t="str">
            <v>G-029</v>
          </cell>
          <cell r="F160" t="str">
            <v>AM050</v>
          </cell>
          <cell r="G160" t="str">
            <v>N1</v>
          </cell>
          <cell r="H160" t="str">
            <v>b1</v>
          </cell>
          <cell r="I160" t="str">
            <v>N1-b1</v>
          </cell>
          <cell r="J160" t="str">
            <v>03</v>
          </cell>
          <cell r="K160" t="str">
            <v>12</v>
          </cell>
        </row>
        <row r="161">
          <cell r="A161" t="str">
            <v>03-58</v>
          </cell>
          <cell r="B161">
            <v>186</v>
          </cell>
          <cell r="C161" t="str">
            <v>C1.AM.03.58</v>
          </cell>
          <cell r="D161" t="str">
            <v>AM</v>
          </cell>
          <cell r="E161" t="str">
            <v>G-029</v>
          </cell>
          <cell r="F161" t="str">
            <v>AM050</v>
          </cell>
          <cell r="G161" t="str">
            <v>N2</v>
          </cell>
          <cell r="H161" t="str">
            <v>b2</v>
          </cell>
          <cell r="I161" t="str">
            <v>N2-b2</v>
          </cell>
          <cell r="J161" t="str">
            <v>03</v>
          </cell>
          <cell r="K161" t="str">
            <v>58</v>
          </cell>
        </row>
        <row r="162">
          <cell r="A162" t="str">
            <v>08-01</v>
          </cell>
          <cell r="B162">
            <v>449</v>
          </cell>
          <cell r="C162" t="str">
            <v>C1.AM.08.01</v>
          </cell>
          <cell r="D162" t="str">
            <v>AM</v>
          </cell>
          <cell r="E162" t="str">
            <v>G-029</v>
          </cell>
          <cell r="F162" t="str">
            <v>AM050</v>
          </cell>
          <cell r="G162" t="str">
            <v>N2</v>
          </cell>
          <cell r="H162" t="str">
            <v>b1</v>
          </cell>
          <cell r="I162" t="str">
            <v>N2-b1</v>
          </cell>
          <cell r="J162" t="str">
            <v>08</v>
          </cell>
          <cell r="K162" t="str">
            <v>01</v>
          </cell>
        </row>
        <row r="163">
          <cell r="A163" t="str">
            <v>08-61</v>
          </cell>
          <cell r="B163">
            <v>509</v>
          </cell>
          <cell r="C163" t="str">
            <v>C1.AM.08.61</v>
          </cell>
          <cell r="D163" t="str">
            <v>AM</v>
          </cell>
          <cell r="E163" t="str">
            <v>G-029</v>
          </cell>
          <cell r="F163" t="str">
            <v>AM050</v>
          </cell>
          <cell r="G163" t="str">
            <v>N1</v>
          </cell>
          <cell r="H163" t="str">
            <v>b2</v>
          </cell>
          <cell r="I163" t="str">
            <v>N1-b2</v>
          </cell>
          <cell r="J163" t="str">
            <v>08</v>
          </cell>
          <cell r="K163" t="str">
            <v>61</v>
          </cell>
        </row>
        <row r="164">
          <cell r="A164" t="str">
            <v>15-81</v>
          </cell>
          <cell r="B164">
            <v>913</v>
          </cell>
          <cell r="C164" t="str">
            <v>C1.AM.15.81</v>
          </cell>
          <cell r="D164" t="str">
            <v>AM</v>
          </cell>
          <cell r="E164" t="str">
            <v>G-029</v>
          </cell>
          <cell r="F164" t="str">
            <v>AM050</v>
          </cell>
          <cell r="G164" t="str">
            <v>N1</v>
          </cell>
          <cell r="H164" t="str">
            <v>b3</v>
          </cell>
          <cell r="I164" t="str">
            <v>N1-b3</v>
          </cell>
          <cell r="J164">
            <v>15</v>
          </cell>
          <cell r="K164" t="str">
            <v>81</v>
          </cell>
        </row>
        <row r="165">
          <cell r="A165" t="str">
            <v>20-85</v>
          </cell>
          <cell r="B165">
            <v>1047</v>
          </cell>
          <cell r="C165" t="str">
            <v>C1.AM.20.85</v>
          </cell>
          <cell r="D165" t="str">
            <v>AM</v>
          </cell>
          <cell r="E165" t="str">
            <v>G-029</v>
          </cell>
          <cell r="F165" t="str">
            <v>AM050</v>
          </cell>
          <cell r="G165" t="str">
            <v>N2</v>
          </cell>
          <cell r="H165" t="str">
            <v>b3</v>
          </cell>
          <cell r="I165" t="str">
            <v>N2-b3</v>
          </cell>
          <cell r="J165">
            <v>20</v>
          </cell>
          <cell r="K165" t="str">
            <v>85</v>
          </cell>
        </row>
        <row r="166">
          <cell r="A166" t="str">
            <v>02-15</v>
          </cell>
          <cell r="B166">
            <v>79</v>
          </cell>
          <cell r="C166" t="str">
            <v>C1.AM.02.15</v>
          </cell>
          <cell r="D166" t="str">
            <v>AM</v>
          </cell>
          <cell r="E166" t="str">
            <v>G-030</v>
          </cell>
          <cell r="F166" t="str">
            <v>AM052</v>
          </cell>
          <cell r="G166" t="str">
            <v>N1</v>
          </cell>
          <cell r="H166" t="str">
            <v>b1</v>
          </cell>
          <cell r="I166" t="str">
            <v>N1-b1</v>
          </cell>
          <cell r="J166" t="str">
            <v>02</v>
          </cell>
          <cell r="K166" t="str">
            <v>15</v>
          </cell>
        </row>
        <row r="167">
          <cell r="A167" t="str">
            <v>02-38</v>
          </cell>
          <cell r="B167">
            <v>102</v>
          </cell>
          <cell r="C167" t="str">
            <v>C1.AM.02.38</v>
          </cell>
          <cell r="D167" t="str">
            <v>AM</v>
          </cell>
          <cell r="E167" t="str">
            <v>G-030</v>
          </cell>
          <cell r="F167" t="str">
            <v>AM052</v>
          </cell>
          <cell r="G167" t="str">
            <v>N2</v>
          </cell>
          <cell r="H167" t="str">
            <v>b2</v>
          </cell>
          <cell r="I167" t="str">
            <v>N2-b2</v>
          </cell>
          <cell r="J167" t="str">
            <v>02</v>
          </cell>
          <cell r="K167" t="str">
            <v>38</v>
          </cell>
        </row>
        <row r="168">
          <cell r="A168" t="str">
            <v>06-37</v>
          </cell>
          <cell r="B168">
            <v>357</v>
          </cell>
          <cell r="C168" t="str">
            <v>C1.AM.06.37</v>
          </cell>
          <cell r="D168" t="str">
            <v>AM</v>
          </cell>
          <cell r="E168" t="str">
            <v>G-030</v>
          </cell>
          <cell r="F168" t="str">
            <v>AM052</v>
          </cell>
          <cell r="G168" t="str">
            <v>N1</v>
          </cell>
          <cell r="H168" t="str">
            <v>b2</v>
          </cell>
          <cell r="I168" t="str">
            <v>N1-b2</v>
          </cell>
          <cell r="J168" t="str">
            <v>06</v>
          </cell>
          <cell r="K168" t="str">
            <v>37</v>
          </cell>
        </row>
        <row r="169">
          <cell r="A169" t="str">
            <v>07-30</v>
          </cell>
          <cell r="B169">
            <v>414</v>
          </cell>
          <cell r="C169" t="str">
            <v>C1.AM.07.30</v>
          </cell>
          <cell r="D169" t="str">
            <v>AM</v>
          </cell>
          <cell r="E169" t="str">
            <v>G-030</v>
          </cell>
          <cell r="F169" t="str">
            <v>AM052</v>
          </cell>
          <cell r="G169" t="str">
            <v>N2</v>
          </cell>
          <cell r="H169" t="str">
            <v>b1</v>
          </cell>
          <cell r="I169" t="str">
            <v>N2-b1</v>
          </cell>
          <cell r="J169" t="str">
            <v>07</v>
          </cell>
          <cell r="K169" t="str">
            <v>30</v>
          </cell>
        </row>
        <row r="170">
          <cell r="A170" t="str">
            <v>17-80</v>
          </cell>
          <cell r="B170">
            <v>964</v>
          </cell>
          <cell r="C170" t="str">
            <v>C1.AM.17.80</v>
          </cell>
          <cell r="D170" t="str">
            <v>AM</v>
          </cell>
          <cell r="E170" t="str">
            <v>G-030</v>
          </cell>
          <cell r="F170" t="str">
            <v>AM052</v>
          </cell>
          <cell r="G170" t="str">
            <v>N1</v>
          </cell>
          <cell r="H170" t="str">
            <v>b3</v>
          </cell>
          <cell r="I170" t="str">
            <v>N1-b3</v>
          </cell>
          <cell r="J170">
            <v>17</v>
          </cell>
          <cell r="K170" t="str">
            <v>80</v>
          </cell>
        </row>
        <row r="171">
          <cell r="A171" t="str">
            <v>21-79</v>
          </cell>
          <cell r="B171">
            <v>1067</v>
          </cell>
          <cell r="C171" t="str">
            <v>C1.AM.21.79</v>
          </cell>
          <cell r="D171" t="str">
            <v>AM</v>
          </cell>
          <cell r="E171" t="str">
            <v>G-030</v>
          </cell>
          <cell r="F171" t="str">
            <v>AM052</v>
          </cell>
          <cell r="G171" t="str">
            <v>N2</v>
          </cell>
          <cell r="H171" t="str">
            <v>b3</v>
          </cell>
          <cell r="I171" t="str">
            <v>N2-b3</v>
          </cell>
          <cell r="J171">
            <v>21</v>
          </cell>
          <cell r="K171" t="str">
            <v>79</v>
          </cell>
        </row>
        <row r="172">
          <cell r="A172" t="str">
            <v>02-24</v>
          </cell>
          <cell r="B172">
            <v>88</v>
          </cell>
          <cell r="C172" t="str">
            <v>C1.AM.02.24</v>
          </cell>
          <cell r="D172" t="str">
            <v>AM</v>
          </cell>
          <cell r="E172" t="str">
            <v>G-031</v>
          </cell>
          <cell r="F172" t="str">
            <v>AM053</v>
          </cell>
          <cell r="G172" t="str">
            <v>N1</v>
          </cell>
          <cell r="H172" t="str">
            <v>b1</v>
          </cell>
          <cell r="I172" t="str">
            <v>N1-b1</v>
          </cell>
          <cell r="J172" t="str">
            <v>02</v>
          </cell>
          <cell r="K172" t="str">
            <v>24</v>
          </cell>
        </row>
        <row r="173">
          <cell r="A173" t="str">
            <v>03-43</v>
          </cell>
          <cell r="B173">
            <v>171</v>
          </cell>
          <cell r="C173" t="str">
            <v>C1.AM.03.43</v>
          </cell>
          <cell r="D173" t="str">
            <v>AM</v>
          </cell>
          <cell r="E173" t="str">
            <v>G-031</v>
          </cell>
          <cell r="F173" t="str">
            <v>AM053</v>
          </cell>
          <cell r="G173" t="str">
            <v>N2</v>
          </cell>
          <cell r="H173" t="str">
            <v>b2</v>
          </cell>
          <cell r="I173" t="str">
            <v>N2-b2</v>
          </cell>
          <cell r="J173" t="str">
            <v>03</v>
          </cell>
          <cell r="K173" t="str">
            <v>43</v>
          </cell>
        </row>
        <row r="174">
          <cell r="A174" t="str">
            <v>06-16</v>
          </cell>
          <cell r="B174">
            <v>336</v>
          </cell>
          <cell r="C174" t="str">
            <v>C1.AM.06.16</v>
          </cell>
          <cell r="D174" t="str">
            <v>AM</v>
          </cell>
          <cell r="E174" t="str">
            <v>G-031</v>
          </cell>
          <cell r="F174" t="str">
            <v>AM053</v>
          </cell>
          <cell r="G174" t="str">
            <v>N2</v>
          </cell>
          <cell r="H174" t="str">
            <v>b1</v>
          </cell>
          <cell r="I174" t="str">
            <v>N2-b1</v>
          </cell>
          <cell r="J174" t="str">
            <v>06</v>
          </cell>
          <cell r="K174" t="str">
            <v>16</v>
          </cell>
        </row>
        <row r="175">
          <cell r="A175" t="str">
            <v>06-56</v>
          </cell>
          <cell r="B175">
            <v>376</v>
          </cell>
          <cell r="C175" t="str">
            <v>C1.AM.06.56</v>
          </cell>
          <cell r="D175" t="str">
            <v>AM</v>
          </cell>
          <cell r="E175" t="str">
            <v>G-031</v>
          </cell>
          <cell r="F175" t="str">
            <v>AM053</v>
          </cell>
          <cell r="G175" t="str">
            <v>N1</v>
          </cell>
          <cell r="H175" t="str">
            <v>b2</v>
          </cell>
          <cell r="I175" t="str">
            <v>N1-b2</v>
          </cell>
          <cell r="J175" t="str">
            <v>06</v>
          </cell>
          <cell r="K175" t="str">
            <v>56</v>
          </cell>
        </row>
        <row r="176">
          <cell r="A176" t="str">
            <v>19-84</v>
          </cell>
          <cell r="B176">
            <v>1020</v>
          </cell>
          <cell r="C176" t="str">
            <v>C1.AM.19.84</v>
          </cell>
          <cell r="D176" t="str">
            <v>AM</v>
          </cell>
          <cell r="E176" t="str">
            <v>G-031</v>
          </cell>
          <cell r="F176" t="str">
            <v>AM053</v>
          </cell>
          <cell r="G176" t="str">
            <v>N1</v>
          </cell>
          <cell r="H176" t="str">
            <v>b3</v>
          </cell>
          <cell r="I176" t="str">
            <v>N1-b3</v>
          </cell>
          <cell r="J176">
            <v>19</v>
          </cell>
          <cell r="K176" t="str">
            <v>84</v>
          </cell>
        </row>
        <row r="177">
          <cell r="A177" t="str">
            <v>23-71</v>
          </cell>
          <cell r="B177">
            <v>1111</v>
          </cell>
          <cell r="C177" t="str">
            <v>C1.AM.23.71</v>
          </cell>
          <cell r="D177" t="str">
            <v>AM</v>
          </cell>
          <cell r="E177" t="str">
            <v>G-031</v>
          </cell>
          <cell r="F177" t="str">
            <v>AM053</v>
          </cell>
          <cell r="G177" t="str">
            <v>N2</v>
          </cell>
          <cell r="H177" t="str">
            <v>b3</v>
          </cell>
          <cell r="I177" t="str">
            <v>N2-b3</v>
          </cell>
          <cell r="J177">
            <v>23</v>
          </cell>
          <cell r="K177" t="str">
            <v>71</v>
          </cell>
        </row>
        <row r="178">
          <cell r="A178" t="str">
            <v>01-22</v>
          </cell>
          <cell r="B178">
            <v>22</v>
          </cell>
          <cell r="C178" t="str">
            <v>C1.AM.01.22</v>
          </cell>
          <cell r="D178" t="str">
            <v>AM</v>
          </cell>
          <cell r="E178" t="str">
            <v>G-032</v>
          </cell>
          <cell r="F178" t="str">
            <v>AM055</v>
          </cell>
          <cell r="G178" t="str">
            <v>N1</v>
          </cell>
          <cell r="H178" t="str">
            <v>b1</v>
          </cell>
          <cell r="I178" t="str">
            <v>N1-b1</v>
          </cell>
          <cell r="J178" t="str">
            <v>01</v>
          </cell>
          <cell r="K178" t="str">
            <v>22</v>
          </cell>
        </row>
        <row r="179">
          <cell r="A179" t="str">
            <v>03-52</v>
          </cell>
          <cell r="B179">
            <v>180</v>
          </cell>
          <cell r="C179" t="str">
            <v>C1.AM.03.52</v>
          </cell>
          <cell r="D179" t="str">
            <v>AM</v>
          </cell>
          <cell r="E179" t="str">
            <v>G-032</v>
          </cell>
          <cell r="F179" t="str">
            <v>AM055</v>
          </cell>
          <cell r="G179" t="str">
            <v>N2</v>
          </cell>
          <cell r="H179" t="str">
            <v>b2</v>
          </cell>
          <cell r="I179" t="str">
            <v>N2-b2</v>
          </cell>
          <cell r="J179" t="str">
            <v>03</v>
          </cell>
          <cell r="K179" t="str">
            <v>52</v>
          </cell>
        </row>
        <row r="180">
          <cell r="A180" t="str">
            <v>07-03</v>
          </cell>
          <cell r="B180">
            <v>387</v>
          </cell>
          <cell r="C180" t="str">
            <v>C1.AM.07.03</v>
          </cell>
          <cell r="D180" t="str">
            <v>AM</v>
          </cell>
          <cell r="E180" t="str">
            <v>G-032</v>
          </cell>
          <cell r="F180" t="str">
            <v>AM055</v>
          </cell>
          <cell r="G180" t="str">
            <v>N2</v>
          </cell>
          <cell r="H180" t="str">
            <v>b1</v>
          </cell>
          <cell r="I180" t="str">
            <v>N2-b1</v>
          </cell>
          <cell r="J180" t="str">
            <v>07</v>
          </cell>
          <cell r="K180" t="str">
            <v>03</v>
          </cell>
        </row>
        <row r="181">
          <cell r="A181" t="str">
            <v>08-53</v>
          </cell>
          <cell r="B181">
            <v>501</v>
          </cell>
          <cell r="C181" t="str">
            <v>C1.AM.08.53</v>
          </cell>
          <cell r="D181" t="str">
            <v>AM</v>
          </cell>
          <cell r="E181" t="str">
            <v>G-032</v>
          </cell>
          <cell r="F181" t="str">
            <v>AM055</v>
          </cell>
          <cell r="G181" t="str">
            <v>N1</v>
          </cell>
          <cell r="H181" t="str">
            <v>b2</v>
          </cell>
          <cell r="I181" t="str">
            <v>N1-b2</v>
          </cell>
          <cell r="J181" t="str">
            <v>08</v>
          </cell>
          <cell r="K181" t="str">
            <v>53</v>
          </cell>
        </row>
        <row r="182">
          <cell r="A182" t="str">
            <v>17-89</v>
          </cell>
          <cell r="B182">
            <v>973</v>
          </cell>
          <cell r="C182" t="str">
            <v>C1.AM.17.89</v>
          </cell>
          <cell r="D182" t="str">
            <v>AM</v>
          </cell>
          <cell r="E182" t="str">
            <v>G-032</v>
          </cell>
          <cell r="F182" t="str">
            <v>AM055</v>
          </cell>
          <cell r="G182" t="str">
            <v>N1</v>
          </cell>
          <cell r="H182" t="str">
            <v>b3</v>
          </cell>
          <cell r="I182" t="str">
            <v>N1-b3</v>
          </cell>
          <cell r="J182">
            <v>17</v>
          </cell>
          <cell r="K182" t="str">
            <v>89</v>
          </cell>
        </row>
        <row r="183">
          <cell r="A183" t="str">
            <v>21-68</v>
          </cell>
          <cell r="B183">
            <v>1056</v>
          </cell>
          <cell r="C183" t="str">
            <v>C1.AM.21.68</v>
          </cell>
          <cell r="D183" t="str">
            <v>AM</v>
          </cell>
          <cell r="E183" t="str">
            <v>G-032</v>
          </cell>
          <cell r="F183" t="str">
            <v>AM055</v>
          </cell>
          <cell r="G183" t="str">
            <v>N2</v>
          </cell>
          <cell r="H183" t="str">
            <v>b3</v>
          </cell>
          <cell r="I183" t="str">
            <v>N2-b3</v>
          </cell>
          <cell r="J183">
            <v>21</v>
          </cell>
          <cell r="K183" t="str">
            <v>68</v>
          </cell>
        </row>
        <row r="184">
          <cell r="A184" t="str">
            <v>01-32</v>
          </cell>
          <cell r="B184">
            <v>32</v>
          </cell>
          <cell r="C184" t="str">
            <v>C1.AM.01.32</v>
          </cell>
          <cell r="D184" t="str">
            <v>AM</v>
          </cell>
          <cell r="E184" t="str">
            <v>G-033</v>
          </cell>
          <cell r="F184" t="str">
            <v>AM056</v>
          </cell>
          <cell r="G184" t="str">
            <v>N1</v>
          </cell>
          <cell r="H184" t="str">
            <v>b1</v>
          </cell>
          <cell r="I184" t="str">
            <v>N1-b1</v>
          </cell>
          <cell r="J184" t="str">
            <v>01</v>
          </cell>
          <cell r="K184" t="str">
            <v>32</v>
          </cell>
        </row>
        <row r="185">
          <cell r="A185" t="str">
            <v>03-44</v>
          </cell>
          <cell r="B185">
            <v>172</v>
          </cell>
          <cell r="C185" t="str">
            <v>C1.AM.03.44</v>
          </cell>
          <cell r="D185" t="str">
            <v>AM</v>
          </cell>
          <cell r="E185" t="str">
            <v>G-033</v>
          </cell>
          <cell r="F185" t="str">
            <v>AM056</v>
          </cell>
          <cell r="G185" t="str">
            <v>N2</v>
          </cell>
          <cell r="H185" t="str">
            <v>b2</v>
          </cell>
          <cell r="I185" t="str">
            <v>N2-b2</v>
          </cell>
          <cell r="J185" t="str">
            <v>03</v>
          </cell>
          <cell r="K185" t="str">
            <v>44</v>
          </cell>
        </row>
        <row r="186">
          <cell r="A186" t="str">
            <v>06-49</v>
          </cell>
          <cell r="B186">
            <v>369</v>
          </cell>
          <cell r="C186" t="str">
            <v>C1.AM.06.49</v>
          </cell>
          <cell r="D186" t="str">
            <v>AM</v>
          </cell>
          <cell r="E186" t="str">
            <v>G-033</v>
          </cell>
          <cell r="F186" t="str">
            <v>AM056</v>
          </cell>
          <cell r="G186" t="str">
            <v>N1</v>
          </cell>
          <cell r="H186" t="str">
            <v>b2</v>
          </cell>
          <cell r="I186" t="str">
            <v>N1-b2</v>
          </cell>
          <cell r="J186" t="str">
            <v>06</v>
          </cell>
          <cell r="K186" t="str">
            <v>49</v>
          </cell>
        </row>
        <row r="187">
          <cell r="A187" t="str">
            <v>08-25</v>
          </cell>
          <cell r="B187">
            <v>473</v>
          </cell>
          <cell r="C187" t="str">
            <v>C1.AM.08.25</v>
          </cell>
          <cell r="D187" t="str">
            <v>AM</v>
          </cell>
          <cell r="E187" t="str">
            <v>G-033</v>
          </cell>
          <cell r="F187" t="str">
            <v>AM056</v>
          </cell>
          <cell r="G187" t="str">
            <v>N2</v>
          </cell>
          <cell r="H187" t="str">
            <v>b1</v>
          </cell>
          <cell r="I187" t="str">
            <v>N2-b1</v>
          </cell>
          <cell r="J187" t="str">
            <v>08</v>
          </cell>
          <cell r="K187" t="str">
            <v>25</v>
          </cell>
        </row>
        <row r="188">
          <cell r="A188" t="str">
            <v>19-83</v>
          </cell>
          <cell r="B188">
            <v>1019</v>
          </cell>
          <cell r="C188" t="str">
            <v>C1.AM.19.83</v>
          </cell>
          <cell r="D188" t="str">
            <v>AM</v>
          </cell>
          <cell r="E188" t="str">
            <v>G-033</v>
          </cell>
          <cell r="F188" t="str">
            <v>AM056</v>
          </cell>
          <cell r="G188" t="str">
            <v>N1</v>
          </cell>
          <cell r="H188" t="str">
            <v>b3</v>
          </cell>
          <cell r="I188" t="str">
            <v>N1-b3</v>
          </cell>
          <cell r="J188">
            <v>19</v>
          </cell>
          <cell r="K188" t="str">
            <v>83</v>
          </cell>
        </row>
        <row r="189">
          <cell r="A189" t="str">
            <v>23-78</v>
          </cell>
          <cell r="B189">
            <v>1118</v>
          </cell>
          <cell r="C189" t="str">
            <v>C1.AM.23.78</v>
          </cell>
          <cell r="D189" t="str">
            <v>AM</v>
          </cell>
          <cell r="E189" t="str">
            <v>G-033</v>
          </cell>
          <cell r="F189" t="str">
            <v>AM056</v>
          </cell>
          <cell r="G189" t="str">
            <v>N2</v>
          </cell>
          <cell r="H189" t="str">
            <v>b3</v>
          </cell>
          <cell r="I189" t="str">
            <v>N2-b3</v>
          </cell>
          <cell r="J189">
            <v>23</v>
          </cell>
          <cell r="K189" t="str">
            <v>78</v>
          </cell>
        </row>
        <row r="190">
          <cell r="A190" t="str">
            <v>01-03</v>
          </cell>
          <cell r="B190">
            <v>3</v>
          </cell>
          <cell r="C190" t="str">
            <v>C1.AM.01.03</v>
          </cell>
          <cell r="D190" t="str">
            <v>AM</v>
          </cell>
          <cell r="E190" t="str">
            <v>G-034</v>
          </cell>
          <cell r="F190" t="str">
            <v>AM057</v>
          </cell>
          <cell r="G190" t="str">
            <v>N1</v>
          </cell>
          <cell r="H190" t="str">
            <v>b1</v>
          </cell>
          <cell r="I190" t="str">
            <v>N1-b1</v>
          </cell>
          <cell r="J190" t="str">
            <v>01</v>
          </cell>
          <cell r="K190" t="str">
            <v>03</v>
          </cell>
        </row>
        <row r="191">
          <cell r="A191" t="str">
            <v>03-60</v>
          </cell>
          <cell r="B191">
            <v>188</v>
          </cell>
          <cell r="C191" t="str">
            <v>C1.AM.03.60</v>
          </cell>
          <cell r="D191" t="str">
            <v>AM</v>
          </cell>
          <cell r="E191" t="str">
            <v>G-034</v>
          </cell>
          <cell r="F191" t="str">
            <v>AM057</v>
          </cell>
          <cell r="G191" t="str">
            <v>N2</v>
          </cell>
          <cell r="H191" t="str">
            <v>b2</v>
          </cell>
          <cell r="I191" t="str">
            <v>N2-b2</v>
          </cell>
          <cell r="J191" t="str">
            <v>03</v>
          </cell>
          <cell r="K191" t="str">
            <v>60</v>
          </cell>
        </row>
        <row r="192">
          <cell r="A192" t="str">
            <v>06-59</v>
          </cell>
          <cell r="B192">
            <v>379</v>
          </cell>
          <cell r="C192" t="str">
            <v>C1.AM.06.59</v>
          </cell>
          <cell r="D192" t="str">
            <v>AM</v>
          </cell>
          <cell r="E192" t="str">
            <v>G-034</v>
          </cell>
          <cell r="F192" t="str">
            <v>AM057</v>
          </cell>
          <cell r="G192" t="str">
            <v>N1</v>
          </cell>
          <cell r="H192" t="str">
            <v>b2</v>
          </cell>
          <cell r="I192" t="str">
            <v>N1-b2</v>
          </cell>
          <cell r="J192" t="str">
            <v>06</v>
          </cell>
          <cell r="K192" t="str">
            <v>59</v>
          </cell>
        </row>
        <row r="193">
          <cell r="A193" t="str">
            <v>07-08</v>
          </cell>
          <cell r="B193">
            <v>392</v>
          </cell>
          <cell r="C193" t="str">
            <v>C1.AM.07.08</v>
          </cell>
          <cell r="D193" t="str">
            <v>AM</v>
          </cell>
          <cell r="E193" t="str">
            <v>G-034</v>
          </cell>
          <cell r="F193" t="str">
            <v>AM057</v>
          </cell>
          <cell r="G193" t="str">
            <v>N2</v>
          </cell>
          <cell r="H193" t="str">
            <v>b1</v>
          </cell>
          <cell r="I193" t="str">
            <v>N2-b1</v>
          </cell>
          <cell r="J193" t="str">
            <v>07</v>
          </cell>
          <cell r="K193" t="str">
            <v>08</v>
          </cell>
        </row>
        <row r="194">
          <cell r="A194" t="str">
            <v>18-74</v>
          </cell>
          <cell r="B194">
            <v>984</v>
          </cell>
          <cell r="C194" t="str">
            <v>C1.AM.18.74</v>
          </cell>
          <cell r="D194" t="str">
            <v>AM</v>
          </cell>
          <cell r="E194" t="str">
            <v>G-034</v>
          </cell>
          <cell r="F194" t="str">
            <v>AM057</v>
          </cell>
          <cell r="G194" t="str">
            <v>N1</v>
          </cell>
          <cell r="H194" t="str">
            <v>b3</v>
          </cell>
          <cell r="I194" t="str">
            <v>N1-b3</v>
          </cell>
          <cell r="J194">
            <v>18</v>
          </cell>
          <cell r="K194" t="str">
            <v>74</v>
          </cell>
        </row>
        <row r="195">
          <cell r="A195" t="str">
            <v>21-82</v>
          </cell>
          <cell r="B195">
            <v>1070</v>
          </cell>
          <cell r="C195" t="str">
            <v>C1.AM.21.82</v>
          </cell>
          <cell r="D195" t="str">
            <v>AM</v>
          </cell>
          <cell r="E195" t="str">
            <v>G-034</v>
          </cell>
          <cell r="F195" t="str">
            <v>AM057</v>
          </cell>
          <cell r="G195" t="str">
            <v>N2</v>
          </cell>
          <cell r="H195" t="str">
            <v>b3</v>
          </cell>
          <cell r="I195" t="str">
            <v>N2-b3</v>
          </cell>
          <cell r="J195">
            <v>21</v>
          </cell>
          <cell r="K195" t="str">
            <v>82</v>
          </cell>
        </row>
        <row r="196">
          <cell r="A196" t="str">
            <v>04-01</v>
          </cell>
          <cell r="B196">
            <v>193</v>
          </cell>
          <cell r="C196" t="str">
            <v>C1.AM.04.01</v>
          </cell>
          <cell r="D196" t="str">
            <v>AM</v>
          </cell>
          <cell r="E196" t="str">
            <v>G-035</v>
          </cell>
          <cell r="F196" t="str">
            <v>AM058</v>
          </cell>
          <cell r="G196" t="str">
            <v>N1</v>
          </cell>
          <cell r="H196" t="str">
            <v>b1</v>
          </cell>
          <cell r="I196" t="str">
            <v>N1-b1</v>
          </cell>
          <cell r="J196" t="str">
            <v>04</v>
          </cell>
          <cell r="K196" t="str">
            <v>01</v>
          </cell>
        </row>
        <row r="197">
          <cell r="A197" t="str">
            <v>04-63</v>
          </cell>
          <cell r="B197">
            <v>255</v>
          </cell>
          <cell r="C197" t="str">
            <v>C1.AM.04.63</v>
          </cell>
          <cell r="D197" t="str">
            <v>AM</v>
          </cell>
          <cell r="E197" t="str">
            <v>G-035</v>
          </cell>
          <cell r="F197" t="str">
            <v>AM058</v>
          </cell>
          <cell r="G197" t="str">
            <v>N2</v>
          </cell>
          <cell r="H197" t="str">
            <v>b2</v>
          </cell>
          <cell r="I197" t="str">
            <v>N2-b2</v>
          </cell>
          <cell r="J197" t="str">
            <v>04</v>
          </cell>
          <cell r="K197" t="str">
            <v>63</v>
          </cell>
        </row>
        <row r="198">
          <cell r="A198" t="str">
            <v>07-16</v>
          </cell>
          <cell r="B198">
            <v>400</v>
          </cell>
          <cell r="C198" t="str">
            <v>C1.AM.07.16</v>
          </cell>
          <cell r="D198" t="str">
            <v>AM</v>
          </cell>
          <cell r="E198" t="str">
            <v>G-035</v>
          </cell>
          <cell r="F198" t="str">
            <v>AM058</v>
          </cell>
          <cell r="G198" t="str">
            <v>N2</v>
          </cell>
          <cell r="H198" t="str">
            <v>b1</v>
          </cell>
          <cell r="I198" t="str">
            <v>N2-b1</v>
          </cell>
          <cell r="J198" t="str">
            <v>07</v>
          </cell>
          <cell r="K198" t="str">
            <v>16</v>
          </cell>
        </row>
        <row r="199">
          <cell r="A199" t="str">
            <v>07-58</v>
          </cell>
          <cell r="B199">
            <v>442</v>
          </cell>
          <cell r="C199" t="str">
            <v>C1.AM.07.58</v>
          </cell>
          <cell r="D199" t="str">
            <v>AM</v>
          </cell>
          <cell r="E199" t="str">
            <v>G-035</v>
          </cell>
          <cell r="F199" t="str">
            <v>AM058</v>
          </cell>
          <cell r="G199" t="str">
            <v>N1</v>
          </cell>
          <cell r="H199" t="str">
            <v>b2</v>
          </cell>
          <cell r="I199" t="str">
            <v>N1-b2</v>
          </cell>
          <cell r="J199" t="str">
            <v>07</v>
          </cell>
          <cell r="K199" t="str">
            <v>58</v>
          </cell>
        </row>
        <row r="200">
          <cell r="A200" t="str">
            <v>18-65</v>
          </cell>
          <cell r="B200">
            <v>975</v>
          </cell>
          <cell r="C200" t="str">
            <v>C1.AM.18.65</v>
          </cell>
          <cell r="D200" t="str">
            <v>AM</v>
          </cell>
          <cell r="E200" t="str">
            <v>G-035</v>
          </cell>
          <cell r="F200" t="str">
            <v>AM058</v>
          </cell>
          <cell r="G200" t="str">
            <v>N1</v>
          </cell>
          <cell r="H200" t="str">
            <v>b3</v>
          </cell>
          <cell r="I200" t="str">
            <v>N1-b3</v>
          </cell>
          <cell r="J200">
            <v>18</v>
          </cell>
          <cell r="K200" t="str">
            <v>65</v>
          </cell>
        </row>
        <row r="201">
          <cell r="A201" t="str">
            <v>24-77</v>
          </cell>
          <cell r="B201">
            <v>1143</v>
          </cell>
          <cell r="C201" t="str">
            <v>C1.AM.24.77</v>
          </cell>
          <cell r="D201" t="str">
            <v>AM</v>
          </cell>
          <cell r="E201" t="str">
            <v>G-035</v>
          </cell>
          <cell r="F201" t="str">
            <v>AM058</v>
          </cell>
          <cell r="G201" t="str">
            <v>N2</v>
          </cell>
          <cell r="H201" t="str">
            <v>b3</v>
          </cell>
          <cell r="I201" t="str">
            <v>N2-b3</v>
          </cell>
          <cell r="J201">
            <v>24</v>
          </cell>
          <cell r="K201" t="str">
            <v>77</v>
          </cell>
        </row>
        <row r="202">
          <cell r="A202" t="str">
            <v>01-24</v>
          </cell>
          <cell r="B202">
            <v>24</v>
          </cell>
          <cell r="C202" t="str">
            <v>C1.AM.01.24</v>
          </cell>
          <cell r="D202" t="str">
            <v>AM</v>
          </cell>
          <cell r="E202" t="str">
            <v>G-036</v>
          </cell>
          <cell r="F202" t="str">
            <v>AM059</v>
          </cell>
          <cell r="G202" t="str">
            <v>N1</v>
          </cell>
          <cell r="H202" t="str">
            <v>b1</v>
          </cell>
          <cell r="I202" t="str">
            <v>N1-b1</v>
          </cell>
          <cell r="J202" t="str">
            <v>01</v>
          </cell>
          <cell r="K202" t="str">
            <v>24</v>
          </cell>
        </row>
        <row r="203">
          <cell r="A203" t="str">
            <v>03-54</v>
          </cell>
          <cell r="B203">
            <v>182</v>
          </cell>
          <cell r="C203" t="str">
            <v>C1.AM.03.54</v>
          </cell>
          <cell r="D203" t="str">
            <v>AM</v>
          </cell>
          <cell r="E203" t="str">
            <v>G-036</v>
          </cell>
          <cell r="F203" t="str">
            <v>AM059</v>
          </cell>
          <cell r="G203" t="str">
            <v>N2</v>
          </cell>
          <cell r="H203" t="str">
            <v>b2</v>
          </cell>
          <cell r="I203" t="str">
            <v>N2-b2</v>
          </cell>
          <cell r="J203" t="str">
            <v>03</v>
          </cell>
          <cell r="K203" t="str">
            <v>54</v>
          </cell>
        </row>
        <row r="204">
          <cell r="A204" t="str">
            <v>05-03</v>
          </cell>
          <cell r="B204">
            <v>259</v>
          </cell>
          <cell r="C204" t="str">
            <v>C1.AM.05.03</v>
          </cell>
          <cell r="D204" t="str">
            <v>AM</v>
          </cell>
          <cell r="E204" t="str">
            <v>G-036</v>
          </cell>
          <cell r="F204" t="str">
            <v>AM059</v>
          </cell>
          <cell r="G204" t="str">
            <v>N2</v>
          </cell>
          <cell r="H204" t="str">
            <v>b1</v>
          </cell>
          <cell r="I204" t="str">
            <v>N2-b1</v>
          </cell>
          <cell r="J204" t="str">
            <v>05</v>
          </cell>
          <cell r="K204" t="str">
            <v>03</v>
          </cell>
        </row>
        <row r="205">
          <cell r="A205" t="str">
            <v>06-58</v>
          </cell>
          <cell r="B205">
            <v>378</v>
          </cell>
          <cell r="C205" t="str">
            <v>C1.AM.06.58</v>
          </cell>
          <cell r="D205" t="str">
            <v>AM</v>
          </cell>
          <cell r="E205" t="str">
            <v>G-036</v>
          </cell>
          <cell r="F205" t="str">
            <v>AM059</v>
          </cell>
          <cell r="G205" t="str">
            <v>N1</v>
          </cell>
          <cell r="H205" t="str">
            <v>b2</v>
          </cell>
          <cell r="I205" t="str">
            <v>N1-b2</v>
          </cell>
          <cell r="J205" t="str">
            <v>06</v>
          </cell>
          <cell r="K205" t="str">
            <v>58</v>
          </cell>
        </row>
        <row r="206">
          <cell r="A206" t="str">
            <v>17-67</v>
          </cell>
          <cell r="B206">
            <v>951</v>
          </cell>
          <cell r="C206" t="str">
            <v>C1.AM.17.67</v>
          </cell>
          <cell r="D206" t="str">
            <v>AM</v>
          </cell>
          <cell r="E206" t="str">
            <v>G-036</v>
          </cell>
          <cell r="F206" t="str">
            <v>AM059</v>
          </cell>
          <cell r="G206" t="str">
            <v>N1</v>
          </cell>
          <cell r="H206" t="str">
            <v>b3</v>
          </cell>
          <cell r="I206" t="str">
            <v>N1-b3</v>
          </cell>
          <cell r="J206">
            <v>17</v>
          </cell>
          <cell r="K206" t="str">
            <v>67</v>
          </cell>
        </row>
        <row r="207">
          <cell r="A207" t="str">
            <v>22-87</v>
          </cell>
          <cell r="B207">
            <v>1101</v>
          </cell>
          <cell r="C207" t="str">
            <v>C1.AM.22.87</v>
          </cell>
          <cell r="D207" t="str">
            <v>AM</v>
          </cell>
          <cell r="E207" t="str">
            <v>G-036</v>
          </cell>
          <cell r="F207" t="str">
            <v>AM059</v>
          </cell>
          <cell r="G207" t="str">
            <v>N2</v>
          </cell>
          <cell r="H207" t="str">
            <v>b3</v>
          </cell>
          <cell r="I207" t="str">
            <v>N2-b3</v>
          </cell>
          <cell r="J207">
            <v>22</v>
          </cell>
          <cell r="K207" t="str">
            <v>87</v>
          </cell>
        </row>
        <row r="208">
          <cell r="A208" t="str">
            <v>01-05</v>
          </cell>
          <cell r="B208">
            <v>5</v>
          </cell>
          <cell r="C208" t="str">
            <v>C1.AM.01.05</v>
          </cell>
          <cell r="D208" t="str">
            <v>AM</v>
          </cell>
          <cell r="E208" t="str">
            <v>G-037</v>
          </cell>
          <cell r="F208" t="str">
            <v>AM060</v>
          </cell>
          <cell r="G208" t="str">
            <v>N1</v>
          </cell>
          <cell r="H208" t="str">
            <v>b1</v>
          </cell>
          <cell r="I208" t="str">
            <v>N1-b1</v>
          </cell>
          <cell r="J208" t="str">
            <v>01</v>
          </cell>
          <cell r="K208" t="str">
            <v>05</v>
          </cell>
        </row>
        <row r="209">
          <cell r="A209" t="str">
            <v>01-60</v>
          </cell>
          <cell r="B209">
            <v>60</v>
          </cell>
          <cell r="C209" t="str">
            <v>C1.AM.01.60</v>
          </cell>
          <cell r="D209" t="str">
            <v>AM</v>
          </cell>
          <cell r="E209" t="str">
            <v>G-037</v>
          </cell>
          <cell r="F209" t="str">
            <v>AM060</v>
          </cell>
          <cell r="G209" t="str">
            <v>N2</v>
          </cell>
          <cell r="H209" t="str">
            <v>b2</v>
          </cell>
          <cell r="I209" t="str">
            <v>N2-b2</v>
          </cell>
          <cell r="J209" t="str">
            <v>01</v>
          </cell>
          <cell r="K209" t="str">
            <v>60</v>
          </cell>
        </row>
        <row r="210">
          <cell r="A210" t="str">
            <v>06-07</v>
          </cell>
          <cell r="B210">
            <v>327</v>
          </cell>
          <cell r="C210" t="str">
            <v>C1.AM.06.07</v>
          </cell>
          <cell r="D210" t="str">
            <v>AM</v>
          </cell>
          <cell r="E210" t="str">
            <v>G-037</v>
          </cell>
          <cell r="F210" t="str">
            <v>AM060</v>
          </cell>
          <cell r="G210" t="str">
            <v>N2</v>
          </cell>
          <cell r="H210" t="str">
            <v>b1</v>
          </cell>
          <cell r="I210" t="str">
            <v>N2-b1</v>
          </cell>
          <cell r="J210" t="str">
            <v>06</v>
          </cell>
          <cell r="K210" t="str">
            <v>07</v>
          </cell>
        </row>
        <row r="211">
          <cell r="A211" t="str">
            <v>06-36</v>
          </cell>
          <cell r="B211">
            <v>356</v>
          </cell>
          <cell r="C211" t="str">
            <v>C1.AM.06.36</v>
          </cell>
          <cell r="D211" t="str">
            <v>AM</v>
          </cell>
          <cell r="E211" t="str">
            <v>G-037</v>
          </cell>
          <cell r="F211" t="str">
            <v>AM060</v>
          </cell>
          <cell r="G211" t="str">
            <v>N1</v>
          </cell>
          <cell r="H211" t="str">
            <v>b2</v>
          </cell>
          <cell r="I211" t="str">
            <v>N1-b2</v>
          </cell>
          <cell r="J211" t="str">
            <v>06</v>
          </cell>
          <cell r="K211" t="str">
            <v>36</v>
          </cell>
        </row>
        <row r="212">
          <cell r="A212" t="str">
            <v>17-72</v>
          </cell>
          <cell r="B212">
            <v>956</v>
          </cell>
          <cell r="C212" t="str">
            <v>C1.AM.17.72</v>
          </cell>
          <cell r="D212" t="str">
            <v>AM</v>
          </cell>
          <cell r="E212" t="str">
            <v>G-037</v>
          </cell>
          <cell r="F212" t="str">
            <v>AM060</v>
          </cell>
          <cell r="G212" t="str">
            <v>N1</v>
          </cell>
          <cell r="H212" t="str">
            <v>b3</v>
          </cell>
          <cell r="I212" t="str">
            <v>N1-b3</v>
          </cell>
          <cell r="J212">
            <v>17</v>
          </cell>
          <cell r="K212" t="str">
            <v>72</v>
          </cell>
        </row>
        <row r="213">
          <cell r="A213" t="str">
            <v>20-84</v>
          </cell>
          <cell r="B213">
            <v>1046</v>
          </cell>
          <cell r="C213" t="str">
            <v>C1.AM.20.84</v>
          </cell>
          <cell r="D213" t="str">
            <v>AM</v>
          </cell>
          <cell r="E213" t="str">
            <v>G-037</v>
          </cell>
          <cell r="F213" t="str">
            <v>AM060</v>
          </cell>
          <cell r="G213" t="str">
            <v>N2</v>
          </cell>
          <cell r="H213" t="str">
            <v>b3</v>
          </cell>
          <cell r="I213" t="str">
            <v>N2-b3</v>
          </cell>
          <cell r="J213">
            <v>20</v>
          </cell>
          <cell r="K213" t="str">
            <v>84</v>
          </cell>
        </row>
        <row r="214">
          <cell r="A214" t="str">
            <v>02-13</v>
          </cell>
          <cell r="B214">
            <v>77</v>
          </cell>
          <cell r="C214" t="str">
            <v>C1.AM.02.13</v>
          </cell>
          <cell r="D214" t="str">
            <v>AM</v>
          </cell>
          <cell r="E214" t="str">
            <v>G-038</v>
          </cell>
          <cell r="F214" t="str">
            <v>AM061</v>
          </cell>
          <cell r="G214" t="str">
            <v>N1</v>
          </cell>
          <cell r="H214" t="str">
            <v>b1</v>
          </cell>
          <cell r="I214" t="str">
            <v>N1-b1</v>
          </cell>
          <cell r="J214" t="str">
            <v>02</v>
          </cell>
          <cell r="K214" t="str">
            <v>13</v>
          </cell>
        </row>
        <row r="215">
          <cell r="A215" t="str">
            <v>04-64</v>
          </cell>
          <cell r="B215">
            <v>256</v>
          </cell>
          <cell r="C215" t="str">
            <v>C1.AM.04.64</v>
          </cell>
          <cell r="D215" t="str">
            <v>AM</v>
          </cell>
          <cell r="E215" t="str">
            <v>G-038</v>
          </cell>
          <cell r="F215" t="str">
            <v>AM061</v>
          </cell>
          <cell r="G215" t="str">
            <v>N2</v>
          </cell>
          <cell r="H215" t="str">
            <v>b2</v>
          </cell>
          <cell r="I215" t="str">
            <v>N2-b2</v>
          </cell>
          <cell r="J215" t="str">
            <v>04</v>
          </cell>
          <cell r="K215" t="str">
            <v>64</v>
          </cell>
        </row>
        <row r="216">
          <cell r="A216" t="str">
            <v>05-11</v>
          </cell>
          <cell r="B216">
            <v>267</v>
          </cell>
          <cell r="C216" t="str">
            <v>C1.AM.05.11</v>
          </cell>
          <cell r="D216" t="str">
            <v>AM</v>
          </cell>
          <cell r="E216" t="str">
            <v>G-038</v>
          </cell>
          <cell r="F216" t="str">
            <v>AM061</v>
          </cell>
          <cell r="G216" t="str">
            <v>N2</v>
          </cell>
          <cell r="H216" t="str">
            <v>b1</v>
          </cell>
          <cell r="I216" t="str">
            <v>N2-b1</v>
          </cell>
          <cell r="J216" t="str">
            <v>05</v>
          </cell>
          <cell r="K216" t="str">
            <v>11</v>
          </cell>
        </row>
        <row r="217">
          <cell r="A217" t="str">
            <v>08-59</v>
          </cell>
          <cell r="B217">
            <v>507</v>
          </cell>
          <cell r="C217" t="str">
            <v>C1.AM.08.59</v>
          </cell>
          <cell r="D217" t="str">
            <v>AM</v>
          </cell>
          <cell r="E217" t="str">
            <v>G-038</v>
          </cell>
          <cell r="F217" t="str">
            <v>AM061</v>
          </cell>
          <cell r="G217" t="str">
            <v>N1</v>
          </cell>
          <cell r="H217" t="str">
            <v>b2</v>
          </cell>
          <cell r="I217" t="str">
            <v>N1-b2</v>
          </cell>
          <cell r="J217" t="str">
            <v>08</v>
          </cell>
          <cell r="K217" t="str">
            <v>59</v>
          </cell>
        </row>
        <row r="218">
          <cell r="A218" t="str">
            <v>16-77</v>
          </cell>
          <cell r="B218">
            <v>935</v>
          </cell>
          <cell r="C218" t="str">
            <v>C1.AM.16.77</v>
          </cell>
          <cell r="D218" t="str">
            <v>AM</v>
          </cell>
          <cell r="E218" t="str">
            <v>G-038</v>
          </cell>
          <cell r="F218" t="str">
            <v>AM061</v>
          </cell>
          <cell r="G218" t="str">
            <v>N1</v>
          </cell>
          <cell r="H218" t="str">
            <v>b3</v>
          </cell>
          <cell r="I218" t="str">
            <v>N1-b3</v>
          </cell>
          <cell r="J218" t="str">
            <v>16</v>
          </cell>
          <cell r="K218" t="str">
            <v>77</v>
          </cell>
        </row>
        <row r="219">
          <cell r="A219" t="str">
            <v>24-87</v>
          </cell>
          <cell r="B219">
            <v>1153</v>
          </cell>
          <cell r="C219" t="str">
            <v>C1.AM.24.87</v>
          </cell>
          <cell r="D219" t="str">
            <v>AM</v>
          </cell>
          <cell r="E219" t="str">
            <v>G-038</v>
          </cell>
          <cell r="F219" t="str">
            <v>AM061</v>
          </cell>
          <cell r="G219" t="str">
            <v>N2</v>
          </cell>
          <cell r="H219" t="str">
            <v>b3</v>
          </cell>
          <cell r="I219" t="str">
            <v>N2-b3</v>
          </cell>
          <cell r="J219">
            <v>24</v>
          </cell>
          <cell r="K219" t="str">
            <v>87</v>
          </cell>
        </row>
        <row r="220">
          <cell r="A220" t="str">
            <v>01-59</v>
          </cell>
          <cell r="B220">
            <v>59</v>
          </cell>
          <cell r="C220" t="str">
            <v>C1.AM.01.59</v>
          </cell>
          <cell r="D220" t="str">
            <v>AM</v>
          </cell>
          <cell r="E220" t="str">
            <v>G-039</v>
          </cell>
          <cell r="F220" t="str">
            <v>AM062</v>
          </cell>
          <cell r="G220" t="str">
            <v>N2</v>
          </cell>
          <cell r="H220" t="str">
            <v>b2</v>
          </cell>
          <cell r="I220" t="str">
            <v>N2-b2</v>
          </cell>
          <cell r="J220" t="str">
            <v>01</v>
          </cell>
          <cell r="K220" t="str">
            <v>59</v>
          </cell>
        </row>
        <row r="221">
          <cell r="A221" t="str">
            <v>02-03</v>
          </cell>
          <cell r="B221">
            <v>67</v>
          </cell>
          <cell r="C221" t="str">
            <v>C1.AM.02.03</v>
          </cell>
          <cell r="D221" t="str">
            <v>AM</v>
          </cell>
          <cell r="E221" t="str">
            <v>G-039</v>
          </cell>
          <cell r="F221" t="str">
            <v>AM062</v>
          </cell>
          <cell r="G221" t="str">
            <v>N1</v>
          </cell>
          <cell r="H221" t="str">
            <v>b1</v>
          </cell>
          <cell r="I221" t="str">
            <v>N1-b1</v>
          </cell>
          <cell r="J221" t="str">
            <v>02</v>
          </cell>
          <cell r="K221" t="str">
            <v>03</v>
          </cell>
        </row>
        <row r="222">
          <cell r="A222" t="str">
            <v>06-20</v>
          </cell>
          <cell r="B222">
            <v>340</v>
          </cell>
          <cell r="C222" t="str">
            <v>C1.AM.06.20</v>
          </cell>
          <cell r="D222" t="str">
            <v>AM</v>
          </cell>
          <cell r="E222" t="str">
            <v>G-039</v>
          </cell>
          <cell r="F222" t="str">
            <v>AM062</v>
          </cell>
          <cell r="G222" t="str">
            <v>N2</v>
          </cell>
          <cell r="H222" t="str">
            <v>b1</v>
          </cell>
          <cell r="I222" t="str">
            <v>N2-b1</v>
          </cell>
          <cell r="J222" t="str">
            <v>06</v>
          </cell>
          <cell r="K222" t="str">
            <v>20</v>
          </cell>
        </row>
        <row r="223">
          <cell r="A223" t="str">
            <v>06-52</v>
          </cell>
          <cell r="B223">
            <v>372</v>
          </cell>
          <cell r="C223" t="str">
            <v>C1.AM.06.52</v>
          </cell>
          <cell r="D223" t="str">
            <v>AM</v>
          </cell>
          <cell r="E223" t="str">
            <v>G-039</v>
          </cell>
          <cell r="F223" t="str">
            <v>AM062</v>
          </cell>
          <cell r="G223" t="str">
            <v>N1</v>
          </cell>
          <cell r="H223" t="str">
            <v>b2</v>
          </cell>
          <cell r="I223" t="str">
            <v>N1-b2</v>
          </cell>
          <cell r="J223" t="str">
            <v>06</v>
          </cell>
          <cell r="K223" t="str">
            <v>52</v>
          </cell>
        </row>
        <row r="224">
          <cell r="A224" t="str">
            <v>15-90</v>
          </cell>
          <cell r="B224">
            <v>922</v>
          </cell>
          <cell r="C224" t="str">
            <v>C1.AM.15.90</v>
          </cell>
          <cell r="D224" t="str">
            <v>AM</v>
          </cell>
          <cell r="E224" t="str">
            <v>G-039</v>
          </cell>
          <cell r="F224" t="str">
            <v>AM062</v>
          </cell>
          <cell r="G224" t="str">
            <v>N1</v>
          </cell>
          <cell r="H224" t="str">
            <v>b3</v>
          </cell>
          <cell r="I224" t="str">
            <v>N1-b3</v>
          </cell>
          <cell r="J224">
            <v>15</v>
          </cell>
          <cell r="K224" t="str">
            <v>90</v>
          </cell>
        </row>
        <row r="225">
          <cell r="A225" t="str">
            <v>22-67</v>
          </cell>
          <cell r="B225">
            <v>1081</v>
          </cell>
          <cell r="C225" t="str">
            <v>C1.AM.22.67</v>
          </cell>
          <cell r="D225" t="str">
            <v>AM</v>
          </cell>
          <cell r="E225" t="str">
            <v>G-039</v>
          </cell>
          <cell r="F225" t="str">
            <v>AM062</v>
          </cell>
          <cell r="G225" t="str">
            <v>N2</v>
          </cell>
          <cell r="H225" t="str">
            <v>b3</v>
          </cell>
          <cell r="I225" t="str">
            <v>N2-b3</v>
          </cell>
          <cell r="J225">
            <v>22</v>
          </cell>
          <cell r="K225" t="str">
            <v>67</v>
          </cell>
        </row>
        <row r="226">
          <cell r="A226" t="str">
            <v>01-18</v>
          </cell>
          <cell r="B226">
            <v>18</v>
          </cell>
          <cell r="C226" t="str">
            <v>C1.AM.01.18</v>
          </cell>
          <cell r="D226" t="str">
            <v>AM</v>
          </cell>
          <cell r="E226" t="str">
            <v>G-040</v>
          </cell>
          <cell r="F226" t="str">
            <v>AM063</v>
          </cell>
          <cell r="G226" t="str">
            <v>N1</v>
          </cell>
          <cell r="H226" t="str">
            <v>b1</v>
          </cell>
          <cell r="I226" t="str">
            <v>N1-b1</v>
          </cell>
          <cell r="J226" t="str">
            <v>01</v>
          </cell>
          <cell r="K226" t="str">
            <v>18</v>
          </cell>
        </row>
        <row r="227">
          <cell r="A227" t="str">
            <v>02-47</v>
          </cell>
          <cell r="B227">
            <v>111</v>
          </cell>
          <cell r="C227" t="str">
            <v>C1.AM.02.47</v>
          </cell>
          <cell r="D227" t="str">
            <v>AM</v>
          </cell>
          <cell r="E227" t="str">
            <v>G-040</v>
          </cell>
          <cell r="F227" t="str">
            <v>AM063</v>
          </cell>
          <cell r="G227" t="str">
            <v>N2</v>
          </cell>
          <cell r="H227" t="str">
            <v>b2</v>
          </cell>
          <cell r="I227" t="str">
            <v>N2-b2</v>
          </cell>
          <cell r="J227" t="str">
            <v>02</v>
          </cell>
          <cell r="K227" t="str">
            <v>47</v>
          </cell>
        </row>
        <row r="228">
          <cell r="A228" t="str">
            <v>05-33</v>
          </cell>
          <cell r="B228">
            <v>289</v>
          </cell>
          <cell r="C228" t="str">
            <v>C1.AM.05.33</v>
          </cell>
          <cell r="D228" t="str">
            <v>AM</v>
          </cell>
          <cell r="E228" t="str">
            <v>G-040</v>
          </cell>
          <cell r="F228" t="str">
            <v>AM063</v>
          </cell>
          <cell r="G228" t="str">
            <v>N1</v>
          </cell>
          <cell r="H228" t="str">
            <v>b2</v>
          </cell>
          <cell r="I228" t="str">
            <v>N1-b2</v>
          </cell>
          <cell r="J228" t="str">
            <v>05</v>
          </cell>
          <cell r="K228" t="str">
            <v>33</v>
          </cell>
        </row>
        <row r="229">
          <cell r="A229" t="str">
            <v>06-05</v>
          </cell>
          <cell r="B229">
            <v>325</v>
          </cell>
          <cell r="C229" t="str">
            <v>C1.AM.06.05</v>
          </cell>
          <cell r="D229" t="str">
            <v>AM</v>
          </cell>
          <cell r="E229" t="str">
            <v>G-040</v>
          </cell>
          <cell r="F229" t="str">
            <v>AM063</v>
          </cell>
          <cell r="G229" t="str">
            <v>N2</v>
          </cell>
          <cell r="H229" t="str">
            <v>b1</v>
          </cell>
          <cell r="I229" t="str">
            <v>N2-b1</v>
          </cell>
          <cell r="J229" t="str">
            <v>06</v>
          </cell>
          <cell r="K229" t="str">
            <v>05</v>
          </cell>
        </row>
        <row r="230">
          <cell r="A230" t="str">
            <v>19-79</v>
          </cell>
          <cell r="B230">
            <v>1015</v>
          </cell>
          <cell r="C230" t="str">
            <v>C1.AM.19.79</v>
          </cell>
          <cell r="D230" t="str">
            <v>AM</v>
          </cell>
          <cell r="E230" t="str">
            <v>G-040</v>
          </cell>
          <cell r="F230" t="str">
            <v>AM063</v>
          </cell>
          <cell r="G230" t="str">
            <v>N1</v>
          </cell>
          <cell r="H230" t="str">
            <v>b3</v>
          </cell>
          <cell r="I230" t="str">
            <v>N1-b3</v>
          </cell>
          <cell r="J230">
            <v>19</v>
          </cell>
          <cell r="K230" t="str">
            <v>79</v>
          </cell>
        </row>
        <row r="231">
          <cell r="A231" t="str">
            <v>24-69</v>
          </cell>
          <cell r="B231">
            <v>1135</v>
          </cell>
          <cell r="C231" t="str">
            <v>C1.AM.24.69</v>
          </cell>
          <cell r="D231" t="str">
            <v>AM</v>
          </cell>
          <cell r="E231" t="str">
            <v>G-040</v>
          </cell>
          <cell r="F231" t="str">
            <v>AM063</v>
          </cell>
          <cell r="G231" t="str">
            <v>N2</v>
          </cell>
          <cell r="H231" t="str">
            <v>b3</v>
          </cell>
          <cell r="I231" t="str">
            <v>N2-b3</v>
          </cell>
          <cell r="J231">
            <v>24</v>
          </cell>
          <cell r="K231" t="str">
            <v>69</v>
          </cell>
        </row>
        <row r="232">
          <cell r="A232" t="str">
            <v>01-48</v>
          </cell>
          <cell r="B232">
            <v>48</v>
          </cell>
          <cell r="C232" t="str">
            <v>C1.AM.01.48</v>
          </cell>
          <cell r="D232" t="str">
            <v>AM</v>
          </cell>
          <cell r="E232" t="str">
            <v>G-041</v>
          </cell>
          <cell r="F232" t="str">
            <v>AM064</v>
          </cell>
          <cell r="G232" t="str">
            <v>N2</v>
          </cell>
          <cell r="H232" t="str">
            <v>b2</v>
          </cell>
          <cell r="I232" t="str">
            <v>N2-b2</v>
          </cell>
          <cell r="J232" t="str">
            <v>01</v>
          </cell>
          <cell r="K232" t="str">
            <v>48</v>
          </cell>
        </row>
        <row r="233">
          <cell r="A233" t="str">
            <v>03-31</v>
          </cell>
          <cell r="B233">
            <v>159</v>
          </cell>
          <cell r="C233" t="str">
            <v>C1.AM.03.31</v>
          </cell>
          <cell r="D233" t="str">
            <v>AM</v>
          </cell>
          <cell r="E233" t="str">
            <v>G-041</v>
          </cell>
          <cell r="F233" t="str">
            <v>AM064</v>
          </cell>
          <cell r="G233" t="str">
            <v>N1</v>
          </cell>
          <cell r="H233" t="str">
            <v>b1</v>
          </cell>
          <cell r="I233" t="str">
            <v>N1-b1</v>
          </cell>
          <cell r="J233" t="str">
            <v>03</v>
          </cell>
          <cell r="K233" t="str">
            <v>31</v>
          </cell>
        </row>
        <row r="234">
          <cell r="A234" t="str">
            <v>06-32</v>
          </cell>
          <cell r="B234">
            <v>352</v>
          </cell>
          <cell r="C234" t="str">
            <v>C1.AM.06.32</v>
          </cell>
          <cell r="D234" t="str">
            <v>AM</v>
          </cell>
          <cell r="E234" t="str">
            <v>G-041</v>
          </cell>
          <cell r="F234" t="str">
            <v>AM064</v>
          </cell>
          <cell r="G234" t="str">
            <v>N2</v>
          </cell>
          <cell r="H234" t="str">
            <v>b1</v>
          </cell>
          <cell r="I234" t="str">
            <v>N2-b1</v>
          </cell>
          <cell r="J234" t="str">
            <v>06</v>
          </cell>
          <cell r="K234" t="str">
            <v>32</v>
          </cell>
        </row>
        <row r="235">
          <cell r="A235" t="str">
            <v>08-46</v>
          </cell>
          <cell r="B235">
            <v>494</v>
          </cell>
          <cell r="C235" t="str">
            <v>C1.AM.08.46</v>
          </cell>
          <cell r="D235" t="str">
            <v>AM</v>
          </cell>
          <cell r="E235" t="str">
            <v>G-041</v>
          </cell>
          <cell r="F235" t="str">
            <v>AM064</v>
          </cell>
          <cell r="G235" t="str">
            <v>N1</v>
          </cell>
          <cell r="H235" t="str">
            <v>b2</v>
          </cell>
          <cell r="I235" t="str">
            <v>N1-b2</v>
          </cell>
          <cell r="J235" t="str">
            <v>08</v>
          </cell>
          <cell r="K235" t="str">
            <v>46</v>
          </cell>
        </row>
        <row r="236">
          <cell r="A236" t="str">
            <v>16-88</v>
          </cell>
          <cell r="B236">
            <v>946</v>
          </cell>
          <cell r="C236" t="str">
            <v>C1.AM.16.88</v>
          </cell>
          <cell r="D236" t="str">
            <v>AM</v>
          </cell>
          <cell r="E236" t="str">
            <v>G-041</v>
          </cell>
          <cell r="F236" t="str">
            <v>AM064</v>
          </cell>
          <cell r="G236" t="str">
            <v>N1</v>
          </cell>
          <cell r="H236" t="str">
            <v>b3</v>
          </cell>
          <cell r="I236" t="str">
            <v>N1-b3</v>
          </cell>
          <cell r="J236" t="str">
            <v>16</v>
          </cell>
          <cell r="K236" t="str">
            <v>88</v>
          </cell>
        </row>
        <row r="237">
          <cell r="A237" t="str">
            <v>21-66</v>
          </cell>
          <cell r="B237">
            <v>1054</v>
          </cell>
          <cell r="C237" t="str">
            <v>C1.AM.21.66</v>
          </cell>
          <cell r="D237" t="str">
            <v>AM</v>
          </cell>
          <cell r="E237" t="str">
            <v>G-041</v>
          </cell>
          <cell r="F237" t="str">
            <v>AM064</v>
          </cell>
          <cell r="G237" t="str">
            <v>N2</v>
          </cell>
          <cell r="H237" t="str">
            <v>b3</v>
          </cell>
          <cell r="I237" t="str">
            <v>N2-b3</v>
          </cell>
          <cell r="J237">
            <v>21</v>
          </cell>
          <cell r="K237" t="str">
            <v>66</v>
          </cell>
        </row>
        <row r="238">
          <cell r="A238" t="str">
            <v>01-10</v>
          </cell>
          <cell r="B238">
            <v>10</v>
          </cell>
          <cell r="C238" t="str">
            <v>C1.AM.01.10</v>
          </cell>
          <cell r="D238" t="str">
            <v>AM</v>
          </cell>
          <cell r="E238" t="str">
            <v>G-042</v>
          </cell>
          <cell r="F238" t="str">
            <v>AM066</v>
          </cell>
          <cell r="G238" t="str">
            <v>N1</v>
          </cell>
          <cell r="H238" t="str">
            <v>b1</v>
          </cell>
          <cell r="I238" t="str">
            <v>N1-b1</v>
          </cell>
          <cell r="J238" t="str">
            <v>01</v>
          </cell>
          <cell r="K238" t="str">
            <v>10</v>
          </cell>
        </row>
        <row r="239">
          <cell r="A239" t="str">
            <v>03-48</v>
          </cell>
          <cell r="B239">
            <v>176</v>
          </cell>
          <cell r="C239" t="str">
            <v>C1.AM.03.48</v>
          </cell>
          <cell r="D239" t="str">
            <v>AM</v>
          </cell>
          <cell r="E239" t="str">
            <v>G-042</v>
          </cell>
          <cell r="F239" t="str">
            <v>AM066</v>
          </cell>
          <cell r="G239" t="str">
            <v>N2</v>
          </cell>
          <cell r="H239" t="str">
            <v>b2</v>
          </cell>
          <cell r="I239" t="str">
            <v>N2-b2</v>
          </cell>
          <cell r="J239" t="str">
            <v>03</v>
          </cell>
          <cell r="K239" t="str">
            <v>48</v>
          </cell>
        </row>
        <row r="240">
          <cell r="A240" t="str">
            <v>07-55</v>
          </cell>
          <cell r="B240">
            <v>439</v>
          </cell>
          <cell r="C240" t="str">
            <v>C1.AM.07.55</v>
          </cell>
          <cell r="D240" t="str">
            <v>AM</v>
          </cell>
          <cell r="E240" t="str">
            <v>G-042</v>
          </cell>
          <cell r="F240" t="str">
            <v>AM066</v>
          </cell>
          <cell r="G240" t="str">
            <v>N1</v>
          </cell>
          <cell r="H240" t="str">
            <v>b2</v>
          </cell>
          <cell r="I240" t="str">
            <v>N1-b2</v>
          </cell>
          <cell r="J240" t="str">
            <v>07</v>
          </cell>
          <cell r="K240" t="str">
            <v>55</v>
          </cell>
        </row>
        <row r="241">
          <cell r="A241" t="str">
            <v>08-26</v>
          </cell>
          <cell r="B241">
            <v>474</v>
          </cell>
          <cell r="C241" t="str">
            <v>C1.AM.08.26</v>
          </cell>
          <cell r="D241" t="str">
            <v>AM</v>
          </cell>
          <cell r="E241" t="str">
            <v>G-042</v>
          </cell>
          <cell r="F241" t="str">
            <v>AM066</v>
          </cell>
          <cell r="G241" t="str">
            <v>N2</v>
          </cell>
          <cell r="H241" t="str">
            <v>b1</v>
          </cell>
          <cell r="I241" t="str">
            <v>N2-b1</v>
          </cell>
          <cell r="J241" t="str">
            <v>08</v>
          </cell>
          <cell r="K241" t="str">
            <v>26</v>
          </cell>
        </row>
        <row r="242">
          <cell r="A242" t="str">
            <v>15-67</v>
          </cell>
          <cell r="B242">
            <v>899</v>
          </cell>
          <cell r="C242" t="str">
            <v>C1.AM.15.67</v>
          </cell>
          <cell r="D242" t="str">
            <v>AM</v>
          </cell>
          <cell r="E242" t="str">
            <v>G-042</v>
          </cell>
          <cell r="F242" t="str">
            <v>AM066</v>
          </cell>
          <cell r="G242" t="str">
            <v>N1</v>
          </cell>
          <cell r="H242" t="str">
            <v>b3</v>
          </cell>
          <cell r="I242" t="str">
            <v>N1-b3</v>
          </cell>
          <cell r="J242">
            <v>15</v>
          </cell>
          <cell r="K242" t="str">
            <v>67</v>
          </cell>
        </row>
        <row r="243">
          <cell r="A243" t="str">
            <v>20-68</v>
          </cell>
          <cell r="B243">
            <v>1030</v>
          </cell>
          <cell r="C243" t="str">
            <v>C1.AM.20.68</v>
          </cell>
          <cell r="D243" t="str">
            <v>AM</v>
          </cell>
          <cell r="E243" t="str">
            <v>G-042</v>
          </cell>
          <cell r="F243" t="str">
            <v>AM066</v>
          </cell>
          <cell r="G243" t="str">
            <v>N2</v>
          </cell>
          <cell r="H243" t="str">
            <v>b3</v>
          </cell>
          <cell r="I243" t="str">
            <v>N2-b3</v>
          </cell>
          <cell r="J243">
            <v>20</v>
          </cell>
          <cell r="K243" t="str">
            <v>68</v>
          </cell>
        </row>
        <row r="244">
          <cell r="A244" t="str">
            <v>02-06</v>
          </cell>
          <cell r="B244">
            <v>70</v>
          </cell>
          <cell r="C244" t="str">
            <v>C1.AM.02.06</v>
          </cell>
          <cell r="D244" t="str">
            <v>AM</v>
          </cell>
          <cell r="E244" t="str">
            <v>G-043</v>
          </cell>
          <cell r="F244" t="str">
            <v>AM067</v>
          </cell>
          <cell r="G244" t="str">
            <v>N1</v>
          </cell>
          <cell r="H244" t="str">
            <v>b1</v>
          </cell>
          <cell r="I244" t="str">
            <v>N1-b1</v>
          </cell>
          <cell r="J244" t="str">
            <v>02</v>
          </cell>
          <cell r="K244" t="str">
            <v>06</v>
          </cell>
        </row>
        <row r="245">
          <cell r="A245" t="str">
            <v>03-57</v>
          </cell>
          <cell r="B245">
            <v>185</v>
          </cell>
          <cell r="C245" t="str">
            <v>C1.AM.03.57</v>
          </cell>
          <cell r="D245" t="str">
            <v>AM</v>
          </cell>
          <cell r="E245" t="str">
            <v>G-043</v>
          </cell>
          <cell r="F245" t="str">
            <v>AM067</v>
          </cell>
          <cell r="G245" t="str">
            <v>N2</v>
          </cell>
          <cell r="H245" t="str">
            <v>b2</v>
          </cell>
          <cell r="I245" t="str">
            <v>N2-b2</v>
          </cell>
          <cell r="J245" t="str">
            <v>03</v>
          </cell>
          <cell r="K245" t="str">
            <v>57</v>
          </cell>
        </row>
        <row r="246">
          <cell r="A246" t="str">
            <v>06-18</v>
          </cell>
          <cell r="B246">
            <v>338</v>
          </cell>
          <cell r="C246" t="str">
            <v>C1.AM.06.18</v>
          </cell>
          <cell r="D246" t="str">
            <v>AM</v>
          </cell>
          <cell r="E246" t="str">
            <v>G-043</v>
          </cell>
          <cell r="F246" t="str">
            <v>AM067</v>
          </cell>
          <cell r="G246" t="str">
            <v>N2</v>
          </cell>
          <cell r="H246" t="str">
            <v>b1</v>
          </cell>
          <cell r="I246" t="str">
            <v>N2-b1</v>
          </cell>
          <cell r="J246" t="str">
            <v>06</v>
          </cell>
          <cell r="K246" t="str">
            <v>18</v>
          </cell>
        </row>
        <row r="247">
          <cell r="A247" t="str">
            <v>06-51</v>
          </cell>
          <cell r="B247">
            <v>371</v>
          </cell>
          <cell r="C247" t="str">
            <v>C1.AM.06.51</v>
          </cell>
          <cell r="D247" t="str">
            <v>AM</v>
          </cell>
          <cell r="E247" t="str">
            <v>G-043</v>
          </cell>
          <cell r="F247" t="str">
            <v>AM067</v>
          </cell>
          <cell r="G247" t="str">
            <v>N1</v>
          </cell>
          <cell r="H247" t="str">
            <v>b2</v>
          </cell>
          <cell r="I247" t="str">
            <v>N1-b2</v>
          </cell>
          <cell r="J247" t="str">
            <v>06</v>
          </cell>
          <cell r="K247" t="str">
            <v>51</v>
          </cell>
        </row>
        <row r="248">
          <cell r="A248" t="str">
            <v>15-70</v>
          </cell>
          <cell r="B248">
            <v>902</v>
          </cell>
          <cell r="C248" t="str">
            <v>C1.AM.15.70</v>
          </cell>
          <cell r="D248" t="str">
            <v>AM</v>
          </cell>
          <cell r="E248" t="str">
            <v>G-043</v>
          </cell>
          <cell r="F248" t="str">
            <v>AM067</v>
          </cell>
          <cell r="G248" t="str">
            <v>N1</v>
          </cell>
          <cell r="H248" t="str">
            <v>b3</v>
          </cell>
          <cell r="I248" t="str">
            <v>N1-b3</v>
          </cell>
          <cell r="J248">
            <v>15</v>
          </cell>
          <cell r="K248" t="str">
            <v>70</v>
          </cell>
        </row>
        <row r="249">
          <cell r="A249" t="str">
            <v>20-74</v>
          </cell>
          <cell r="B249">
            <v>1036</v>
          </cell>
          <cell r="C249" t="str">
            <v>C1.AM.20.74</v>
          </cell>
          <cell r="D249" t="str">
            <v>AM</v>
          </cell>
          <cell r="E249" t="str">
            <v>G-043</v>
          </cell>
          <cell r="F249" t="str">
            <v>AM067</v>
          </cell>
          <cell r="G249" t="str">
            <v>N2</v>
          </cell>
          <cell r="H249" t="str">
            <v>b3</v>
          </cell>
          <cell r="I249" t="str">
            <v>N2-b3</v>
          </cell>
          <cell r="J249">
            <v>20</v>
          </cell>
          <cell r="K249" t="str">
            <v>74</v>
          </cell>
        </row>
        <row r="250">
          <cell r="A250" t="str">
            <v>03-56</v>
          </cell>
          <cell r="B250">
            <v>184</v>
          </cell>
          <cell r="C250" t="str">
            <v>C1.AM.03.56</v>
          </cell>
          <cell r="D250" t="str">
            <v>AM</v>
          </cell>
          <cell r="E250" t="str">
            <v>G-044</v>
          </cell>
          <cell r="F250" t="str">
            <v>AM068</v>
          </cell>
          <cell r="G250" t="str">
            <v>N2</v>
          </cell>
          <cell r="H250" t="str">
            <v>b2</v>
          </cell>
          <cell r="I250" t="str">
            <v>N2-b2</v>
          </cell>
          <cell r="J250" t="str">
            <v>03</v>
          </cell>
          <cell r="K250" t="str">
            <v>56</v>
          </cell>
        </row>
        <row r="251">
          <cell r="A251" t="str">
            <v>04-21</v>
          </cell>
          <cell r="B251">
            <v>213</v>
          </cell>
          <cell r="C251" t="str">
            <v>C1.AM.04.21</v>
          </cell>
          <cell r="D251" t="str">
            <v>AM</v>
          </cell>
          <cell r="E251" t="str">
            <v>G-044</v>
          </cell>
          <cell r="F251" t="str">
            <v>AM068</v>
          </cell>
          <cell r="G251" t="str">
            <v>N1</v>
          </cell>
          <cell r="H251" t="str">
            <v>b1</v>
          </cell>
          <cell r="I251" t="str">
            <v>N1-b1</v>
          </cell>
          <cell r="J251" t="str">
            <v>04</v>
          </cell>
          <cell r="K251" t="str">
            <v>21</v>
          </cell>
        </row>
        <row r="252">
          <cell r="A252" t="str">
            <v>06-63</v>
          </cell>
          <cell r="B252">
            <v>383</v>
          </cell>
          <cell r="C252" t="str">
            <v>C1.AM.06.63</v>
          </cell>
          <cell r="D252" t="str">
            <v>AM</v>
          </cell>
          <cell r="E252" t="str">
            <v>G-044</v>
          </cell>
          <cell r="F252" t="str">
            <v>AM068</v>
          </cell>
          <cell r="G252" t="str">
            <v>N1</v>
          </cell>
          <cell r="H252" t="str">
            <v>b2</v>
          </cell>
          <cell r="I252" t="str">
            <v>N1-b2</v>
          </cell>
          <cell r="J252" t="str">
            <v>06</v>
          </cell>
          <cell r="K252" t="str">
            <v>63</v>
          </cell>
        </row>
        <row r="253">
          <cell r="A253" t="str">
            <v>08-28</v>
          </cell>
          <cell r="B253">
            <v>476</v>
          </cell>
          <cell r="C253" t="str">
            <v>C1.AM.08.28</v>
          </cell>
          <cell r="D253" t="str">
            <v>AM</v>
          </cell>
          <cell r="E253" t="str">
            <v>G-044</v>
          </cell>
          <cell r="F253" t="str">
            <v>AM068</v>
          </cell>
          <cell r="G253" t="str">
            <v>N2</v>
          </cell>
          <cell r="H253" t="str">
            <v>b1</v>
          </cell>
          <cell r="I253" t="str">
            <v>N2-b1</v>
          </cell>
          <cell r="J253" t="str">
            <v>08</v>
          </cell>
          <cell r="K253" t="str">
            <v>28</v>
          </cell>
        </row>
        <row r="254">
          <cell r="A254" t="str">
            <v>19-87</v>
          </cell>
          <cell r="B254">
            <v>1023</v>
          </cell>
          <cell r="C254" t="str">
            <v>C1.AM.19.87</v>
          </cell>
          <cell r="D254" t="str">
            <v>AM</v>
          </cell>
          <cell r="E254" t="str">
            <v>G-044</v>
          </cell>
          <cell r="F254" t="str">
            <v>AM068</v>
          </cell>
          <cell r="G254" t="str">
            <v>N1</v>
          </cell>
          <cell r="H254" t="str">
            <v>b3</v>
          </cell>
          <cell r="I254" t="str">
            <v>N1-b3</v>
          </cell>
          <cell r="J254">
            <v>19</v>
          </cell>
          <cell r="K254" t="str">
            <v>87</v>
          </cell>
        </row>
        <row r="255">
          <cell r="A255" t="str">
            <v>21-67</v>
          </cell>
          <cell r="B255">
            <v>1055</v>
          </cell>
          <cell r="C255" t="str">
            <v>C1.AM.21.67</v>
          </cell>
          <cell r="D255" t="str">
            <v>AM</v>
          </cell>
          <cell r="E255" t="str">
            <v>G-044</v>
          </cell>
          <cell r="F255" t="str">
            <v>AM068</v>
          </cell>
          <cell r="G255" t="str">
            <v>N2</v>
          </cell>
          <cell r="H255" t="str">
            <v>b3</v>
          </cell>
          <cell r="I255" t="str">
            <v>N2-b3</v>
          </cell>
          <cell r="J255">
            <v>21</v>
          </cell>
          <cell r="K255" t="str">
            <v>67</v>
          </cell>
        </row>
        <row r="256">
          <cell r="A256" t="str">
            <v>04-26</v>
          </cell>
          <cell r="B256">
            <v>218</v>
          </cell>
          <cell r="C256" t="str">
            <v>C1.AM.04.26</v>
          </cell>
          <cell r="D256" t="str">
            <v>AM</v>
          </cell>
          <cell r="E256" t="str">
            <v>G-045</v>
          </cell>
          <cell r="F256" t="str">
            <v>AM069</v>
          </cell>
          <cell r="G256" t="str">
            <v>N1</v>
          </cell>
          <cell r="H256" t="str">
            <v>b1</v>
          </cell>
          <cell r="I256" t="str">
            <v>N1-b1</v>
          </cell>
          <cell r="J256" t="str">
            <v>04</v>
          </cell>
          <cell r="K256" t="str">
            <v>26</v>
          </cell>
        </row>
        <row r="257">
          <cell r="A257" t="str">
            <v>04-40</v>
          </cell>
          <cell r="B257">
            <v>232</v>
          </cell>
          <cell r="C257" t="str">
            <v>C1.AM.04.40</v>
          </cell>
          <cell r="D257" t="str">
            <v>AM</v>
          </cell>
          <cell r="E257" t="str">
            <v>G-045</v>
          </cell>
          <cell r="F257" t="str">
            <v>AM069</v>
          </cell>
          <cell r="G257" t="str">
            <v>N2</v>
          </cell>
          <cell r="H257" t="str">
            <v>b2</v>
          </cell>
          <cell r="I257" t="str">
            <v>N2-b2</v>
          </cell>
          <cell r="J257" t="str">
            <v>04</v>
          </cell>
          <cell r="K257" t="str">
            <v>40</v>
          </cell>
        </row>
        <row r="258">
          <cell r="A258" t="str">
            <v>06-61</v>
          </cell>
          <cell r="B258">
            <v>381</v>
          </cell>
          <cell r="C258" t="str">
            <v>C1.AM.06.61</v>
          </cell>
          <cell r="D258" t="str">
            <v>AM</v>
          </cell>
          <cell r="E258" t="str">
            <v>G-045</v>
          </cell>
          <cell r="F258" t="str">
            <v>AM069</v>
          </cell>
          <cell r="G258" t="str">
            <v>N1</v>
          </cell>
          <cell r="H258" t="str">
            <v>b2</v>
          </cell>
          <cell r="I258" t="str">
            <v>N1-b2</v>
          </cell>
          <cell r="J258" t="str">
            <v>06</v>
          </cell>
          <cell r="K258" t="str">
            <v>61</v>
          </cell>
        </row>
        <row r="259">
          <cell r="A259" t="str">
            <v>07-21</v>
          </cell>
          <cell r="B259">
            <v>405</v>
          </cell>
          <cell r="C259" t="str">
            <v>C1.AM.07.21</v>
          </cell>
          <cell r="D259" t="str">
            <v>AM</v>
          </cell>
          <cell r="E259" t="str">
            <v>G-045</v>
          </cell>
          <cell r="F259" t="str">
            <v>AM069</v>
          </cell>
          <cell r="G259" t="str">
            <v>N2</v>
          </cell>
          <cell r="H259" t="str">
            <v>b1</v>
          </cell>
          <cell r="I259" t="str">
            <v>N2-b1</v>
          </cell>
          <cell r="J259" t="str">
            <v>07</v>
          </cell>
          <cell r="K259" t="str">
            <v>21</v>
          </cell>
        </row>
        <row r="260">
          <cell r="A260" t="str">
            <v>16-72</v>
          </cell>
          <cell r="B260">
            <v>930</v>
          </cell>
          <cell r="C260" t="str">
            <v>C1.AM.16.72</v>
          </cell>
          <cell r="D260" t="str">
            <v>AM</v>
          </cell>
          <cell r="E260" t="str">
            <v>G-045</v>
          </cell>
          <cell r="F260" t="str">
            <v>AM069</v>
          </cell>
          <cell r="G260" t="str">
            <v>N1</v>
          </cell>
          <cell r="H260" t="str">
            <v>b3</v>
          </cell>
          <cell r="I260" t="str">
            <v>N1-b3</v>
          </cell>
          <cell r="J260" t="str">
            <v>16</v>
          </cell>
          <cell r="K260" t="str">
            <v>72</v>
          </cell>
        </row>
        <row r="261">
          <cell r="A261" t="str">
            <v>20-87</v>
          </cell>
          <cell r="B261">
            <v>1049</v>
          </cell>
          <cell r="C261" t="str">
            <v>C1.AM.20.87</v>
          </cell>
          <cell r="D261" t="str">
            <v>AM</v>
          </cell>
          <cell r="E261" t="str">
            <v>G-045</v>
          </cell>
          <cell r="F261" t="str">
            <v>AM069</v>
          </cell>
          <cell r="G261" t="str">
            <v>N2</v>
          </cell>
          <cell r="H261" t="str">
            <v>b3</v>
          </cell>
          <cell r="I261" t="str">
            <v>N2-b3</v>
          </cell>
          <cell r="J261">
            <v>20</v>
          </cell>
          <cell r="K261" t="str">
            <v>87</v>
          </cell>
        </row>
        <row r="262">
          <cell r="A262" t="str">
            <v>01-07</v>
          </cell>
          <cell r="B262">
            <v>7</v>
          </cell>
          <cell r="C262" t="str">
            <v>C1.AM.01.07</v>
          </cell>
          <cell r="D262" t="str">
            <v>AM</v>
          </cell>
          <cell r="E262" t="str">
            <v>G-046</v>
          </cell>
          <cell r="F262" t="str">
            <v>AM070</v>
          </cell>
          <cell r="G262" t="str">
            <v>N1</v>
          </cell>
          <cell r="H262" t="str">
            <v>b1</v>
          </cell>
          <cell r="I262" t="str">
            <v>N1-b1</v>
          </cell>
          <cell r="J262" t="str">
            <v>01</v>
          </cell>
          <cell r="K262" t="str">
            <v>07</v>
          </cell>
        </row>
        <row r="263">
          <cell r="A263" t="str">
            <v>03-40</v>
          </cell>
          <cell r="B263">
            <v>168</v>
          </cell>
          <cell r="C263" t="str">
            <v>C1.AM.03.40</v>
          </cell>
          <cell r="D263" t="str">
            <v>AM</v>
          </cell>
          <cell r="E263" t="str">
            <v>G-046</v>
          </cell>
          <cell r="F263" t="str">
            <v>AM070</v>
          </cell>
          <cell r="G263" t="str">
            <v>N2</v>
          </cell>
          <cell r="H263" t="str">
            <v>b2</v>
          </cell>
          <cell r="I263" t="str">
            <v>N2-b2</v>
          </cell>
          <cell r="J263" t="str">
            <v>03</v>
          </cell>
          <cell r="K263" t="str">
            <v>40</v>
          </cell>
        </row>
        <row r="264">
          <cell r="A264" t="str">
            <v>05-55</v>
          </cell>
          <cell r="B264">
            <v>311</v>
          </cell>
          <cell r="C264" t="str">
            <v>C1.AM.05.55</v>
          </cell>
          <cell r="D264" t="str">
            <v>AM</v>
          </cell>
          <cell r="E264" t="str">
            <v>G-046</v>
          </cell>
          <cell r="F264" t="str">
            <v>AM070</v>
          </cell>
          <cell r="G264" t="str">
            <v>N1</v>
          </cell>
          <cell r="H264" t="str">
            <v>b2</v>
          </cell>
          <cell r="I264" t="str">
            <v>N1-b2</v>
          </cell>
          <cell r="J264" t="str">
            <v>05</v>
          </cell>
          <cell r="K264" t="str">
            <v>55</v>
          </cell>
        </row>
        <row r="265">
          <cell r="A265" t="str">
            <v>08-32</v>
          </cell>
          <cell r="B265">
            <v>480</v>
          </cell>
          <cell r="C265" t="str">
            <v>C1.AM.08.32</v>
          </cell>
          <cell r="D265" t="str">
            <v>AM</v>
          </cell>
          <cell r="E265" t="str">
            <v>G-046</v>
          </cell>
          <cell r="F265" t="str">
            <v>AM070</v>
          </cell>
          <cell r="G265" t="str">
            <v>N2</v>
          </cell>
          <cell r="H265" t="str">
            <v>b1</v>
          </cell>
          <cell r="I265" t="str">
            <v>N2-b1</v>
          </cell>
          <cell r="J265" t="str">
            <v>08</v>
          </cell>
          <cell r="K265" t="str">
            <v>32</v>
          </cell>
        </row>
        <row r="266">
          <cell r="A266" t="str">
            <v>18-86</v>
          </cell>
          <cell r="B266">
            <v>996</v>
          </cell>
          <cell r="C266" t="str">
            <v>C1.AM.18.86</v>
          </cell>
          <cell r="D266" t="str">
            <v>AM</v>
          </cell>
          <cell r="E266" t="str">
            <v>G-046</v>
          </cell>
          <cell r="F266" t="str">
            <v>AM070</v>
          </cell>
          <cell r="G266" t="str">
            <v>N1</v>
          </cell>
          <cell r="H266" t="str">
            <v>b3</v>
          </cell>
          <cell r="I266" t="str">
            <v>N1-b3</v>
          </cell>
          <cell r="J266">
            <v>18</v>
          </cell>
          <cell r="K266" t="str">
            <v>86</v>
          </cell>
        </row>
        <row r="267">
          <cell r="A267" t="str">
            <v>23-75</v>
          </cell>
          <cell r="B267">
            <v>1115</v>
          </cell>
          <cell r="C267" t="str">
            <v>C1.AM.23.75</v>
          </cell>
          <cell r="D267" t="str">
            <v>AM</v>
          </cell>
          <cell r="E267" t="str">
            <v>G-046</v>
          </cell>
          <cell r="F267" t="str">
            <v>AM070</v>
          </cell>
          <cell r="G267" t="str">
            <v>N2</v>
          </cell>
          <cell r="H267" t="str">
            <v>b3</v>
          </cell>
          <cell r="I267" t="str">
            <v>N2-b3</v>
          </cell>
          <cell r="J267">
            <v>23</v>
          </cell>
          <cell r="K267" t="str">
            <v>75</v>
          </cell>
        </row>
        <row r="268">
          <cell r="A268" t="str">
            <v>02-51</v>
          </cell>
          <cell r="B268">
            <v>115</v>
          </cell>
          <cell r="C268" t="str">
            <v>C1.AM.02.51</v>
          </cell>
          <cell r="D268" t="str">
            <v>AM</v>
          </cell>
          <cell r="E268" t="str">
            <v>G-047</v>
          </cell>
          <cell r="F268" t="str">
            <v>AM071</v>
          </cell>
          <cell r="G268" t="str">
            <v>N2</v>
          </cell>
          <cell r="H268" t="str">
            <v>b2</v>
          </cell>
          <cell r="I268" t="str">
            <v>N2-b2</v>
          </cell>
          <cell r="J268" t="str">
            <v>02</v>
          </cell>
          <cell r="K268" t="str">
            <v>51</v>
          </cell>
        </row>
        <row r="269">
          <cell r="A269" t="str">
            <v>03-28</v>
          </cell>
          <cell r="B269">
            <v>156</v>
          </cell>
          <cell r="C269" t="str">
            <v>C1.AM.03.28</v>
          </cell>
          <cell r="D269" t="str">
            <v>AM</v>
          </cell>
          <cell r="E269" t="str">
            <v>G-047</v>
          </cell>
          <cell r="F269" t="str">
            <v>AM071</v>
          </cell>
          <cell r="G269" t="str">
            <v>N1</v>
          </cell>
          <cell r="H269" t="str">
            <v>b1</v>
          </cell>
          <cell r="I269" t="str">
            <v>N1-b1</v>
          </cell>
          <cell r="J269" t="str">
            <v>03</v>
          </cell>
          <cell r="K269" t="str">
            <v>28</v>
          </cell>
        </row>
        <row r="270">
          <cell r="A270" t="str">
            <v>05-57</v>
          </cell>
          <cell r="B270">
            <v>313</v>
          </cell>
          <cell r="C270" t="str">
            <v>C1.AM.05.57</v>
          </cell>
          <cell r="D270" t="str">
            <v>AM</v>
          </cell>
          <cell r="E270" t="str">
            <v>G-047</v>
          </cell>
          <cell r="F270" t="str">
            <v>AM071</v>
          </cell>
          <cell r="G270" t="str">
            <v>N1</v>
          </cell>
          <cell r="H270" t="str">
            <v>b2</v>
          </cell>
          <cell r="I270" t="str">
            <v>N1-b2</v>
          </cell>
          <cell r="J270" t="str">
            <v>05</v>
          </cell>
          <cell r="K270" t="str">
            <v>57</v>
          </cell>
        </row>
        <row r="271">
          <cell r="A271" t="str">
            <v>08-24</v>
          </cell>
          <cell r="B271">
            <v>472</v>
          </cell>
          <cell r="C271" t="str">
            <v>C1.AM.08.24</v>
          </cell>
          <cell r="D271" t="str">
            <v>AM</v>
          </cell>
          <cell r="E271" t="str">
            <v>G-047</v>
          </cell>
          <cell r="F271" t="str">
            <v>AM071</v>
          </cell>
          <cell r="G271" t="str">
            <v>N2</v>
          </cell>
          <cell r="H271" t="str">
            <v>b1</v>
          </cell>
          <cell r="I271" t="str">
            <v>N2-b1</v>
          </cell>
          <cell r="J271" t="str">
            <v>08</v>
          </cell>
          <cell r="K271" t="str">
            <v>24</v>
          </cell>
        </row>
        <row r="272">
          <cell r="A272" t="str">
            <v>19-66</v>
          </cell>
          <cell r="B272">
            <v>1002</v>
          </cell>
          <cell r="C272" t="str">
            <v>C1.AM.19.66</v>
          </cell>
          <cell r="D272" t="str">
            <v>AM</v>
          </cell>
          <cell r="E272" t="str">
            <v>G-047</v>
          </cell>
          <cell r="F272" t="str">
            <v>AM071</v>
          </cell>
          <cell r="G272" t="str">
            <v>N1</v>
          </cell>
          <cell r="H272" t="str">
            <v>b3</v>
          </cell>
          <cell r="I272" t="str">
            <v>N1-b3</v>
          </cell>
          <cell r="J272">
            <v>19</v>
          </cell>
          <cell r="K272" t="str">
            <v>66</v>
          </cell>
        </row>
        <row r="273">
          <cell r="A273" t="str">
            <v>23-69</v>
          </cell>
          <cell r="B273">
            <v>1109</v>
          </cell>
          <cell r="C273" t="str">
            <v>C1.AM.23.69</v>
          </cell>
          <cell r="D273" t="str">
            <v>AM</v>
          </cell>
          <cell r="E273" t="str">
            <v>G-047</v>
          </cell>
          <cell r="F273" t="str">
            <v>AM071</v>
          </cell>
          <cell r="G273" t="str">
            <v>N2</v>
          </cell>
          <cell r="H273" t="str">
            <v>b3</v>
          </cell>
          <cell r="I273" t="str">
            <v>N2-b3</v>
          </cell>
          <cell r="J273">
            <v>23</v>
          </cell>
          <cell r="K273" t="str">
            <v>69</v>
          </cell>
        </row>
        <row r="274">
          <cell r="A274" t="str">
            <v>04-02</v>
          </cell>
          <cell r="B274">
            <v>194</v>
          </cell>
          <cell r="C274" t="str">
            <v>C1.AM.04.02</v>
          </cell>
          <cell r="D274" t="str">
            <v>AM</v>
          </cell>
          <cell r="E274" t="str">
            <v>G-048</v>
          </cell>
          <cell r="F274" t="str">
            <v>AM073</v>
          </cell>
          <cell r="G274" t="str">
            <v>N1</v>
          </cell>
          <cell r="H274" t="str">
            <v>b1</v>
          </cell>
          <cell r="I274" t="str">
            <v>N1-b1</v>
          </cell>
          <cell r="J274" t="str">
            <v>04</v>
          </cell>
          <cell r="K274" t="str">
            <v>02</v>
          </cell>
        </row>
        <row r="275">
          <cell r="A275" t="str">
            <v>04-44</v>
          </cell>
          <cell r="B275">
            <v>236</v>
          </cell>
          <cell r="C275" t="str">
            <v>C1.AM.04.44</v>
          </cell>
          <cell r="D275" t="str">
            <v>AM</v>
          </cell>
          <cell r="E275" t="str">
            <v>G-048</v>
          </cell>
          <cell r="F275" t="str">
            <v>AM073</v>
          </cell>
          <cell r="G275" t="str">
            <v>N2</v>
          </cell>
          <cell r="H275" t="str">
            <v>b2</v>
          </cell>
          <cell r="I275" t="str">
            <v>N2-b2</v>
          </cell>
          <cell r="J275" t="str">
            <v>04</v>
          </cell>
          <cell r="K275" t="str">
            <v>44</v>
          </cell>
        </row>
        <row r="276">
          <cell r="A276" t="str">
            <v>07-13</v>
          </cell>
          <cell r="B276">
            <v>397</v>
          </cell>
          <cell r="C276" t="str">
            <v>C1.AM.07.13</v>
          </cell>
          <cell r="D276" t="str">
            <v>AM</v>
          </cell>
          <cell r="E276" t="str">
            <v>G-048</v>
          </cell>
          <cell r="F276" t="str">
            <v>AM073</v>
          </cell>
          <cell r="G276" t="str">
            <v>N2</v>
          </cell>
          <cell r="H276" t="str">
            <v>b1</v>
          </cell>
          <cell r="I276" t="str">
            <v>N2-b1</v>
          </cell>
          <cell r="J276" t="str">
            <v>07</v>
          </cell>
          <cell r="K276" t="str">
            <v>13</v>
          </cell>
        </row>
        <row r="277">
          <cell r="A277" t="str">
            <v>08-62</v>
          </cell>
          <cell r="B277">
            <v>510</v>
          </cell>
          <cell r="C277" t="str">
            <v>C1.AM.08.62</v>
          </cell>
          <cell r="D277" t="str">
            <v>AM</v>
          </cell>
          <cell r="E277" t="str">
            <v>G-048</v>
          </cell>
          <cell r="F277" t="str">
            <v>AM073</v>
          </cell>
          <cell r="G277" t="str">
            <v>N1</v>
          </cell>
          <cell r="H277" t="str">
            <v>b2</v>
          </cell>
          <cell r="I277" t="str">
            <v>N1-b2</v>
          </cell>
          <cell r="J277" t="str">
            <v>08</v>
          </cell>
          <cell r="K277" t="str">
            <v>62</v>
          </cell>
        </row>
        <row r="278">
          <cell r="A278" t="str">
            <v>19-67</v>
          </cell>
          <cell r="B278">
            <v>1003</v>
          </cell>
          <cell r="C278" t="str">
            <v>C1.AM.19.67</v>
          </cell>
          <cell r="D278" t="str">
            <v>AM</v>
          </cell>
          <cell r="E278" t="str">
            <v>G-048</v>
          </cell>
          <cell r="F278" t="str">
            <v>AM073</v>
          </cell>
          <cell r="G278" t="str">
            <v>N1</v>
          </cell>
          <cell r="H278" t="str">
            <v>b3</v>
          </cell>
          <cell r="I278" t="str">
            <v>N1-b3</v>
          </cell>
          <cell r="J278">
            <v>19</v>
          </cell>
          <cell r="K278" t="str">
            <v>67</v>
          </cell>
        </row>
        <row r="279">
          <cell r="A279" t="str">
            <v>21-86</v>
          </cell>
          <cell r="B279">
            <v>1074</v>
          </cell>
          <cell r="C279" t="str">
            <v>C1.AM.21.86</v>
          </cell>
          <cell r="D279" t="str">
            <v>AM</v>
          </cell>
          <cell r="E279" t="str">
            <v>G-048</v>
          </cell>
          <cell r="F279" t="str">
            <v>AM073</v>
          </cell>
          <cell r="G279" t="str">
            <v>N2</v>
          </cell>
          <cell r="H279" t="str">
            <v>b3</v>
          </cell>
          <cell r="I279" t="str">
            <v>N2-b3</v>
          </cell>
          <cell r="J279">
            <v>21</v>
          </cell>
          <cell r="K279" t="str">
            <v>86</v>
          </cell>
        </row>
        <row r="280">
          <cell r="A280" t="str">
            <v>03-18</v>
          </cell>
          <cell r="B280">
            <v>146</v>
          </cell>
          <cell r="C280" t="str">
            <v>C1.AM.03.18</v>
          </cell>
          <cell r="D280" t="str">
            <v>AM</v>
          </cell>
          <cell r="E280" t="str">
            <v>G-049</v>
          </cell>
          <cell r="F280" t="str">
            <v>AM074</v>
          </cell>
          <cell r="G280" t="str">
            <v>N1</v>
          </cell>
          <cell r="H280" t="str">
            <v>b1</v>
          </cell>
          <cell r="I280" t="str">
            <v>N1-b1</v>
          </cell>
          <cell r="J280" t="str">
            <v>03</v>
          </cell>
          <cell r="K280" t="str">
            <v>18</v>
          </cell>
        </row>
        <row r="281">
          <cell r="A281" t="str">
            <v>04-45</v>
          </cell>
          <cell r="B281">
            <v>237</v>
          </cell>
          <cell r="C281" t="str">
            <v>C1.AM.04.45</v>
          </cell>
          <cell r="D281" t="str">
            <v>AM</v>
          </cell>
          <cell r="E281" t="str">
            <v>G-049</v>
          </cell>
          <cell r="F281" t="str">
            <v>AM074</v>
          </cell>
          <cell r="G281" t="str">
            <v>N2</v>
          </cell>
          <cell r="H281" t="str">
            <v>b2</v>
          </cell>
          <cell r="I281" t="str">
            <v>N2-b2</v>
          </cell>
          <cell r="J281" t="str">
            <v>04</v>
          </cell>
          <cell r="K281" t="str">
            <v>45</v>
          </cell>
        </row>
        <row r="282">
          <cell r="A282" t="str">
            <v>05-17</v>
          </cell>
          <cell r="B282">
            <v>273</v>
          </cell>
          <cell r="C282" t="str">
            <v>C1.AM.05.17</v>
          </cell>
          <cell r="D282" t="str">
            <v>AM</v>
          </cell>
          <cell r="E282" t="str">
            <v>G-049</v>
          </cell>
          <cell r="F282" t="str">
            <v>AM074</v>
          </cell>
          <cell r="G282" t="str">
            <v>N2</v>
          </cell>
          <cell r="H282" t="str">
            <v>b1</v>
          </cell>
          <cell r="I282" t="str">
            <v>N2-b1</v>
          </cell>
          <cell r="J282" t="str">
            <v>05</v>
          </cell>
          <cell r="K282" t="str">
            <v>17</v>
          </cell>
        </row>
        <row r="283">
          <cell r="A283" t="str">
            <v>08-54</v>
          </cell>
          <cell r="B283">
            <v>502</v>
          </cell>
          <cell r="C283" t="str">
            <v>C1.AM.08.54</v>
          </cell>
          <cell r="D283" t="str">
            <v>AM</v>
          </cell>
          <cell r="E283" t="str">
            <v>G-049</v>
          </cell>
          <cell r="F283" t="str">
            <v>AM074</v>
          </cell>
          <cell r="G283" t="str">
            <v>N1</v>
          </cell>
          <cell r="H283" t="str">
            <v>b2</v>
          </cell>
          <cell r="I283" t="str">
            <v>N1-b2</v>
          </cell>
          <cell r="J283" t="str">
            <v>08</v>
          </cell>
          <cell r="K283" t="str">
            <v>54</v>
          </cell>
        </row>
        <row r="284">
          <cell r="A284" t="str">
            <v>18-71</v>
          </cell>
          <cell r="B284">
            <v>981</v>
          </cell>
          <cell r="C284" t="str">
            <v>C1.AM.18.71</v>
          </cell>
          <cell r="D284" t="str">
            <v>AM</v>
          </cell>
          <cell r="E284" t="str">
            <v>G-049</v>
          </cell>
          <cell r="F284" t="str">
            <v>AM074</v>
          </cell>
          <cell r="G284" t="str">
            <v>N1</v>
          </cell>
          <cell r="H284" t="str">
            <v>b3</v>
          </cell>
          <cell r="I284" t="str">
            <v>N1-b3</v>
          </cell>
          <cell r="J284">
            <v>18</v>
          </cell>
          <cell r="K284" t="str">
            <v>71</v>
          </cell>
        </row>
        <row r="285">
          <cell r="A285" t="str">
            <v>22-69</v>
          </cell>
          <cell r="B285">
            <v>1083</v>
          </cell>
          <cell r="C285" t="str">
            <v>C1.AM.22.69</v>
          </cell>
          <cell r="D285" t="str">
            <v>AM</v>
          </cell>
          <cell r="E285" t="str">
            <v>G-049</v>
          </cell>
          <cell r="F285" t="str">
            <v>AM074</v>
          </cell>
          <cell r="G285" t="str">
            <v>N2</v>
          </cell>
          <cell r="H285" t="str">
            <v>b3</v>
          </cell>
          <cell r="I285" t="str">
            <v>N2-b3</v>
          </cell>
          <cell r="J285">
            <v>22</v>
          </cell>
          <cell r="K285" t="str">
            <v>69</v>
          </cell>
        </row>
        <row r="286">
          <cell r="A286" t="str">
            <v>02-28</v>
          </cell>
          <cell r="B286">
            <v>92</v>
          </cell>
          <cell r="C286" t="str">
            <v>C1.AM.02.28</v>
          </cell>
          <cell r="D286" t="str">
            <v>AM</v>
          </cell>
          <cell r="E286" t="str">
            <v>G-050</v>
          </cell>
          <cell r="F286" t="str">
            <v>AM076</v>
          </cell>
          <cell r="G286" t="str">
            <v>N1</v>
          </cell>
          <cell r="H286" t="str">
            <v>b1</v>
          </cell>
          <cell r="I286" t="str">
            <v>N1-b1</v>
          </cell>
          <cell r="J286" t="str">
            <v>02</v>
          </cell>
          <cell r="K286" t="str">
            <v>28</v>
          </cell>
        </row>
        <row r="287">
          <cell r="A287" t="str">
            <v>04-43</v>
          </cell>
          <cell r="B287">
            <v>235</v>
          </cell>
          <cell r="C287" t="str">
            <v>C1.AM.04.43</v>
          </cell>
          <cell r="D287" t="str">
            <v>AM</v>
          </cell>
          <cell r="E287" t="str">
            <v>G-050</v>
          </cell>
          <cell r="F287" t="str">
            <v>AM076</v>
          </cell>
          <cell r="G287" t="str">
            <v>N2</v>
          </cell>
          <cell r="H287" t="str">
            <v>b2</v>
          </cell>
          <cell r="I287" t="str">
            <v>N2-b2</v>
          </cell>
          <cell r="J287" t="str">
            <v>04</v>
          </cell>
          <cell r="K287" t="str">
            <v>43</v>
          </cell>
        </row>
        <row r="288">
          <cell r="A288" t="str">
            <v>05-50</v>
          </cell>
          <cell r="B288">
            <v>306</v>
          </cell>
          <cell r="C288" t="str">
            <v>C1.AM.05.50</v>
          </cell>
          <cell r="D288" t="str">
            <v>AM</v>
          </cell>
          <cell r="E288" t="str">
            <v>G-050</v>
          </cell>
          <cell r="F288" t="str">
            <v>AM076</v>
          </cell>
          <cell r="G288" t="str">
            <v>N1</v>
          </cell>
          <cell r="H288" t="str">
            <v>b2</v>
          </cell>
          <cell r="I288" t="str">
            <v>N1-b2</v>
          </cell>
          <cell r="J288" t="str">
            <v>05</v>
          </cell>
          <cell r="K288" t="str">
            <v>50</v>
          </cell>
        </row>
        <row r="289">
          <cell r="A289" t="str">
            <v>06-29</v>
          </cell>
          <cell r="B289">
            <v>349</v>
          </cell>
          <cell r="C289" t="str">
            <v>C1.AM.06.29</v>
          </cell>
          <cell r="D289" t="str">
            <v>AM</v>
          </cell>
          <cell r="E289" t="str">
            <v>G-050</v>
          </cell>
          <cell r="F289" t="str">
            <v>AM076</v>
          </cell>
          <cell r="G289" t="str">
            <v>N2</v>
          </cell>
          <cell r="H289" t="str">
            <v>b1</v>
          </cell>
          <cell r="I289" t="str">
            <v>N2-b1</v>
          </cell>
          <cell r="J289" t="str">
            <v>06</v>
          </cell>
          <cell r="K289" t="str">
            <v>29</v>
          </cell>
        </row>
        <row r="290">
          <cell r="A290" t="str">
            <v>19-68</v>
          </cell>
          <cell r="B290">
            <v>1004</v>
          </cell>
          <cell r="C290" t="str">
            <v>C1.AM.19.68</v>
          </cell>
          <cell r="D290" t="str">
            <v>AM</v>
          </cell>
          <cell r="E290" t="str">
            <v>G-050</v>
          </cell>
          <cell r="F290" t="str">
            <v>AM076</v>
          </cell>
          <cell r="G290" t="str">
            <v>N1</v>
          </cell>
          <cell r="H290" t="str">
            <v>b3</v>
          </cell>
          <cell r="I290" t="str">
            <v>N1-b3</v>
          </cell>
          <cell r="J290">
            <v>19</v>
          </cell>
          <cell r="K290" t="str">
            <v>68</v>
          </cell>
        </row>
        <row r="291">
          <cell r="A291" t="str">
            <v>21-76</v>
          </cell>
          <cell r="B291">
            <v>1064</v>
          </cell>
          <cell r="C291" t="str">
            <v>C1.AM.21.76</v>
          </cell>
          <cell r="D291" t="str">
            <v>AM</v>
          </cell>
          <cell r="E291" t="str">
            <v>G-050</v>
          </cell>
          <cell r="F291" t="str">
            <v>AM076</v>
          </cell>
          <cell r="G291" t="str">
            <v>N2</v>
          </cell>
          <cell r="H291" t="str">
            <v>b3</v>
          </cell>
          <cell r="I291" t="str">
            <v>N2-b3</v>
          </cell>
          <cell r="J291">
            <v>21</v>
          </cell>
          <cell r="K291" t="str">
            <v>76</v>
          </cell>
        </row>
        <row r="292">
          <cell r="A292" t="str">
            <v>03-10</v>
          </cell>
          <cell r="B292">
            <v>138</v>
          </cell>
          <cell r="C292" t="str">
            <v>C1.AM.03.10</v>
          </cell>
          <cell r="D292" t="str">
            <v>AM</v>
          </cell>
          <cell r="E292" t="str">
            <v>G-051</v>
          </cell>
          <cell r="F292" t="str">
            <v>AM078</v>
          </cell>
          <cell r="G292" t="str">
            <v>N1</v>
          </cell>
          <cell r="H292" t="str">
            <v>b1</v>
          </cell>
          <cell r="I292" t="str">
            <v>N1-b1</v>
          </cell>
          <cell r="J292" t="str">
            <v>03</v>
          </cell>
          <cell r="K292" t="str">
            <v>10</v>
          </cell>
        </row>
        <row r="293">
          <cell r="A293" t="str">
            <v>03-51</v>
          </cell>
          <cell r="B293">
            <v>179</v>
          </cell>
          <cell r="C293" t="str">
            <v>C1.AM.03.51</v>
          </cell>
          <cell r="D293" t="str">
            <v>AM</v>
          </cell>
          <cell r="E293" t="str">
            <v>G-051</v>
          </cell>
          <cell r="F293" t="str">
            <v>AM078</v>
          </cell>
          <cell r="G293" t="str">
            <v>N2</v>
          </cell>
          <cell r="H293" t="str">
            <v>b2</v>
          </cell>
          <cell r="I293" t="str">
            <v>N2-b2</v>
          </cell>
          <cell r="J293" t="str">
            <v>03</v>
          </cell>
          <cell r="K293" t="str">
            <v>51</v>
          </cell>
        </row>
        <row r="294">
          <cell r="A294" t="str">
            <v>05-23</v>
          </cell>
          <cell r="B294">
            <v>279</v>
          </cell>
          <cell r="C294" t="str">
            <v>C1.AM.05.23</v>
          </cell>
          <cell r="D294" t="str">
            <v>AM</v>
          </cell>
          <cell r="E294" t="str">
            <v>G-051</v>
          </cell>
          <cell r="F294" t="str">
            <v>AM078</v>
          </cell>
          <cell r="G294" t="str">
            <v>N2</v>
          </cell>
          <cell r="H294" t="str">
            <v>b1</v>
          </cell>
          <cell r="I294" t="str">
            <v>N2-b1</v>
          </cell>
          <cell r="J294" t="str">
            <v>05</v>
          </cell>
          <cell r="K294" t="str">
            <v>23</v>
          </cell>
        </row>
        <row r="295">
          <cell r="A295" t="str">
            <v>05-46</v>
          </cell>
          <cell r="B295">
            <v>302</v>
          </cell>
          <cell r="C295" t="str">
            <v>C1.AM.05.46</v>
          </cell>
          <cell r="D295" t="str">
            <v>AM</v>
          </cell>
          <cell r="E295" t="str">
            <v>G-051</v>
          </cell>
          <cell r="F295" t="str">
            <v>AM078</v>
          </cell>
          <cell r="G295" t="str">
            <v>N1</v>
          </cell>
          <cell r="H295" t="str">
            <v>b2</v>
          </cell>
          <cell r="I295" t="str">
            <v>N1-b2</v>
          </cell>
          <cell r="J295" t="str">
            <v>05</v>
          </cell>
          <cell r="K295" t="str">
            <v>46</v>
          </cell>
        </row>
        <row r="296">
          <cell r="A296" t="str">
            <v>15-68</v>
          </cell>
          <cell r="B296">
            <v>900</v>
          </cell>
          <cell r="C296" t="str">
            <v>C1.AM.15.68</v>
          </cell>
          <cell r="D296" t="str">
            <v>AM</v>
          </cell>
          <cell r="E296" t="str">
            <v>G-051</v>
          </cell>
          <cell r="F296" t="str">
            <v>AM078</v>
          </cell>
          <cell r="G296" t="str">
            <v>N1</v>
          </cell>
          <cell r="H296" t="str">
            <v>b3</v>
          </cell>
          <cell r="I296" t="str">
            <v>N1-b3</v>
          </cell>
          <cell r="J296">
            <v>15</v>
          </cell>
          <cell r="K296" t="str">
            <v>68</v>
          </cell>
        </row>
        <row r="297">
          <cell r="A297" t="str">
            <v>23-88</v>
          </cell>
          <cell r="B297">
            <v>1128</v>
          </cell>
          <cell r="C297" t="str">
            <v>C1.AM.23.88</v>
          </cell>
          <cell r="D297" t="str">
            <v>AM</v>
          </cell>
          <cell r="E297" t="str">
            <v>G-051</v>
          </cell>
          <cell r="F297" t="str">
            <v>AM078</v>
          </cell>
          <cell r="G297" t="str">
            <v>N2</v>
          </cell>
          <cell r="H297" t="str">
            <v>b3</v>
          </cell>
          <cell r="I297" t="str">
            <v>N2-b3</v>
          </cell>
          <cell r="J297">
            <v>23</v>
          </cell>
          <cell r="K297" t="str">
            <v>88</v>
          </cell>
        </row>
        <row r="298">
          <cell r="A298" t="str">
            <v>02-41</v>
          </cell>
          <cell r="B298">
            <v>105</v>
          </cell>
          <cell r="C298" t="str">
            <v>C1.AM.02.41</v>
          </cell>
          <cell r="D298" t="str">
            <v>AM</v>
          </cell>
          <cell r="E298" t="str">
            <v>G-052</v>
          </cell>
          <cell r="F298" t="str">
            <v>AM080</v>
          </cell>
          <cell r="G298" t="str">
            <v>N2</v>
          </cell>
          <cell r="H298" t="str">
            <v>b2</v>
          </cell>
          <cell r="I298" t="str">
            <v>N2-b2</v>
          </cell>
          <cell r="J298" t="str">
            <v>02</v>
          </cell>
          <cell r="K298" t="str">
            <v>41</v>
          </cell>
        </row>
        <row r="299">
          <cell r="A299" t="str">
            <v>04-32</v>
          </cell>
          <cell r="B299">
            <v>224</v>
          </cell>
          <cell r="C299" t="str">
            <v>C1.AM.04.32</v>
          </cell>
          <cell r="D299" t="str">
            <v>AM</v>
          </cell>
          <cell r="E299" t="str">
            <v>G-052</v>
          </cell>
          <cell r="F299" t="str">
            <v>AM080</v>
          </cell>
          <cell r="G299" t="str">
            <v>N1</v>
          </cell>
          <cell r="H299" t="str">
            <v>b1</v>
          </cell>
          <cell r="I299" t="str">
            <v>N1-b1</v>
          </cell>
          <cell r="J299" t="str">
            <v>04</v>
          </cell>
          <cell r="K299" t="str">
            <v>32</v>
          </cell>
        </row>
        <row r="300">
          <cell r="A300" t="str">
            <v>07-05</v>
          </cell>
          <cell r="B300">
            <v>389</v>
          </cell>
          <cell r="C300" t="str">
            <v>C1.AM.07.05</v>
          </cell>
          <cell r="D300" t="str">
            <v>AM</v>
          </cell>
          <cell r="E300" t="str">
            <v>G-052</v>
          </cell>
          <cell r="F300" t="str">
            <v>AM080</v>
          </cell>
          <cell r="G300" t="str">
            <v>N2</v>
          </cell>
          <cell r="H300" t="str">
            <v>b1</v>
          </cell>
          <cell r="I300" t="str">
            <v>N2-b1</v>
          </cell>
          <cell r="J300" t="str">
            <v>07</v>
          </cell>
          <cell r="K300" t="str">
            <v>05</v>
          </cell>
        </row>
        <row r="301">
          <cell r="A301" t="str">
            <v>08-51</v>
          </cell>
          <cell r="B301">
            <v>499</v>
          </cell>
          <cell r="C301" t="str">
            <v>C1.AM.08.51</v>
          </cell>
          <cell r="D301" t="str">
            <v>AM</v>
          </cell>
          <cell r="E301" t="str">
            <v>G-052</v>
          </cell>
          <cell r="F301" t="str">
            <v>AM080</v>
          </cell>
          <cell r="G301" t="str">
            <v>N1</v>
          </cell>
          <cell r="H301" t="str">
            <v>b2</v>
          </cell>
          <cell r="I301" t="str">
            <v>N1-b2</v>
          </cell>
          <cell r="J301" t="str">
            <v>08</v>
          </cell>
          <cell r="K301" t="str">
            <v>51</v>
          </cell>
        </row>
        <row r="302">
          <cell r="A302" t="str">
            <v>18-70</v>
          </cell>
          <cell r="B302">
            <v>980</v>
          </cell>
          <cell r="C302" t="str">
            <v>C1.AM.18.70</v>
          </cell>
          <cell r="D302" t="str">
            <v>AM</v>
          </cell>
          <cell r="E302" t="str">
            <v>G-052</v>
          </cell>
          <cell r="F302" t="str">
            <v>AM080</v>
          </cell>
          <cell r="G302" t="str">
            <v>N1</v>
          </cell>
          <cell r="H302" t="str">
            <v>b3</v>
          </cell>
          <cell r="I302" t="str">
            <v>N1-b3</v>
          </cell>
          <cell r="J302">
            <v>18</v>
          </cell>
          <cell r="K302" t="str">
            <v>70</v>
          </cell>
        </row>
        <row r="303">
          <cell r="A303" t="str">
            <v>23-80</v>
          </cell>
          <cell r="B303">
            <v>1120</v>
          </cell>
          <cell r="C303" t="str">
            <v>C1.AM.23.80</v>
          </cell>
          <cell r="D303" t="str">
            <v>AM</v>
          </cell>
          <cell r="E303" t="str">
            <v>G-052</v>
          </cell>
          <cell r="F303" t="str">
            <v>AM080</v>
          </cell>
          <cell r="G303" t="str">
            <v>N2</v>
          </cell>
          <cell r="H303" t="str">
            <v>b3</v>
          </cell>
          <cell r="I303" t="str">
            <v>N2-b3</v>
          </cell>
          <cell r="J303">
            <v>23</v>
          </cell>
          <cell r="K303" t="str">
            <v>80</v>
          </cell>
        </row>
        <row r="304">
          <cell r="A304" t="str">
            <v>01-12</v>
          </cell>
          <cell r="B304">
            <v>12</v>
          </cell>
          <cell r="C304" t="str">
            <v>C1.AM.01.12</v>
          </cell>
          <cell r="D304" t="str">
            <v>AM</v>
          </cell>
          <cell r="E304" t="str">
            <v>G-053</v>
          </cell>
          <cell r="F304" t="str">
            <v>AM082</v>
          </cell>
          <cell r="G304" t="str">
            <v>N1</v>
          </cell>
          <cell r="H304" t="str">
            <v>b1</v>
          </cell>
          <cell r="I304" t="str">
            <v>N1-b1</v>
          </cell>
          <cell r="J304" t="str">
            <v>01</v>
          </cell>
          <cell r="K304" t="str">
            <v>12</v>
          </cell>
        </row>
        <row r="305">
          <cell r="A305" t="str">
            <v>04-57</v>
          </cell>
          <cell r="B305">
            <v>249</v>
          </cell>
          <cell r="C305" t="str">
            <v>C1.AM.04.57</v>
          </cell>
          <cell r="D305" t="str">
            <v>AM</v>
          </cell>
          <cell r="E305" t="str">
            <v>G-053</v>
          </cell>
          <cell r="F305" t="str">
            <v>AM082</v>
          </cell>
          <cell r="G305" t="str">
            <v>N2</v>
          </cell>
          <cell r="H305" t="str">
            <v>b2</v>
          </cell>
          <cell r="I305" t="str">
            <v>N2-b2</v>
          </cell>
          <cell r="J305" t="str">
            <v>04</v>
          </cell>
          <cell r="K305" t="str">
            <v>57</v>
          </cell>
        </row>
        <row r="306">
          <cell r="A306" t="str">
            <v>06-62</v>
          </cell>
          <cell r="B306">
            <v>382</v>
          </cell>
          <cell r="C306" t="str">
            <v>C1.AM.06.62</v>
          </cell>
          <cell r="D306" t="str">
            <v>AM</v>
          </cell>
          <cell r="E306" t="str">
            <v>G-053</v>
          </cell>
          <cell r="F306" t="str">
            <v>AM082</v>
          </cell>
          <cell r="G306" t="str">
            <v>N1</v>
          </cell>
          <cell r="H306" t="str">
            <v>b2</v>
          </cell>
          <cell r="I306" t="str">
            <v>N1-b2</v>
          </cell>
          <cell r="J306" t="str">
            <v>06</v>
          </cell>
          <cell r="K306" t="str">
            <v>62</v>
          </cell>
        </row>
        <row r="307">
          <cell r="A307" t="str">
            <v>08-21</v>
          </cell>
          <cell r="B307">
            <v>469</v>
          </cell>
          <cell r="C307" t="str">
            <v>C1.AM.08.21</v>
          </cell>
          <cell r="D307" t="str">
            <v>AM</v>
          </cell>
          <cell r="E307" t="str">
            <v>G-053</v>
          </cell>
          <cell r="F307" t="str">
            <v>AM082</v>
          </cell>
          <cell r="G307" t="str">
            <v>N2</v>
          </cell>
          <cell r="H307" t="str">
            <v>b1</v>
          </cell>
          <cell r="I307" t="str">
            <v>N2-b1</v>
          </cell>
          <cell r="J307" t="str">
            <v>08</v>
          </cell>
          <cell r="K307" t="str">
            <v>21</v>
          </cell>
        </row>
        <row r="308">
          <cell r="A308" t="str">
            <v>19-88</v>
          </cell>
          <cell r="B308">
            <v>1024</v>
          </cell>
          <cell r="C308" t="str">
            <v>C1.AM.19.88</v>
          </cell>
          <cell r="D308" t="str">
            <v>AM</v>
          </cell>
          <cell r="E308" t="str">
            <v>G-053</v>
          </cell>
          <cell r="F308" t="str">
            <v>AM082</v>
          </cell>
          <cell r="G308" t="str">
            <v>N1</v>
          </cell>
          <cell r="H308" t="str">
            <v>b3</v>
          </cell>
          <cell r="I308" t="str">
            <v>N1-b3</v>
          </cell>
          <cell r="J308">
            <v>19</v>
          </cell>
          <cell r="K308" t="str">
            <v>88</v>
          </cell>
        </row>
        <row r="309">
          <cell r="A309" t="str">
            <v>21-81</v>
          </cell>
          <cell r="B309">
            <v>1069</v>
          </cell>
          <cell r="C309" t="str">
            <v>C1.AM.21.81</v>
          </cell>
          <cell r="D309" t="str">
            <v>AM</v>
          </cell>
          <cell r="E309" t="str">
            <v>G-053</v>
          </cell>
          <cell r="F309" t="str">
            <v>AM082</v>
          </cell>
          <cell r="G309" t="str">
            <v>N2</v>
          </cell>
          <cell r="H309" t="str">
            <v>b3</v>
          </cell>
          <cell r="I309" t="str">
            <v>N2-b3</v>
          </cell>
          <cell r="J309">
            <v>21</v>
          </cell>
          <cell r="K309" t="str">
            <v>81</v>
          </cell>
        </row>
        <row r="310">
          <cell r="A310" t="str">
            <v>02-19</v>
          </cell>
          <cell r="B310">
            <v>83</v>
          </cell>
          <cell r="C310" t="str">
            <v>C1.AM.02.19</v>
          </cell>
          <cell r="D310" t="str">
            <v>AM</v>
          </cell>
          <cell r="E310" t="str">
            <v>G-054</v>
          </cell>
          <cell r="F310" t="str">
            <v>AM083</v>
          </cell>
          <cell r="G310" t="str">
            <v>N1</v>
          </cell>
          <cell r="H310" t="str">
            <v>b1</v>
          </cell>
          <cell r="I310" t="str">
            <v>N1-b1</v>
          </cell>
          <cell r="J310" t="str">
            <v>02</v>
          </cell>
          <cell r="K310" t="str">
            <v>19</v>
          </cell>
        </row>
        <row r="311">
          <cell r="A311" t="str">
            <v>03-55</v>
          </cell>
          <cell r="B311">
            <v>183</v>
          </cell>
          <cell r="C311" t="str">
            <v>C1.AM.03.55</v>
          </cell>
          <cell r="D311" t="str">
            <v>AM</v>
          </cell>
          <cell r="E311" t="str">
            <v>G-054</v>
          </cell>
          <cell r="F311" t="str">
            <v>AM083</v>
          </cell>
          <cell r="G311" t="str">
            <v>N2</v>
          </cell>
          <cell r="H311" t="str">
            <v>b2</v>
          </cell>
          <cell r="I311" t="str">
            <v>N2-b2</v>
          </cell>
          <cell r="J311" t="str">
            <v>03</v>
          </cell>
          <cell r="K311" t="str">
            <v>55</v>
          </cell>
        </row>
        <row r="312">
          <cell r="A312" t="str">
            <v>05-16</v>
          </cell>
          <cell r="B312">
            <v>272</v>
          </cell>
          <cell r="C312" t="str">
            <v>C1.AM.05.16</v>
          </cell>
          <cell r="D312" t="str">
            <v>AM</v>
          </cell>
          <cell r="E312" t="str">
            <v>G-054</v>
          </cell>
          <cell r="F312" t="str">
            <v>AM083</v>
          </cell>
          <cell r="G312" t="str">
            <v>N2</v>
          </cell>
          <cell r="H312" t="str">
            <v>b1</v>
          </cell>
          <cell r="I312" t="str">
            <v>N2-b1</v>
          </cell>
          <cell r="J312" t="str">
            <v>05</v>
          </cell>
          <cell r="K312" t="str">
            <v>16</v>
          </cell>
        </row>
        <row r="313">
          <cell r="A313" t="str">
            <v>08-56</v>
          </cell>
          <cell r="B313">
            <v>504</v>
          </cell>
          <cell r="C313" t="str">
            <v>C1.AM.08.56</v>
          </cell>
          <cell r="D313" t="str">
            <v>AM</v>
          </cell>
          <cell r="E313" t="str">
            <v>G-054</v>
          </cell>
          <cell r="F313" t="str">
            <v>AM083</v>
          </cell>
          <cell r="G313" t="str">
            <v>N1</v>
          </cell>
          <cell r="H313" t="str">
            <v>b2</v>
          </cell>
          <cell r="I313" t="str">
            <v>N1-b2</v>
          </cell>
          <cell r="J313" t="str">
            <v>08</v>
          </cell>
          <cell r="K313" t="str">
            <v>56</v>
          </cell>
        </row>
        <row r="314">
          <cell r="A314" t="str">
            <v>19-75</v>
          </cell>
          <cell r="B314">
            <v>1011</v>
          </cell>
          <cell r="C314" t="str">
            <v>C1.AM.19.75</v>
          </cell>
          <cell r="D314" t="str">
            <v>AM</v>
          </cell>
          <cell r="E314" t="str">
            <v>G-054</v>
          </cell>
          <cell r="F314" t="str">
            <v>AM083</v>
          </cell>
          <cell r="G314" t="str">
            <v>N1</v>
          </cell>
          <cell r="H314" t="str">
            <v>b3</v>
          </cell>
          <cell r="I314" t="str">
            <v>N1-b3</v>
          </cell>
          <cell r="J314">
            <v>19</v>
          </cell>
          <cell r="K314" t="str">
            <v>75</v>
          </cell>
        </row>
        <row r="315">
          <cell r="A315" t="str">
            <v>23-67</v>
          </cell>
          <cell r="B315">
            <v>1107</v>
          </cell>
          <cell r="C315" t="str">
            <v>C1.AM.23.67</v>
          </cell>
          <cell r="D315" t="str">
            <v>AM</v>
          </cell>
          <cell r="E315" t="str">
            <v>G-054</v>
          </cell>
          <cell r="F315" t="str">
            <v>AM083</v>
          </cell>
          <cell r="G315" t="str">
            <v>N2</v>
          </cell>
          <cell r="H315" t="str">
            <v>b3</v>
          </cell>
          <cell r="I315" t="str">
            <v>N2-b3</v>
          </cell>
          <cell r="J315">
            <v>23</v>
          </cell>
          <cell r="K315" t="str">
            <v>67</v>
          </cell>
        </row>
        <row r="316">
          <cell r="A316" t="str">
            <v>02-14</v>
          </cell>
          <cell r="B316">
            <v>78</v>
          </cell>
          <cell r="C316" t="str">
            <v>C1.AM.02.14</v>
          </cell>
          <cell r="D316" t="str">
            <v>AM</v>
          </cell>
          <cell r="E316" t="str">
            <v>G-055</v>
          </cell>
          <cell r="F316" t="str">
            <v>AM084</v>
          </cell>
          <cell r="G316" t="str">
            <v>N1</v>
          </cell>
          <cell r="H316" t="str">
            <v>b1</v>
          </cell>
          <cell r="I316" t="str">
            <v>N1-b1</v>
          </cell>
          <cell r="J316" t="str">
            <v>02</v>
          </cell>
          <cell r="K316" t="str">
            <v>14</v>
          </cell>
        </row>
        <row r="317">
          <cell r="A317" t="str">
            <v>02-63</v>
          </cell>
          <cell r="B317">
            <v>127</v>
          </cell>
          <cell r="C317" t="str">
            <v>C1.AM.02.63</v>
          </cell>
          <cell r="D317" t="str">
            <v>AM</v>
          </cell>
          <cell r="E317" t="str">
            <v>G-055</v>
          </cell>
          <cell r="F317" t="str">
            <v>AM084</v>
          </cell>
          <cell r="G317" t="str">
            <v>N2</v>
          </cell>
          <cell r="H317" t="str">
            <v>b2</v>
          </cell>
          <cell r="I317" t="str">
            <v>N2-b2</v>
          </cell>
          <cell r="J317" t="str">
            <v>02</v>
          </cell>
          <cell r="K317" t="str">
            <v>63</v>
          </cell>
        </row>
        <row r="318">
          <cell r="A318" t="str">
            <v>05-42</v>
          </cell>
          <cell r="B318">
            <v>298</v>
          </cell>
          <cell r="C318" t="str">
            <v>C1.AM.05.42</v>
          </cell>
          <cell r="D318" t="str">
            <v>AM</v>
          </cell>
          <cell r="E318" t="str">
            <v>G-055</v>
          </cell>
          <cell r="F318" t="str">
            <v>AM084</v>
          </cell>
          <cell r="G318" t="str">
            <v>N1</v>
          </cell>
          <cell r="H318" t="str">
            <v>b2</v>
          </cell>
          <cell r="I318" t="str">
            <v>N1-b2</v>
          </cell>
          <cell r="J318" t="str">
            <v>05</v>
          </cell>
          <cell r="K318" t="str">
            <v>42</v>
          </cell>
        </row>
        <row r="319">
          <cell r="A319" t="str">
            <v>06-02</v>
          </cell>
          <cell r="B319">
            <v>322</v>
          </cell>
          <cell r="C319" t="str">
            <v>C1.AM.06.02</v>
          </cell>
          <cell r="D319" t="str">
            <v>AM</v>
          </cell>
          <cell r="E319" t="str">
            <v>G-055</v>
          </cell>
          <cell r="F319" t="str">
            <v>AM084</v>
          </cell>
          <cell r="G319" t="str">
            <v>N2</v>
          </cell>
          <cell r="H319" t="str">
            <v>b1</v>
          </cell>
          <cell r="I319" t="str">
            <v>N2-b1</v>
          </cell>
          <cell r="J319" t="str">
            <v>06</v>
          </cell>
          <cell r="K319" t="str">
            <v>02</v>
          </cell>
        </row>
        <row r="320">
          <cell r="A320" t="str">
            <v>16-79</v>
          </cell>
          <cell r="B320">
            <v>937</v>
          </cell>
          <cell r="C320" t="str">
            <v>C1.AM.16.79</v>
          </cell>
          <cell r="D320" t="str">
            <v>AM</v>
          </cell>
          <cell r="E320" t="str">
            <v>G-055</v>
          </cell>
          <cell r="F320" t="str">
            <v>AM084</v>
          </cell>
          <cell r="G320" t="str">
            <v>N1</v>
          </cell>
          <cell r="H320" t="str">
            <v>b3</v>
          </cell>
          <cell r="I320" t="str">
            <v>N1-b3</v>
          </cell>
          <cell r="J320" t="str">
            <v>16</v>
          </cell>
          <cell r="K320" t="str">
            <v>79</v>
          </cell>
        </row>
        <row r="321">
          <cell r="A321" t="str">
            <v>22-66</v>
          </cell>
          <cell r="B321">
            <v>1080</v>
          </cell>
          <cell r="C321" t="str">
            <v>C1.AM.22.66</v>
          </cell>
          <cell r="D321" t="str">
            <v>AM</v>
          </cell>
          <cell r="E321" t="str">
            <v>G-055</v>
          </cell>
          <cell r="F321" t="str">
            <v>AM084</v>
          </cell>
          <cell r="G321" t="str">
            <v>N2</v>
          </cell>
          <cell r="H321" t="str">
            <v>b3</v>
          </cell>
          <cell r="I321" t="str">
            <v>N2-b3</v>
          </cell>
          <cell r="J321">
            <v>22</v>
          </cell>
          <cell r="K321" t="str">
            <v>66</v>
          </cell>
        </row>
        <row r="322">
          <cell r="A322" t="str">
            <v>02-12</v>
          </cell>
          <cell r="B322">
            <v>76</v>
          </cell>
          <cell r="C322" t="str">
            <v>C1.AM.02.12</v>
          </cell>
          <cell r="D322" t="str">
            <v>AM</v>
          </cell>
          <cell r="E322" t="str">
            <v>G-056</v>
          </cell>
          <cell r="F322" t="str">
            <v>AM085</v>
          </cell>
          <cell r="G322" t="str">
            <v>N1</v>
          </cell>
          <cell r="H322" t="str">
            <v>b1</v>
          </cell>
          <cell r="I322" t="str">
            <v>N1-b1</v>
          </cell>
          <cell r="J322" t="str">
            <v>02</v>
          </cell>
          <cell r="K322" t="str">
            <v>12</v>
          </cell>
        </row>
        <row r="323">
          <cell r="A323" t="str">
            <v>02-48</v>
          </cell>
          <cell r="B323">
            <v>112</v>
          </cell>
          <cell r="C323" t="str">
            <v>C1.AM.02.48</v>
          </cell>
          <cell r="D323" t="str">
            <v>AM</v>
          </cell>
          <cell r="E323" t="str">
            <v>G-056</v>
          </cell>
          <cell r="F323" t="str">
            <v>AM085</v>
          </cell>
          <cell r="G323" t="str">
            <v>N2</v>
          </cell>
          <cell r="H323" t="str">
            <v>b2</v>
          </cell>
          <cell r="I323" t="str">
            <v>N2-b2</v>
          </cell>
          <cell r="J323" t="str">
            <v>02</v>
          </cell>
          <cell r="K323" t="str">
            <v>48</v>
          </cell>
        </row>
        <row r="324">
          <cell r="A324" t="str">
            <v>06-28</v>
          </cell>
          <cell r="B324">
            <v>348</v>
          </cell>
          <cell r="C324" t="str">
            <v>C1.AM.06.28</v>
          </cell>
          <cell r="D324" t="str">
            <v>AM</v>
          </cell>
          <cell r="E324" t="str">
            <v>G-056</v>
          </cell>
          <cell r="F324" t="str">
            <v>AM085</v>
          </cell>
          <cell r="G324" t="str">
            <v>N2</v>
          </cell>
          <cell r="H324" t="str">
            <v>b1</v>
          </cell>
          <cell r="I324" t="str">
            <v>N2-b1</v>
          </cell>
          <cell r="J324" t="str">
            <v>06</v>
          </cell>
          <cell r="K324" t="str">
            <v>28</v>
          </cell>
        </row>
        <row r="325">
          <cell r="A325" t="str">
            <v>07-36</v>
          </cell>
          <cell r="B325">
            <v>420</v>
          </cell>
          <cell r="C325" t="str">
            <v>C1.AM.07.36</v>
          </cell>
          <cell r="D325" t="str">
            <v>AM</v>
          </cell>
          <cell r="E325" t="str">
            <v>G-056</v>
          </cell>
          <cell r="F325" t="str">
            <v>AM085</v>
          </cell>
          <cell r="G325" t="str">
            <v>N1</v>
          </cell>
          <cell r="H325" t="str">
            <v>b2</v>
          </cell>
          <cell r="I325" t="str">
            <v>N1-b2</v>
          </cell>
          <cell r="J325" t="str">
            <v>07</v>
          </cell>
          <cell r="K325" t="str">
            <v>36</v>
          </cell>
        </row>
        <row r="326">
          <cell r="A326" t="str">
            <v>15-89</v>
          </cell>
          <cell r="B326">
            <v>921</v>
          </cell>
          <cell r="C326" t="str">
            <v>C1.AM.15.89</v>
          </cell>
          <cell r="D326" t="str">
            <v>AM</v>
          </cell>
          <cell r="E326" t="str">
            <v>G-056</v>
          </cell>
          <cell r="F326" t="str">
            <v>AM085</v>
          </cell>
          <cell r="G326" t="str">
            <v>N1</v>
          </cell>
          <cell r="H326" t="str">
            <v>b3</v>
          </cell>
          <cell r="I326" t="str">
            <v>N1-b3</v>
          </cell>
          <cell r="J326">
            <v>15</v>
          </cell>
          <cell r="K326" t="str">
            <v>89</v>
          </cell>
        </row>
        <row r="327">
          <cell r="A327" t="str">
            <v>20-88</v>
          </cell>
          <cell r="B327">
            <v>1050</v>
          </cell>
          <cell r="C327" t="str">
            <v>C1.AM.20.88</v>
          </cell>
          <cell r="D327" t="str">
            <v>AM</v>
          </cell>
          <cell r="E327" t="str">
            <v>G-056</v>
          </cell>
          <cell r="F327" t="str">
            <v>AM085</v>
          </cell>
          <cell r="G327" t="str">
            <v>N2</v>
          </cell>
          <cell r="H327" t="str">
            <v>b3</v>
          </cell>
          <cell r="I327" t="str">
            <v>N2-b3</v>
          </cell>
          <cell r="J327">
            <v>20</v>
          </cell>
          <cell r="K327" t="str">
            <v>88</v>
          </cell>
        </row>
        <row r="328">
          <cell r="A328" t="str">
            <v>01-35</v>
          </cell>
          <cell r="B328">
            <v>35</v>
          </cell>
          <cell r="C328" t="str">
            <v>C1.AM.01.35</v>
          </cell>
          <cell r="D328" t="str">
            <v>AM</v>
          </cell>
          <cell r="E328" t="str">
            <v>G-057</v>
          </cell>
          <cell r="F328" t="str">
            <v>AM086</v>
          </cell>
          <cell r="G328" t="str">
            <v>N2</v>
          </cell>
          <cell r="H328" t="str">
            <v>b2</v>
          </cell>
          <cell r="I328" t="str">
            <v>N2-b2</v>
          </cell>
          <cell r="J328" t="str">
            <v>01</v>
          </cell>
          <cell r="K328" t="str">
            <v>35</v>
          </cell>
        </row>
        <row r="329">
          <cell r="A329" t="str">
            <v>03-01</v>
          </cell>
          <cell r="B329">
            <v>129</v>
          </cell>
          <cell r="C329" t="str">
            <v>C1.AM.03.01</v>
          </cell>
          <cell r="D329" t="str">
            <v>AM</v>
          </cell>
          <cell r="E329" t="str">
            <v>G-057</v>
          </cell>
          <cell r="F329" t="str">
            <v>AM086</v>
          </cell>
          <cell r="G329" t="str">
            <v>N1</v>
          </cell>
          <cell r="H329" t="str">
            <v>b1</v>
          </cell>
          <cell r="I329" t="str">
            <v>N1-b1</v>
          </cell>
          <cell r="J329" t="str">
            <v>03</v>
          </cell>
          <cell r="K329" t="str">
            <v>01</v>
          </cell>
        </row>
        <row r="330">
          <cell r="A330" t="str">
            <v>06-22</v>
          </cell>
          <cell r="B330">
            <v>342</v>
          </cell>
          <cell r="C330" t="str">
            <v>C1.AM.06.22</v>
          </cell>
          <cell r="D330" t="str">
            <v>AM</v>
          </cell>
          <cell r="E330" t="str">
            <v>G-057</v>
          </cell>
          <cell r="F330" t="str">
            <v>AM086</v>
          </cell>
          <cell r="G330" t="str">
            <v>N2</v>
          </cell>
          <cell r="H330" t="str">
            <v>b1</v>
          </cell>
          <cell r="I330" t="str">
            <v>N2-b1</v>
          </cell>
          <cell r="J330" t="str">
            <v>06</v>
          </cell>
          <cell r="K330" t="str">
            <v>22</v>
          </cell>
        </row>
        <row r="331">
          <cell r="A331" t="str">
            <v>06-41</v>
          </cell>
          <cell r="B331">
            <v>361</v>
          </cell>
          <cell r="C331" t="str">
            <v>C1.AM.06.41</v>
          </cell>
          <cell r="D331" t="str">
            <v>AM</v>
          </cell>
          <cell r="E331" t="str">
            <v>G-057</v>
          </cell>
          <cell r="F331" t="str">
            <v>AM086</v>
          </cell>
          <cell r="G331" t="str">
            <v>N1</v>
          </cell>
          <cell r="H331" t="str">
            <v>b2</v>
          </cell>
          <cell r="I331" t="str">
            <v>N1-b2</v>
          </cell>
          <cell r="J331" t="str">
            <v>06</v>
          </cell>
          <cell r="K331" t="str">
            <v>41</v>
          </cell>
        </row>
        <row r="332">
          <cell r="A332" t="str">
            <v>19-70</v>
          </cell>
          <cell r="B332">
            <v>1006</v>
          </cell>
          <cell r="C332" t="str">
            <v>C1.AM.19.70</v>
          </cell>
          <cell r="D332" t="str">
            <v>AM</v>
          </cell>
          <cell r="E332" t="str">
            <v>G-057</v>
          </cell>
          <cell r="F332" t="str">
            <v>AM086</v>
          </cell>
          <cell r="G332" t="str">
            <v>N1</v>
          </cell>
          <cell r="H332" t="str">
            <v>b3</v>
          </cell>
          <cell r="I332" t="str">
            <v>N1-b3</v>
          </cell>
          <cell r="J332">
            <v>19</v>
          </cell>
          <cell r="K332" t="str">
            <v>70</v>
          </cell>
        </row>
        <row r="333">
          <cell r="A333" t="str">
            <v>22-83</v>
          </cell>
          <cell r="B333">
            <v>1097</v>
          </cell>
          <cell r="C333" t="str">
            <v>C1.AM.22.83</v>
          </cell>
          <cell r="D333" t="str">
            <v>AM</v>
          </cell>
          <cell r="E333" t="str">
            <v>G-057</v>
          </cell>
          <cell r="F333" t="str">
            <v>AM086</v>
          </cell>
          <cell r="G333" t="str">
            <v>N2</v>
          </cell>
          <cell r="H333" t="str">
            <v>b3</v>
          </cell>
          <cell r="I333" t="str">
            <v>N2-b3</v>
          </cell>
          <cell r="J333">
            <v>22</v>
          </cell>
          <cell r="K333" t="str">
            <v>83</v>
          </cell>
        </row>
        <row r="334">
          <cell r="A334" t="str">
            <v>02-60</v>
          </cell>
          <cell r="B334">
            <v>124</v>
          </cell>
          <cell r="C334" t="str">
            <v>C1.AM.02.60</v>
          </cell>
          <cell r="D334" t="str">
            <v>AM</v>
          </cell>
          <cell r="E334" t="str">
            <v>G-058</v>
          </cell>
          <cell r="F334" t="str">
            <v>AM087</v>
          </cell>
          <cell r="G334" t="str">
            <v>N2</v>
          </cell>
          <cell r="H334" t="str">
            <v>b2</v>
          </cell>
          <cell r="I334" t="str">
            <v>N2-b2</v>
          </cell>
          <cell r="J334" t="str">
            <v>02</v>
          </cell>
          <cell r="K334" t="str">
            <v>60</v>
          </cell>
        </row>
        <row r="335">
          <cell r="A335" t="str">
            <v>03-24</v>
          </cell>
          <cell r="B335">
            <v>152</v>
          </cell>
          <cell r="C335" t="str">
            <v>C1.AM.03.24</v>
          </cell>
          <cell r="D335" t="str">
            <v>AM</v>
          </cell>
          <cell r="E335" t="str">
            <v>G-058</v>
          </cell>
          <cell r="F335" t="str">
            <v>AM087</v>
          </cell>
          <cell r="G335" t="str">
            <v>N1</v>
          </cell>
          <cell r="H335" t="str">
            <v>b1</v>
          </cell>
          <cell r="I335" t="str">
            <v>N1-b1</v>
          </cell>
          <cell r="J335" t="str">
            <v>03</v>
          </cell>
          <cell r="K335" t="str">
            <v>24</v>
          </cell>
        </row>
        <row r="336">
          <cell r="A336" t="str">
            <v>05-41</v>
          </cell>
          <cell r="B336">
            <v>297</v>
          </cell>
          <cell r="C336" t="str">
            <v>C1.AM.05.41</v>
          </cell>
          <cell r="D336" t="str">
            <v>AM</v>
          </cell>
          <cell r="E336" t="str">
            <v>G-058</v>
          </cell>
          <cell r="F336" t="str">
            <v>AM087</v>
          </cell>
          <cell r="G336" t="str">
            <v>N1</v>
          </cell>
          <cell r="H336" t="str">
            <v>b2</v>
          </cell>
          <cell r="I336" t="str">
            <v>N1-b2</v>
          </cell>
          <cell r="J336" t="str">
            <v>05</v>
          </cell>
          <cell r="K336" t="str">
            <v>41</v>
          </cell>
        </row>
        <row r="337">
          <cell r="A337" t="str">
            <v>07-01</v>
          </cell>
          <cell r="B337">
            <v>385</v>
          </cell>
          <cell r="C337" t="str">
            <v>C1.AM.07.01</v>
          </cell>
          <cell r="D337" t="str">
            <v>AM</v>
          </cell>
          <cell r="E337" t="str">
            <v>G-058</v>
          </cell>
          <cell r="F337" t="str">
            <v>AM087</v>
          </cell>
          <cell r="G337" t="str">
            <v>N2</v>
          </cell>
          <cell r="H337" t="str">
            <v>b1</v>
          </cell>
          <cell r="I337" t="str">
            <v>N2-b1</v>
          </cell>
          <cell r="J337" t="str">
            <v>07</v>
          </cell>
          <cell r="K337" t="str">
            <v>01</v>
          </cell>
        </row>
        <row r="338">
          <cell r="A338" t="str">
            <v>16-75</v>
          </cell>
          <cell r="B338">
            <v>933</v>
          </cell>
          <cell r="C338" t="str">
            <v>C1.AM.16.75</v>
          </cell>
          <cell r="D338" t="str">
            <v>AM</v>
          </cell>
          <cell r="E338" t="str">
            <v>G-058</v>
          </cell>
          <cell r="F338" t="str">
            <v>AM087</v>
          </cell>
          <cell r="G338" t="str">
            <v>N1</v>
          </cell>
          <cell r="H338" t="str">
            <v>b3</v>
          </cell>
          <cell r="I338" t="str">
            <v>N1-b3</v>
          </cell>
          <cell r="J338" t="str">
            <v>16</v>
          </cell>
          <cell r="K338" t="str">
            <v>75</v>
          </cell>
        </row>
        <row r="339">
          <cell r="A339" t="str">
            <v>20-72</v>
          </cell>
          <cell r="B339">
            <v>1034</v>
          </cell>
          <cell r="C339" t="str">
            <v>C1.AM.20.72</v>
          </cell>
          <cell r="D339" t="str">
            <v>AM</v>
          </cell>
          <cell r="E339" t="str">
            <v>G-058</v>
          </cell>
          <cell r="F339" t="str">
            <v>AM087</v>
          </cell>
          <cell r="G339" t="str">
            <v>N2</v>
          </cell>
          <cell r="H339" t="str">
            <v>b3</v>
          </cell>
          <cell r="I339" t="str">
            <v>N2-b3</v>
          </cell>
          <cell r="J339">
            <v>20</v>
          </cell>
          <cell r="K339" t="str">
            <v>72</v>
          </cell>
        </row>
        <row r="340">
          <cell r="A340" t="str">
            <v>03-39</v>
          </cell>
          <cell r="B340">
            <v>167</v>
          </cell>
          <cell r="C340" t="str">
            <v>C1.AM.03.39</v>
          </cell>
          <cell r="D340" t="str">
            <v>AM</v>
          </cell>
          <cell r="E340" t="str">
            <v>G-059</v>
          </cell>
          <cell r="F340" t="str">
            <v>AM088</v>
          </cell>
          <cell r="G340" t="str">
            <v>N2</v>
          </cell>
          <cell r="H340" t="str">
            <v>b2</v>
          </cell>
          <cell r="I340" t="str">
            <v>N2-b2</v>
          </cell>
          <cell r="J340" t="str">
            <v>03</v>
          </cell>
          <cell r="K340" t="str">
            <v>39</v>
          </cell>
        </row>
        <row r="341">
          <cell r="A341" t="str">
            <v>04-06</v>
          </cell>
          <cell r="B341">
            <v>198</v>
          </cell>
          <cell r="C341" t="str">
            <v>C1.AM.04.06</v>
          </cell>
          <cell r="D341" t="str">
            <v>AM</v>
          </cell>
          <cell r="E341" t="str">
            <v>G-059</v>
          </cell>
          <cell r="F341" t="str">
            <v>AM088</v>
          </cell>
          <cell r="G341" t="str">
            <v>N1</v>
          </cell>
          <cell r="H341" t="str">
            <v>b1</v>
          </cell>
          <cell r="I341" t="str">
            <v>N1-b1</v>
          </cell>
          <cell r="J341" t="str">
            <v>04</v>
          </cell>
          <cell r="K341" t="str">
            <v>06</v>
          </cell>
        </row>
        <row r="342">
          <cell r="A342" t="str">
            <v>06-17</v>
          </cell>
          <cell r="B342">
            <v>337</v>
          </cell>
          <cell r="C342" t="str">
            <v>C1.AM.06.17</v>
          </cell>
          <cell r="D342" t="str">
            <v>AM</v>
          </cell>
          <cell r="E342" t="str">
            <v>G-059</v>
          </cell>
          <cell r="F342" t="str">
            <v>AM088</v>
          </cell>
          <cell r="G342" t="str">
            <v>N2</v>
          </cell>
          <cell r="H342" t="str">
            <v>b1</v>
          </cell>
          <cell r="I342" t="str">
            <v>N2-b1</v>
          </cell>
          <cell r="J342" t="str">
            <v>06</v>
          </cell>
          <cell r="K342" t="str">
            <v>17</v>
          </cell>
        </row>
        <row r="343">
          <cell r="A343" t="str">
            <v>08-48</v>
          </cell>
          <cell r="B343">
            <v>496</v>
          </cell>
          <cell r="C343" t="str">
            <v>C1.AM.08.48</v>
          </cell>
          <cell r="D343" t="str">
            <v>AM</v>
          </cell>
          <cell r="E343" t="str">
            <v>G-059</v>
          </cell>
          <cell r="F343" t="str">
            <v>AM088</v>
          </cell>
          <cell r="G343" t="str">
            <v>N1</v>
          </cell>
          <cell r="H343" t="str">
            <v>b2</v>
          </cell>
          <cell r="I343" t="str">
            <v>N1-b2</v>
          </cell>
          <cell r="J343" t="str">
            <v>08</v>
          </cell>
          <cell r="K343" t="str">
            <v>48</v>
          </cell>
        </row>
        <row r="344">
          <cell r="A344" t="str">
            <v>18-81</v>
          </cell>
          <cell r="B344">
            <v>991</v>
          </cell>
          <cell r="C344" t="str">
            <v>C1.AM.18.81</v>
          </cell>
          <cell r="D344" t="str">
            <v>AM</v>
          </cell>
          <cell r="E344" t="str">
            <v>G-059</v>
          </cell>
          <cell r="F344" t="str">
            <v>AM088</v>
          </cell>
          <cell r="G344" t="str">
            <v>N1</v>
          </cell>
          <cell r="H344" t="str">
            <v>b3</v>
          </cell>
          <cell r="I344" t="str">
            <v>N1-b3</v>
          </cell>
          <cell r="J344">
            <v>18</v>
          </cell>
          <cell r="K344" t="str">
            <v>81</v>
          </cell>
        </row>
        <row r="345">
          <cell r="A345" t="str">
            <v>23-70</v>
          </cell>
          <cell r="B345">
            <v>1110</v>
          </cell>
          <cell r="C345" t="str">
            <v>C1.AM.23.70</v>
          </cell>
          <cell r="D345" t="str">
            <v>AM</v>
          </cell>
          <cell r="E345" t="str">
            <v>G-059</v>
          </cell>
          <cell r="F345" t="str">
            <v>AM088</v>
          </cell>
          <cell r="G345" t="str">
            <v>N2</v>
          </cell>
          <cell r="H345" t="str">
            <v>b3</v>
          </cell>
          <cell r="I345" t="str">
            <v>N2-b3</v>
          </cell>
          <cell r="J345">
            <v>23</v>
          </cell>
          <cell r="K345" t="str">
            <v>70</v>
          </cell>
        </row>
        <row r="346">
          <cell r="A346" t="str">
            <v>03-23</v>
          </cell>
          <cell r="B346">
            <v>151</v>
          </cell>
          <cell r="C346" t="str">
            <v>C1.AM.03.23</v>
          </cell>
          <cell r="D346" t="str">
            <v>AM</v>
          </cell>
          <cell r="E346" t="str">
            <v>G-060</v>
          </cell>
          <cell r="F346" t="str">
            <v>AM089</v>
          </cell>
          <cell r="G346" t="str">
            <v>N1</v>
          </cell>
          <cell r="H346" t="str">
            <v>b1</v>
          </cell>
          <cell r="I346" t="str">
            <v>N1-b1</v>
          </cell>
          <cell r="J346" t="str">
            <v>03</v>
          </cell>
          <cell r="K346" t="str">
            <v>23</v>
          </cell>
        </row>
        <row r="347">
          <cell r="A347" t="str">
            <v>03-50</v>
          </cell>
          <cell r="B347">
            <v>178</v>
          </cell>
          <cell r="C347" t="str">
            <v>C1.AM.03.50</v>
          </cell>
          <cell r="D347" t="str">
            <v>AM</v>
          </cell>
          <cell r="E347" t="str">
            <v>G-060</v>
          </cell>
          <cell r="F347" t="str">
            <v>AM089</v>
          </cell>
          <cell r="G347" t="str">
            <v>N2</v>
          </cell>
          <cell r="H347" t="str">
            <v>b2</v>
          </cell>
          <cell r="I347" t="str">
            <v>N2-b2</v>
          </cell>
          <cell r="J347" t="str">
            <v>03</v>
          </cell>
          <cell r="K347" t="str">
            <v>50</v>
          </cell>
        </row>
        <row r="348">
          <cell r="A348" t="str">
            <v>05-44</v>
          </cell>
          <cell r="B348">
            <v>300</v>
          </cell>
          <cell r="C348" t="str">
            <v>C1.AM.05.44</v>
          </cell>
          <cell r="D348" t="str">
            <v>AM</v>
          </cell>
          <cell r="E348" t="str">
            <v>G-060</v>
          </cell>
          <cell r="F348" t="str">
            <v>AM089</v>
          </cell>
          <cell r="G348" t="str">
            <v>N1</v>
          </cell>
          <cell r="H348" t="str">
            <v>b2</v>
          </cell>
          <cell r="I348" t="str">
            <v>N1-b2</v>
          </cell>
          <cell r="J348" t="str">
            <v>05</v>
          </cell>
          <cell r="K348" t="str">
            <v>44</v>
          </cell>
        </row>
        <row r="349">
          <cell r="A349" t="str">
            <v>07-12</v>
          </cell>
          <cell r="B349">
            <v>396</v>
          </cell>
          <cell r="C349" t="str">
            <v>C1.AM.07.12</v>
          </cell>
          <cell r="D349" t="str">
            <v>AM</v>
          </cell>
          <cell r="E349" t="str">
            <v>G-060</v>
          </cell>
          <cell r="F349" t="str">
            <v>AM089</v>
          </cell>
          <cell r="G349" t="str">
            <v>N2</v>
          </cell>
          <cell r="H349" t="str">
            <v>b1</v>
          </cell>
          <cell r="I349" t="str">
            <v>N2-b1</v>
          </cell>
          <cell r="J349" t="str">
            <v>07</v>
          </cell>
          <cell r="K349" t="str">
            <v>12</v>
          </cell>
        </row>
        <row r="350">
          <cell r="A350" t="str">
            <v>15-76</v>
          </cell>
          <cell r="B350">
            <v>908</v>
          </cell>
          <cell r="C350" t="str">
            <v>C1.AM.15.76</v>
          </cell>
          <cell r="D350" t="str">
            <v>AM</v>
          </cell>
          <cell r="E350" t="str">
            <v>G-060</v>
          </cell>
          <cell r="F350" t="str">
            <v>AM089</v>
          </cell>
          <cell r="G350" t="str">
            <v>N1</v>
          </cell>
          <cell r="H350" t="str">
            <v>b3</v>
          </cell>
          <cell r="I350" t="str">
            <v>N1-b3</v>
          </cell>
          <cell r="J350">
            <v>15</v>
          </cell>
          <cell r="K350" t="str">
            <v>76</v>
          </cell>
        </row>
        <row r="351">
          <cell r="A351" t="str">
            <v>22-79</v>
          </cell>
          <cell r="B351">
            <v>1093</v>
          </cell>
          <cell r="C351" t="str">
            <v>C1.AM.22.79</v>
          </cell>
          <cell r="D351" t="str">
            <v>AM</v>
          </cell>
          <cell r="E351" t="str">
            <v>G-060</v>
          </cell>
          <cell r="F351" t="str">
            <v>AM089</v>
          </cell>
          <cell r="G351" t="str">
            <v>N2</v>
          </cell>
          <cell r="H351" t="str">
            <v>b3</v>
          </cell>
          <cell r="I351" t="str">
            <v>N2-b3</v>
          </cell>
          <cell r="J351">
            <v>22</v>
          </cell>
          <cell r="K351" t="str">
            <v>79</v>
          </cell>
        </row>
        <row r="352">
          <cell r="A352" t="str">
            <v>01-46</v>
          </cell>
          <cell r="B352">
            <v>46</v>
          </cell>
          <cell r="C352" t="str">
            <v>C1.AM.01.46</v>
          </cell>
          <cell r="D352" t="str">
            <v>AM</v>
          </cell>
          <cell r="E352" t="str">
            <v>G-061</v>
          </cell>
          <cell r="F352" t="str">
            <v>AM090</v>
          </cell>
          <cell r="G352" t="str">
            <v>N2</v>
          </cell>
          <cell r="H352" t="str">
            <v>b2</v>
          </cell>
          <cell r="I352" t="str">
            <v>N2-b2</v>
          </cell>
          <cell r="J352" t="str">
            <v>01</v>
          </cell>
          <cell r="K352" t="str">
            <v>46</v>
          </cell>
        </row>
        <row r="353">
          <cell r="A353" t="str">
            <v>03-13</v>
          </cell>
          <cell r="B353">
            <v>141</v>
          </cell>
          <cell r="C353" t="str">
            <v>C1.AM.03.13</v>
          </cell>
          <cell r="D353" t="str">
            <v>AM</v>
          </cell>
          <cell r="E353" t="str">
            <v>G-061</v>
          </cell>
          <cell r="F353" t="str">
            <v>AM090</v>
          </cell>
          <cell r="G353" t="str">
            <v>N1</v>
          </cell>
          <cell r="H353" t="str">
            <v>b1</v>
          </cell>
          <cell r="I353" t="str">
            <v>N1-b1</v>
          </cell>
          <cell r="J353" t="str">
            <v>03</v>
          </cell>
          <cell r="K353" t="str">
            <v>13</v>
          </cell>
        </row>
        <row r="354">
          <cell r="A354" t="str">
            <v>05-18</v>
          </cell>
          <cell r="B354">
            <v>274</v>
          </cell>
          <cell r="C354" t="str">
            <v>C1.AM.05.18</v>
          </cell>
          <cell r="D354" t="str">
            <v>AM</v>
          </cell>
          <cell r="E354" t="str">
            <v>G-061</v>
          </cell>
          <cell r="F354" t="str">
            <v>AM090</v>
          </cell>
          <cell r="G354" t="str">
            <v>N2</v>
          </cell>
          <cell r="H354" t="str">
            <v>b1</v>
          </cell>
          <cell r="I354" t="str">
            <v>N2-b1</v>
          </cell>
          <cell r="J354" t="str">
            <v>05</v>
          </cell>
          <cell r="K354" t="str">
            <v>18</v>
          </cell>
        </row>
        <row r="355">
          <cell r="A355" t="str">
            <v>05-56</v>
          </cell>
          <cell r="B355">
            <v>312</v>
          </cell>
          <cell r="C355" t="str">
            <v>C1.AM.05.56</v>
          </cell>
          <cell r="D355" t="str">
            <v>AM</v>
          </cell>
          <cell r="E355" t="str">
            <v>G-061</v>
          </cell>
          <cell r="F355" t="str">
            <v>AM090</v>
          </cell>
          <cell r="G355" t="str">
            <v>N1</v>
          </cell>
          <cell r="H355" t="str">
            <v>b2</v>
          </cell>
          <cell r="I355" t="str">
            <v>N1-b2</v>
          </cell>
          <cell r="J355" t="str">
            <v>05</v>
          </cell>
          <cell r="K355" t="str">
            <v>56</v>
          </cell>
        </row>
        <row r="356">
          <cell r="A356" t="str">
            <v>19-81</v>
          </cell>
          <cell r="B356">
            <v>1017</v>
          </cell>
          <cell r="C356" t="str">
            <v>C1.AM.19.81</v>
          </cell>
          <cell r="D356" t="str">
            <v>AM</v>
          </cell>
          <cell r="E356" t="str">
            <v>G-061</v>
          </cell>
          <cell r="F356" t="str">
            <v>AM090</v>
          </cell>
          <cell r="G356" t="str">
            <v>N1</v>
          </cell>
          <cell r="H356" t="str">
            <v>b3</v>
          </cell>
          <cell r="I356" t="str">
            <v>N1-b3</v>
          </cell>
          <cell r="J356">
            <v>19</v>
          </cell>
          <cell r="K356" t="str">
            <v>81</v>
          </cell>
        </row>
        <row r="357">
          <cell r="A357" t="str">
            <v>22-82</v>
          </cell>
          <cell r="B357">
            <v>1096</v>
          </cell>
          <cell r="C357" t="str">
            <v>C1.AM.22.82</v>
          </cell>
          <cell r="D357" t="str">
            <v>AM</v>
          </cell>
          <cell r="E357" t="str">
            <v>G-061</v>
          </cell>
          <cell r="F357" t="str">
            <v>AM090</v>
          </cell>
          <cell r="G357" t="str">
            <v>N2</v>
          </cell>
          <cell r="H357" t="str">
            <v>b3</v>
          </cell>
          <cell r="I357" t="str">
            <v>N2-b3</v>
          </cell>
          <cell r="J357">
            <v>22</v>
          </cell>
          <cell r="K357" t="str">
            <v>82</v>
          </cell>
        </row>
        <row r="358">
          <cell r="A358" t="str">
            <v>01-17</v>
          </cell>
          <cell r="B358">
            <v>17</v>
          </cell>
          <cell r="C358" t="str">
            <v>C1.AM.01.17</v>
          </cell>
          <cell r="D358" t="str">
            <v>AM</v>
          </cell>
          <cell r="E358" t="str">
            <v>G-062</v>
          </cell>
          <cell r="F358" t="str">
            <v>AM091</v>
          </cell>
          <cell r="G358" t="str">
            <v>N1</v>
          </cell>
          <cell r="H358" t="str">
            <v>b1</v>
          </cell>
          <cell r="I358" t="str">
            <v>N1-b1</v>
          </cell>
          <cell r="J358" t="str">
            <v>01</v>
          </cell>
          <cell r="K358" t="str">
            <v>17</v>
          </cell>
        </row>
        <row r="359">
          <cell r="A359" t="str">
            <v>03-62</v>
          </cell>
          <cell r="B359">
            <v>190</v>
          </cell>
          <cell r="C359" t="str">
            <v>C1.AM.03.62</v>
          </cell>
          <cell r="D359" t="str">
            <v>AM</v>
          </cell>
          <cell r="E359" t="str">
            <v>G-062</v>
          </cell>
          <cell r="F359" t="str">
            <v>AM091</v>
          </cell>
          <cell r="G359" t="str">
            <v>N2</v>
          </cell>
          <cell r="H359" t="str">
            <v>b2</v>
          </cell>
          <cell r="I359" t="str">
            <v>N2-b2</v>
          </cell>
          <cell r="J359" t="str">
            <v>03</v>
          </cell>
          <cell r="K359" t="str">
            <v>62</v>
          </cell>
        </row>
        <row r="360">
          <cell r="A360" t="str">
            <v>06-21</v>
          </cell>
          <cell r="B360">
            <v>341</v>
          </cell>
          <cell r="C360" t="str">
            <v>C1.AM.06.21</v>
          </cell>
          <cell r="D360" t="str">
            <v>AM</v>
          </cell>
          <cell r="E360" t="str">
            <v>G-062</v>
          </cell>
          <cell r="F360" t="str">
            <v>AM091</v>
          </cell>
          <cell r="G360" t="str">
            <v>N2</v>
          </cell>
          <cell r="H360" t="str">
            <v>b1</v>
          </cell>
          <cell r="I360" t="str">
            <v>N2-b1</v>
          </cell>
          <cell r="J360" t="str">
            <v>06</v>
          </cell>
          <cell r="K360" t="str">
            <v>21</v>
          </cell>
        </row>
        <row r="361">
          <cell r="A361" t="str">
            <v>07-54</v>
          </cell>
          <cell r="B361">
            <v>438</v>
          </cell>
          <cell r="C361" t="str">
            <v>C1.AM.07.54</v>
          </cell>
          <cell r="D361" t="str">
            <v>AM</v>
          </cell>
          <cell r="E361" t="str">
            <v>G-062</v>
          </cell>
          <cell r="F361" t="str">
            <v>AM091</v>
          </cell>
          <cell r="G361" t="str">
            <v>N1</v>
          </cell>
          <cell r="H361" t="str">
            <v>b2</v>
          </cell>
          <cell r="I361" t="str">
            <v>N1-b2</v>
          </cell>
          <cell r="J361" t="str">
            <v>07</v>
          </cell>
          <cell r="K361" t="str">
            <v>54</v>
          </cell>
        </row>
        <row r="362">
          <cell r="A362" t="str">
            <v>18-90</v>
          </cell>
          <cell r="B362">
            <v>1000</v>
          </cell>
          <cell r="C362" t="str">
            <v>C1.AM.18.90</v>
          </cell>
          <cell r="D362" t="str">
            <v>AM</v>
          </cell>
          <cell r="E362" t="str">
            <v>G-062</v>
          </cell>
          <cell r="F362" t="str">
            <v>AM091</v>
          </cell>
          <cell r="G362" t="str">
            <v>N1</v>
          </cell>
          <cell r="H362" t="str">
            <v>b3</v>
          </cell>
          <cell r="I362" t="str">
            <v>N1-b3</v>
          </cell>
          <cell r="J362">
            <v>18</v>
          </cell>
          <cell r="K362" t="str">
            <v>90</v>
          </cell>
        </row>
        <row r="363">
          <cell r="A363" t="str">
            <v>20-79</v>
          </cell>
          <cell r="B363">
            <v>1041</v>
          </cell>
          <cell r="C363" t="str">
            <v>C1.AM.20.79</v>
          </cell>
          <cell r="D363" t="str">
            <v>AM</v>
          </cell>
          <cell r="E363" t="str">
            <v>G-062</v>
          </cell>
          <cell r="F363" t="str">
            <v>AM091</v>
          </cell>
          <cell r="G363" t="str">
            <v>N2</v>
          </cell>
          <cell r="H363" t="str">
            <v>b3</v>
          </cell>
          <cell r="I363" t="str">
            <v>N2-b3</v>
          </cell>
          <cell r="J363">
            <v>20</v>
          </cell>
          <cell r="K363" t="str">
            <v>79</v>
          </cell>
        </row>
        <row r="364">
          <cell r="A364" t="str">
            <v>01-27</v>
          </cell>
          <cell r="B364">
            <v>27</v>
          </cell>
          <cell r="C364" t="str">
            <v>C1.AM.01.27</v>
          </cell>
          <cell r="D364" t="str">
            <v>AM</v>
          </cell>
          <cell r="E364" t="str">
            <v>G-063</v>
          </cell>
          <cell r="F364" t="str">
            <v>AM092</v>
          </cell>
          <cell r="G364" t="str">
            <v>N1</v>
          </cell>
          <cell r="H364" t="str">
            <v>b1</v>
          </cell>
          <cell r="I364" t="str">
            <v>N1-b1</v>
          </cell>
          <cell r="J364" t="str">
            <v>01</v>
          </cell>
          <cell r="K364" t="str">
            <v>27</v>
          </cell>
        </row>
        <row r="365">
          <cell r="A365" t="str">
            <v>02-46</v>
          </cell>
          <cell r="B365">
            <v>110</v>
          </cell>
          <cell r="C365" t="str">
            <v>C1.AM.02.46</v>
          </cell>
          <cell r="D365" t="str">
            <v>AM</v>
          </cell>
          <cell r="E365" t="str">
            <v>G-063</v>
          </cell>
          <cell r="F365" t="str">
            <v>AM092</v>
          </cell>
          <cell r="G365" t="str">
            <v>N2</v>
          </cell>
          <cell r="H365" t="str">
            <v>b2</v>
          </cell>
          <cell r="I365" t="str">
            <v>N2-b2</v>
          </cell>
          <cell r="J365" t="str">
            <v>02</v>
          </cell>
          <cell r="K365" t="str">
            <v>46</v>
          </cell>
        </row>
        <row r="366">
          <cell r="A366" t="str">
            <v>05-09</v>
          </cell>
          <cell r="B366">
            <v>265</v>
          </cell>
          <cell r="C366" t="str">
            <v>C1.AM.05.09</v>
          </cell>
          <cell r="D366" t="str">
            <v>AM</v>
          </cell>
          <cell r="E366" t="str">
            <v>G-063</v>
          </cell>
          <cell r="F366" t="str">
            <v>AM092</v>
          </cell>
          <cell r="G366" t="str">
            <v>N2</v>
          </cell>
          <cell r="H366" t="str">
            <v>b1</v>
          </cell>
          <cell r="I366" t="str">
            <v>N2-b1</v>
          </cell>
          <cell r="J366" t="str">
            <v>05</v>
          </cell>
          <cell r="K366" t="str">
            <v>09</v>
          </cell>
        </row>
        <row r="367">
          <cell r="A367" t="str">
            <v>08-38</v>
          </cell>
          <cell r="B367">
            <v>486</v>
          </cell>
          <cell r="C367" t="str">
            <v>C1.AM.08.38</v>
          </cell>
          <cell r="D367" t="str">
            <v>AM</v>
          </cell>
          <cell r="E367" t="str">
            <v>G-063</v>
          </cell>
          <cell r="F367" t="str">
            <v>AM092</v>
          </cell>
          <cell r="G367" t="str">
            <v>N1</v>
          </cell>
          <cell r="H367" t="str">
            <v>b2</v>
          </cell>
          <cell r="I367" t="str">
            <v>N1-b2</v>
          </cell>
          <cell r="J367" t="str">
            <v>08</v>
          </cell>
          <cell r="K367" t="str">
            <v>38</v>
          </cell>
        </row>
        <row r="368">
          <cell r="A368" t="str">
            <v>18-66</v>
          </cell>
          <cell r="B368">
            <v>976</v>
          </cell>
          <cell r="C368" t="str">
            <v>C1.AM.18.66</v>
          </cell>
          <cell r="D368" t="str">
            <v>AM</v>
          </cell>
          <cell r="E368" t="str">
            <v>G-063</v>
          </cell>
          <cell r="F368" t="str">
            <v>AM092</v>
          </cell>
          <cell r="G368" t="str">
            <v>N1</v>
          </cell>
          <cell r="H368" t="str">
            <v>b3</v>
          </cell>
          <cell r="I368" t="str">
            <v>N1-b3</v>
          </cell>
          <cell r="J368">
            <v>18</v>
          </cell>
          <cell r="K368" t="str">
            <v>66</v>
          </cell>
        </row>
        <row r="369">
          <cell r="A369" t="str">
            <v>24-85</v>
          </cell>
          <cell r="B369">
            <v>1151</v>
          </cell>
          <cell r="C369" t="str">
            <v>C1.AM.24.85</v>
          </cell>
          <cell r="D369" t="str">
            <v>AM</v>
          </cell>
          <cell r="E369" t="str">
            <v>G-063</v>
          </cell>
          <cell r="F369" t="str">
            <v>AM092</v>
          </cell>
          <cell r="G369" t="str">
            <v>N2</v>
          </cell>
          <cell r="H369" t="str">
            <v>b3</v>
          </cell>
          <cell r="I369" t="str">
            <v>N2-b3</v>
          </cell>
          <cell r="J369">
            <v>24</v>
          </cell>
          <cell r="K369" t="str">
            <v>85</v>
          </cell>
        </row>
        <row r="370">
          <cell r="A370" t="str">
            <v>02-17</v>
          </cell>
          <cell r="B370">
            <v>81</v>
          </cell>
          <cell r="C370" t="str">
            <v>C1.AM.02.17</v>
          </cell>
          <cell r="D370" t="str">
            <v>AM</v>
          </cell>
          <cell r="E370" t="str">
            <v>G-064</v>
          </cell>
          <cell r="F370" t="str">
            <v>AM093</v>
          </cell>
          <cell r="G370" t="str">
            <v>N1</v>
          </cell>
          <cell r="H370" t="str">
            <v>b1</v>
          </cell>
          <cell r="I370" t="str">
            <v>N1-b1</v>
          </cell>
          <cell r="J370" t="str">
            <v>02</v>
          </cell>
          <cell r="K370" t="str">
            <v>17</v>
          </cell>
        </row>
        <row r="371">
          <cell r="A371" t="str">
            <v>04-37</v>
          </cell>
          <cell r="B371">
            <v>229</v>
          </cell>
          <cell r="C371" t="str">
            <v>C1.AM.04.37</v>
          </cell>
          <cell r="D371" t="str">
            <v>AM</v>
          </cell>
          <cell r="E371" t="str">
            <v>G-064</v>
          </cell>
          <cell r="F371" t="str">
            <v>AM093</v>
          </cell>
          <cell r="G371" t="str">
            <v>N2</v>
          </cell>
          <cell r="H371" t="str">
            <v>b2</v>
          </cell>
          <cell r="I371" t="str">
            <v>N2-b2</v>
          </cell>
          <cell r="J371" t="str">
            <v>04</v>
          </cell>
          <cell r="K371" t="str">
            <v>37</v>
          </cell>
        </row>
        <row r="372">
          <cell r="A372" t="str">
            <v>05-28</v>
          </cell>
          <cell r="B372">
            <v>284</v>
          </cell>
          <cell r="C372" t="str">
            <v>C1.AM.05.28</v>
          </cell>
          <cell r="D372" t="str">
            <v>AM</v>
          </cell>
          <cell r="E372" t="str">
            <v>G-064</v>
          </cell>
          <cell r="F372" t="str">
            <v>AM093</v>
          </cell>
          <cell r="G372" t="str">
            <v>N2</v>
          </cell>
          <cell r="H372" t="str">
            <v>b1</v>
          </cell>
          <cell r="I372" t="str">
            <v>N2-b1</v>
          </cell>
          <cell r="J372" t="str">
            <v>05</v>
          </cell>
          <cell r="K372" t="str">
            <v>28</v>
          </cell>
        </row>
        <row r="373">
          <cell r="A373" t="str">
            <v>07-33</v>
          </cell>
          <cell r="B373">
            <v>417</v>
          </cell>
          <cell r="C373" t="str">
            <v>C1.AM.07.33</v>
          </cell>
          <cell r="D373" t="str">
            <v>AM</v>
          </cell>
          <cell r="E373" t="str">
            <v>G-064</v>
          </cell>
          <cell r="F373" t="str">
            <v>AM093</v>
          </cell>
          <cell r="G373" t="str">
            <v>N1</v>
          </cell>
          <cell r="H373" t="str">
            <v>b2</v>
          </cell>
          <cell r="I373" t="str">
            <v>N1-b2</v>
          </cell>
          <cell r="J373" t="str">
            <v>07</v>
          </cell>
          <cell r="K373" t="str">
            <v>33</v>
          </cell>
        </row>
        <row r="374">
          <cell r="A374" t="str">
            <v>18-79</v>
          </cell>
          <cell r="B374">
            <v>989</v>
          </cell>
          <cell r="C374" t="str">
            <v>C1.AM.18.79</v>
          </cell>
          <cell r="D374" t="str">
            <v>AM</v>
          </cell>
          <cell r="E374" t="str">
            <v>G-064</v>
          </cell>
          <cell r="F374" t="str">
            <v>AM093</v>
          </cell>
          <cell r="G374" t="str">
            <v>N1</v>
          </cell>
          <cell r="H374" t="str">
            <v>b3</v>
          </cell>
          <cell r="I374" t="str">
            <v>N1-b3</v>
          </cell>
          <cell r="J374">
            <v>18</v>
          </cell>
          <cell r="K374" t="str">
            <v>79</v>
          </cell>
        </row>
        <row r="375">
          <cell r="A375" t="str">
            <v>24-74</v>
          </cell>
          <cell r="B375">
            <v>1140</v>
          </cell>
          <cell r="C375" t="str">
            <v>C1.AM.24.74</v>
          </cell>
          <cell r="D375" t="str">
            <v>AM</v>
          </cell>
          <cell r="E375" t="str">
            <v>G-064</v>
          </cell>
          <cell r="F375" t="str">
            <v>AM093</v>
          </cell>
          <cell r="G375" t="str">
            <v>N2</v>
          </cell>
          <cell r="H375" t="str">
            <v>b3</v>
          </cell>
          <cell r="I375" t="str">
            <v>N2-b3</v>
          </cell>
          <cell r="J375">
            <v>24</v>
          </cell>
          <cell r="K375" t="str">
            <v>74</v>
          </cell>
        </row>
        <row r="376">
          <cell r="A376" t="str">
            <v>01-31</v>
          </cell>
          <cell r="B376">
            <v>31</v>
          </cell>
          <cell r="C376" t="str">
            <v>C1.AM.01.31</v>
          </cell>
          <cell r="D376" t="str">
            <v>AM</v>
          </cell>
          <cell r="E376" t="str">
            <v>G-065</v>
          </cell>
          <cell r="F376" t="str">
            <v>AM094</v>
          </cell>
          <cell r="G376" t="str">
            <v>N1</v>
          </cell>
          <cell r="H376" t="str">
            <v>b1</v>
          </cell>
          <cell r="I376" t="str">
            <v>N1-b1</v>
          </cell>
          <cell r="J376" t="str">
            <v>01</v>
          </cell>
          <cell r="K376" t="str">
            <v>31</v>
          </cell>
        </row>
        <row r="377">
          <cell r="A377" t="str">
            <v>04-62</v>
          </cell>
          <cell r="B377">
            <v>254</v>
          </cell>
          <cell r="C377" t="str">
            <v>C1.AM.04.62</v>
          </cell>
          <cell r="D377" t="str">
            <v>AM</v>
          </cell>
          <cell r="E377" t="str">
            <v>G-065</v>
          </cell>
          <cell r="F377" t="str">
            <v>AM094</v>
          </cell>
          <cell r="G377" t="str">
            <v>N2</v>
          </cell>
          <cell r="H377" t="str">
            <v>b2</v>
          </cell>
          <cell r="I377" t="str">
            <v>N2-b2</v>
          </cell>
          <cell r="J377" t="str">
            <v>04</v>
          </cell>
          <cell r="K377" t="str">
            <v>62</v>
          </cell>
        </row>
        <row r="378">
          <cell r="A378" t="str">
            <v>07-07</v>
          </cell>
          <cell r="B378">
            <v>391</v>
          </cell>
          <cell r="C378" t="str">
            <v>C1.AM.07.07</v>
          </cell>
          <cell r="D378" t="str">
            <v>AM</v>
          </cell>
          <cell r="E378" t="str">
            <v>G-065</v>
          </cell>
          <cell r="F378" t="str">
            <v>AM094</v>
          </cell>
          <cell r="G378" t="str">
            <v>N2</v>
          </cell>
          <cell r="H378" t="str">
            <v>b1</v>
          </cell>
          <cell r="I378" t="str">
            <v>N2-b1</v>
          </cell>
          <cell r="J378" t="str">
            <v>07</v>
          </cell>
          <cell r="K378" t="str">
            <v>07</v>
          </cell>
        </row>
        <row r="379">
          <cell r="A379" t="str">
            <v>07-42</v>
          </cell>
          <cell r="B379">
            <v>426</v>
          </cell>
          <cell r="C379" t="str">
            <v>C1.AM.07.42</v>
          </cell>
          <cell r="D379" t="str">
            <v>AM</v>
          </cell>
          <cell r="E379" t="str">
            <v>G-065</v>
          </cell>
          <cell r="F379" t="str">
            <v>AM094</v>
          </cell>
          <cell r="G379" t="str">
            <v>N1</v>
          </cell>
          <cell r="H379" t="str">
            <v>b2</v>
          </cell>
          <cell r="I379" t="str">
            <v>N1-b2</v>
          </cell>
          <cell r="J379" t="str">
            <v>07</v>
          </cell>
          <cell r="K379" t="str">
            <v>42</v>
          </cell>
        </row>
        <row r="380">
          <cell r="A380" t="str">
            <v>19-78</v>
          </cell>
          <cell r="B380">
            <v>1014</v>
          </cell>
          <cell r="C380" t="str">
            <v>C1.AM.19.78</v>
          </cell>
          <cell r="D380" t="str">
            <v>AM</v>
          </cell>
          <cell r="E380" t="str">
            <v>G-065</v>
          </cell>
          <cell r="F380" t="str">
            <v>AM094</v>
          </cell>
          <cell r="G380" t="str">
            <v>N1</v>
          </cell>
          <cell r="H380" t="str">
            <v>b3</v>
          </cell>
          <cell r="I380" t="str">
            <v>N1-b3</v>
          </cell>
          <cell r="J380">
            <v>19</v>
          </cell>
          <cell r="K380" t="str">
            <v>78</v>
          </cell>
        </row>
        <row r="381">
          <cell r="A381" t="str">
            <v>24-80</v>
          </cell>
          <cell r="B381">
            <v>1146</v>
          </cell>
          <cell r="C381" t="str">
            <v>C1.AM.24.80</v>
          </cell>
          <cell r="D381" t="str">
            <v>AM</v>
          </cell>
          <cell r="E381" t="str">
            <v>G-065</v>
          </cell>
          <cell r="F381" t="str">
            <v>AM094</v>
          </cell>
          <cell r="G381" t="str">
            <v>N2</v>
          </cell>
          <cell r="H381" t="str">
            <v>b3</v>
          </cell>
          <cell r="I381" t="str">
            <v>N2-b3</v>
          </cell>
          <cell r="J381">
            <v>24</v>
          </cell>
          <cell r="K381" t="str">
            <v>80</v>
          </cell>
        </row>
        <row r="382">
          <cell r="A382" t="str">
            <v>03-15</v>
          </cell>
          <cell r="B382">
            <v>143</v>
          </cell>
          <cell r="C382" t="str">
            <v>C1.AM.03.15</v>
          </cell>
          <cell r="D382" t="str">
            <v>AM</v>
          </cell>
          <cell r="E382" t="str">
            <v>G-066</v>
          </cell>
          <cell r="F382" t="str">
            <v>AM096</v>
          </cell>
          <cell r="G382" t="str">
            <v>N1</v>
          </cell>
          <cell r="H382" t="str">
            <v>b1</v>
          </cell>
          <cell r="I382" t="str">
            <v>N1-b1</v>
          </cell>
          <cell r="J382" t="str">
            <v>03</v>
          </cell>
          <cell r="K382" t="str">
            <v>15</v>
          </cell>
        </row>
        <row r="383">
          <cell r="A383" t="str">
            <v>04-61</v>
          </cell>
          <cell r="B383">
            <v>253</v>
          </cell>
          <cell r="C383" t="str">
            <v>C1.AM.04.61</v>
          </cell>
          <cell r="D383" t="str">
            <v>AM</v>
          </cell>
          <cell r="E383" t="str">
            <v>G-066</v>
          </cell>
          <cell r="F383" t="str">
            <v>AM096</v>
          </cell>
          <cell r="G383" t="str">
            <v>N2</v>
          </cell>
          <cell r="H383" t="str">
            <v>b2</v>
          </cell>
          <cell r="I383" t="str">
            <v>N2-b2</v>
          </cell>
          <cell r="J383" t="str">
            <v>04</v>
          </cell>
          <cell r="K383" t="str">
            <v>61</v>
          </cell>
        </row>
        <row r="384">
          <cell r="A384" t="str">
            <v>06-46</v>
          </cell>
          <cell r="B384">
            <v>366</v>
          </cell>
          <cell r="C384" t="str">
            <v>C1.AM.06.46</v>
          </cell>
          <cell r="D384" t="str">
            <v>AM</v>
          </cell>
          <cell r="E384" t="str">
            <v>G-066</v>
          </cell>
          <cell r="F384" t="str">
            <v>AM096</v>
          </cell>
          <cell r="G384" t="str">
            <v>N1</v>
          </cell>
          <cell r="H384" t="str">
            <v>b2</v>
          </cell>
          <cell r="I384" t="str">
            <v>N1-b2</v>
          </cell>
          <cell r="J384" t="str">
            <v>06</v>
          </cell>
          <cell r="K384" t="str">
            <v>46</v>
          </cell>
        </row>
        <row r="385">
          <cell r="A385" t="str">
            <v>08-17</v>
          </cell>
          <cell r="B385">
            <v>465</v>
          </cell>
          <cell r="C385" t="str">
            <v>C1.AM.08.17</v>
          </cell>
          <cell r="D385" t="str">
            <v>AM</v>
          </cell>
          <cell r="E385" t="str">
            <v>G-066</v>
          </cell>
          <cell r="F385" t="str">
            <v>AM096</v>
          </cell>
          <cell r="G385" t="str">
            <v>N2</v>
          </cell>
          <cell r="H385" t="str">
            <v>b1</v>
          </cell>
          <cell r="I385" t="str">
            <v>N2-b1</v>
          </cell>
          <cell r="J385" t="str">
            <v>08</v>
          </cell>
          <cell r="K385" t="str">
            <v>17</v>
          </cell>
        </row>
        <row r="386">
          <cell r="A386" t="str">
            <v>18-87</v>
          </cell>
          <cell r="B386">
            <v>997</v>
          </cell>
          <cell r="C386" t="str">
            <v>C1.AM.18.87</v>
          </cell>
          <cell r="D386" t="str">
            <v>AM</v>
          </cell>
          <cell r="E386" t="str">
            <v>G-066</v>
          </cell>
          <cell r="F386" t="str">
            <v>AM096</v>
          </cell>
          <cell r="G386" t="str">
            <v>N1</v>
          </cell>
          <cell r="H386" t="str">
            <v>b3</v>
          </cell>
          <cell r="I386" t="str">
            <v>N1-b3</v>
          </cell>
          <cell r="J386">
            <v>18</v>
          </cell>
          <cell r="K386" t="str">
            <v>87</v>
          </cell>
        </row>
        <row r="387">
          <cell r="A387" t="str">
            <v>21-84</v>
          </cell>
          <cell r="B387">
            <v>1072</v>
          </cell>
          <cell r="C387" t="str">
            <v>C1.AM.21.84</v>
          </cell>
          <cell r="D387" t="str">
            <v>AM</v>
          </cell>
          <cell r="E387" t="str">
            <v>G-066</v>
          </cell>
          <cell r="F387" t="str">
            <v>AM096</v>
          </cell>
          <cell r="G387" t="str">
            <v>N2</v>
          </cell>
          <cell r="H387" t="str">
            <v>b3</v>
          </cell>
          <cell r="I387" t="str">
            <v>N2-b3</v>
          </cell>
          <cell r="J387">
            <v>21</v>
          </cell>
          <cell r="K387" t="str">
            <v>84</v>
          </cell>
        </row>
        <row r="388">
          <cell r="A388" t="str">
            <v>01-19</v>
          </cell>
          <cell r="B388">
            <v>19</v>
          </cell>
          <cell r="C388" t="str">
            <v>C1.AM.01.19</v>
          </cell>
          <cell r="D388" t="str">
            <v>AM</v>
          </cell>
          <cell r="E388" t="str">
            <v>G-067</v>
          </cell>
          <cell r="F388" t="str">
            <v>AM098</v>
          </cell>
          <cell r="G388" t="str">
            <v>N1</v>
          </cell>
          <cell r="H388" t="str">
            <v>b1</v>
          </cell>
          <cell r="I388" t="str">
            <v>N1-b1</v>
          </cell>
          <cell r="J388" t="str">
            <v>01</v>
          </cell>
          <cell r="K388" t="str">
            <v>19</v>
          </cell>
        </row>
        <row r="389">
          <cell r="A389" t="str">
            <v>03-49</v>
          </cell>
          <cell r="B389">
            <v>177</v>
          </cell>
          <cell r="C389" t="str">
            <v>C1.AM.03.49</v>
          </cell>
          <cell r="D389" t="str">
            <v>AM</v>
          </cell>
          <cell r="E389" t="str">
            <v>G-067</v>
          </cell>
          <cell r="F389" t="str">
            <v>AM098</v>
          </cell>
          <cell r="G389" t="str">
            <v>N2</v>
          </cell>
          <cell r="H389" t="str">
            <v>b2</v>
          </cell>
          <cell r="I389" t="str">
            <v>N2-b2</v>
          </cell>
          <cell r="J389" t="str">
            <v>03</v>
          </cell>
          <cell r="K389" t="str">
            <v>49</v>
          </cell>
        </row>
        <row r="390">
          <cell r="A390" t="str">
            <v>05-63</v>
          </cell>
          <cell r="B390">
            <v>319</v>
          </cell>
          <cell r="C390" t="str">
            <v>C1.AM.05.63</v>
          </cell>
          <cell r="D390" t="str">
            <v>AM</v>
          </cell>
          <cell r="E390" t="str">
            <v>G-067</v>
          </cell>
          <cell r="F390" t="str">
            <v>AM098</v>
          </cell>
          <cell r="G390" t="str">
            <v>N1</v>
          </cell>
          <cell r="H390" t="str">
            <v>b2</v>
          </cell>
          <cell r="I390" t="str">
            <v>N1-b2</v>
          </cell>
          <cell r="J390" t="str">
            <v>05</v>
          </cell>
          <cell r="K390" t="str">
            <v>63</v>
          </cell>
        </row>
        <row r="391">
          <cell r="A391" t="str">
            <v>08-07</v>
          </cell>
          <cell r="B391">
            <v>455</v>
          </cell>
          <cell r="C391" t="str">
            <v>C1.AM.08.07</v>
          </cell>
          <cell r="D391" t="str">
            <v>AM</v>
          </cell>
          <cell r="E391" t="str">
            <v>G-067</v>
          </cell>
          <cell r="F391" t="str">
            <v>AM098</v>
          </cell>
          <cell r="G391" t="str">
            <v>N2</v>
          </cell>
          <cell r="H391" t="str">
            <v>b1</v>
          </cell>
          <cell r="I391" t="str">
            <v>N2-b1</v>
          </cell>
          <cell r="J391" t="str">
            <v>08</v>
          </cell>
          <cell r="K391" t="str">
            <v>07</v>
          </cell>
        </row>
        <row r="392">
          <cell r="A392" t="str">
            <v>16-85</v>
          </cell>
          <cell r="B392">
            <v>943</v>
          </cell>
          <cell r="C392" t="str">
            <v>C1.AM.16.85</v>
          </cell>
          <cell r="D392" t="str">
            <v>AM</v>
          </cell>
          <cell r="E392" t="str">
            <v>G-067</v>
          </cell>
          <cell r="F392" t="str">
            <v>AM098</v>
          </cell>
          <cell r="G392" t="str">
            <v>N1</v>
          </cell>
          <cell r="H392" t="str">
            <v>b3</v>
          </cell>
          <cell r="I392" t="str">
            <v>N1-b3</v>
          </cell>
          <cell r="J392" t="str">
            <v>16</v>
          </cell>
          <cell r="K392" t="str">
            <v>85</v>
          </cell>
        </row>
        <row r="393">
          <cell r="A393" t="str">
            <v>20-65</v>
          </cell>
          <cell r="B393">
            <v>1027</v>
          </cell>
          <cell r="C393" t="str">
            <v>C1.AM.20.65</v>
          </cell>
          <cell r="D393" t="str">
            <v>AM</v>
          </cell>
          <cell r="E393" t="str">
            <v>G-067</v>
          </cell>
          <cell r="F393" t="str">
            <v>AM098</v>
          </cell>
          <cell r="G393" t="str">
            <v>N2</v>
          </cell>
          <cell r="H393" t="str">
            <v>b3</v>
          </cell>
          <cell r="I393" t="str">
            <v>N2-b3</v>
          </cell>
          <cell r="J393">
            <v>20</v>
          </cell>
          <cell r="K393" t="str">
            <v>65</v>
          </cell>
        </row>
        <row r="394">
          <cell r="A394" t="str">
            <v>02-09</v>
          </cell>
          <cell r="B394">
            <v>73</v>
          </cell>
          <cell r="C394" t="str">
            <v>C1.AM.02.09</v>
          </cell>
          <cell r="D394" t="str">
            <v>AM</v>
          </cell>
          <cell r="E394" t="str">
            <v>G-068</v>
          </cell>
          <cell r="F394" t="str">
            <v>AM100</v>
          </cell>
          <cell r="G394" t="str">
            <v>N1</v>
          </cell>
          <cell r="H394" t="str">
            <v>b1</v>
          </cell>
          <cell r="I394" t="str">
            <v>N1-b1</v>
          </cell>
          <cell r="J394" t="str">
            <v>02</v>
          </cell>
          <cell r="K394" t="str">
            <v>09</v>
          </cell>
        </row>
        <row r="395">
          <cell r="A395" t="str">
            <v>04-60</v>
          </cell>
          <cell r="B395">
            <v>252</v>
          </cell>
          <cell r="C395" t="str">
            <v>C1.AM.04.60</v>
          </cell>
          <cell r="D395" t="str">
            <v>AM</v>
          </cell>
          <cell r="E395" t="str">
            <v>G-068</v>
          </cell>
          <cell r="F395" t="str">
            <v>AM100</v>
          </cell>
          <cell r="G395" t="str">
            <v>N2</v>
          </cell>
          <cell r="H395" t="str">
            <v>b2</v>
          </cell>
          <cell r="I395" t="str">
            <v>N2-b2</v>
          </cell>
          <cell r="J395" t="str">
            <v>04</v>
          </cell>
          <cell r="K395" t="str">
            <v>60</v>
          </cell>
        </row>
        <row r="396">
          <cell r="A396" t="str">
            <v>05-02</v>
          </cell>
          <cell r="B396">
            <v>258</v>
          </cell>
          <cell r="C396" t="str">
            <v>C1.AM.05.02</v>
          </cell>
          <cell r="D396" t="str">
            <v>AM</v>
          </cell>
          <cell r="E396" t="str">
            <v>G-068</v>
          </cell>
          <cell r="F396" t="str">
            <v>AM100</v>
          </cell>
          <cell r="G396" t="str">
            <v>N2</v>
          </cell>
          <cell r="H396" t="str">
            <v>b1</v>
          </cell>
          <cell r="I396" t="str">
            <v>N2-b1</v>
          </cell>
          <cell r="J396" t="str">
            <v>05</v>
          </cell>
          <cell r="K396" t="str">
            <v>02</v>
          </cell>
        </row>
        <row r="397">
          <cell r="A397" t="str">
            <v>08-64</v>
          </cell>
          <cell r="B397">
            <v>512</v>
          </cell>
          <cell r="C397" t="str">
            <v>C1.AM.08.64</v>
          </cell>
          <cell r="D397" t="str">
            <v>AM</v>
          </cell>
          <cell r="E397" t="str">
            <v>G-068</v>
          </cell>
          <cell r="F397" t="str">
            <v>AM100</v>
          </cell>
          <cell r="G397" t="str">
            <v>N1</v>
          </cell>
          <cell r="H397" t="str">
            <v>b2</v>
          </cell>
          <cell r="I397" t="str">
            <v>N1-b2</v>
          </cell>
          <cell r="J397" t="str">
            <v>08</v>
          </cell>
          <cell r="K397" t="str">
            <v>64</v>
          </cell>
        </row>
        <row r="398">
          <cell r="A398" t="str">
            <v>16-69</v>
          </cell>
          <cell r="B398">
            <v>927</v>
          </cell>
          <cell r="C398" t="str">
            <v>C1.AM.16.69</v>
          </cell>
          <cell r="D398" t="str">
            <v>AM</v>
          </cell>
          <cell r="E398" t="str">
            <v>G-068</v>
          </cell>
          <cell r="F398" t="str">
            <v>AM100</v>
          </cell>
          <cell r="G398" t="str">
            <v>N1</v>
          </cell>
          <cell r="H398" t="str">
            <v>b3</v>
          </cell>
          <cell r="I398" t="str">
            <v>N1-b3</v>
          </cell>
          <cell r="J398" t="str">
            <v>16</v>
          </cell>
          <cell r="K398" t="str">
            <v>69</v>
          </cell>
        </row>
        <row r="399">
          <cell r="A399" t="str">
            <v>23-84</v>
          </cell>
          <cell r="B399">
            <v>1124</v>
          </cell>
          <cell r="C399" t="str">
            <v>C1.AM.23.84</v>
          </cell>
          <cell r="D399" t="str">
            <v>AM</v>
          </cell>
          <cell r="E399" t="str">
            <v>G-068</v>
          </cell>
          <cell r="F399" t="str">
            <v>AM100</v>
          </cell>
          <cell r="G399" t="str">
            <v>N2</v>
          </cell>
          <cell r="H399" t="str">
            <v>b3</v>
          </cell>
          <cell r="I399" t="str">
            <v>N2-b3</v>
          </cell>
          <cell r="J399">
            <v>23</v>
          </cell>
          <cell r="K399" t="str">
            <v>84</v>
          </cell>
        </row>
        <row r="400">
          <cell r="A400" t="str">
            <v>04-17</v>
          </cell>
          <cell r="B400">
            <v>209</v>
          </cell>
          <cell r="C400" t="str">
            <v>C1.AM.04.17</v>
          </cell>
          <cell r="D400" t="str">
            <v>AM</v>
          </cell>
          <cell r="E400" t="str">
            <v>G-069</v>
          </cell>
          <cell r="F400" t="str">
            <v>AM101</v>
          </cell>
          <cell r="G400" t="str">
            <v>N1</v>
          </cell>
          <cell r="H400" t="str">
            <v>b1</v>
          </cell>
          <cell r="I400" t="str">
            <v>N1-b1</v>
          </cell>
          <cell r="J400" t="str">
            <v>04</v>
          </cell>
          <cell r="K400" t="str">
            <v>17</v>
          </cell>
        </row>
        <row r="401">
          <cell r="A401" t="str">
            <v>04-36</v>
          </cell>
          <cell r="B401">
            <v>228</v>
          </cell>
          <cell r="C401" t="str">
            <v>C1.AM.04.36</v>
          </cell>
          <cell r="D401" t="str">
            <v>AM</v>
          </cell>
          <cell r="E401" t="str">
            <v>G-069</v>
          </cell>
          <cell r="F401" t="str">
            <v>AM101</v>
          </cell>
          <cell r="G401" t="str">
            <v>N2</v>
          </cell>
          <cell r="H401" t="str">
            <v>b2</v>
          </cell>
          <cell r="I401" t="str">
            <v>N2-b2</v>
          </cell>
          <cell r="J401" t="str">
            <v>04</v>
          </cell>
          <cell r="K401" t="str">
            <v>36</v>
          </cell>
        </row>
        <row r="402">
          <cell r="A402" t="str">
            <v>07-37</v>
          </cell>
          <cell r="B402">
            <v>421</v>
          </cell>
          <cell r="C402" t="str">
            <v>C1.AM.07.37</v>
          </cell>
          <cell r="D402" t="str">
            <v>AM</v>
          </cell>
          <cell r="E402" t="str">
            <v>G-069</v>
          </cell>
          <cell r="F402" t="str">
            <v>AM101</v>
          </cell>
          <cell r="G402" t="str">
            <v>N1</v>
          </cell>
          <cell r="H402" t="str">
            <v>b2</v>
          </cell>
          <cell r="I402" t="str">
            <v>N1-b2</v>
          </cell>
          <cell r="J402" t="str">
            <v>07</v>
          </cell>
          <cell r="K402" t="str">
            <v>37</v>
          </cell>
        </row>
        <row r="403">
          <cell r="A403" t="str">
            <v>08-23</v>
          </cell>
          <cell r="B403">
            <v>471</v>
          </cell>
          <cell r="C403" t="str">
            <v>C1.AM.08.23</v>
          </cell>
          <cell r="D403" t="str">
            <v>AM</v>
          </cell>
          <cell r="E403" t="str">
            <v>G-069</v>
          </cell>
          <cell r="F403" t="str">
            <v>AM101</v>
          </cell>
          <cell r="G403" t="str">
            <v>N2</v>
          </cell>
          <cell r="H403" t="str">
            <v>b1</v>
          </cell>
          <cell r="I403" t="str">
            <v>N2-b1</v>
          </cell>
          <cell r="J403" t="str">
            <v>08</v>
          </cell>
          <cell r="K403" t="str">
            <v>23</v>
          </cell>
        </row>
        <row r="404">
          <cell r="A404" t="str">
            <v>15-84</v>
          </cell>
          <cell r="B404">
            <v>916</v>
          </cell>
          <cell r="C404" t="str">
            <v>C1.AM.15.84</v>
          </cell>
          <cell r="D404" t="str">
            <v>AM</v>
          </cell>
          <cell r="E404" t="str">
            <v>G-069</v>
          </cell>
          <cell r="F404" t="str">
            <v>AM101</v>
          </cell>
          <cell r="G404" t="str">
            <v>N1</v>
          </cell>
          <cell r="H404" t="str">
            <v>b3</v>
          </cell>
          <cell r="I404" t="str">
            <v>N1-b3</v>
          </cell>
          <cell r="J404">
            <v>15</v>
          </cell>
          <cell r="K404" t="str">
            <v>84</v>
          </cell>
        </row>
        <row r="405">
          <cell r="A405" t="str">
            <v>20-67</v>
          </cell>
          <cell r="B405">
            <v>1029</v>
          </cell>
          <cell r="C405" t="str">
            <v>C1.AM.20.67</v>
          </cell>
          <cell r="D405" t="str">
            <v>AM</v>
          </cell>
          <cell r="E405" t="str">
            <v>G-069</v>
          </cell>
          <cell r="F405" t="str">
            <v>AM101</v>
          </cell>
          <cell r="G405" t="str">
            <v>N2</v>
          </cell>
          <cell r="H405" t="str">
            <v>b3</v>
          </cell>
          <cell r="I405" t="str">
            <v>N2-b3</v>
          </cell>
          <cell r="J405">
            <v>20</v>
          </cell>
          <cell r="K405" t="str">
            <v>67</v>
          </cell>
        </row>
        <row r="406">
          <cell r="A406" t="str">
            <v>01-30</v>
          </cell>
          <cell r="B406">
            <v>30</v>
          </cell>
          <cell r="C406" t="str">
            <v>C1.AM.01.30</v>
          </cell>
          <cell r="D406" t="str">
            <v>AM</v>
          </cell>
          <cell r="E406" t="str">
            <v>G-070</v>
          </cell>
          <cell r="F406" t="str">
            <v>AM106</v>
          </cell>
          <cell r="G406" t="str">
            <v>N1</v>
          </cell>
          <cell r="H406" t="str">
            <v>b1</v>
          </cell>
          <cell r="I406" t="str">
            <v>N1-b1</v>
          </cell>
          <cell r="J406" t="str">
            <v>01</v>
          </cell>
          <cell r="K406" t="str">
            <v>30</v>
          </cell>
        </row>
        <row r="407">
          <cell r="A407" t="str">
            <v>02-50</v>
          </cell>
          <cell r="B407">
            <v>114</v>
          </cell>
          <cell r="C407" t="str">
            <v>C1.AM.02.50</v>
          </cell>
          <cell r="D407" t="str">
            <v>AM</v>
          </cell>
          <cell r="E407" t="str">
            <v>G-070</v>
          </cell>
          <cell r="F407" t="str">
            <v>AM106</v>
          </cell>
          <cell r="G407" t="str">
            <v>N2</v>
          </cell>
          <cell r="H407" t="str">
            <v>b2</v>
          </cell>
          <cell r="I407" t="str">
            <v>N2-b2</v>
          </cell>
          <cell r="J407" t="str">
            <v>02</v>
          </cell>
          <cell r="K407" t="str">
            <v>50</v>
          </cell>
        </row>
        <row r="408">
          <cell r="A408" t="str">
            <v>05-01</v>
          </cell>
          <cell r="B408">
            <v>257</v>
          </cell>
          <cell r="C408" t="str">
            <v>C1.AM.05.01</v>
          </cell>
          <cell r="D408" t="str">
            <v>AM</v>
          </cell>
          <cell r="E408" t="str">
            <v>G-070</v>
          </cell>
          <cell r="F408" t="str">
            <v>AM106</v>
          </cell>
          <cell r="G408" t="str">
            <v>N2</v>
          </cell>
          <cell r="H408" t="str">
            <v>b1</v>
          </cell>
          <cell r="I408" t="str">
            <v>N2-b1</v>
          </cell>
          <cell r="J408" t="str">
            <v>05</v>
          </cell>
          <cell r="K408" t="str">
            <v>01</v>
          </cell>
        </row>
        <row r="409">
          <cell r="A409" t="str">
            <v>06-50</v>
          </cell>
          <cell r="B409">
            <v>370</v>
          </cell>
          <cell r="C409" t="str">
            <v>C1.AM.06.50</v>
          </cell>
          <cell r="D409" t="str">
            <v>AM</v>
          </cell>
          <cell r="E409" t="str">
            <v>G-070</v>
          </cell>
          <cell r="F409" t="str">
            <v>AM106</v>
          </cell>
          <cell r="G409" t="str">
            <v>N1</v>
          </cell>
          <cell r="H409" t="str">
            <v>b2</v>
          </cell>
          <cell r="I409" t="str">
            <v>N1-b2</v>
          </cell>
          <cell r="J409" t="str">
            <v>06</v>
          </cell>
          <cell r="K409" t="str">
            <v>50</v>
          </cell>
        </row>
        <row r="410">
          <cell r="A410" t="str">
            <v>15-86</v>
          </cell>
          <cell r="B410">
            <v>918</v>
          </cell>
          <cell r="C410" t="str">
            <v>C1.AM.15.86</v>
          </cell>
          <cell r="D410" t="str">
            <v>AM</v>
          </cell>
          <cell r="E410" t="str">
            <v>G-070</v>
          </cell>
          <cell r="F410" t="str">
            <v>AM106</v>
          </cell>
          <cell r="G410" t="str">
            <v>N1</v>
          </cell>
          <cell r="H410" t="str">
            <v>b3</v>
          </cell>
          <cell r="I410" t="str">
            <v>N1-b3</v>
          </cell>
          <cell r="J410">
            <v>15</v>
          </cell>
          <cell r="K410" t="str">
            <v>86</v>
          </cell>
        </row>
        <row r="411">
          <cell r="A411" t="str">
            <v>20-81</v>
          </cell>
          <cell r="B411">
            <v>1043</v>
          </cell>
          <cell r="C411" t="str">
            <v>C1.AM.20.81</v>
          </cell>
          <cell r="D411" t="str">
            <v>AM</v>
          </cell>
          <cell r="E411" t="str">
            <v>G-070</v>
          </cell>
          <cell r="F411" t="str">
            <v>AM106</v>
          </cell>
          <cell r="G411" t="str">
            <v>N2</v>
          </cell>
          <cell r="H411" t="str">
            <v>b3</v>
          </cell>
          <cell r="I411" t="str">
            <v>N2-b3</v>
          </cell>
          <cell r="J411">
            <v>20</v>
          </cell>
          <cell r="K411" t="str">
            <v>81</v>
          </cell>
        </row>
        <row r="412">
          <cell r="A412" t="str">
            <v>03-61</v>
          </cell>
          <cell r="B412">
            <v>189</v>
          </cell>
          <cell r="C412" t="str">
            <v>C1.AM.03.61</v>
          </cell>
          <cell r="D412" t="str">
            <v>AM</v>
          </cell>
          <cell r="E412" t="str">
            <v>G-071</v>
          </cell>
          <cell r="F412" t="str">
            <v>AM107</v>
          </cell>
          <cell r="G412" t="str">
            <v>N2</v>
          </cell>
          <cell r="H412" t="str">
            <v>b2</v>
          </cell>
          <cell r="I412" t="str">
            <v>N2-b2</v>
          </cell>
          <cell r="J412" t="str">
            <v>03</v>
          </cell>
          <cell r="K412" t="str">
            <v>61</v>
          </cell>
        </row>
        <row r="413">
          <cell r="A413" t="str">
            <v>04-23</v>
          </cell>
          <cell r="B413">
            <v>215</v>
          </cell>
          <cell r="C413" t="str">
            <v>C1.AM.04.23</v>
          </cell>
          <cell r="D413" t="str">
            <v>AM</v>
          </cell>
          <cell r="E413" t="str">
            <v>G-071</v>
          </cell>
          <cell r="F413" t="str">
            <v>AM107</v>
          </cell>
          <cell r="G413" t="str">
            <v>N1</v>
          </cell>
          <cell r="H413" t="str">
            <v>b1</v>
          </cell>
          <cell r="I413" t="str">
            <v>N1-b1</v>
          </cell>
          <cell r="J413" t="str">
            <v>04</v>
          </cell>
          <cell r="K413" t="str">
            <v>23</v>
          </cell>
        </row>
        <row r="414">
          <cell r="A414" t="str">
            <v>06-27</v>
          </cell>
          <cell r="B414">
            <v>347</v>
          </cell>
          <cell r="C414" t="str">
            <v>C1.AM.06.27</v>
          </cell>
          <cell r="D414" t="str">
            <v>AM</v>
          </cell>
          <cell r="E414" t="str">
            <v>G-071</v>
          </cell>
          <cell r="F414" t="str">
            <v>AM107</v>
          </cell>
          <cell r="G414" t="str">
            <v>N2</v>
          </cell>
          <cell r="H414" t="str">
            <v>b1</v>
          </cell>
          <cell r="I414" t="str">
            <v>N2-b1</v>
          </cell>
          <cell r="J414" t="str">
            <v>06</v>
          </cell>
          <cell r="K414" t="str">
            <v>27</v>
          </cell>
        </row>
        <row r="415">
          <cell r="A415" t="str">
            <v>08-55</v>
          </cell>
          <cell r="B415">
            <v>503</v>
          </cell>
          <cell r="C415" t="str">
            <v>C1.AM.08.55</v>
          </cell>
          <cell r="D415" t="str">
            <v>AM</v>
          </cell>
          <cell r="E415" t="str">
            <v>G-071</v>
          </cell>
          <cell r="F415" t="str">
            <v>AM107</v>
          </cell>
          <cell r="G415" t="str">
            <v>N1</v>
          </cell>
          <cell r="H415" t="str">
            <v>b2</v>
          </cell>
          <cell r="I415" t="str">
            <v>N1-b2</v>
          </cell>
          <cell r="J415" t="str">
            <v>08</v>
          </cell>
          <cell r="K415" t="str">
            <v>55</v>
          </cell>
        </row>
        <row r="416">
          <cell r="A416" t="str">
            <v>18-84</v>
          </cell>
          <cell r="B416">
            <v>994</v>
          </cell>
          <cell r="C416" t="str">
            <v>C1.AM.18.84</v>
          </cell>
          <cell r="D416" t="str">
            <v>AM</v>
          </cell>
          <cell r="E416" t="str">
            <v>G-071</v>
          </cell>
          <cell r="F416" t="str">
            <v>AM107</v>
          </cell>
          <cell r="G416" t="str">
            <v>N1</v>
          </cell>
          <cell r="H416" t="str">
            <v>b3</v>
          </cell>
          <cell r="I416" t="str">
            <v>N1-b3</v>
          </cell>
          <cell r="J416">
            <v>18</v>
          </cell>
          <cell r="K416" t="str">
            <v>84</v>
          </cell>
        </row>
        <row r="417">
          <cell r="A417" t="str">
            <v>22-81</v>
          </cell>
          <cell r="B417">
            <v>1095</v>
          </cell>
          <cell r="C417" t="str">
            <v>C1.AM.22.81</v>
          </cell>
          <cell r="D417" t="str">
            <v>AM</v>
          </cell>
          <cell r="E417" t="str">
            <v>G-071</v>
          </cell>
          <cell r="F417" t="str">
            <v>AM107</v>
          </cell>
          <cell r="G417" t="str">
            <v>N2</v>
          </cell>
          <cell r="H417" t="str">
            <v>b3</v>
          </cell>
          <cell r="I417" t="str">
            <v>N2-b3</v>
          </cell>
          <cell r="J417">
            <v>22</v>
          </cell>
          <cell r="K417" t="str">
            <v>81</v>
          </cell>
        </row>
        <row r="418">
          <cell r="A418" t="str">
            <v>01-13</v>
          </cell>
          <cell r="B418">
            <v>13</v>
          </cell>
          <cell r="C418" t="str">
            <v>C1.AM.01.13</v>
          </cell>
          <cell r="D418" t="str">
            <v>AM</v>
          </cell>
          <cell r="E418" t="str">
            <v>G-072</v>
          </cell>
          <cell r="F418" t="str">
            <v>AM109</v>
          </cell>
          <cell r="G418" t="str">
            <v>N1</v>
          </cell>
          <cell r="H418" t="str">
            <v>b1</v>
          </cell>
          <cell r="I418" t="str">
            <v>N1-b1</v>
          </cell>
          <cell r="J418" t="str">
            <v>01</v>
          </cell>
          <cell r="K418" t="str">
            <v>13</v>
          </cell>
        </row>
        <row r="419">
          <cell r="A419" t="str">
            <v>03-46</v>
          </cell>
          <cell r="B419">
            <v>174</v>
          </cell>
          <cell r="C419" t="str">
            <v>C1.AM.03.46</v>
          </cell>
          <cell r="D419" t="str">
            <v>AM</v>
          </cell>
          <cell r="E419" t="str">
            <v>G-072</v>
          </cell>
          <cell r="F419" t="str">
            <v>AM109</v>
          </cell>
          <cell r="G419" t="str">
            <v>N2</v>
          </cell>
          <cell r="H419" t="str">
            <v>b2</v>
          </cell>
          <cell r="I419" t="str">
            <v>N2-b2</v>
          </cell>
          <cell r="J419" t="str">
            <v>03</v>
          </cell>
          <cell r="K419" t="str">
            <v>46</v>
          </cell>
        </row>
        <row r="420">
          <cell r="A420" t="str">
            <v>05-14</v>
          </cell>
          <cell r="B420">
            <v>270</v>
          </cell>
          <cell r="C420" t="str">
            <v>C1.AM.05.14</v>
          </cell>
          <cell r="D420" t="str">
            <v>AM</v>
          </cell>
          <cell r="E420" t="str">
            <v>G-072</v>
          </cell>
          <cell r="F420" t="str">
            <v>AM109</v>
          </cell>
          <cell r="G420" t="str">
            <v>N2</v>
          </cell>
          <cell r="H420" t="str">
            <v>b1</v>
          </cell>
          <cell r="I420" t="str">
            <v>N2-b1</v>
          </cell>
          <cell r="J420" t="str">
            <v>05</v>
          </cell>
          <cell r="K420" t="str">
            <v>14</v>
          </cell>
        </row>
        <row r="421">
          <cell r="A421" t="str">
            <v>08-34</v>
          </cell>
          <cell r="B421">
            <v>482</v>
          </cell>
          <cell r="C421" t="str">
            <v>C1.AM.08.34</v>
          </cell>
          <cell r="D421" t="str">
            <v>AM</v>
          </cell>
          <cell r="E421" t="str">
            <v>G-072</v>
          </cell>
          <cell r="F421" t="str">
            <v>AM109</v>
          </cell>
          <cell r="G421" t="str">
            <v>N1</v>
          </cell>
          <cell r="H421" t="str">
            <v>b2</v>
          </cell>
          <cell r="I421" t="str">
            <v>N1-b2</v>
          </cell>
          <cell r="J421" t="str">
            <v>08</v>
          </cell>
          <cell r="K421" t="str">
            <v>34</v>
          </cell>
        </row>
        <row r="422">
          <cell r="A422" t="str">
            <v>16-83</v>
          </cell>
          <cell r="B422">
            <v>941</v>
          </cell>
          <cell r="C422" t="str">
            <v>C1.AM.16.83</v>
          </cell>
          <cell r="D422" t="str">
            <v>AM</v>
          </cell>
          <cell r="E422" t="str">
            <v>G-072</v>
          </cell>
          <cell r="F422" t="str">
            <v>AM109</v>
          </cell>
          <cell r="G422" t="str">
            <v>N1</v>
          </cell>
          <cell r="H422" t="str">
            <v>b3</v>
          </cell>
          <cell r="I422" t="str">
            <v>N1-b3</v>
          </cell>
          <cell r="J422" t="str">
            <v>16</v>
          </cell>
          <cell r="K422" t="str">
            <v>83</v>
          </cell>
        </row>
        <row r="423">
          <cell r="A423" t="str">
            <v>24-81</v>
          </cell>
          <cell r="B423">
            <v>1147</v>
          </cell>
          <cell r="C423" t="str">
            <v>C1.AM.24.81</v>
          </cell>
          <cell r="D423" t="str">
            <v>AM</v>
          </cell>
          <cell r="E423" t="str">
            <v>G-072</v>
          </cell>
          <cell r="F423" t="str">
            <v>AM109</v>
          </cell>
          <cell r="G423" t="str">
            <v>N2</v>
          </cell>
          <cell r="H423" t="str">
            <v>b3</v>
          </cell>
          <cell r="I423" t="str">
            <v>N2-b3</v>
          </cell>
          <cell r="J423">
            <v>24</v>
          </cell>
          <cell r="K423" t="str">
            <v>81</v>
          </cell>
        </row>
        <row r="424">
          <cell r="A424" t="str">
            <v>02-35</v>
          </cell>
          <cell r="B424">
            <v>99</v>
          </cell>
          <cell r="C424" t="str">
            <v>C1.AM.02.35</v>
          </cell>
          <cell r="D424" t="str">
            <v>AM</v>
          </cell>
          <cell r="E424" t="str">
            <v>G-073</v>
          </cell>
          <cell r="F424" t="str">
            <v>AM111</v>
          </cell>
          <cell r="G424" t="str">
            <v>N2</v>
          </cell>
          <cell r="H424" t="str">
            <v>b2</v>
          </cell>
          <cell r="I424" t="str">
            <v>N2-b2</v>
          </cell>
          <cell r="J424" t="str">
            <v>02</v>
          </cell>
          <cell r="K424" t="str">
            <v>35</v>
          </cell>
        </row>
        <row r="425">
          <cell r="A425" t="str">
            <v>03-27</v>
          </cell>
          <cell r="B425">
            <v>155</v>
          </cell>
          <cell r="C425" t="str">
            <v>C1.AM.03.27</v>
          </cell>
          <cell r="D425" t="str">
            <v>AM</v>
          </cell>
          <cell r="E425" t="str">
            <v>G-073</v>
          </cell>
          <cell r="F425" t="str">
            <v>AM111</v>
          </cell>
          <cell r="G425" t="str">
            <v>N1</v>
          </cell>
          <cell r="H425" t="str">
            <v>b1</v>
          </cell>
          <cell r="I425" t="str">
            <v>N1-b1</v>
          </cell>
          <cell r="J425" t="str">
            <v>03</v>
          </cell>
          <cell r="K425" t="str">
            <v>27</v>
          </cell>
        </row>
        <row r="426">
          <cell r="A426" t="str">
            <v>06-38</v>
          </cell>
          <cell r="B426">
            <v>358</v>
          </cell>
          <cell r="C426" t="str">
            <v>C1.AM.06.38</v>
          </cell>
          <cell r="D426" t="str">
            <v>AM</v>
          </cell>
          <cell r="E426" t="str">
            <v>G-073</v>
          </cell>
          <cell r="F426" t="str">
            <v>AM111</v>
          </cell>
          <cell r="G426" t="str">
            <v>N1</v>
          </cell>
          <cell r="H426" t="str">
            <v>b2</v>
          </cell>
          <cell r="I426" t="str">
            <v>N1-b2</v>
          </cell>
          <cell r="J426" t="str">
            <v>06</v>
          </cell>
          <cell r="K426" t="str">
            <v>38</v>
          </cell>
        </row>
        <row r="427">
          <cell r="A427" t="str">
            <v>07-25</v>
          </cell>
          <cell r="B427">
            <v>409</v>
          </cell>
          <cell r="C427" t="str">
            <v>C1.AM.07.25</v>
          </cell>
          <cell r="D427" t="str">
            <v>AM</v>
          </cell>
          <cell r="E427" t="str">
            <v>G-073</v>
          </cell>
          <cell r="F427" t="str">
            <v>AM111</v>
          </cell>
          <cell r="G427" t="str">
            <v>N2</v>
          </cell>
          <cell r="H427" t="str">
            <v>b1</v>
          </cell>
          <cell r="I427" t="str">
            <v>N2-b1</v>
          </cell>
          <cell r="J427" t="str">
            <v>07</v>
          </cell>
          <cell r="K427" t="str">
            <v>25</v>
          </cell>
        </row>
        <row r="428">
          <cell r="A428" t="str">
            <v>19-74</v>
          </cell>
          <cell r="B428">
            <v>1010</v>
          </cell>
          <cell r="C428" t="str">
            <v>C1.AM.19.74</v>
          </cell>
          <cell r="D428" t="str">
            <v>AM</v>
          </cell>
          <cell r="E428" t="str">
            <v>G-073</v>
          </cell>
          <cell r="F428" t="str">
            <v>AM111</v>
          </cell>
          <cell r="G428" t="str">
            <v>N1</v>
          </cell>
          <cell r="H428" t="str">
            <v>b3</v>
          </cell>
          <cell r="I428" t="str">
            <v>N1-b3</v>
          </cell>
          <cell r="J428">
            <v>19</v>
          </cell>
          <cell r="K428" t="str">
            <v>74</v>
          </cell>
        </row>
        <row r="429">
          <cell r="A429" t="str">
            <v>22-65</v>
          </cell>
          <cell r="B429">
            <v>1079</v>
          </cell>
          <cell r="C429" t="str">
            <v>C1.AM.22.65</v>
          </cell>
          <cell r="D429" t="str">
            <v>AM</v>
          </cell>
          <cell r="E429" t="str">
            <v>G-073</v>
          </cell>
          <cell r="F429" t="str">
            <v>AM111</v>
          </cell>
          <cell r="G429" t="str">
            <v>N2</v>
          </cell>
          <cell r="H429" t="str">
            <v>b3</v>
          </cell>
          <cell r="I429" t="str">
            <v>N2-b3</v>
          </cell>
          <cell r="J429">
            <v>22</v>
          </cell>
          <cell r="K429" t="str">
            <v>65</v>
          </cell>
        </row>
        <row r="430">
          <cell r="A430" t="str">
            <v>02-58</v>
          </cell>
          <cell r="B430">
            <v>122</v>
          </cell>
          <cell r="C430" t="str">
            <v>C1.AM.02.58</v>
          </cell>
          <cell r="D430" t="str">
            <v>AM</v>
          </cell>
          <cell r="E430" t="str">
            <v>G-074</v>
          </cell>
          <cell r="F430" t="str">
            <v>AM120</v>
          </cell>
          <cell r="G430" t="str">
            <v>N2</v>
          </cell>
          <cell r="H430" t="str">
            <v>b2</v>
          </cell>
          <cell r="I430" t="str">
            <v>N2-b2</v>
          </cell>
          <cell r="J430" t="str">
            <v>02</v>
          </cell>
          <cell r="K430" t="str">
            <v>58</v>
          </cell>
        </row>
        <row r="431">
          <cell r="A431" t="str">
            <v>03-19</v>
          </cell>
          <cell r="B431">
            <v>147</v>
          </cell>
          <cell r="C431" t="str">
            <v>C1.AM.03.19</v>
          </cell>
          <cell r="D431" t="str">
            <v>AM</v>
          </cell>
          <cell r="E431" t="str">
            <v>G-074</v>
          </cell>
          <cell r="F431" t="str">
            <v>AM120</v>
          </cell>
          <cell r="G431" t="str">
            <v>N1</v>
          </cell>
          <cell r="H431" t="str">
            <v>b1</v>
          </cell>
          <cell r="I431" t="str">
            <v>N1-b1</v>
          </cell>
          <cell r="J431" t="str">
            <v>03</v>
          </cell>
          <cell r="K431" t="str">
            <v>19</v>
          </cell>
        </row>
        <row r="432">
          <cell r="A432" t="str">
            <v>05-52</v>
          </cell>
          <cell r="B432">
            <v>308</v>
          </cell>
          <cell r="C432" t="str">
            <v>C1.AM.05.52</v>
          </cell>
          <cell r="D432" t="str">
            <v>AM</v>
          </cell>
          <cell r="E432" t="str">
            <v>G-074</v>
          </cell>
          <cell r="F432" t="str">
            <v>AM120</v>
          </cell>
          <cell r="G432" t="str">
            <v>N1</v>
          </cell>
          <cell r="H432" t="str">
            <v>b2</v>
          </cell>
          <cell r="I432" t="str">
            <v>N1-b2</v>
          </cell>
          <cell r="J432" t="str">
            <v>05</v>
          </cell>
          <cell r="K432" t="str">
            <v>52</v>
          </cell>
        </row>
        <row r="433">
          <cell r="A433" t="str">
            <v>07-31</v>
          </cell>
          <cell r="B433">
            <v>415</v>
          </cell>
          <cell r="C433" t="str">
            <v>C1.AM.07.31</v>
          </cell>
          <cell r="D433" t="str">
            <v>AM</v>
          </cell>
          <cell r="E433" t="str">
            <v>G-074</v>
          </cell>
          <cell r="F433" t="str">
            <v>AM120</v>
          </cell>
          <cell r="G433" t="str">
            <v>N2</v>
          </cell>
          <cell r="H433" t="str">
            <v>b1</v>
          </cell>
          <cell r="I433" t="str">
            <v>N2-b1</v>
          </cell>
          <cell r="J433" t="str">
            <v>07</v>
          </cell>
          <cell r="K433" t="str">
            <v>31</v>
          </cell>
        </row>
        <row r="434">
          <cell r="A434" t="str">
            <v>18-68</v>
          </cell>
          <cell r="B434">
            <v>978</v>
          </cell>
          <cell r="C434" t="str">
            <v>C1.AM.18.68</v>
          </cell>
          <cell r="D434" t="str">
            <v>AM</v>
          </cell>
          <cell r="E434" t="str">
            <v>G-074</v>
          </cell>
          <cell r="F434" t="str">
            <v>AM120</v>
          </cell>
          <cell r="G434" t="str">
            <v>N1</v>
          </cell>
          <cell r="H434" t="str">
            <v>b3</v>
          </cell>
          <cell r="I434" t="str">
            <v>N1-b3</v>
          </cell>
          <cell r="J434">
            <v>18</v>
          </cell>
          <cell r="K434" t="str">
            <v>68</v>
          </cell>
        </row>
        <row r="435">
          <cell r="A435" t="str">
            <v>21-75</v>
          </cell>
          <cell r="B435">
            <v>1063</v>
          </cell>
          <cell r="C435" t="str">
            <v>C1.AM.21.75</v>
          </cell>
          <cell r="D435" t="str">
            <v>AM</v>
          </cell>
          <cell r="E435" t="str">
            <v>G-074</v>
          </cell>
          <cell r="F435" t="str">
            <v>AM120</v>
          </cell>
          <cell r="G435" t="str">
            <v>N2</v>
          </cell>
          <cell r="H435" t="str">
            <v>b3</v>
          </cell>
          <cell r="I435" t="str">
            <v>N2-b3</v>
          </cell>
          <cell r="J435">
            <v>21</v>
          </cell>
          <cell r="K435" t="str">
            <v>75</v>
          </cell>
        </row>
        <row r="436">
          <cell r="A436" t="str">
            <v>01-14</v>
          </cell>
          <cell r="B436">
            <v>14</v>
          </cell>
          <cell r="C436" t="str">
            <v>C1.AM.01.14</v>
          </cell>
          <cell r="D436" t="str">
            <v>AM</v>
          </cell>
          <cell r="E436" t="str">
            <v>G-075</v>
          </cell>
          <cell r="F436" t="str">
            <v>AM123</v>
          </cell>
          <cell r="G436" t="str">
            <v>N1</v>
          </cell>
          <cell r="H436" t="str">
            <v>b1</v>
          </cell>
          <cell r="I436" t="str">
            <v>N1-b1</v>
          </cell>
          <cell r="J436" t="str">
            <v>01</v>
          </cell>
          <cell r="K436" t="str">
            <v>14</v>
          </cell>
        </row>
        <row r="437">
          <cell r="A437" t="str">
            <v>04-52</v>
          </cell>
          <cell r="B437">
            <v>244</v>
          </cell>
          <cell r="C437" t="str">
            <v>C1.AM.04.52</v>
          </cell>
          <cell r="D437" t="str">
            <v>AM</v>
          </cell>
          <cell r="E437" t="str">
            <v>G-075</v>
          </cell>
          <cell r="F437" t="str">
            <v>AM123</v>
          </cell>
          <cell r="G437" t="str">
            <v>N2</v>
          </cell>
          <cell r="H437" t="str">
            <v>b2</v>
          </cell>
          <cell r="I437" t="str">
            <v>N2-b2</v>
          </cell>
          <cell r="J437" t="str">
            <v>04</v>
          </cell>
          <cell r="K437" t="str">
            <v>52</v>
          </cell>
        </row>
        <row r="438">
          <cell r="A438" t="str">
            <v>05-47</v>
          </cell>
          <cell r="B438">
            <v>303</v>
          </cell>
          <cell r="C438" t="str">
            <v>C1.AM.05.47</v>
          </cell>
          <cell r="D438" t="str">
            <v>AM</v>
          </cell>
          <cell r="E438" t="str">
            <v>G-075</v>
          </cell>
          <cell r="F438" t="str">
            <v>AM123</v>
          </cell>
          <cell r="G438" t="str">
            <v>N1</v>
          </cell>
          <cell r="H438" t="str">
            <v>b2</v>
          </cell>
          <cell r="I438" t="str">
            <v>N1-b2</v>
          </cell>
          <cell r="J438" t="str">
            <v>05</v>
          </cell>
          <cell r="K438" t="str">
            <v>47</v>
          </cell>
        </row>
        <row r="439">
          <cell r="A439" t="str">
            <v>07-09</v>
          </cell>
          <cell r="B439">
            <v>393</v>
          </cell>
          <cell r="C439" t="str">
            <v>C1.AM.07.09</v>
          </cell>
          <cell r="D439" t="str">
            <v>AM</v>
          </cell>
          <cell r="E439" t="str">
            <v>G-075</v>
          </cell>
          <cell r="F439" t="str">
            <v>AM123</v>
          </cell>
          <cell r="G439" t="str">
            <v>N2</v>
          </cell>
          <cell r="H439" t="str">
            <v>b1</v>
          </cell>
          <cell r="I439" t="str">
            <v>N2-b1</v>
          </cell>
          <cell r="J439" t="str">
            <v>07</v>
          </cell>
          <cell r="K439" t="str">
            <v>09</v>
          </cell>
        </row>
        <row r="440">
          <cell r="A440" t="str">
            <v>17-68</v>
          </cell>
          <cell r="B440">
            <v>952</v>
          </cell>
          <cell r="C440" t="str">
            <v>C1.AM.17.68</v>
          </cell>
          <cell r="D440" t="str">
            <v>AM</v>
          </cell>
          <cell r="E440" t="str">
            <v>G-075</v>
          </cell>
          <cell r="F440" t="str">
            <v>AM123</v>
          </cell>
          <cell r="G440" t="str">
            <v>N1</v>
          </cell>
          <cell r="H440" t="str">
            <v>b3</v>
          </cell>
          <cell r="I440" t="str">
            <v>N1-b3</v>
          </cell>
          <cell r="J440">
            <v>17</v>
          </cell>
          <cell r="K440" t="str">
            <v>68</v>
          </cell>
        </row>
        <row r="441">
          <cell r="A441" t="str">
            <v>21-71</v>
          </cell>
          <cell r="B441">
            <v>1059</v>
          </cell>
          <cell r="C441" t="str">
            <v>C1.AM.21.71</v>
          </cell>
          <cell r="D441" t="str">
            <v>AM</v>
          </cell>
          <cell r="E441" t="str">
            <v>G-075</v>
          </cell>
          <cell r="F441" t="str">
            <v>AM123</v>
          </cell>
          <cell r="G441" t="str">
            <v>N2</v>
          </cell>
          <cell r="H441" t="str">
            <v>b3</v>
          </cell>
          <cell r="I441" t="str">
            <v>N2-b3</v>
          </cell>
          <cell r="J441">
            <v>21</v>
          </cell>
          <cell r="K441" t="str">
            <v>71</v>
          </cell>
        </row>
        <row r="442">
          <cell r="A442" t="str">
            <v>02-11</v>
          </cell>
          <cell r="B442">
            <v>75</v>
          </cell>
          <cell r="C442" t="str">
            <v>C1.AM.02.11</v>
          </cell>
          <cell r="D442" t="str">
            <v>AM</v>
          </cell>
          <cell r="E442" t="str">
            <v>G-076</v>
          </cell>
          <cell r="F442" t="str">
            <v>AM124</v>
          </cell>
          <cell r="G442" t="str">
            <v>N1</v>
          </cell>
          <cell r="H442" t="str">
            <v>b1</v>
          </cell>
          <cell r="I442" t="str">
            <v>N1-b1</v>
          </cell>
          <cell r="J442" t="str">
            <v>02</v>
          </cell>
          <cell r="K442" t="str">
            <v>11</v>
          </cell>
        </row>
        <row r="443">
          <cell r="A443" t="str">
            <v>03-38</v>
          </cell>
          <cell r="B443">
            <v>166</v>
          </cell>
          <cell r="C443" t="str">
            <v>C1.AM.03.38</v>
          </cell>
          <cell r="D443" t="str">
            <v>AM</v>
          </cell>
          <cell r="E443" t="str">
            <v>G-076</v>
          </cell>
          <cell r="F443" t="str">
            <v>AM124</v>
          </cell>
          <cell r="G443" t="str">
            <v>N2</v>
          </cell>
          <cell r="H443" t="str">
            <v>b2</v>
          </cell>
          <cell r="I443" t="str">
            <v>N2-b2</v>
          </cell>
          <cell r="J443" t="str">
            <v>03</v>
          </cell>
          <cell r="K443" t="str">
            <v>38</v>
          </cell>
        </row>
        <row r="444">
          <cell r="A444" t="str">
            <v>07-02</v>
          </cell>
          <cell r="B444">
            <v>386</v>
          </cell>
          <cell r="C444" t="str">
            <v>C1.AM.07.02</v>
          </cell>
          <cell r="D444" t="str">
            <v>AM</v>
          </cell>
          <cell r="E444" t="str">
            <v>G-076</v>
          </cell>
          <cell r="F444" t="str">
            <v>AM124</v>
          </cell>
          <cell r="G444" t="str">
            <v>N2</v>
          </cell>
          <cell r="H444" t="str">
            <v>b1</v>
          </cell>
          <cell r="I444" t="str">
            <v>N2-b1</v>
          </cell>
          <cell r="J444" t="str">
            <v>07</v>
          </cell>
          <cell r="K444" t="str">
            <v>02</v>
          </cell>
        </row>
        <row r="445">
          <cell r="A445" t="str">
            <v>07-43</v>
          </cell>
          <cell r="B445">
            <v>427</v>
          </cell>
          <cell r="C445" t="str">
            <v>C1.AM.07.43</v>
          </cell>
          <cell r="D445" t="str">
            <v>AM</v>
          </cell>
          <cell r="E445" t="str">
            <v>G-076</v>
          </cell>
          <cell r="F445" t="str">
            <v>AM124</v>
          </cell>
          <cell r="G445" t="str">
            <v>N1</v>
          </cell>
          <cell r="H445" t="str">
            <v>b2</v>
          </cell>
          <cell r="I445" t="str">
            <v>N1-b2</v>
          </cell>
          <cell r="J445" t="str">
            <v>07</v>
          </cell>
          <cell r="K445" t="str">
            <v>43</v>
          </cell>
        </row>
        <row r="446">
          <cell r="A446" t="str">
            <v>17-75</v>
          </cell>
          <cell r="B446">
            <v>959</v>
          </cell>
          <cell r="C446" t="str">
            <v>C1.AM.17.75</v>
          </cell>
          <cell r="D446" t="str">
            <v>AM</v>
          </cell>
          <cell r="E446" t="str">
            <v>G-076</v>
          </cell>
          <cell r="F446" t="str">
            <v>AM124</v>
          </cell>
          <cell r="G446" t="str">
            <v>N1</v>
          </cell>
          <cell r="H446" t="str">
            <v>b3</v>
          </cell>
          <cell r="I446" t="str">
            <v>N1-b3</v>
          </cell>
          <cell r="J446">
            <v>17</v>
          </cell>
          <cell r="K446" t="str">
            <v>75</v>
          </cell>
        </row>
        <row r="447">
          <cell r="A447" t="str">
            <v>22-85</v>
          </cell>
          <cell r="B447">
            <v>1099</v>
          </cell>
          <cell r="C447" t="str">
            <v>C1.AM.22.85</v>
          </cell>
          <cell r="D447" t="str">
            <v>AM</v>
          </cell>
          <cell r="E447" t="str">
            <v>G-076</v>
          </cell>
          <cell r="F447" t="str">
            <v>AM124</v>
          </cell>
          <cell r="G447" t="str">
            <v>N2</v>
          </cell>
          <cell r="H447" t="str">
            <v>b3</v>
          </cell>
          <cell r="I447" t="str">
            <v>N2-b3</v>
          </cell>
          <cell r="J447">
            <v>22</v>
          </cell>
          <cell r="K447" t="str">
            <v>85</v>
          </cell>
        </row>
        <row r="448">
          <cell r="A448" t="str">
            <v>01-45</v>
          </cell>
          <cell r="B448">
            <v>45</v>
          </cell>
          <cell r="C448" t="str">
            <v>C1.AM.01.45</v>
          </cell>
          <cell r="D448" t="str">
            <v>AM</v>
          </cell>
          <cell r="E448" t="str">
            <v>G-077</v>
          </cell>
          <cell r="F448" t="str">
            <v>AM125</v>
          </cell>
          <cell r="G448" t="str">
            <v>N2</v>
          </cell>
          <cell r="H448" t="str">
            <v>b2</v>
          </cell>
          <cell r="I448" t="str">
            <v>N2-b2</v>
          </cell>
          <cell r="J448" t="str">
            <v>01</v>
          </cell>
          <cell r="K448" t="str">
            <v>45</v>
          </cell>
        </row>
        <row r="449">
          <cell r="A449" t="str">
            <v>03-05</v>
          </cell>
          <cell r="B449">
            <v>133</v>
          </cell>
          <cell r="C449" t="str">
            <v>C1.AM.03.05</v>
          </cell>
          <cell r="D449" t="str">
            <v>AM</v>
          </cell>
          <cell r="E449" t="str">
            <v>G-077</v>
          </cell>
          <cell r="F449" t="str">
            <v>AM125</v>
          </cell>
          <cell r="G449" t="str">
            <v>N1</v>
          </cell>
          <cell r="H449" t="str">
            <v>b1</v>
          </cell>
          <cell r="I449" t="str">
            <v>N1-b1</v>
          </cell>
          <cell r="J449" t="str">
            <v>03</v>
          </cell>
          <cell r="K449" t="str">
            <v>05</v>
          </cell>
        </row>
        <row r="450">
          <cell r="A450" t="str">
            <v>06-26</v>
          </cell>
          <cell r="B450">
            <v>346</v>
          </cell>
          <cell r="C450" t="str">
            <v>C1.AM.06.26</v>
          </cell>
          <cell r="D450" t="str">
            <v>AM</v>
          </cell>
          <cell r="E450" t="str">
            <v>G-077</v>
          </cell>
          <cell r="F450" t="str">
            <v>AM125</v>
          </cell>
          <cell r="G450" t="str">
            <v>N2</v>
          </cell>
          <cell r="H450" t="str">
            <v>b1</v>
          </cell>
          <cell r="I450" t="str">
            <v>N2-b1</v>
          </cell>
          <cell r="J450" t="str">
            <v>06</v>
          </cell>
          <cell r="K450" t="str">
            <v>26</v>
          </cell>
        </row>
        <row r="451">
          <cell r="A451" t="str">
            <v>06-35</v>
          </cell>
          <cell r="B451">
            <v>355</v>
          </cell>
          <cell r="C451" t="str">
            <v>C1.AM.06.35</v>
          </cell>
          <cell r="D451" t="str">
            <v>AM</v>
          </cell>
          <cell r="E451" t="str">
            <v>G-077</v>
          </cell>
          <cell r="F451" t="str">
            <v>AM125</v>
          </cell>
          <cell r="G451" t="str">
            <v>N1</v>
          </cell>
          <cell r="H451" t="str">
            <v>b2</v>
          </cell>
          <cell r="I451" t="str">
            <v>N1-b2</v>
          </cell>
          <cell r="J451" t="str">
            <v>06</v>
          </cell>
          <cell r="K451" t="str">
            <v>35</v>
          </cell>
        </row>
        <row r="452">
          <cell r="A452" t="str">
            <v>15-78</v>
          </cell>
          <cell r="B452">
            <v>910</v>
          </cell>
          <cell r="C452" t="str">
            <v>C1.AM.15.78</v>
          </cell>
          <cell r="D452" t="str">
            <v>AM</v>
          </cell>
          <cell r="E452" t="str">
            <v>G-077</v>
          </cell>
          <cell r="F452" t="str">
            <v>AM125</v>
          </cell>
          <cell r="G452" t="str">
            <v>N1</v>
          </cell>
          <cell r="H452" t="str">
            <v>b3</v>
          </cell>
          <cell r="I452" t="str">
            <v>N1-b3</v>
          </cell>
          <cell r="J452">
            <v>15</v>
          </cell>
          <cell r="K452" t="str">
            <v>78</v>
          </cell>
        </row>
        <row r="453">
          <cell r="A453" t="str">
            <v>24-73</v>
          </cell>
          <cell r="B453">
            <v>1139</v>
          </cell>
          <cell r="C453" t="str">
            <v>C1.AM.24.73</v>
          </cell>
          <cell r="D453" t="str">
            <v>AM</v>
          </cell>
          <cell r="E453" t="str">
            <v>G-077</v>
          </cell>
          <cell r="F453" t="str">
            <v>AM125</v>
          </cell>
          <cell r="G453" t="str">
            <v>N2</v>
          </cell>
          <cell r="H453" t="str">
            <v>b3</v>
          </cell>
          <cell r="I453" t="str">
            <v>N2-b3</v>
          </cell>
          <cell r="J453">
            <v>24</v>
          </cell>
          <cell r="K453" t="str">
            <v>73</v>
          </cell>
        </row>
        <row r="454">
          <cell r="A454" t="str">
            <v>02-10</v>
          </cell>
          <cell r="B454">
            <v>74</v>
          </cell>
          <cell r="C454" t="str">
            <v>C1.AM.02.10</v>
          </cell>
          <cell r="D454" t="str">
            <v>AM</v>
          </cell>
          <cell r="E454" t="str">
            <v>G-078</v>
          </cell>
          <cell r="F454" t="str">
            <v>AM127</v>
          </cell>
          <cell r="G454" t="str">
            <v>N1</v>
          </cell>
          <cell r="H454" t="str">
            <v>b1</v>
          </cell>
          <cell r="I454" t="str">
            <v>N1-b1</v>
          </cell>
          <cell r="J454" t="str">
            <v>02</v>
          </cell>
          <cell r="K454" t="str">
            <v>10</v>
          </cell>
        </row>
        <row r="455">
          <cell r="A455" t="str">
            <v>02-39</v>
          </cell>
          <cell r="B455">
            <v>103</v>
          </cell>
          <cell r="C455" t="str">
            <v>C1.AM.02.39</v>
          </cell>
          <cell r="D455" t="str">
            <v>AM</v>
          </cell>
          <cell r="E455" t="str">
            <v>G-078</v>
          </cell>
          <cell r="F455" t="str">
            <v>AM127</v>
          </cell>
          <cell r="G455" t="str">
            <v>N2</v>
          </cell>
          <cell r="H455" t="str">
            <v>b2</v>
          </cell>
          <cell r="I455" t="str">
            <v>N2-b2</v>
          </cell>
          <cell r="J455" t="str">
            <v>02</v>
          </cell>
          <cell r="K455" t="str">
            <v>39</v>
          </cell>
        </row>
        <row r="456">
          <cell r="A456" t="str">
            <v>07-27</v>
          </cell>
          <cell r="B456">
            <v>411</v>
          </cell>
          <cell r="C456" t="str">
            <v>C1.AM.07.27</v>
          </cell>
          <cell r="D456" t="str">
            <v>AM</v>
          </cell>
          <cell r="E456" t="str">
            <v>G-078</v>
          </cell>
          <cell r="F456" t="str">
            <v>AM127</v>
          </cell>
          <cell r="G456" t="str">
            <v>N2</v>
          </cell>
          <cell r="H456" t="str">
            <v>b1</v>
          </cell>
          <cell r="I456" t="str">
            <v>N2-b1</v>
          </cell>
          <cell r="J456" t="str">
            <v>07</v>
          </cell>
          <cell r="K456" t="str">
            <v>27</v>
          </cell>
        </row>
        <row r="457">
          <cell r="A457" t="str">
            <v>08-41</v>
          </cell>
          <cell r="B457">
            <v>489</v>
          </cell>
          <cell r="C457" t="str">
            <v>C1.AM.08.41</v>
          </cell>
          <cell r="D457" t="str">
            <v>AM</v>
          </cell>
          <cell r="E457" t="str">
            <v>G-078</v>
          </cell>
          <cell r="F457" t="str">
            <v>AM127</v>
          </cell>
          <cell r="G457" t="str">
            <v>N1</v>
          </cell>
          <cell r="H457" t="str">
            <v>b2</v>
          </cell>
          <cell r="I457" t="str">
            <v>N1-b2</v>
          </cell>
          <cell r="J457" t="str">
            <v>08</v>
          </cell>
          <cell r="K457" t="str">
            <v>41</v>
          </cell>
        </row>
        <row r="458">
          <cell r="A458" t="str">
            <v>19-77</v>
          </cell>
          <cell r="B458">
            <v>1013</v>
          </cell>
          <cell r="C458" t="str">
            <v>C1.AM.19.77</v>
          </cell>
          <cell r="D458" t="str">
            <v>AM</v>
          </cell>
          <cell r="E458" t="str">
            <v>G-078</v>
          </cell>
          <cell r="F458" t="str">
            <v>AM127</v>
          </cell>
          <cell r="G458" t="str">
            <v>N1</v>
          </cell>
          <cell r="H458" t="str">
            <v>b3</v>
          </cell>
          <cell r="I458" t="str">
            <v>N1-b3</v>
          </cell>
          <cell r="J458">
            <v>19</v>
          </cell>
          <cell r="K458" t="str">
            <v>77</v>
          </cell>
        </row>
        <row r="459">
          <cell r="A459" t="str">
            <v>23-83</v>
          </cell>
          <cell r="B459">
            <v>1123</v>
          </cell>
          <cell r="C459" t="str">
            <v>C1.AM.23.83</v>
          </cell>
          <cell r="D459" t="str">
            <v>AM</v>
          </cell>
          <cell r="E459" t="str">
            <v>G-078</v>
          </cell>
          <cell r="F459" t="str">
            <v>AM127</v>
          </cell>
          <cell r="G459" t="str">
            <v>N2</v>
          </cell>
          <cell r="H459" t="str">
            <v>b3</v>
          </cell>
          <cell r="I459" t="str">
            <v>N2-b3</v>
          </cell>
          <cell r="J459">
            <v>23</v>
          </cell>
          <cell r="K459" t="str">
            <v>83</v>
          </cell>
        </row>
        <row r="460">
          <cell r="A460" t="str">
            <v>01-39</v>
          </cell>
          <cell r="B460">
            <v>39</v>
          </cell>
          <cell r="C460" t="str">
            <v>C1.AM.01.39</v>
          </cell>
          <cell r="D460" t="str">
            <v>AM</v>
          </cell>
          <cell r="E460" t="str">
            <v>G-079</v>
          </cell>
          <cell r="F460" t="str">
            <v>AM129</v>
          </cell>
          <cell r="G460" t="str">
            <v>N2</v>
          </cell>
          <cell r="H460" t="str">
            <v>b2</v>
          </cell>
          <cell r="I460" t="str">
            <v>N2-b2</v>
          </cell>
          <cell r="J460" t="str">
            <v>01</v>
          </cell>
          <cell r="K460" t="str">
            <v>39</v>
          </cell>
        </row>
        <row r="461">
          <cell r="A461" t="str">
            <v>04-07</v>
          </cell>
          <cell r="B461">
            <v>199</v>
          </cell>
          <cell r="C461" t="str">
            <v>C1.AM.04.07</v>
          </cell>
          <cell r="D461" t="str">
            <v>AM</v>
          </cell>
          <cell r="E461" t="str">
            <v>G-079</v>
          </cell>
          <cell r="F461" t="str">
            <v>AM129</v>
          </cell>
          <cell r="G461" t="str">
            <v>N1</v>
          </cell>
          <cell r="H461" t="str">
            <v>b1</v>
          </cell>
          <cell r="I461" t="str">
            <v>N1-b1</v>
          </cell>
          <cell r="J461" t="str">
            <v>04</v>
          </cell>
          <cell r="K461" t="str">
            <v>07</v>
          </cell>
        </row>
        <row r="462">
          <cell r="A462" t="str">
            <v>07-61</v>
          </cell>
          <cell r="B462">
            <v>445</v>
          </cell>
          <cell r="C462" t="str">
            <v>C1.AM.07.61</v>
          </cell>
          <cell r="D462" t="str">
            <v>AM</v>
          </cell>
          <cell r="E462" t="str">
            <v>G-079</v>
          </cell>
          <cell r="F462" t="str">
            <v>AM129</v>
          </cell>
          <cell r="G462" t="str">
            <v>N1</v>
          </cell>
          <cell r="H462" t="str">
            <v>b2</v>
          </cell>
          <cell r="I462" t="str">
            <v>N1-b2</v>
          </cell>
          <cell r="J462" t="str">
            <v>07</v>
          </cell>
          <cell r="K462" t="str">
            <v>61</v>
          </cell>
        </row>
        <row r="463">
          <cell r="A463" t="str">
            <v>08-30</v>
          </cell>
          <cell r="B463">
            <v>478</v>
          </cell>
          <cell r="C463" t="str">
            <v>C1.AM.08.30</v>
          </cell>
          <cell r="D463" t="str">
            <v>AM</v>
          </cell>
          <cell r="E463" t="str">
            <v>G-079</v>
          </cell>
          <cell r="F463" t="str">
            <v>AM129</v>
          </cell>
          <cell r="G463" t="str">
            <v>N2</v>
          </cell>
          <cell r="H463" t="str">
            <v>b1</v>
          </cell>
          <cell r="I463" t="str">
            <v>N2-b1</v>
          </cell>
          <cell r="J463" t="str">
            <v>08</v>
          </cell>
          <cell r="K463" t="str">
            <v>30</v>
          </cell>
        </row>
        <row r="464">
          <cell r="A464" t="str">
            <v>15-87</v>
          </cell>
          <cell r="B464">
            <v>919</v>
          </cell>
          <cell r="C464" t="str">
            <v>C1.AM.15.87</v>
          </cell>
          <cell r="D464" t="str">
            <v>AM</v>
          </cell>
          <cell r="E464" t="str">
            <v>G-079</v>
          </cell>
          <cell r="F464" t="str">
            <v>AM129</v>
          </cell>
          <cell r="G464" t="str">
            <v>N1</v>
          </cell>
          <cell r="H464" t="str">
            <v>b3</v>
          </cell>
          <cell r="I464" t="str">
            <v>N1-b3</v>
          </cell>
          <cell r="J464">
            <v>15</v>
          </cell>
          <cell r="K464" t="str">
            <v>87</v>
          </cell>
        </row>
        <row r="465">
          <cell r="A465" t="str">
            <v>23-74</v>
          </cell>
          <cell r="B465">
            <v>1114</v>
          </cell>
          <cell r="C465" t="str">
            <v>C1.AM.23.74</v>
          </cell>
          <cell r="D465" t="str">
            <v>AM</v>
          </cell>
          <cell r="E465" t="str">
            <v>G-079</v>
          </cell>
          <cell r="F465" t="str">
            <v>AM129</v>
          </cell>
          <cell r="G465" t="str">
            <v>N2</v>
          </cell>
          <cell r="H465" t="str">
            <v>b3</v>
          </cell>
          <cell r="I465" t="str">
            <v>N2-b3</v>
          </cell>
          <cell r="J465">
            <v>23</v>
          </cell>
          <cell r="K465" t="str">
            <v>74</v>
          </cell>
        </row>
        <row r="466">
          <cell r="A466" t="str">
            <v>02-43</v>
          </cell>
          <cell r="B466">
            <v>107</v>
          </cell>
          <cell r="C466" t="str">
            <v>C1.AM.02.43</v>
          </cell>
          <cell r="D466" t="str">
            <v>AM</v>
          </cell>
          <cell r="E466" t="str">
            <v>G-080</v>
          </cell>
          <cell r="F466" t="str">
            <v>AM130</v>
          </cell>
          <cell r="G466" t="str">
            <v>N2</v>
          </cell>
          <cell r="H466" t="str">
            <v>b2</v>
          </cell>
          <cell r="I466" t="str">
            <v>N2-b2</v>
          </cell>
          <cell r="J466" t="str">
            <v>02</v>
          </cell>
          <cell r="K466" t="str">
            <v>43</v>
          </cell>
        </row>
        <row r="467">
          <cell r="A467" t="str">
            <v>03-08</v>
          </cell>
          <cell r="B467">
            <v>136</v>
          </cell>
          <cell r="C467" t="str">
            <v>C1.AM.03.08</v>
          </cell>
          <cell r="D467" t="str">
            <v>AM</v>
          </cell>
          <cell r="E467" t="str">
            <v>G-080</v>
          </cell>
          <cell r="F467" t="str">
            <v>AM130</v>
          </cell>
          <cell r="G467" t="str">
            <v>N1</v>
          </cell>
          <cell r="H467" t="str">
            <v>b1</v>
          </cell>
          <cell r="I467" t="str">
            <v>N1-b1</v>
          </cell>
          <cell r="J467" t="str">
            <v>03</v>
          </cell>
          <cell r="K467" t="str">
            <v>08</v>
          </cell>
        </row>
        <row r="468">
          <cell r="A468" t="str">
            <v>06-14</v>
          </cell>
          <cell r="B468">
            <v>334</v>
          </cell>
          <cell r="C468" t="str">
            <v>C1.AM.06.14</v>
          </cell>
          <cell r="D468" t="str">
            <v>AM</v>
          </cell>
          <cell r="E468" t="str">
            <v>G-080</v>
          </cell>
          <cell r="F468" t="str">
            <v>AM130</v>
          </cell>
          <cell r="G468" t="str">
            <v>N2</v>
          </cell>
          <cell r="H468" t="str">
            <v>b1</v>
          </cell>
          <cell r="I468" t="str">
            <v>N2-b1</v>
          </cell>
          <cell r="J468" t="str">
            <v>06</v>
          </cell>
          <cell r="K468" t="str">
            <v>14</v>
          </cell>
        </row>
        <row r="469">
          <cell r="A469" t="str">
            <v>06-48</v>
          </cell>
          <cell r="B469">
            <v>368</v>
          </cell>
          <cell r="C469" t="str">
            <v>C1.AM.06.48</v>
          </cell>
          <cell r="D469" t="str">
            <v>AM</v>
          </cell>
          <cell r="E469" t="str">
            <v>G-080</v>
          </cell>
          <cell r="F469" t="str">
            <v>AM130</v>
          </cell>
          <cell r="G469" t="str">
            <v>N1</v>
          </cell>
          <cell r="H469" t="str">
            <v>b2</v>
          </cell>
          <cell r="I469" t="str">
            <v>N1-b2</v>
          </cell>
          <cell r="J469" t="str">
            <v>06</v>
          </cell>
          <cell r="K469" t="str">
            <v>48</v>
          </cell>
        </row>
        <row r="470">
          <cell r="A470" t="str">
            <v>17-85</v>
          </cell>
          <cell r="B470">
            <v>969</v>
          </cell>
          <cell r="C470" t="str">
            <v>C1.AM.17.85</v>
          </cell>
          <cell r="D470" t="str">
            <v>AM</v>
          </cell>
          <cell r="E470" t="str">
            <v>G-080</v>
          </cell>
          <cell r="F470" t="str">
            <v>AM130</v>
          </cell>
          <cell r="G470" t="str">
            <v>N1</v>
          </cell>
          <cell r="H470" t="str">
            <v>b3</v>
          </cell>
          <cell r="I470" t="str">
            <v>N1-b3</v>
          </cell>
          <cell r="J470">
            <v>17</v>
          </cell>
          <cell r="K470" t="str">
            <v>85</v>
          </cell>
        </row>
        <row r="471">
          <cell r="A471" t="str">
            <v>23-86</v>
          </cell>
          <cell r="B471">
            <v>1126</v>
          </cell>
          <cell r="C471" t="str">
            <v>C1.AM.23.86</v>
          </cell>
          <cell r="D471" t="str">
            <v>AM</v>
          </cell>
          <cell r="E471" t="str">
            <v>G-080</v>
          </cell>
          <cell r="F471" t="str">
            <v>AM130</v>
          </cell>
          <cell r="G471" t="str">
            <v>N2</v>
          </cell>
          <cell r="H471" t="str">
            <v>b3</v>
          </cell>
          <cell r="I471" t="str">
            <v>N2-b3</v>
          </cell>
          <cell r="J471">
            <v>23</v>
          </cell>
          <cell r="K471" t="str">
            <v>86</v>
          </cell>
        </row>
        <row r="472">
          <cell r="A472" t="str">
            <v>01-28</v>
          </cell>
          <cell r="B472">
            <v>28</v>
          </cell>
          <cell r="C472" t="str">
            <v>C1.AM.01.28</v>
          </cell>
          <cell r="D472" t="str">
            <v>AM</v>
          </cell>
          <cell r="E472" t="str">
            <v>G-081</v>
          </cell>
          <cell r="F472" t="str">
            <v>AM131</v>
          </cell>
          <cell r="G472" t="str">
            <v>N1</v>
          </cell>
          <cell r="H472" t="str">
            <v>b1</v>
          </cell>
          <cell r="I472" t="str">
            <v>N1-b1</v>
          </cell>
          <cell r="J472" t="str">
            <v>01</v>
          </cell>
          <cell r="K472" t="str">
            <v>28</v>
          </cell>
        </row>
        <row r="473">
          <cell r="A473" t="str">
            <v>03-36</v>
          </cell>
          <cell r="B473">
            <v>164</v>
          </cell>
          <cell r="C473" t="str">
            <v>C1.AM.03.36</v>
          </cell>
          <cell r="D473" t="str">
            <v>AM</v>
          </cell>
          <cell r="E473" t="str">
            <v>G-081</v>
          </cell>
          <cell r="F473" t="str">
            <v>AM131</v>
          </cell>
          <cell r="G473" t="str">
            <v>N2</v>
          </cell>
          <cell r="H473" t="str">
            <v>b2</v>
          </cell>
          <cell r="I473" t="str">
            <v>N2-b2</v>
          </cell>
          <cell r="J473" t="str">
            <v>03</v>
          </cell>
          <cell r="K473" t="str">
            <v>36</v>
          </cell>
        </row>
        <row r="474">
          <cell r="A474" t="str">
            <v>05-21</v>
          </cell>
          <cell r="B474">
            <v>277</v>
          </cell>
          <cell r="C474" t="str">
            <v>C1.AM.05.21</v>
          </cell>
          <cell r="D474" t="str">
            <v>AM</v>
          </cell>
          <cell r="E474" t="str">
            <v>G-081</v>
          </cell>
          <cell r="F474" t="str">
            <v>AM131</v>
          </cell>
          <cell r="G474" t="str">
            <v>N2</v>
          </cell>
          <cell r="H474" t="str">
            <v>b1</v>
          </cell>
          <cell r="I474" t="str">
            <v>N2-b1</v>
          </cell>
          <cell r="J474" t="str">
            <v>05</v>
          </cell>
          <cell r="K474" t="str">
            <v>21</v>
          </cell>
        </row>
        <row r="475">
          <cell r="A475" t="str">
            <v>07-41</v>
          </cell>
          <cell r="B475">
            <v>425</v>
          </cell>
          <cell r="C475" t="str">
            <v>C1.AM.07.41</v>
          </cell>
          <cell r="D475" t="str">
            <v>AM</v>
          </cell>
          <cell r="E475" t="str">
            <v>G-081</v>
          </cell>
          <cell r="F475" t="str">
            <v>AM131</v>
          </cell>
          <cell r="G475" t="str">
            <v>N1</v>
          </cell>
          <cell r="H475" t="str">
            <v>b2</v>
          </cell>
          <cell r="I475" t="str">
            <v>N1-b2</v>
          </cell>
          <cell r="J475" t="str">
            <v>07</v>
          </cell>
          <cell r="K475" t="str">
            <v>41</v>
          </cell>
        </row>
        <row r="476">
          <cell r="A476" t="str">
            <v>18-77</v>
          </cell>
          <cell r="B476">
            <v>987</v>
          </cell>
          <cell r="C476" t="str">
            <v>C1.AM.18.77</v>
          </cell>
          <cell r="D476" t="str">
            <v>AM</v>
          </cell>
          <cell r="E476" t="str">
            <v>G-081</v>
          </cell>
          <cell r="F476" t="str">
            <v>AM131</v>
          </cell>
          <cell r="G476" t="str">
            <v>N1</v>
          </cell>
          <cell r="H476" t="str">
            <v>b3</v>
          </cell>
          <cell r="I476" t="str">
            <v>N1-b3</v>
          </cell>
          <cell r="J476">
            <v>18</v>
          </cell>
          <cell r="K476" t="str">
            <v>77</v>
          </cell>
        </row>
        <row r="477">
          <cell r="A477" t="str">
            <v>22-80</v>
          </cell>
          <cell r="B477">
            <v>1094</v>
          </cell>
          <cell r="C477" t="str">
            <v>C1.AM.22.80</v>
          </cell>
          <cell r="D477" t="str">
            <v>AM</v>
          </cell>
          <cell r="E477" t="str">
            <v>G-081</v>
          </cell>
          <cell r="F477" t="str">
            <v>AM131</v>
          </cell>
          <cell r="G477" t="str">
            <v>N2</v>
          </cell>
          <cell r="H477" t="str">
            <v>b3</v>
          </cell>
          <cell r="I477" t="str">
            <v>N2-b3</v>
          </cell>
          <cell r="J477">
            <v>22</v>
          </cell>
          <cell r="K477" t="str">
            <v>80</v>
          </cell>
        </row>
        <row r="478">
          <cell r="A478" t="str">
            <v>01-29</v>
          </cell>
          <cell r="B478">
            <v>29</v>
          </cell>
          <cell r="C478" t="str">
            <v>C1.AM.01.29</v>
          </cell>
          <cell r="D478" t="str">
            <v>AM</v>
          </cell>
          <cell r="E478" t="str">
            <v>G-082</v>
          </cell>
          <cell r="F478" t="str">
            <v>AM133</v>
          </cell>
          <cell r="G478" t="str">
            <v>N1</v>
          </cell>
          <cell r="H478" t="str">
            <v>b1</v>
          </cell>
          <cell r="I478" t="str">
            <v>N1-b1</v>
          </cell>
          <cell r="J478" t="str">
            <v>01</v>
          </cell>
          <cell r="K478" t="str">
            <v>29</v>
          </cell>
        </row>
        <row r="479">
          <cell r="A479" t="str">
            <v>02-59</v>
          </cell>
          <cell r="B479">
            <v>123</v>
          </cell>
          <cell r="C479" t="str">
            <v>C1.AM.02.59</v>
          </cell>
          <cell r="D479" t="str">
            <v>AM</v>
          </cell>
          <cell r="E479" t="str">
            <v>G-082</v>
          </cell>
          <cell r="F479" t="str">
            <v>AM133</v>
          </cell>
          <cell r="G479" t="str">
            <v>N2</v>
          </cell>
          <cell r="H479" t="str">
            <v>b2</v>
          </cell>
          <cell r="I479" t="str">
            <v>N2-b2</v>
          </cell>
          <cell r="J479" t="str">
            <v>02</v>
          </cell>
          <cell r="K479" t="str">
            <v>59</v>
          </cell>
        </row>
        <row r="480">
          <cell r="A480" t="str">
            <v>05-36</v>
          </cell>
          <cell r="B480">
            <v>292</v>
          </cell>
          <cell r="C480" t="str">
            <v>C1.AM.05.36</v>
          </cell>
          <cell r="D480" t="str">
            <v>AM</v>
          </cell>
          <cell r="E480" t="str">
            <v>G-082</v>
          </cell>
          <cell r="F480" t="str">
            <v>AM133</v>
          </cell>
          <cell r="G480" t="str">
            <v>N1</v>
          </cell>
          <cell r="H480" t="str">
            <v>b2</v>
          </cell>
          <cell r="I480" t="str">
            <v>N1-b2</v>
          </cell>
          <cell r="J480" t="str">
            <v>05</v>
          </cell>
          <cell r="K480" t="str">
            <v>36</v>
          </cell>
        </row>
        <row r="481">
          <cell r="A481" t="str">
            <v>07-04</v>
          </cell>
          <cell r="B481">
            <v>388</v>
          </cell>
          <cell r="C481" t="str">
            <v>C1.AM.07.04</v>
          </cell>
          <cell r="D481" t="str">
            <v>AM</v>
          </cell>
          <cell r="E481" t="str">
            <v>G-082</v>
          </cell>
          <cell r="F481" t="str">
            <v>AM133</v>
          </cell>
          <cell r="G481" t="str">
            <v>N2</v>
          </cell>
          <cell r="H481" t="str">
            <v>b1</v>
          </cell>
          <cell r="I481" t="str">
            <v>N2-b1</v>
          </cell>
          <cell r="J481" t="str">
            <v>07</v>
          </cell>
          <cell r="K481" t="str">
            <v>04</v>
          </cell>
        </row>
        <row r="482">
          <cell r="A482" t="str">
            <v>15-85</v>
          </cell>
          <cell r="B482">
            <v>917</v>
          </cell>
          <cell r="C482" t="str">
            <v>C1.AM.15.85</v>
          </cell>
          <cell r="D482" t="str">
            <v>AM</v>
          </cell>
          <cell r="E482" t="str">
            <v>G-082</v>
          </cell>
          <cell r="F482" t="str">
            <v>AM133</v>
          </cell>
          <cell r="G482" t="str">
            <v>N1</v>
          </cell>
          <cell r="H482" t="str">
            <v>b3</v>
          </cell>
          <cell r="I482" t="str">
            <v>N1-b3</v>
          </cell>
          <cell r="J482">
            <v>15</v>
          </cell>
          <cell r="K482" t="str">
            <v>85</v>
          </cell>
        </row>
        <row r="483">
          <cell r="A483" t="str">
            <v>24-65</v>
          </cell>
          <cell r="B483">
            <v>1131</v>
          </cell>
          <cell r="C483" t="str">
            <v>C1.AM.24.65</v>
          </cell>
          <cell r="D483" t="str">
            <v>AM</v>
          </cell>
          <cell r="E483" t="str">
            <v>G-082</v>
          </cell>
          <cell r="F483" t="str">
            <v>AM133</v>
          </cell>
          <cell r="G483" t="str">
            <v>N2</v>
          </cell>
          <cell r="H483" t="str">
            <v>b3</v>
          </cell>
          <cell r="I483" t="str">
            <v>N2-b3</v>
          </cell>
          <cell r="J483">
            <v>24</v>
          </cell>
          <cell r="K483" t="str">
            <v>65</v>
          </cell>
        </row>
        <row r="484">
          <cell r="A484" t="str">
            <v>01-21</v>
          </cell>
          <cell r="B484">
            <v>21</v>
          </cell>
          <cell r="C484" t="str">
            <v>C1.AM.01.21</v>
          </cell>
          <cell r="D484" t="str">
            <v>AM</v>
          </cell>
          <cell r="E484" t="str">
            <v>G-083</v>
          </cell>
          <cell r="F484" t="str">
            <v>AM137</v>
          </cell>
          <cell r="G484" t="str">
            <v>N1</v>
          </cell>
          <cell r="H484" t="str">
            <v>b1</v>
          </cell>
          <cell r="I484" t="str">
            <v>N1-b1</v>
          </cell>
          <cell r="J484" t="str">
            <v>01</v>
          </cell>
          <cell r="K484" t="str">
            <v>21</v>
          </cell>
        </row>
        <row r="485">
          <cell r="A485" t="str">
            <v>04-53</v>
          </cell>
          <cell r="B485">
            <v>245</v>
          </cell>
          <cell r="C485" t="str">
            <v>C1.AM.04.53</v>
          </cell>
          <cell r="D485" t="str">
            <v>AM</v>
          </cell>
          <cell r="E485" t="str">
            <v>G-083</v>
          </cell>
          <cell r="F485" t="str">
            <v>AM137</v>
          </cell>
          <cell r="G485" t="str">
            <v>N2</v>
          </cell>
          <cell r="H485" t="str">
            <v>b2</v>
          </cell>
          <cell r="I485" t="str">
            <v>N2-b2</v>
          </cell>
          <cell r="J485" t="str">
            <v>04</v>
          </cell>
          <cell r="K485" t="str">
            <v>53</v>
          </cell>
        </row>
        <row r="486">
          <cell r="A486" t="str">
            <v>05-24</v>
          </cell>
          <cell r="B486">
            <v>280</v>
          </cell>
          <cell r="C486" t="str">
            <v>C1.AM.05.24</v>
          </cell>
          <cell r="D486" t="str">
            <v>AM</v>
          </cell>
          <cell r="E486" t="str">
            <v>G-083</v>
          </cell>
          <cell r="F486" t="str">
            <v>AM137</v>
          </cell>
          <cell r="G486" t="str">
            <v>N2</v>
          </cell>
          <cell r="H486" t="str">
            <v>b1</v>
          </cell>
          <cell r="I486" t="str">
            <v>N2-b1</v>
          </cell>
          <cell r="J486" t="str">
            <v>05</v>
          </cell>
          <cell r="K486" t="str">
            <v>24</v>
          </cell>
        </row>
        <row r="487">
          <cell r="A487" t="str">
            <v>07-50</v>
          </cell>
          <cell r="B487">
            <v>434</v>
          </cell>
          <cell r="C487" t="str">
            <v>C1.AM.07.50</v>
          </cell>
          <cell r="D487" t="str">
            <v>AM</v>
          </cell>
          <cell r="E487" t="str">
            <v>G-083</v>
          </cell>
          <cell r="F487" t="str">
            <v>AM137</v>
          </cell>
          <cell r="G487" t="str">
            <v>N1</v>
          </cell>
          <cell r="H487" t="str">
            <v>b2</v>
          </cell>
          <cell r="I487" t="str">
            <v>N1-b2</v>
          </cell>
          <cell r="J487" t="str">
            <v>07</v>
          </cell>
          <cell r="K487" t="str">
            <v>50</v>
          </cell>
        </row>
        <row r="488">
          <cell r="A488" t="str">
            <v>15-77</v>
          </cell>
          <cell r="B488">
            <v>909</v>
          </cell>
          <cell r="C488" t="str">
            <v>C1.AM.15.77</v>
          </cell>
          <cell r="D488" t="str">
            <v>AM</v>
          </cell>
          <cell r="E488" t="str">
            <v>G-083</v>
          </cell>
          <cell r="F488" t="str">
            <v>AM137</v>
          </cell>
          <cell r="G488" t="str">
            <v>N1</v>
          </cell>
          <cell r="H488" t="str">
            <v>b3</v>
          </cell>
          <cell r="I488" t="str">
            <v>N1-b3</v>
          </cell>
          <cell r="J488">
            <v>15</v>
          </cell>
          <cell r="K488" t="str">
            <v>77</v>
          </cell>
        </row>
        <row r="489">
          <cell r="A489" t="str">
            <v>24-76</v>
          </cell>
          <cell r="B489">
            <v>1142</v>
          </cell>
          <cell r="C489" t="str">
            <v>C1.AM.24.76</v>
          </cell>
          <cell r="D489" t="str">
            <v>AM</v>
          </cell>
          <cell r="E489" t="str">
            <v>G-083</v>
          </cell>
          <cell r="F489" t="str">
            <v>AM137</v>
          </cell>
          <cell r="G489" t="str">
            <v>N2</v>
          </cell>
          <cell r="H489" t="str">
            <v>b3</v>
          </cell>
          <cell r="I489" t="str">
            <v>N2-b3</v>
          </cell>
          <cell r="J489">
            <v>24</v>
          </cell>
          <cell r="K489" t="str">
            <v>76</v>
          </cell>
        </row>
        <row r="490">
          <cell r="A490" t="str">
            <v>03-47</v>
          </cell>
          <cell r="B490">
            <v>175</v>
          </cell>
          <cell r="C490" t="str">
            <v>C1.AM.03.47</v>
          </cell>
          <cell r="D490" t="str">
            <v>AM</v>
          </cell>
          <cell r="E490" t="str">
            <v>G-084</v>
          </cell>
          <cell r="F490" t="str">
            <v>AM138</v>
          </cell>
          <cell r="G490" t="str">
            <v>N2</v>
          </cell>
          <cell r="H490" t="str">
            <v>b2</v>
          </cell>
          <cell r="I490" t="str">
            <v>N2-b2</v>
          </cell>
          <cell r="J490" t="str">
            <v>03</v>
          </cell>
          <cell r="K490" t="str">
            <v>47</v>
          </cell>
        </row>
        <row r="491">
          <cell r="A491" t="str">
            <v>04-25</v>
          </cell>
          <cell r="B491">
            <v>217</v>
          </cell>
          <cell r="C491" t="str">
            <v>C1.AM.04.25</v>
          </cell>
          <cell r="D491" t="str">
            <v>AM</v>
          </cell>
          <cell r="E491" t="str">
            <v>G-084</v>
          </cell>
          <cell r="F491" t="str">
            <v>AM138</v>
          </cell>
          <cell r="G491" t="str">
            <v>N1</v>
          </cell>
          <cell r="H491" t="str">
            <v>b1</v>
          </cell>
          <cell r="I491" t="str">
            <v>N1-b1</v>
          </cell>
          <cell r="J491" t="str">
            <v>04</v>
          </cell>
          <cell r="K491" t="str">
            <v>25</v>
          </cell>
        </row>
        <row r="492">
          <cell r="A492" t="str">
            <v>05-53</v>
          </cell>
          <cell r="B492">
            <v>309</v>
          </cell>
          <cell r="C492" t="str">
            <v>C1.AM.05.53</v>
          </cell>
          <cell r="D492" t="str">
            <v>AM</v>
          </cell>
          <cell r="E492" t="str">
            <v>G-084</v>
          </cell>
          <cell r="F492" t="str">
            <v>AM138</v>
          </cell>
          <cell r="G492" t="str">
            <v>N1</v>
          </cell>
          <cell r="H492" t="str">
            <v>b2</v>
          </cell>
          <cell r="I492" t="str">
            <v>N1-b2</v>
          </cell>
          <cell r="J492" t="str">
            <v>05</v>
          </cell>
          <cell r="K492" t="str">
            <v>53</v>
          </cell>
        </row>
        <row r="493">
          <cell r="A493" t="str">
            <v>08-08</v>
          </cell>
          <cell r="B493">
            <v>456</v>
          </cell>
          <cell r="C493" t="str">
            <v>C1.AM.08.08</v>
          </cell>
          <cell r="D493" t="str">
            <v>AM</v>
          </cell>
          <cell r="E493" t="str">
            <v>G-084</v>
          </cell>
          <cell r="F493" t="str">
            <v>AM138</v>
          </cell>
          <cell r="G493" t="str">
            <v>N2</v>
          </cell>
          <cell r="H493" t="str">
            <v>b1</v>
          </cell>
          <cell r="I493" t="str">
            <v>N2-b1</v>
          </cell>
          <cell r="J493" t="str">
            <v>08</v>
          </cell>
          <cell r="K493" t="str">
            <v>08</v>
          </cell>
        </row>
        <row r="494">
          <cell r="A494" t="str">
            <v>17-86</v>
          </cell>
          <cell r="B494">
            <v>970</v>
          </cell>
          <cell r="C494" t="str">
            <v>C1.AM.17.86</v>
          </cell>
          <cell r="D494" t="str">
            <v>AM</v>
          </cell>
          <cell r="E494" t="str">
            <v>G-084</v>
          </cell>
          <cell r="F494" t="str">
            <v>AM138</v>
          </cell>
          <cell r="G494" t="str">
            <v>N1</v>
          </cell>
          <cell r="H494" t="str">
            <v>b3</v>
          </cell>
          <cell r="I494" t="str">
            <v>N1-b3</v>
          </cell>
          <cell r="J494">
            <v>17</v>
          </cell>
          <cell r="K494" t="str">
            <v>86</v>
          </cell>
        </row>
        <row r="495">
          <cell r="A495" t="str">
            <v>21-83</v>
          </cell>
          <cell r="B495">
            <v>1071</v>
          </cell>
          <cell r="C495" t="str">
            <v>C1.AM.21.83</v>
          </cell>
          <cell r="D495" t="str">
            <v>AM</v>
          </cell>
          <cell r="E495" t="str">
            <v>G-084</v>
          </cell>
          <cell r="F495" t="str">
            <v>AM138</v>
          </cell>
          <cell r="G495" t="str">
            <v>N2</v>
          </cell>
          <cell r="H495" t="str">
            <v>b3</v>
          </cell>
          <cell r="I495" t="str">
            <v>N2-b3</v>
          </cell>
          <cell r="J495">
            <v>21</v>
          </cell>
          <cell r="K495" t="str">
            <v>83</v>
          </cell>
        </row>
        <row r="496">
          <cell r="A496" t="str">
            <v>02-05</v>
          </cell>
          <cell r="B496">
            <v>69</v>
          </cell>
          <cell r="C496" t="str">
            <v>C1.AM.02.05</v>
          </cell>
          <cell r="D496" t="str">
            <v>AM</v>
          </cell>
          <cell r="E496" t="str">
            <v>G-085</v>
          </cell>
          <cell r="F496" t="str">
            <v>AM139</v>
          </cell>
          <cell r="G496" t="str">
            <v>N1</v>
          </cell>
          <cell r="H496" t="str">
            <v>b1</v>
          </cell>
          <cell r="I496" t="str">
            <v>N1-b1</v>
          </cell>
          <cell r="J496" t="str">
            <v>02</v>
          </cell>
          <cell r="K496" t="str">
            <v>05</v>
          </cell>
        </row>
        <row r="497">
          <cell r="A497" t="str">
            <v>03-45</v>
          </cell>
          <cell r="B497">
            <v>173</v>
          </cell>
          <cell r="C497" t="str">
            <v>C1.AM.03.45</v>
          </cell>
          <cell r="D497" t="str">
            <v>AM</v>
          </cell>
          <cell r="E497" t="str">
            <v>G-085</v>
          </cell>
          <cell r="F497" t="str">
            <v>AM139</v>
          </cell>
          <cell r="G497" t="str">
            <v>N2</v>
          </cell>
          <cell r="H497" t="str">
            <v>b2</v>
          </cell>
          <cell r="I497" t="str">
            <v>N2-b2</v>
          </cell>
          <cell r="J497" t="str">
            <v>03</v>
          </cell>
          <cell r="K497" t="str">
            <v>45</v>
          </cell>
        </row>
        <row r="498">
          <cell r="A498" t="str">
            <v>07-53</v>
          </cell>
          <cell r="B498">
            <v>437</v>
          </cell>
          <cell r="C498" t="str">
            <v>C1.AM.07.53</v>
          </cell>
          <cell r="D498" t="str">
            <v>AM</v>
          </cell>
          <cell r="E498" t="str">
            <v>G-085</v>
          </cell>
          <cell r="F498" t="str">
            <v>AM139</v>
          </cell>
          <cell r="G498" t="str">
            <v>N1</v>
          </cell>
          <cell r="H498" t="str">
            <v>b2</v>
          </cell>
          <cell r="I498" t="str">
            <v>N1-b2</v>
          </cell>
          <cell r="J498" t="str">
            <v>07</v>
          </cell>
          <cell r="K498" t="str">
            <v>53</v>
          </cell>
        </row>
        <row r="499">
          <cell r="A499" t="str">
            <v>08-14</v>
          </cell>
          <cell r="B499">
            <v>462</v>
          </cell>
          <cell r="C499" t="str">
            <v>C1.AM.08.14</v>
          </cell>
          <cell r="D499" t="str">
            <v>AM</v>
          </cell>
          <cell r="E499" t="str">
            <v>G-085</v>
          </cell>
          <cell r="F499" t="str">
            <v>AM139</v>
          </cell>
          <cell r="G499" t="str">
            <v>N2</v>
          </cell>
          <cell r="H499" t="str">
            <v>b1</v>
          </cell>
          <cell r="I499" t="str">
            <v>N2-b1</v>
          </cell>
          <cell r="J499" t="str">
            <v>08</v>
          </cell>
          <cell r="K499" t="str">
            <v>14</v>
          </cell>
        </row>
        <row r="500">
          <cell r="A500" t="str">
            <v>18-83</v>
          </cell>
          <cell r="B500">
            <v>993</v>
          </cell>
          <cell r="C500" t="str">
            <v>C1.AM.18.83</v>
          </cell>
          <cell r="D500" t="str">
            <v>AM</v>
          </cell>
          <cell r="E500" t="str">
            <v>G-085</v>
          </cell>
          <cell r="F500" t="str">
            <v>AM139</v>
          </cell>
          <cell r="G500" t="str">
            <v>N1</v>
          </cell>
          <cell r="H500" t="str">
            <v>b3</v>
          </cell>
          <cell r="I500" t="str">
            <v>N1-b3</v>
          </cell>
          <cell r="J500">
            <v>18</v>
          </cell>
          <cell r="K500" t="str">
            <v>83</v>
          </cell>
        </row>
        <row r="501">
          <cell r="A501" t="str">
            <v>24-79</v>
          </cell>
          <cell r="B501">
            <v>1145</v>
          </cell>
          <cell r="C501" t="str">
            <v>C1.AM.24.79</v>
          </cell>
          <cell r="D501" t="str">
            <v>AM</v>
          </cell>
          <cell r="E501" t="str">
            <v>G-085</v>
          </cell>
          <cell r="F501" t="str">
            <v>AM139</v>
          </cell>
          <cell r="G501" t="str">
            <v>N2</v>
          </cell>
          <cell r="H501" t="str">
            <v>b3</v>
          </cell>
          <cell r="I501" t="str">
            <v>N2-b3</v>
          </cell>
          <cell r="J501">
            <v>24</v>
          </cell>
          <cell r="K501" t="str">
            <v>79</v>
          </cell>
        </row>
        <row r="502">
          <cell r="A502" t="str">
            <v>02-18</v>
          </cell>
          <cell r="B502">
            <v>82</v>
          </cell>
          <cell r="C502" t="str">
            <v>C1.AM.02.18</v>
          </cell>
          <cell r="D502" t="str">
            <v>AM</v>
          </cell>
          <cell r="E502" t="str">
            <v>G-086</v>
          </cell>
          <cell r="F502" t="str">
            <v>AM140</v>
          </cell>
          <cell r="G502" t="str">
            <v>N1</v>
          </cell>
          <cell r="H502" t="str">
            <v>b1</v>
          </cell>
          <cell r="I502" t="str">
            <v>N1-b1</v>
          </cell>
          <cell r="J502" t="str">
            <v>02</v>
          </cell>
          <cell r="K502" t="str">
            <v>18</v>
          </cell>
        </row>
        <row r="503">
          <cell r="A503" t="str">
            <v>02-34</v>
          </cell>
          <cell r="B503">
            <v>98</v>
          </cell>
          <cell r="C503" t="str">
            <v>C1.AM.02.34</v>
          </cell>
          <cell r="D503" t="str">
            <v>AM</v>
          </cell>
          <cell r="E503" t="str">
            <v>G-086</v>
          </cell>
          <cell r="F503" t="str">
            <v>AM140</v>
          </cell>
          <cell r="G503" t="str">
            <v>N2</v>
          </cell>
          <cell r="H503" t="str">
            <v>b2</v>
          </cell>
          <cell r="I503" t="str">
            <v>N2-b2</v>
          </cell>
          <cell r="J503" t="str">
            <v>02</v>
          </cell>
          <cell r="K503" t="str">
            <v>34</v>
          </cell>
        </row>
        <row r="504">
          <cell r="A504" t="str">
            <v>07-38</v>
          </cell>
          <cell r="B504">
            <v>422</v>
          </cell>
          <cell r="C504" t="str">
            <v>C1.AM.07.38</v>
          </cell>
          <cell r="D504" t="str">
            <v>AM</v>
          </cell>
          <cell r="E504" t="str">
            <v>G-086</v>
          </cell>
          <cell r="F504" t="str">
            <v>AM140</v>
          </cell>
          <cell r="G504" t="str">
            <v>N1</v>
          </cell>
          <cell r="H504" t="str">
            <v>b2</v>
          </cell>
          <cell r="I504" t="str">
            <v>N1-b2</v>
          </cell>
          <cell r="J504" t="str">
            <v>07</v>
          </cell>
          <cell r="K504" t="str">
            <v>38</v>
          </cell>
        </row>
        <row r="505">
          <cell r="A505" t="str">
            <v>08-15</v>
          </cell>
          <cell r="B505">
            <v>463</v>
          </cell>
          <cell r="C505" t="str">
            <v>C1.AM.08.15</v>
          </cell>
          <cell r="D505" t="str">
            <v>AM</v>
          </cell>
          <cell r="E505" t="str">
            <v>G-086</v>
          </cell>
          <cell r="F505" t="str">
            <v>AM140</v>
          </cell>
          <cell r="G505" t="str">
            <v>N2</v>
          </cell>
          <cell r="H505" t="str">
            <v>b1</v>
          </cell>
          <cell r="I505" t="str">
            <v>N2-b1</v>
          </cell>
          <cell r="J505" t="str">
            <v>08</v>
          </cell>
          <cell r="K505" t="str">
            <v>15</v>
          </cell>
        </row>
        <row r="506">
          <cell r="A506" t="str">
            <v>17-66</v>
          </cell>
          <cell r="B506">
            <v>950</v>
          </cell>
          <cell r="C506" t="str">
            <v>C1.AM.17.66</v>
          </cell>
          <cell r="D506" t="str">
            <v>AM</v>
          </cell>
          <cell r="E506" t="str">
            <v>G-086</v>
          </cell>
          <cell r="F506" t="str">
            <v>AM140</v>
          </cell>
          <cell r="G506" t="str">
            <v>N1</v>
          </cell>
          <cell r="H506" t="str">
            <v>b3</v>
          </cell>
          <cell r="I506" t="str">
            <v>N1-b3</v>
          </cell>
          <cell r="J506">
            <v>17</v>
          </cell>
          <cell r="K506" t="str">
            <v>66</v>
          </cell>
        </row>
        <row r="507">
          <cell r="A507" t="str">
            <v>21-72</v>
          </cell>
          <cell r="B507">
            <v>1060</v>
          </cell>
          <cell r="C507" t="str">
            <v>C1.AM.21.72</v>
          </cell>
          <cell r="D507" t="str">
            <v>AM</v>
          </cell>
          <cell r="E507" t="str">
            <v>G-086</v>
          </cell>
          <cell r="F507" t="str">
            <v>AM140</v>
          </cell>
          <cell r="G507" t="str">
            <v>N2</v>
          </cell>
          <cell r="H507" t="str">
            <v>b3</v>
          </cell>
          <cell r="I507" t="str">
            <v>N2-b3</v>
          </cell>
          <cell r="J507">
            <v>21</v>
          </cell>
          <cell r="K507" t="str">
            <v>72</v>
          </cell>
        </row>
        <row r="508">
          <cell r="A508" t="str">
            <v>02-62</v>
          </cell>
          <cell r="B508">
            <v>126</v>
          </cell>
          <cell r="C508" t="str">
            <v>C1.AM.02.62</v>
          </cell>
          <cell r="D508" t="str">
            <v>AM</v>
          </cell>
          <cell r="E508" t="str">
            <v>G-087</v>
          </cell>
          <cell r="F508" t="str">
            <v>AM141</v>
          </cell>
          <cell r="G508" t="str">
            <v>N2</v>
          </cell>
          <cell r="H508" t="str">
            <v>b2</v>
          </cell>
          <cell r="I508" t="str">
            <v>N2-b2</v>
          </cell>
          <cell r="J508" t="str">
            <v>02</v>
          </cell>
          <cell r="K508" t="str">
            <v>62</v>
          </cell>
        </row>
        <row r="509">
          <cell r="A509" t="str">
            <v>03-09</v>
          </cell>
          <cell r="B509">
            <v>137</v>
          </cell>
          <cell r="C509" t="str">
            <v>C1.AM.03.09</v>
          </cell>
          <cell r="D509" t="str">
            <v>AM</v>
          </cell>
          <cell r="E509" t="str">
            <v>G-087</v>
          </cell>
          <cell r="F509" t="str">
            <v>AM141</v>
          </cell>
          <cell r="G509" t="str">
            <v>N1</v>
          </cell>
          <cell r="H509" t="str">
            <v>b1</v>
          </cell>
          <cell r="I509" t="str">
            <v>N1-b1</v>
          </cell>
          <cell r="J509" t="str">
            <v>03</v>
          </cell>
          <cell r="K509" t="str">
            <v>09</v>
          </cell>
        </row>
        <row r="510">
          <cell r="A510" t="str">
            <v>08-18</v>
          </cell>
          <cell r="B510">
            <v>466</v>
          </cell>
          <cell r="C510" t="str">
            <v>C1.AM.08.18</v>
          </cell>
          <cell r="D510" t="str">
            <v>AM</v>
          </cell>
          <cell r="E510" t="str">
            <v>G-087</v>
          </cell>
          <cell r="F510" t="str">
            <v>AM141</v>
          </cell>
          <cell r="G510" t="str">
            <v>N2</v>
          </cell>
          <cell r="H510" t="str">
            <v>b1</v>
          </cell>
          <cell r="I510" t="str">
            <v>N2-b1</v>
          </cell>
          <cell r="J510" t="str">
            <v>08</v>
          </cell>
          <cell r="K510" t="str">
            <v>18</v>
          </cell>
        </row>
        <row r="511">
          <cell r="A511" t="str">
            <v>08-37</v>
          </cell>
          <cell r="B511">
            <v>485</v>
          </cell>
          <cell r="C511" t="str">
            <v>C1.AM.08.37</v>
          </cell>
          <cell r="D511" t="str">
            <v>AM</v>
          </cell>
          <cell r="E511" t="str">
            <v>G-087</v>
          </cell>
          <cell r="F511" t="str">
            <v>AM141</v>
          </cell>
          <cell r="G511" t="str">
            <v>N1</v>
          </cell>
          <cell r="H511" t="str">
            <v>b2</v>
          </cell>
          <cell r="I511" t="str">
            <v>N1-b2</v>
          </cell>
          <cell r="J511" t="str">
            <v>08</v>
          </cell>
          <cell r="K511" t="str">
            <v>37</v>
          </cell>
        </row>
        <row r="512">
          <cell r="A512" t="str">
            <v>19-82</v>
          </cell>
          <cell r="B512">
            <v>1018</v>
          </cell>
          <cell r="C512" t="str">
            <v>C1.AM.19.82</v>
          </cell>
          <cell r="D512" t="str">
            <v>AM</v>
          </cell>
          <cell r="E512" t="str">
            <v>G-087</v>
          </cell>
          <cell r="F512" t="str">
            <v>AM141</v>
          </cell>
          <cell r="G512" t="str">
            <v>N1</v>
          </cell>
          <cell r="H512" t="str">
            <v>b3</v>
          </cell>
          <cell r="I512" t="str">
            <v>N1-b3</v>
          </cell>
          <cell r="J512">
            <v>19</v>
          </cell>
          <cell r="K512" t="str">
            <v>82</v>
          </cell>
        </row>
        <row r="513">
          <cell r="A513" t="str">
            <v>22-71</v>
          </cell>
          <cell r="B513">
            <v>1085</v>
          </cell>
          <cell r="C513" t="str">
            <v>C1.AM.22.71</v>
          </cell>
          <cell r="D513" t="str">
            <v>AM</v>
          </cell>
          <cell r="E513" t="str">
            <v>G-087</v>
          </cell>
          <cell r="F513" t="str">
            <v>AM141</v>
          </cell>
          <cell r="G513" t="str">
            <v>N2</v>
          </cell>
          <cell r="H513" t="str">
            <v>b3</v>
          </cell>
          <cell r="I513" t="str">
            <v>N2-b3</v>
          </cell>
          <cell r="J513">
            <v>22</v>
          </cell>
          <cell r="K513" t="str">
            <v>71</v>
          </cell>
        </row>
        <row r="514">
          <cell r="A514" t="str">
            <v>01-11</v>
          </cell>
          <cell r="B514">
            <v>11</v>
          </cell>
          <cell r="C514" t="str">
            <v>C1.AM.01.11</v>
          </cell>
          <cell r="D514" t="str">
            <v>AM</v>
          </cell>
          <cell r="E514" t="str">
            <v>G-088</v>
          </cell>
          <cell r="F514" t="str">
            <v>AM143</v>
          </cell>
          <cell r="G514" t="str">
            <v>N1</v>
          </cell>
          <cell r="H514" t="str">
            <v>b1</v>
          </cell>
          <cell r="I514" t="str">
            <v>N1-b1</v>
          </cell>
          <cell r="J514" t="str">
            <v>01</v>
          </cell>
          <cell r="K514" t="str">
            <v>11</v>
          </cell>
        </row>
        <row r="515">
          <cell r="A515" t="str">
            <v>01-64</v>
          </cell>
          <cell r="B515">
            <v>64</v>
          </cell>
          <cell r="C515" t="str">
            <v>C1.AM.01.64</v>
          </cell>
          <cell r="D515" t="str">
            <v>AM</v>
          </cell>
          <cell r="E515" t="str">
            <v>G-088</v>
          </cell>
          <cell r="F515" t="str">
            <v>AM143</v>
          </cell>
          <cell r="G515" t="str">
            <v>N2</v>
          </cell>
          <cell r="H515" t="str">
            <v>b2</v>
          </cell>
          <cell r="I515" t="str">
            <v>N2-b2</v>
          </cell>
          <cell r="J515" t="str">
            <v>01</v>
          </cell>
          <cell r="K515" t="str">
            <v>64</v>
          </cell>
        </row>
        <row r="516">
          <cell r="A516" t="str">
            <v>07-62</v>
          </cell>
          <cell r="B516">
            <v>446</v>
          </cell>
          <cell r="C516" t="str">
            <v>C1.AM.07.62</v>
          </cell>
          <cell r="D516" t="str">
            <v>AM</v>
          </cell>
          <cell r="E516" t="str">
            <v>G-088</v>
          </cell>
          <cell r="F516" t="str">
            <v>AM143</v>
          </cell>
          <cell r="G516" t="str">
            <v>N1</v>
          </cell>
          <cell r="H516" t="str">
            <v>b2</v>
          </cell>
          <cell r="I516" t="str">
            <v>N1-b2</v>
          </cell>
          <cell r="J516" t="str">
            <v>07</v>
          </cell>
          <cell r="K516" t="str">
            <v>62</v>
          </cell>
        </row>
        <row r="517">
          <cell r="A517" t="str">
            <v>08-04</v>
          </cell>
          <cell r="B517">
            <v>452</v>
          </cell>
          <cell r="C517" t="str">
            <v>C1.AM.08.04</v>
          </cell>
          <cell r="D517" t="str">
            <v>AM</v>
          </cell>
          <cell r="E517" t="str">
            <v>G-088</v>
          </cell>
          <cell r="F517" t="str">
            <v>AM143</v>
          </cell>
          <cell r="G517" t="str">
            <v>N2</v>
          </cell>
          <cell r="H517" t="str">
            <v>b1</v>
          </cell>
          <cell r="I517" t="str">
            <v>N2-b1</v>
          </cell>
          <cell r="J517" t="str">
            <v>08</v>
          </cell>
          <cell r="K517" t="str">
            <v>04</v>
          </cell>
        </row>
        <row r="518">
          <cell r="A518" t="str">
            <v>15-69</v>
          </cell>
          <cell r="B518">
            <v>901</v>
          </cell>
          <cell r="C518" t="str">
            <v>C1.AM.15.69</v>
          </cell>
          <cell r="D518" t="str">
            <v>AM</v>
          </cell>
          <cell r="E518" t="str">
            <v>G-088</v>
          </cell>
          <cell r="F518" t="str">
            <v>AM143</v>
          </cell>
          <cell r="G518" t="str">
            <v>N1</v>
          </cell>
          <cell r="H518" t="str">
            <v>b3</v>
          </cell>
          <cell r="I518" t="str">
            <v>N1-b3</v>
          </cell>
          <cell r="J518">
            <v>15</v>
          </cell>
          <cell r="K518" t="str">
            <v>69</v>
          </cell>
        </row>
        <row r="519">
          <cell r="A519" t="str">
            <v>23-90</v>
          </cell>
          <cell r="B519">
            <v>1130</v>
          </cell>
          <cell r="C519" t="str">
            <v>C1.AM.23.90</v>
          </cell>
          <cell r="D519" t="str">
            <v>AM</v>
          </cell>
          <cell r="E519" t="str">
            <v>G-088</v>
          </cell>
          <cell r="F519" t="str">
            <v>AM143</v>
          </cell>
          <cell r="G519" t="str">
            <v>N2</v>
          </cell>
          <cell r="H519" t="str">
            <v>b3</v>
          </cell>
          <cell r="I519" t="str">
            <v>N2-b3</v>
          </cell>
          <cell r="J519">
            <v>23</v>
          </cell>
          <cell r="K519" t="str">
            <v>90</v>
          </cell>
        </row>
        <row r="520">
          <cell r="A520" t="str">
            <v>01-04</v>
          </cell>
          <cell r="B520">
            <v>4</v>
          </cell>
          <cell r="C520" t="str">
            <v>C1.AM.01.04</v>
          </cell>
          <cell r="D520" t="str">
            <v>AM</v>
          </cell>
          <cell r="E520" t="str">
            <v>G-089</v>
          </cell>
          <cell r="F520" t="str">
            <v>AM144</v>
          </cell>
          <cell r="G520" t="str">
            <v>N1</v>
          </cell>
          <cell r="H520" t="str">
            <v>b1</v>
          </cell>
          <cell r="I520" t="str">
            <v>N1-b1</v>
          </cell>
          <cell r="J520" t="str">
            <v>01</v>
          </cell>
          <cell r="K520" t="str">
            <v>04</v>
          </cell>
        </row>
        <row r="521">
          <cell r="A521" t="str">
            <v>03-64</v>
          </cell>
          <cell r="B521">
            <v>192</v>
          </cell>
          <cell r="C521" t="str">
            <v>C1.AM.03.64</v>
          </cell>
          <cell r="D521" t="str">
            <v>AM</v>
          </cell>
          <cell r="E521" t="str">
            <v>G-089</v>
          </cell>
          <cell r="F521" t="str">
            <v>AM144</v>
          </cell>
          <cell r="G521" t="str">
            <v>N2</v>
          </cell>
          <cell r="H521" t="str">
            <v>b2</v>
          </cell>
          <cell r="I521" t="str">
            <v>N2-b2</v>
          </cell>
          <cell r="J521" t="str">
            <v>03</v>
          </cell>
          <cell r="K521" t="str">
            <v>64</v>
          </cell>
        </row>
        <row r="522">
          <cell r="A522" t="str">
            <v>08-09</v>
          </cell>
          <cell r="B522">
            <v>457</v>
          </cell>
          <cell r="C522" t="str">
            <v>C1.AM.08.09</v>
          </cell>
          <cell r="D522" t="str">
            <v>AM</v>
          </cell>
          <cell r="E522" t="str">
            <v>G-089</v>
          </cell>
          <cell r="F522" t="str">
            <v>AM144</v>
          </cell>
          <cell r="G522" t="str">
            <v>N2</v>
          </cell>
          <cell r="H522" t="str">
            <v>b1</v>
          </cell>
          <cell r="I522" t="str">
            <v>N2-b1</v>
          </cell>
          <cell r="J522" t="str">
            <v>08</v>
          </cell>
          <cell r="K522" t="str">
            <v>09</v>
          </cell>
        </row>
        <row r="523">
          <cell r="A523" t="str">
            <v>08-47</v>
          </cell>
          <cell r="B523">
            <v>495</v>
          </cell>
          <cell r="C523" t="str">
            <v>C1.AM.08.47</v>
          </cell>
          <cell r="D523" t="str">
            <v>AM</v>
          </cell>
          <cell r="E523" t="str">
            <v>G-089</v>
          </cell>
          <cell r="F523" t="str">
            <v>AM144</v>
          </cell>
          <cell r="G523" t="str">
            <v>N1</v>
          </cell>
          <cell r="H523" t="str">
            <v>b2</v>
          </cell>
          <cell r="I523" t="str">
            <v>N1-b2</v>
          </cell>
          <cell r="J523" t="str">
            <v>08</v>
          </cell>
          <cell r="K523" t="str">
            <v>47</v>
          </cell>
        </row>
        <row r="524">
          <cell r="A524" t="str">
            <v>16-81</v>
          </cell>
          <cell r="B524">
            <v>939</v>
          </cell>
          <cell r="C524" t="str">
            <v>C1.AM.16.81</v>
          </cell>
          <cell r="D524" t="str">
            <v>AM</v>
          </cell>
          <cell r="E524" t="str">
            <v>G-089</v>
          </cell>
          <cell r="F524" t="str">
            <v>AM144</v>
          </cell>
          <cell r="G524" t="str">
            <v>N1</v>
          </cell>
          <cell r="H524" t="str">
            <v>b3</v>
          </cell>
          <cell r="I524" t="str">
            <v>N1-b3</v>
          </cell>
          <cell r="J524" t="str">
            <v>16</v>
          </cell>
          <cell r="K524" t="str">
            <v>81</v>
          </cell>
        </row>
        <row r="525">
          <cell r="A525" t="str">
            <v>24-88</v>
          </cell>
          <cell r="B525">
            <v>1154</v>
          </cell>
          <cell r="C525" t="str">
            <v>C1.AM.24.88</v>
          </cell>
          <cell r="D525" t="str">
            <v>AM</v>
          </cell>
          <cell r="E525" t="str">
            <v>G-089</v>
          </cell>
          <cell r="F525" t="str">
            <v>AM144</v>
          </cell>
          <cell r="G525" t="str">
            <v>N2</v>
          </cell>
          <cell r="H525" t="str">
            <v>b3</v>
          </cell>
          <cell r="I525" t="str">
            <v>N2-b3</v>
          </cell>
          <cell r="J525">
            <v>24</v>
          </cell>
          <cell r="K525" t="str">
            <v>88</v>
          </cell>
        </row>
        <row r="526">
          <cell r="A526" t="str">
            <v>01-34</v>
          </cell>
          <cell r="B526">
            <v>34</v>
          </cell>
          <cell r="C526" t="str">
            <v>C1.AM.01.34</v>
          </cell>
          <cell r="D526" t="str">
            <v>AM</v>
          </cell>
          <cell r="E526" t="str">
            <v>G-090</v>
          </cell>
          <cell r="F526" t="str">
            <v>AM145</v>
          </cell>
          <cell r="G526" t="str">
            <v>N2</v>
          </cell>
          <cell r="H526" t="str">
            <v>b2</v>
          </cell>
          <cell r="I526" t="str">
            <v>N2-b2</v>
          </cell>
          <cell r="J526" t="str">
            <v>01</v>
          </cell>
          <cell r="K526" t="str">
            <v>34</v>
          </cell>
        </row>
        <row r="527">
          <cell r="A527" t="str">
            <v>02-22</v>
          </cell>
          <cell r="B527">
            <v>86</v>
          </cell>
          <cell r="C527" t="str">
            <v>C1.AM.02.22</v>
          </cell>
          <cell r="D527" t="str">
            <v>AM</v>
          </cell>
          <cell r="E527" t="str">
            <v>G-090</v>
          </cell>
          <cell r="F527" t="str">
            <v>AM145</v>
          </cell>
          <cell r="G527" t="str">
            <v>N1</v>
          </cell>
          <cell r="H527" t="str">
            <v>b1</v>
          </cell>
          <cell r="I527" t="str">
            <v>N1-b1</v>
          </cell>
          <cell r="J527" t="str">
            <v>02</v>
          </cell>
          <cell r="K527" t="str">
            <v>22</v>
          </cell>
        </row>
        <row r="528">
          <cell r="A528" t="str">
            <v>07-32</v>
          </cell>
          <cell r="B528">
            <v>416</v>
          </cell>
          <cell r="C528" t="str">
            <v>C1.AM.07.32</v>
          </cell>
          <cell r="D528" t="str">
            <v>AM</v>
          </cell>
          <cell r="E528" t="str">
            <v>G-090</v>
          </cell>
          <cell r="F528" t="str">
            <v>AM145</v>
          </cell>
          <cell r="G528" t="str">
            <v>N2</v>
          </cell>
          <cell r="H528" t="str">
            <v>b1</v>
          </cell>
          <cell r="I528" t="str">
            <v>N2-b1</v>
          </cell>
          <cell r="J528" t="str">
            <v>07</v>
          </cell>
          <cell r="K528" t="str">
            <v>32</v>
          </cell>
        </row>
        <row r="529">
          <cell r="A529" t="str">
            <v>07-47</v>
          </cell>
          <cell r="B529">
            <v>431</v>
          </cell>
          <cell r="C529" t="str">
            <v>C1.AM.07.47</v>
          </cell>
          <cell r="D529" t="str">
            <v>AM</v>
          </cell>
          <cell r="E529" t="str">
            <v>G-090</v>
          </cell>
          <cell r="F529" t="str">
            <v>AM145</v>
          </cell>
          <cell r="G529" t="str">
            <v>N1</v>
          </cell>
          <cell r="H529" t="str">
            <v>b2</v>
          </cell>
          <cell r="I529" t="str">
            <v>N1-b2</v>
          </cell>
          <cell r="J529" t="str">
            <v>07</v>
          </cell>
          <cell r="K529" t="str">
            <v>47</v>
          </cell>
        </row>
        <row r="530">
          <cell r="A530" t="str">
            <v>16-74</v>
          </cell>
          <cell r="B530">
            <v>932</v>
          </cell>
          <cell r="C530" t="str">
            <v>C1.AM.16.74</v>
          </cell>
          <cell r="D530" t="str">
            <v>AM</v>
          </cell>
          <cell r="E530" t="str">
            <v>G-090</v>
          </cell>
          <cell r="F530" t="str">
            <v>AM145</v>
          </cell>
          <cell r="G530" t="str">
            <v>N1</v>
          </cell>
          <cell r="H530" t="str">
            <v>b3</v>
          </cell>
          <cell r="I530" t="str">
            <v>N1-b3</v>
          </cell>
          <cell r="J530" t="str">
            <v>16</v>
          </cell>
          <cell r="K530" t="str">
            <v>74</v>
          </cell>
        </row>
        <row r="531">
          <cell r="A531" t="str">
            <v>20-90</v>
          </cell>
          <cell r="B531">
            <v>1052</v>
          </cell>
          <cell r="C531" t="str">
            <v>C1.AM.20.90</v>
          </cell>
          <cell r="D531" t="str">
            <v>AM</v>
          </cell>
          <cell r="E531" t="str">
            <v>G-090</v>
          </cell>
          <cell r="F531" t="str">
            <v>AM145</v>
          </cell>
          <cell r="G531" t="str">
            <v>N2</v>
          </cell>
          <cell r="H531" t="str">
            <v>b3</v>
          </cell>
          <cell r="I531" t="str">
            <v>N2-b3</v>
          </cell>
          <cell r="J531">
            <v>20</v>
          </cell>
          <cell r="K531" t="str">
            <v>90</v>
          </cell>
        </row>
        <row r="532">
          <cell r="A532" t="str">
            <v>01-56</v>
          </cell>
          <cell r="B532">
            <v>56</v>
          </cell>
          <cell r="C532" t="str">
            <v>C1.AM.01.56</v>
          </cell>
          <cell r="D532" t="str">
            <v>AM</v>
          </cell>
          <cell r="E532" t="str">
            <v>G-091</v>
          </cell>
          <cell r="F532" t="str">
            <v>AM146</v>
          </cell>
          <cell r="G532" t="str">
            <v>N2</v>
          </cell>
          <cell r="H532" t="str">
            <v>b2</v>
          </cell>
          <cell r="I532" t="str">
            <v>N2-b2</v>
          </cell>
          <cell r="J532" t="str">
            <v>01</v>
          </cell>
          <cell r="K532" t="str">
            <v>56</v>
          </cell>
        </row>
        <row r="533">
          <cell r="A533" t="str">
            <v>02-20</v>
          </cell>
          <cell r="B533">
            <v>84</v>
          </cell>
          <cell r="C533" t="str">
            <v>C1.AM.02.20</v>
          </cell>
          <cell r="D533" t="str">
            <v>AM</v>
          </cell>
          <cell r="E533" t="str">
            <v>G-091</v>
          </cell>
          <cell r="F533" t="str">
            <v>AM146</v>
          </cell>
          <cell r="G533" t="str">
            <v>N1</v>
          </cell>
          <cell r="H533" t="str">
            <v>b1</v>
          </cell>
          <cell r="I533" t="str">
            <v>N1-b1</v>
          </cell>
          <cell r="J533" t="str">
            <v>02</v>
          </cell>
          <cell r="K533" t="str">
            <v>20</v>
          </cell>
        </row>
        <row r="534">
          <cell r="A534" t="str">
            <v>05-43</v>
          </cell>
          <cell r="B534">
            <v>299</v>
          </cell>
          <cell r="C534" t="str">
            <v>C1.AM.05.43</v>
          </cell>
          <cell r="D534" t="str">
            <v>AM</v>
          </cell>
          <cell r="E534" t="str">
            <v>G-091</v>
          </cell>
          <cell r="F534" t="str">
            <v>AM146</v>
          </cell>
          <cell r="G534" t="str">
            <v>N1</v>
          </cell>
          <cell r="H534" t="str">
            <v>b2</v>
          </cell>
          <cell r="I534" t="str">
            <v>N1-b2</v>
          </cell>
          <cell r="J534" t="str">
            <v>05</v>
          </cell>
          <cell r="K534" t="str">
            <v>43</v>
          </cell>
        </row>
        <row r="535">
          <cell r="A535" t="str">
            <v>07-26</v>
          </cell>
          <cell r="B535">
            <v>410</v>
          </cell>
          <cell r="C535" t="str">
            <v>C1.AM.07.26</v>
          </cell>
          <cell r="D535" t="str">
            <v>AM</v>
          </cell>
          <cell r="E535" t="str">
            <v>G-091</v>
          </cell>
          <cell r="F535" t="str">
            <v>AM146</v>
          </cell>
          <cell r="G535" t="str">
            <v>N2</v>
          </cell>
          <cell r="H535" t="str">
            <v>b1</v>
          </cell>
          <cell r="I535" t="str">
            <v>N2-b1</v>
          </cell>
          <cell r="J535" t="str">
            <v>07</v>
          </cell>
          <cell r="K535" t="str">
            <v>26</v>
          </cell>
        </row>
        <row r="536">
          <cell r="A536" t="str">
            <v>15-88</v>
          </cell>
          <cell r="B536">
            <v>920</v>
          </cell>
          <cell r="C536" t="str">
            <v>C1.AM.15.88</v>
          </cell>
          <cell r="D536" t="str">
            <v>AM</v>
          </cell>
          <cell r="E536" t="str">
            <v>G-091</v>
          </cell>
          <cell r="F536" t="str">
            <v>AM146</v>
          </cell>
          <cell r="G536" t="str">
            <v>N1</v>
          </cell>
          <cell r="H536" t="str">
            <v>b3</v>
          </cell>
          <cell r="I536" t="str">
            <v>N1-b3</v>
          </cell>
          <cell r="J536">
            <v>15</v>
          </cell>
          <cell r="K536" t="str">
            <v>88</v>
          </cell>
        </row>
        <row r="537">
          <cell r="A537" t="str">
            <v>23-65</v>
          </cell>
          <cell r="B537">
            <v>1105</v>
          </cell>
          <cell r="C537" t="str">
            <v>C1.AM.23.65</v>
          </cell>
          <cell r="D537" t="str">
            <v>AM</v>
          </cell>
          <cell r="E537" t="str">
            <v>G-091</v>
          </cell>
          <cell r="F537" t="str">
            <v>AM146</v>
          </cell>
          <cell r="G537" t="str">
            <v>N2</v>
          </cell>
          <cell r="H537" t="str">
            <v>b3</v>
          </cell>
          <cell r="I537" t="str">
            <v>N2-b3</v>
          </cell>
          <cell r="J537">
            <v>23</v>
          </cell>
          <cell r="K537" t="str">
            <v>65</v>
          </cell>
        </row>
        <row r="538">
          <cell r="A538" t="str">
            <v>02-36</v>
          </cell>
          <cell r="B538">
            <v>100</v>
          </cell>
          <cell r="C538" t="str">
            <v>C1.AM.02.36</v>
          </cell>
          <cell r="D538" t="str">
            <v>AM</v>
          </cell>
          <cell r="E538" t="str">
            <v>G-092</v>
          </cell>
          <cell r="F538" t="str">
            <v>AM147</v>
          </cell>
          <cell r="G538" t="str">
            <v>N2</v>
          </cell>
          <cell r="H538" t="str">
            <v>b2</v>
          </cell>
          <cell r="I538" t="str">
            <v>N2-b2</v>
          </cell>
          <cell r="J538" t="str">
            <v>02</v>
          </cell>
          <cell r="K538" t="str">
            <v>36</v>
          </cell>
        </row>
        <row r="539">
          <cell r="A539" t="str">
            <v>04-09</v>
          </cell>
          <cell r="B539">
            <v>201</v>
          </cell>
          <cell r="C539" t="str">
            <v>C1.AM.04.09</v>
          </cell>
          <cell r="D539" t="str">
            <v>AM</v>
          </cell>
          <cell r="E539" t="str">
            <v>G-092</v>
          </cell>
          <cell r="F539" t="str">
            <v>AM147</v>
          </cell>
          <cell r="G539" t="str">
            <v>N1</v>
          </cell>
          <cell r="H539" t="str">
            <v>b1</v>
          </cell>
          <cell r="I539" t="str">
            <v>N1-b1</v>
          </cell>
          <cell r="J539" t="str">
            <v>04</v>
          </cell>
          <cell r="K539" t="str">
            <v>09</v>
          </cell>
        </row>
        <row r="540">
          <cell r="A540" t="str">
            <v>05-25</v>
          </cell>
          <cell r="B540">
            <v>281</v>
          </cell>
          <cell r="C540" t="str">
            <v>C1.AM.05.25</v>
          </cell>
          <cell r="D540" t="str">
            <v>AM</v>
          </cell>
          <cell r="E540" t="str">
            <v>G-092</v>
          </cell>
          <cell r="F540" t="str">
            <v>AM147</v>
          </cell>
          <cell r="G540" t="str">
            <v>N2</v>
          </cell>
          <cell r="H540" t="str">
            <v>b1</v>
          </cell>
          <cell r="I540" t="str">
            <v>N2-b1</v>
          </cell>
          <cell r="J540" t="str">
            <v>05</v>
          </cell>
          <cell r="K540" t="str">
            <v>25</v>
          </cell>
        </row>
        <row r="541">
          <cell r="A541" t="str">
            <v>07-39</v>
          </cell>
          <cell r="B541">
            <v>423</v>
          </cell>
          <cell r="C541" t="str">
            <v>C1.AM.07.39</v>
          </cell>
          <cell r="D541" t="str">
            <v>AM</v>
          </cell>
          <cell r="E541" t="str">
            <v>G-092</v>
          </cell>
          <cell r="F541" t="str">
            <v>AM147</v>
          </cell>
          <cell r="G541" t="str">
            <v>N1</v>
          </cell>
          <cell r="H541" t="str">
            <v>b2</v>
          </cell>
          <cell r="I541" t="str">
            <v>N1-b2</v>
          </cell>
          <cell r="J541" t="str">
            <v>07</v>
          </cell>
          <cell r="K541" t="str">
            <v>39</v>
          </cell>
        </row>
        <row r="542">
          <cell r="A542" t="str">
            <v>15-82</v>
          </cell>
          <cell r="B542">
            <v>914</v>
          </cell>
          <cell r="C542" t="str">
            <v>C1.AM.15.82</v>
          </cell>
          <cell r="D542" t="str">
            <v>AM</v>
          </cell>
          <cell r="E542" t="str">
            <v>G-092</v>
          </cell>
          <cell r="F542" t="str">
            <v>AM147</v>
          </cell>
          <cell r="G542" t="str">
            <v>N1</v>
          </cell>
          <cell r="H542" t="str">
            <v>b3</v>
          </cell>
          <cell r="I542" t="str">
            <v>N1-b3</v>
          </cell>
          <cell r="J542">
            <v>15</v>
          </cell>
          <cell r="K542" t="str">
            <v>82</v>
          </cell>
        </row>
        <row r="543">
          <cell r="A543" t="str">
            <v>21-88</v>
          </cell>
          <cell r="B543">
            <v>1076</v>
          </cell>
          <cell r="C543" t="str">
            <v>C1.AM.21.88</v>
          </cell>
          <cell r="D543" t="str">
            <v>AM</v>
          </cell>
          <cell r="E543" t="str">
            <v>G-092</v>
          </cell>
          <cell r="F543" t="str">
            <v>AM147</v>
          </cell>
          <cell r="G543" t="str">
            <v>N2</v>
          </cell>
          <cell r="H543" t="str">
            <v>b3</v>
          </cell>
          <cell r="I543" t="str">
            <v>N2-b3</v>
          </cell>
          <cell r="J543">
            <v>21</v>
          </cell>
          <cell r="K543" t="str">
            <v>88</v>
          </cell>
        </row>
        <row r="544">
          <cell r="A544" t="str">
            <v>01-23</v>
          </cell>
          <cell r="B544">
            <v>23</v>
          </cell>
          <cell r="C544" t="str">
            <v>C1.AM.01.23</v>
          </cell>
          <cell r="D544" t="str">
            <v>AM</v>
          </cell>
          <cell r="E544" t="str">
            <v>G-093</v>
          </cell>
          <cell r="F544" t="str">
            <v>AM148</v>
          </cell>
          <cell r="G544" t="str">
            <v>N1</v>
          </cell>
          <cell r="H544" t="str">
            <v>b1</v>
          </cell>
          <cell r="I544" t="str">
            <v>N1-b1</v>
          </cell>
          <cell r="J544" t="str">
            <v>01</v>
          </cell>
          <cell r="K544" t="str">
            <v>23</v>
          </cell>
        </row>
        <row r="545">
          <cell r="A545" t="str">
            <v>01-37</v>
          </cell>
          <cell r="B545">
            <v>37</v>
          </cell>
          <cell r="C545" t="str">
            <v>C1.AM.01.37</v>
          </cell>
          <cell r="D545" t="str">
            <v>AM</v>
          </cell>
          <cell r="E545" t="str">
            <v>G-093</v>
          </cell>
          <cell r="F545" t="str">
            <v>AM148</v>
          </cell>
          <cell r="G545" t="str">
            <v>N2</v>
          </cell>
          <cell r="H545" t="str">
            <v>b2</v>
          </cell>
          <cell r="I545" t="str">
            <v>N2-b2</v>
          </cell>
          <cell r="J545" t="str">
            <v>01</v>
          </cell>
          <cell r="K545" t="str">
            <v>37</v>
          </cell>
        </row>
        <row r="546">
          <cell r="A546" t="str">
            <v>05-48</v>
          </cell>
          <cell r="B546">
            <v>304</v>
          </cell>
          <cell r="C546" t="str">
            <v>C1.AM.05.48</v>
          </cell>
          <cell r="D546" t="str">
            <v>AM</v>
          </cell>
          <cell r="E546" t="str">
            <v>G-093</v>
          </cell>
          <cell r="F546" t="str">
            <v>AM148</v>
          </cell>
          <cell r="G546" t="str">
            <v>N1</v>
          </cell>
          <cell r="H546" t="str">
            <v>b2</v>
          </cell>
          <cell r="I546" t="str">
            <v>N1-b2</v>
          </cell>
          <cell r="J546" t="str">
            <v>05</v>
          </cell>
          <cell r="K546" t="str">
            <v>48</v>
          </cell>
        </row>
        <row r="547">
          <cell r="A547" t="str">
            <v>08-20</v>
          </cell>
          <cell r="B547">
            <v>468</v>
          </cell>
          <cell r="C547" t="str">
            <v>C1.AM.08.20</v>
          </cell>
          <cell r="D547" t="str">
            <v>AM</v>
          </cell>
          <cell r="E547" t="str">
            <v>G-093</v>
          </cell>
          <cell r="F547" t="str">
            <v>AM148</v>
          </cell>
          <cell r="G547" t="str">
            <v>N2</v>
          </cell>
          <cell r="H547" t="str">
            <v>b1</v>
          </cell>
          <cell r="I547" t="str">
            <v>N2-b1</v>
          </cell>
          <cell r="J547" t="str">
            <v>08</v>
          </cell>
          <cell r="K547" t="str">
            <v>20</v>
          </cell>
        </row>
        <row r="548">
          <cell r="A548" t="str">
            <v>18-82</v>
          </cell>
          <cell r="B548">
            <v>992</v>
          </cell>
          <cell r="C548" t="str">
            <v>C1.AM.18.82</v>
          </cell>
          <cell r="D548" t="str">
            <v>AM</v>
          </cell>
          <cell r="E548" t="str">
            <v>G-093</v>
          </cell>
          <cell r="F548" t="str">
            <v>AM148</v>
          </cell>
          <cell r="G548" t="str">
            <v>N1</v>
          </cell>
          <cell r="H548" t="str">
            <v>b3</v>
          </cell>
          <cell r="I548" t="str">
            <v>N1-b3</v>
          </cell>
          <cell r="J548">
            <v>18</v>
          </cell>
          <cell r="K548" t="str">
            <v>82</v>
          </cell>
        </row>
        <row r="549">
          <cell r="A549" t="str">
            <v>20-80</v>
          </cell>
          <cell r="B549">
            <v>1042</v>
          </cell>
          <cell r="C549" t="str">
            <v>C1.AM.20.80</v>
          </cell>
          <cell r="D549" t="str">
            <v>AM</v>
          </cell>
          <cell r="E549" t="str">
            <v>G-093</v>
          </cell>
          <cell r="F549" t="str">
            <v>AM148</v>
          </cell>
          <cell r="G549" t="str">
            <v>N2</v>
          </cell>
          <cell r="H549" t="str">
            <v>b3</v>
          </cell>
          <cell r="I549" t="str">
            <v>N2-b3</v>
          </cell>
          <cell r="J549">
            <v>20</v>
          </cell>
          <cell r="K549" t="str">
            <v>80</v>
          </cell>
        </row>
        <row r="550">
          <cell r="A550" t="str">
            <v>01-42</v>
          </cell>
          <cell r="B550">
            <v>42</v>
          </cell>
          <cell r="C550" t="str">
            <v>C1.AM.01.42</v>
          </cell>
          <cell r="D550" t="str">
            <v>AM</v>
          </cell>
          <cell r="E550" t="str">
            <v>G-094</v>
          </cell>
          <cell r="F550" t="str">
            <v>AM149</v>
          </cell>
          <cell r="G550" t="str">
            <v>N2</v>
          </cell>
          <cell r="H550" t="str">
            <v>b2</v>
          </cell>
          <cell r="I550" t="str">
            <v>N2-b2</v>
          </cell>
          <cell r="J550" t="str">
            <v>01</v>
          </cell>
          <cell r="K550" t="str">
            <v>42</v>
          </cell>
        </row>
        <row r="551">
          <cell r="A551" t="str">
            <v>03-25</v>
          </cell>
          <cell r="B551">
            <v>153</v>
          </cell>
          <cell r="C551" t="str">
            <v>C1.AM.03.25</v>
          </cell>
          <cell r="D551" t="str">
            <v>AM</v>
          </cell>
          <cell r="E551" t="str">
            <v>G-094</v>
          </cell>
          <cell r="F551" t="str">
            <v>AM149</v>
          </cell>
          <cell r="G551" t="str">
            <v>N1</v>
          </cell>
          <cell r="H551" t="str">
            <v>b1</v>
          </cell>
          <cell r="I551" t="str">
            <v>N1-b1</v>
          </cell>
          <cell r="J551" t="str">
            <v>03</v>
          </cell>
          <cell r="K551" t="str">
            <v>25</v>
          </cell>
        </row>
        <row r="552">
          <cell r="A552" t="str">
            <v>06-24</v>
          </cell>
          <cell r="B552">
            <v>344</v>
          </cell>
          <cell r="C552" t="str">
            <v>C1.AM.06.24</v>
          </cell>
          <cell r="D552" t="str">
            <v>AM</v>
          </cell>
          <cell r="E552" t="str">
            <v>G-094</v>
          </cell>
          <cell r="F552" t="str">
            <v>AM149</v>
          </cell>
          <cell r="G552" t="str">
            <v>N2</v>
          </cell>
          <cell r="H552" t="str">
            <v>b1</v>
          </cell>
          <cell r="I552" t="str">
            <v>N2-b1</v>
          </cell>
          <cell r="J552" t="str">
            <v>06</v>
          </cell>
          <cell r="K552" t="str">
            <v>24</v>
          </cell>
        </row>
        <row r="553">
          <cell r="A553" t="str">
            <v>06-39</v>
          </cell>
          <cell r="B553">
            <v>359</v>
          </cell>
          <cell r="C553" t="str">
            <v>C1.AM.06.39</v>
          </cell>
          <cell r="D553" t="str">
            <v>AM</v>
          </cell>
          <cell r="E553" t="str">
            <v>G-094</v>
          </cell>
          <cell r="F553" t="str">
            <v>AM149</v>
          </cell>
          <cell r="G553" t="str">
            <v>N1</v>
          </cell>
          <cell r="H553" t="str">
            <v>b2</v>
          </cell>
          <cell r="I553" t="str">
            <v>N1-b2</v>
          </cell>
          <cell r="J553" t="str">
            <v>06</v>
          </cell>
          <cell r="K553" t="str">
            <v>39</v>
          </cell>
        </row>
        <row r="554">
          <cell r="A554" t="str">
            <v>17-76</v>
          </cell>
          <cell r="B554">
            <v>960</v>
          </cell>
          <cell r="C554" t="str">
            <v>C1.AM.17.76</v>
          </cell>
          <cell r="D554" t="str">
            <v>AM</v>
          </cell>
          <cell r="E554" t="str">
            <v>G-094</v>
          </cell>
          <cell r="F554" t="str">
            <v>AM149</v>
          </cell>
          <cell r="G554" t="str">
            <v>N1</v>
          </cell>
          <cell r="H554" t="str">
            <v>b3</v>
          </cell>
          <cell r="I554" t="str">
            <v>N1-b3</v>
          </cell>
          <cell r="J554">
            <v>17</v>
          </cell>
          <cell r="K554" t="str">
            <v>76</v>
          </cell>
        </row>
        <row r="555">
          <cell r="A555" t="str">
            <v>23-76</v>
          </cell>
          <cell r="B555">
            <v>1116</v>
          </cell>
          <cell r="C555" t="str">
            <v>C1.AM.23.76</v>
          </cell>
          <cell r="D555" t="str">
            <v>AM</v>
          </cell>
          <cell r="E555" t="str">
            <v>G-094</v>
          </cell>
          <cell r="F555" t="str">
            <v>AM149</v>
          </cell>
          <cell r="G555" t="str">
            <v>N2</v>
          </cell>
          <cell r="H555" t="str">
            <v>b3</v>
          </cell>
          <cell r="I555" t="str">
            <v>N2-b3</v>
          </cell>
          <cell r="J555">
            <v>23</v>
          </cell>
          <cell r="K555" t="str">
            <v>76</v>
          </cell>
        </row>
        <row r="556">
          <cell r="A556" t="str">
            <v>01-51</v>
          </cell>
          <cell r="B556">
            <v>51</v>
          </cell>
          <cell r="C556" t="str">
            <v>C1.AM.01.51</v>
          </cell>
          <cell r="D556" t="str">
            <v>AM</v>
          </cell>
          <cell r="E556" t="str">
            <v>G-095</v>
          </cell>
          <cell r="F556" t="str">
            <v>AM156</v>
          </cell>
          <cell r="G556" t="str">
            <v>N2</v>
          </cell>
          <cell r="H556" t="str">
            <v>b2</v>
          </cell>
          <cell r="I556" t="str">
            <v>N2-b2</v>
          </cell>
          <cell r="J556" t="str">
            <v>01</v>
          </cell>
          <cell r="K556" t="str">
            <v>51</v>
          </cell>
        </row>
        <row r="557">
          <cell r="A557" t="str">
            <v>04-13</v>
          </cell>
          <cell r="B557">
            <v>205</v>
          </cell>
          <cell r="C557" t="str">
            <v>C1.AM.04.13</v>
          </cell>
          <cell r="D557" t="str">
            <v>AM</v>
          </cell>
          <cell r="E557" t="str">
            <v>G-095</v>
          </cell>
          <cell r="F557" t="str">
            <v>AM156</v>
          </cell>
          <cell r="G557" t="str">
            <v>N1</v>
          </cell>
          <cell r="H557" t="str">
            <v>b1</v>
          </cell>
          <cell r="I557" t="str">
            <v>N1-b1</v>
          </cell>
          <cell r="J557" t="str">
            <v>04</v>
          </cell>
          <cell r="K557" t="str">
            <v>13</v>
          </cell>
        </row>
        <row r="558">
          <cell r="A558" t="str">
            <v>05-07</v>
          </cell>
          <cell r="B558">
            <v>263</v>
          </cell>
          <cell r="C558" t="str">
            <v>C1.AM.05.07</v>
          </cell>
          <cell r="D558" t="str">
            <v>AM</v>
          </cell>
          <cell r="E558" t="str">
            <v>G-095</v>
          </cell>
          <cell r="F558" t="str">
            <v>AM156</v>
          </cell>
          <cell r="G558" t="str">
            <v>N2</v>
          </cell>
          <cell r="H558" t="str">
            <v>b1</v>
          </cell>
          <cell r="I558" t="str">
            <v>N2-b1</v>
          </cell>
          <cell r="J558" t="str">
            <v>05</v>
          </cell>
          <cell r="K558" t="str">
            <v>07</v>
          </cell>
        </row>
        <row r="559">
          <cell r="A559" t="str">
            <v>06-44</v>
          </cell>
          <cell r="B559">
            <v>364</v>
          </cell>
          <cell r="C559" t="str">
            <v>C1.AM.06.44</v>
          </cell>
          <cell r="D559" t="str">
            <v>AM</v>
          </cell>
          <cell r="E559" t="str">
            <v>G-095</v>
          </cell>
          <cell r="F559" t="str">
            <v>AM156</v>
          </cell>
          <cell r="G559" t="str">
            <v>N1</v>
          </cell>
          <cell r="H559" t="str">
            <v>b2</v>
          </cell>
          <cell r="I559" t="str">
            <v>N1-b2</v>
          </cell>
          <cell r="J559" t="str">
            <v>06</v>
          </cell>
          <cell r="K559" t="str">
            <v>44</v>
          </cell>
        </row>
        <row r="560">
          <cell r="A560" t="str">
            <v>15-79</v>
          </cell>
          <cell r="B560">
            <v>911</v>
          </cell>
          <cell r="C560" t="str">
            <v>C1.AM.15.79</v>
          </cell>
          <cell r="D560" t="str">
            <v>AM</v>
          </cell>
          <cell r="E560" t="str">
            <v>G-095</v>
          </cell>
          <cell r="F560" t="str">
            <v>AM156</v>
          </cell>
          <cell r="G560" t="str">
            <v>N1</v>
          </cell>
          <cell r="H560" t="str">
            <v>b3</v>
          </cell>
          <cell r="I560" t="str">
            <v>N1-b3</v>
          </cell>
          <cell r="J560">
            <v>15</v>
          </cell>
          <cell r="K560" t="str">
            <v>79</v>
          </cell>
        </row>
        <row r="561">
          <cell r="A561" t="str">
            <v>23-68</v>
          </cell>
          <cell r="B561">
            <v>1108</v>
          </cell>
          <cell r="C561" t="str">
            <v>C1.AM.23.68</v>
          </cell>
          <cell r="D561" t="str">
            <v>AM</v>
          </cell>
          <cell r="E561" t="str">
            <v>G-095</v>
          </cell>
          <cell r="F561" t="str">
            <v>AM156</v>
          </cell>
          <cell r="G561" t="str">
            <v>N2</v>
          </cell>
          <cell r="H561" t="str">
            <v>b3</v>
          </cell>
          <cell r="I561" t="str">
            <v>N2-b3</v>
          </cell>
          <cell r="J561">
            <v>23</v>
          </cell>
          <cell r="K561" t="str">
            <v>68</v>
          </cell>
        </row>
        <row r="562">
          <cell r="A562" t="str">
            <v>02-49</v>
          </cell>
          <cell r="B562">
            <v>113</v>
          </cell>
          <cell r="C562" t="str">
            <v>C1.AM.02.49</v>
          </cell>
          <cell r="D562" t="str">
            <v>AM</v>
          </cell>
          <cell r="E562" t="str">
            <v>G-096</v>
          </cell>
          <cell r="F562" t="str">
            <v>AM158</v>
          </cell>
          <cell r="G562" t="str">
            <v>N2</v>
          </cell>
          <cell r="H562" t="str">
            <v>b2</v>
          </cell>
          <cell r="I562" t="str">
            <v>N2-b2</v>
          </cell>
          <cell r="J562" t="str">
            <v>02</v>
          </cell>
          <cell r="K562" t="str">
            <v>49</v>
          </cell>
        </row>
        <row r="563">
          <cell r="A563" t="str">
            <v>03-14</v>
          </cell>
          <cell r="B563">
            <v>142</v>
          </cell>
          <cell r="C563" t="str">
            <v>C1.AM.03.14</v>
          </cell>
          <cell r="D563" t="str">
            <v>AM</v>
          </cell>
          <cell r="E563" t="str">
            <v>G-096</v>
          </cell>
          <cell r="F563" t="str">
            <v>AM158</v>
          </cell>
          <cell r="G563" t="str">
            <v>N1</v>
          </cell>
          <cell r="H563" t="str">
            <v>b1</v>
          </cell>
          <cell r="I563" t="str">
            <v>N1-b1</v>
          </cell>
          <cell r="J563" t="str">
            <v>03</v>
          </cell>
          <cell r="K563" t="str">
            <v>14</v>
          </cell>
        </row>
        <row r="564">
          <cell r="A564" t="str">
            <v>05-59</v>
          </cell>
          <cell r="B564">
            <v>315</v>
          </cell>
          <cell r="C564" t="str">
            <v>C1.AM.05.59</v>
          </cell>
          <cell r="D564" t="str">
            <v>AM</v>
          </cell>
          <cell r="E564" t="str">
            <v>G-096</v>
          </cell>
          <cell r="F564" t="str">
            <v>AM158</v>
          </cell>
          <cell r="G564" t="str">
            <v>N1</v>
          </cell>
          <cell r="H564" t="str">
            <v>b2</v>
          </cell>
          <cell r="I564" t="str">
            <v>N1-b2</v>
          </cell>
          <cell r="J564" t="str">
            <v>05</v>
          </cell>
          <cell r="K564" t="str">
            <v>59</v>
          </cell>
        </row>
        <row r="565">
          <cell r="A565" t="str">
            <v>06-08</v>
          </cell>
          <cell r="B565">
            <v>328</v>
          </cell>
          <cell r="C565" t="str">
            <v>C1.AM.06.08</v>
          </cell>
          <cell r="D565" t="str">
            <v>AM</v>
          </cell>
          <cell r="E565" t="str">
            <v>G-096</v>
          </cell>
          <cell r="F565" t="str">
            <v>AM158</v>
          </cell>
          <cell r="G565" t="str">
            <v>N2</v>
          </cell>
          <cell r="H565" t="str">
            <v>b1</v>
          </cell>
          <cell r="I565" t="str">
            <v>N2-b1</v>
          </cell>
          <cell r="J565" t="str">
            <v>06</v>
          </cell>
          <cell r="K565" t="str">
            <v>08</v>
          </cell>
        </row>
        <row r="566">
          <cell r="A566" t="str">
            <v>16-73</v>
          </cell>
          <cell r="B566">
            <v>931</v>
          </cell>
          <cell r="C566" t="str">
            <v>C1.AM.16.73</v>
          </cell>
          <cell r="D566" t="str">
            <v>AM</v>
          </cell>
          <cell r="E566" t="str">
            <v>G-096</v>
          </cell>
          <cell r="F566" t="str">
            <v>AM158</v>
          </cell>
          <cell r="G566" t="str">
            <v>N1</v>
          </cell>
          <cell r="H566" t="str">
            <v>b3</v>
          </cell>
          <cell r="I566" t="str">
            <v>N1-b3</v>
          </cell>
          <cell r="J566" t="str">
            <v>16</v>
          </cell>
          <cell r="K566" t="str">
            <v>73</v>
          </cell>
        </row>
        <row r="567">
          <cell r="A567" t="str">
            <v>22-89</v>
          </cell>
          <cell r="B567">
            <v>1103</v>
          </cell>
          <cell r="C567" t="str">
            <v>C1.AM.22.89</v>
          </cell>
          <cell r="D567" t="str">
            <v>AM</v>
          </cell>
          <cell r="E567" t="str">
            <v>G-096</v>
          </cell>
          <cell r="F567" t="str">
            <v>AM158</v>
          </cell>
          <cell r="G567" t="str">
            <v>N2</v>
          </cell>
          <cell r="H567" t="str">
            <v>b3</v>
          </cell>
          <cell r="I567" t="str">
            <v>N2-b3</v>
          </cell>
          <cell r="J567">
            <v>22</v>
          </cell>
          <cell r="K567" t="str">
            <v>89</v>
          </cell>
        </row>
        <row r="568">
          <cell r="A568" t="str">
            <v>01-44</v>
          </cell>
          <cell r="B568">
            <v>44</v>
          </cell>
          <cell r="C568" t="str">
            <v>C1.AM.01.44</v>
          </cell>
          <cell r="D568" t="str">
            <v>AM</v>
          </cell>
          <cell r="E568" t="str">
            <v>G-097</v>
          </cell>
          <cell r="F568" t="str">
            <v>AM161</v>
          </cell>
          <cell r="G568" t="str">
            <v>N2</v>
          </cell>
          <cell r="H568" t="str">
            <v>b2</v>
          </cell>
          <cell r="I568" t="str">
            <v>N2-b2</v>
          </cell>
          <cell r="J568" t="str">
            <v>01</v>
          </cell>
          <cell r="K568" t="str">
            <v>44</v>
          </cell>
        </row>
        <row r="569">
          <cell r="A569" t="str">
            <v>04-28</v>
          </cell>
          <cell r="B569">
            <v>220</v>
          </cell>
          <cell r="C569" t="str">
            <v>C1.AM.04.28</v>
          </cell>
          <cell r="D569" t="str">
            <v>AM</v>
          </cell>
          <cell r="E569" t="str">
            <v>G-097</v>
          </cell>
          <cell r="F569" t="str">
            <v>AM161</v>
          </cell>
          <cell r="G569" t="str">
            <v>N1</v>
          </cell>
          <cell r="H569" t="str">
            <v>b1</v>
          </cell>
          <cell r="I569" t="str">
            <v>N1-b1</v>
          </cell>
          <cell r="J569" t="str">
            <v>04</v>
          </cell>
          <cell r="K569" t="str">
            <v>28</v>
          </cell>
        </row>
        <row r="570">
          <cell r="A570" t="str">
            <v>07-35</v>
          </cell>
          <cell r="B570">
            <v>419</v>
          </cell>
          <cell r="C570" t="str">
            <v>C1.AM.07.35</v>
          </cell>
          <cell r="D570" t="str">
            <v>AM</v>
          </cell>
          <cell r="E570" t="str">
            <v>G-097</v>
          </cell>
          <cell r="F570" t="str">
            <v>AM161</v>
          </cell>
          <cell r="G570" t="str">
            <v>N1</v>
          </cell>
          <cell r="H570" t="str">
            <v>b2</v>
          </cell>
          <cell r="I570" t="str">
            <v>N1-b2</v>
          </cell>
          <cell r="J570" t="str">
            <v>07</v>
          </cell>
          <cell r="K570" t="str">
            <v>35</v>
          </cell>
        </row>
        <row r="571">
          <cell r="A571" t="str">
            <v>08-02</v>
          </cell>
          <cell r="B571">
            <v>450</v>
          </cell>
          <cell r="C571" t="str">
            <v>C1.AM.08.02</v>
          </cell>
          <cell r="D571" t="str">
            <v>AM</v>
          </cell>
          <cell r="E571" t="str">
            <v>G-097</v>
          </cell>
          <cell r="F571" t="str">
            <v>AM161</v>
          </cell>
          <cell r="G571" t="str">
            <v>N2</v>
          </cell>
          <cell r="H571" t="str">
            <v>b1</v>
          </cell>
          <cell r="I571" t="str">
            <v>N2-b1</v>
          </cell>
          <cell r="J571" t="str">
            <v>08</v>
          </cell>
          <cell r="K571" t="str">
            <v>02</v>
          </cell>
        </row>
        <row r="572">
          <cell r="A572" t="str">
            <v>19-72</v>
          </cell>
          <cell r="B572">
            <v>1008</v>
          </cell>
          <cell r="C572" t="str">
            <v>C1.AM.19.72</v>
          </cell>
          <cell r="D572" t="str">
            <v>AM</v>
          </cell>
          <cell r="E572" t="str">
            <v>G-097</v>
          </cell>
          <cell r="F572" t="str">
            <v>AM161</v>
          </cell>
          <cell r="G572" t="str">
            <v>N1</v>
          </cell>
          <cell r="H572" t="str">
            <v>b3</v>
          </cell>
          <cell r="I572" t="str">
            <v>N1-b3</v>
          </cell>
          <cell r="J572">
            <v>19</v>
          </cell>
          <cell r="K572" t="str">
            <v>72</v>
          </cell>
        </row>
        <row r="573">
          <cell r="A573" t="str">
            <v>20-86</v>
          </cell>
          <cell r="B573">
            <v>1048</v>
          </cell>
          <cell r="C573" t="str">
            <v>C1.AM.20.86</v>
          </cell>
          <cell r="D573" t="str">
            <v>AM</v>
          </cell>
          <cell r="E573" t="str">
            <v>G-097</v>
          </cell>
          <cell r="F573" t="str">
            <v>AM161</v>
          </cell>
          <cell r="G573" t="str">
            <v>N2</v>
          </cell>
          <cell r="H573" t="str">
            <v>b3</v>
          </cell>
          <cell r="I573" t="str">
            <v>N2-b3</v>
          </cell>
          <cell r="J573">
            <v>20</v>
          </cell>
          <cell r="K573" t="str">
            <v>86</v>
          </cell>
        </row>
        <row r="574">
          <cell r="A574" t="str">
            <v>02-26</v>
          </cell>
          <cell r="B574">
            <v>90</v>
          </cell>
          <cell r="C574" t="str">
            <v>C1.AM.02.26</v>
          </cell>
          <cell r="D574" t="str">
            <v>AM</v>
          </cell>
          <cell r="E574" t="str">
            <v>G-098</v>
          </cell>
          <cell r="F574" t="str">
            <v>AM164</v>
          </cell>
          <cell r="G574" t="str">
            <v>N1</v>
          </cell>
          <cell r="H574" t="str">
            <v>b1</v>
          </cell>
          <cell r="I574" t="str">
            <v>N1-b1</v>
          </cell>
          <cell r="J574" t="str">
            <v>02</v>
          </cell>
          <cell r="K574" t="str">
            <v>26</v>
          </cell>
        </row>
        <row r="575">
          <cell r="A575" t="str">
            <v>02-45</v>
          </cell>
          <cell r="B575">
            <v>109</v>
          </cell>
          <cell r="C575" t="str">
            <v>C1.AM.02.45</v>
          </cell>
          <cell r="D575" t="str">
            <v>AM</v>
          </cell>
          <cell r="E575" t="str">
            <v>G-098</v>
          </cell>
          <cell r="F575" t="str">
            <v>AM164</v>
          </cell>
          <cell r="G575" t="str">
            <v>N2</v>
          </cell>
          <cell r="H575" t="str">
            <v>b2</v>
          </cell>
          <cell r="I575" t="str">
            <v>N2-b2</v>
          </cell>
          <cell r="J575" t="str">
            <v>02</v>
          </cell>
          <cell r="K575" t="str">
            <v>45</v>
          </cell>
        </row>
        <row r="576">
          <cell r="A576" t="str">
            <v>07-44</v>
          </cell>
          <cell r="B576">
            <v>428</v>
          </cell>
          <cell r="C576" t="str">
            <v>C1.AM.07.44</v>
          </cell>
          <cell r="D576" t="str">
            <v>AM</v>
          </cell>
          <cell r="E576" t="str">
            <v>G-098</v>
          </cell>
          <cell r="F576" t="str">
            <v>AM164</v>
          </cell>
          <cell r="G576" t="str">
            <v>N1</v>
          </cell>
          <cell r="H576" t="str">
            <v>b2</v>
          </cell>
          <cell r="I576" t="str">
            <v>N1-b2</v>
          </cell>
          <cell r="J576" t="str">
            <v>07</v>
          </cell>
          <cell r="K576" t="str">
            <v>44</v>
          </cell>
        </row>
        <row r="577">
          <cell r="A577" t="str">
            <v>08-13</v>
          </cell>
          <cell r="B577">
            <v>461</v>
          </cell>
          <cell r="C577" t="str">
            <v>C1.AM.08.13</v>
          </cell>
          <cell r="D577" t="str">
            <v>AM</v>
          </cell>
          <cell r="E577" t="str">
            <v>G-098</v>
          </cell>
          <cell r="F577" t="str">
            <v>AM164</v>
          </cell>
          <cell r="G577" t="str">
            <v>N2</v>
          </cell>
          <cell r="H577" t="str">
            <v>b1</v>
          </cell>
          <cell r="I577" t="str">
            <v>N2-b1</v>
          </cell>
          <cell r="J577" t="str">
            <v>08</v>
          </cell>
          <cell r="K577" t="str">
            <v>13</v>
          </cell>
        </row>
        <row r="578">
          <cell r="A578" t="str">
            <v>18-88</v>
          </cell>
          <cell r="B578">
            <v>998</v>
          </cell>
          <cell r="C578" t="str">
            <v>C1.AM.18.88</v>
          </cell>
          <cell r="D578" t="str">
            <v>AM</v>
          </cell>
          <cell r="E578" t="str">
            <v>G-098</v>
          </cell>
          <cell r="F578" t="str">
            <v>AM164</v>
          </cell>
          <cell r="G578" t="str">
            <v>N1</v>
          </cell>
          <cell r="H578" t="str">
            <v>b3</v>
          </cell>
          <cell r="I578" t="str">
            <v>N1-b3</v>
          </cell>
          <cell r="J578">
            <v>18</v>
          </cell>
          <cell r="K578" t="str">
            <v>88</v>
          </cell>
        </row>
        <row r="579">
          <cell r="A579" t="str">
            <v>23-79</v>
          </cell>
          <cell r="B579">
            <v>1119</v>
          </cell>
          <cell r="C579" t="str">
            <v>C1.AM.23.79</v>
          </cell>
          <cell r="D579" t="str">
            <v>AM</v>
          </cell>
          <cell r="E579" t="str">
            <v>G-098</v>
          </cell>
          <cell r="F579" t="str">
            <v>AM164</v>
          </cell>
          <cell r="G579" t="str">
            <v>N2</v>
          </cell>
          <cell r="H579" t="str">
            <v>b3</v>
          </cell>
          <cell r="I579" t="str">
            <v>N2-b3</v>
          </cell>
          <cell r="J579">
            <v>23</v>
          </cell>
          <cell r="K579" t="str">
            <v>79</v>
          </cell>
        </row>
        <row r="580">
          <cell r="A580" t="str">
            <v>04-24</v>
          </cell>
          <cell r="B580">
            <v>216</v>
          </cell>
          <cell r="C580" t="str">
            <v>C1.AM.04.24</v>
          </cell>
          <cell r="D580" t="str">
            <v>AM</v>
          </cell>
          <cell r="E580" t="str">
            <v>G-099</v>
          </cell>
          <cell r="F580" t="str">
            <v>AM165</v>
          </cell>
          <cell r="G580" t="str">
            <v>N1</v>
          </cell>
          <cell r="H580" t="str">
            <v>b1</v>
          </cell>
          <cell r="I580" t="str">
            <v>N1-b1</v>
          </cell>
          <cell r="J580" t="str">
            <v>04</v>
          </cell>
          <cell r="K580" t="str">
            <v>24</v>
          </cell>
        </row>
        <row r="581">
          <cell r="A581" t="str">
            <v>04-58</v>
          </cell>
          <cell r="B581">
            <v>250</v>
          </cell>
          <cell r="C581" t="str">
            <v>C1.AM.04.58</v>
          </cell>
          <cell r="D581" t="str">
            <v>AM</v>
          </cell>
          <cell r="E581" t="str">
            <v>G-099</v>
          </cell>
          <cell r="F581" t="str">
            <v>AM165</v>
          </cell>
          <cell r="G581" t="str">
            <v>N2</v>
          </cell>
          <cell r="H581" t="str">
            <v>b2</v>
          </cell>
          <cell r="I581" t="str">
            <v>N2-b2</v>
          </cell>
          <cell r="J581" t="str">
            <v>04</v>
          </cell>
          <cell r="K581" t="str">
            <v>58</v>
          </cell>
        </row>
        <row r="582">
          <cell r="A582" t="str">
            <v>07-10</v>
          </cell>
          <cell r="B582">
            <v>394</v>
          </cell>
          <cell r="C582" t="str">
            <v>C1.AM.07.10</v>
          </cell>
          <cell r="D582" t="str">
            <v>AM</v>
          </cell>
          <cell r="E582" t="str">
            <v>G-099</v>
          </cell>
          <cell r="F582" t="str">
            <v>AM165</v>
          </cell>
          <cell r="G582" t="str">
            <v>N2</v>
          </cell>
          <cell r="H582" t="str">
            <v>b1</v>
          </cell>
          <cell r="I582" t="str">
            <v>N2-b1</v>
          </cell>
          <cell r="J582" t="str">
            <v>07</v>
          </cell>
          <cell r="K582" t="str">
            <v>10</v>
          </cell>
        </row>
        <row r="583">
          <cell r="A583" t="str">
            <v>08-35</v>
          </cell>
          <cell r="B583">
            <v>483</v>
          </cell>
          <cell r="C583" t="str">
            <v>C1.AM.08.35</v>
          </cell>
          <cell r="D583" t="str">
            <v>AM</v>
          </cell>
          <cell r="E583" t="str">
            <v>G-099</v>
          </cell>
          <cell r="F583" t="str">
            <v>AM165</v>
          </cell>
          <cell r="G583" t="str">
            <v>N1</v>
          </cell>
          <cell r="H583" t="str">
            <v>b2</v>
          </cell>
          <cell r="I583" t="str">
            <v>N1-b2</v>
          </cell>
          <cell r="J583" t="str">
            <v>08</v>
          </cell>
          <cell r="K583" t="str">
            <v>35</v>
          </cell>
        </row>
        <row r="584">
          <cell r="A584" t="str">
            <v>19-85</v>
          </cell>
          <cell r="B584">
            <v>1021</v>
          </cell>
          <cell r="C584" t="str">
            <v>C1.AM.19.85</v>
          </cell>
          <cell r="D584" t="str">
            <v>AM</v>
          </cell>
          <cell r="E584" t="str">
            <v>G-099</v>
          </cell>
          <cell r="F584" t="str">
            <v>AM165</v>
          </cell>
          <cell r="G584" t="str">
            <v>N1</v>
          </cell>
          <cell r="H584" t="str">
            <v>b3</v>
          </cell>
          <cell r="I584" t="str">
            <v>N1-b3</v>
          </cell>
          <cell r="J584">
            <v>19</v>
          </cell>
          <cell r="K584" t="str">
            <v>85</v>
          </cell>
        </row>
        <row r="585">
          <cell r="A585" t="str">
            <v>24-68</v>
          </cell>
          <cell r="B585">
            <v>1134</v>
          </cell>
          <cell r="C585" t="str">
            <v>C1.AM.24.68</v>
          </cell>
          <cell r="D585" t="str">
            <v>AM</v>
          </cell>
          <cell r="E585" t="str">
            <v>G-099</v>
          </cell>
          <cell r="F585" t="str">
            <v>AM165</v>
          </cell>
          <cell r="G585" t="str">
            <v>N2</v>
          </cell>
          <cell r="H585" t="str">
            <v>b3</v>
          </cell>
          <cell r="I585" t="str">
            <v>N2-b3</v>
          </cell>
          <cell r="J585">
            <v>24</v>
          </cell>
          <cell r="K585" t="str">
            <v>68</v>
          </cell>
        </row>
        <row r="586">
          <cell r="A586" t="str">
            <v>01-36</v>
          </cell>
          <cell r="B586">
            <v>36</v>
          </cell>
          <cell r="C586" t="str">
            <v>C1.AM.01.36</v>
          </cell>
          <cell r="D586" t="str">
            <v>AM</v>
          </cell>
          <cell r="E586" t="str">
            <v>G-100</v>
          </cell>
          <cell r="F586" t="str">
            <v>AM166</v>
          </cell>
          <cell r="G586" t="str">
            <v>N2</v>
          </cell>
          <cell r="H586" t="str">
            <v>b2</v>
          </cell>
          <cell r="I586" t="str">
            <v>N2-b2</v>
          </cell>
          <cell r="J586" t="str">
            <v>01</v>
          </cell>
          <cell r="K586" t="str">
            <v>36</v>
          </cell>
        </row>
        <row r="587">
          <cell r="A587" t="str">
            <v>04-18</v>
          </cell>
          <cell r="B587">
            <v>210</v>
          </cell>
          <cell r="C587" t="str">
            <v>C1.AM.04.18</v>
          </cell>
          <cell r="D587" t="str">
            <v>AM</v>
          </cell>
          <cell r="E587" t="str">
            <v>G-100</v>
          </cell>
          <cell r="F587" t="str">
            <v>AM166</v>
          </cell>
          <cell r="G587" t="str">
            <v>N1</v>
          </cell>
          <cell r="H587" t="str">
            <v>b1</v>
          </cell>
          <cell r="I587" t="str">
            <v>N1-b1</v>
          </cell>
          <cell r="J587" t="str">
            <v>04</v>
          </cell>
          <cell r="K587" t="str">
            <v>18</v>
          </cell>
        </row>
        <row r="588">
          <cell r="A588" t="str">
            <v>07-20</v>
          </cell>
          <cell r="B588">
            <v>404</v>
          </cell>
          <cell r="C588" t="str">
            <v>C1.AM.07.20</v>
          </cell>
          <cell r="D588" t="str">
            <v>AM</v>
          </cell>
          <cell r="E588" t="str">
            <v>G-100</v>
          </cell>
          <cell r="F588" t="str">
            <v>AM166</v>
          </cell>
          <cell r="G588" t="str">
            <v>N2</v>
          </cell>
          <cell r="H588" t="str">
            <v>b1</v>
          </cell>
          <cell r="I588" t="str">
            <v>N2-b1</v>
          </cell>
          <cell r="J588" t="str">
            <v>07</v>
          </cell>
          <cell r="K588" t="str">
            <v>20</v>
          </cell>
        </row>
        <row r="589">
          <cell r="A589" t="str">
            <v>08-40</v>
          </cell>
          <cell r="B589">
            <v>488</v>
          </cell>
          <cell r="C589" t="str">
            <v>C1.AM.08.40</v>
          </cell>
          <cell r="D589" t="str">
            <v>AM</v>
          </cell>
          <cell r="E589" t="str">
            <v>G-100</v>
          </cell>
          <cell r="F589" t="str">
            <v>AM166</v>
          </cell>
          <cell r="G589" t="str">
            <v>N1</v>
          </cell>
          <cell r="H589" t="str">
            <v>b2</v>
          </cell>
          <cell r="I589" t="str">
            <v>N1-b2</v>
          </cell>
          <cell r="J589" t="str">
            <v>08</v>
          </cell>
          <cell r="K589" t="str">
            <v>40</v>
          </cell>
        </row>
        <row r="590">
          <cell r="A590" t="str">
            <v>16-86</v>
          </cell>
          <cell r="B590">
            <v>944</v>
          </cell>
          <cell r="C590" t="str">
            <v>C1.AM.16.86</v>
          </cell>
          <cell r="D590" t="str">
            <v>AM</v>
          </cell>
          <cell r="E590" t="str">
            <v>G-100</v>
          </cell>
          <cell r="F590" t="str">
            <v>AM166</v>
          </cell>
          <cell r="G590" t="str">
            <v>N1</v>
          </cell>
          <cell r="H590" t="str">
            <v>b3</v>
          </cell>
          <cell r="I590" t="str">
            <v>N1-b3</v>
          </cell>
          <cell r="J590" t="str">
            <v>16</v>
          </cell>
          <cell r="K590" t="str">
            <v>86</v>
          </cell>
        </row>
        <row r="591">
          <cell r="A591" t="str">
            <v>20-82</v>
          </cell>
          <cell r="B591">
            <v>1044</v>
          </cell>
          <cell r="C591" t="str">
            <v>C1.AM.20.82</v>
          </cell>
          <cell r="D591" t="str">
            <v>AM</v>
          </cell>
          <cell r="E591" t="str">
            <v>G-100</v>
          </cell>
          <cell r="F591" t="str">
            <v>AM166</v>
          </cell>
          <cell r="G591" t="str">
            <v>N2</v>
          </cell>
          <cell r="H591" t="str">
            <v>b3</v>
          </cell>
          <cell r="I591" t="str">
            <v>N2-b3</v>
          </cell>
          <cell r="J591">
            <v>20</v>
          </cell>
          <cell r="K591" t="str">
            <v>82</v>
          </cell>
        </row>
        <row r="592">
          <cell r="A592" t="str">
            <v>01-20</v>
          </cell>
          <cell r="B592">
            <v>20</v>
          </cell>
          <cell r="C592" t="str">
            <v>C1.AM.01.20</v>
          </cell>
          <cell r="D592" t="str">
            <v>AM</v>
          </cell>
          <cell r="E592" t="str">
            <v>G-101</v>
          </cell>
          <cell r="F592" t="str">
            <v>AM167</v>
          </cell>
          <cell r="G592" t="str">
            <v>N1</v>
          </cell>
          <cell r="H592" t="str">
            <v>b1</v>
          </cell>
          <cell r="I592" t="str">
            <v>N1-b1</v>
          </cell>
          <cell r="J592" t="str">
            <v>01</v>
          </cell>
          <cell r="K592" t="str">
            <v>20</v>
          </cell>
        </row>
        <row r="593">
          <cell r="A593" t="str">
            <v>02-42</v>
          </cell>
          <cell r="B593">
            <v>106</v>
          </cell>
          <cell r="C593" t="str">
            <v>C1.AM.02.42</v>
          </cell>
          <cell r="D593" t="str">
            <v>AM</v>
          </cell>
          <cell r="E593" t="str">
            <v>G-101</v>
          </cell>
          <cell r="F593" t="str">
            <v>AM167</v>
          </cell>
          <cell r="G593" t="str">
            <v>N2</v>
          </cell>
          <cell r="H593" t="str">
            <v>b2</v>
          </cell>
          <cell r="I593" t="str">
            <v>N2-b2</v>
          </cell>
          <cell r="J593" t="str">
            <v>02</v>
          </cell>
          <cell r="K593" t="str">
            <v>42</v>
          </cell>
        </row>
        <row r="594">
          <cell r="A594" t="str">
            <v>06-64</v>
          </cell>
          <cell r="B594">
            <v>384</v>
          </cell>
          <cell r="C594" t="str">
            <v>C1.AM.06.64</v>
          </cell>
          <cell r="D594" t="str">
            <v>AM</v>
          </cell>
          <cell r="E594" t="str">
            <v>G-101</v>
          </cell>
          <cell r="F594" t="str">
            <v>AM167</v>
          </cell>
          <cell r="G594" t="str">
            <v>N1</v>
          </cell>
          <cell r="H594" t="str">
            <v>b2</v>
          </cell>
          <cell r="I594" t="str">
            <v>N1-b2</v>
          </cell>
          <cell r="J594" t="str">
            <v>06</v>
          </cell>
          <cell r="K594" t="str">
            <v>64</v>
          </cell>
        </row>
        <row r="595">
          <cell r="A595" t="str">
            <v>07-14</v>
          </cell>
          <cell r="B595">
            <v>398</v>
          </cell>
          <cell r="C595" t="str">
            <v>C1.AM.07.14</v>
          </cell>
          <cell r="D595" t="str">
            <v>AM</v>
          </cell>
          <cell r="E595" t="str">
            <v>G-101</v>
          </cell>
          <cell r="F595" t="str">
            <v>AM167</v>
          </cell>
          <cell r="G595" t="str">
            <v>N2</v>
          </cell>
          <cell r="H595" t="str">
            <v>b1</v>
          </cell>
          <cell r="I595" t="str">
            <v>N2-b1</v>
          </cell>
          <cell r="J595" t="str">
            <v>07</v>
          </cell>
          <cell r="K595" t="str">
            <v>14</v>
          </cell>
        </row>
        <row r="596">
          <cell r="A596" t="str">
            <v>17-78</v>
          </cell>
          <cell r="B596">
            <v>962</v>
          </cell>
          <cell r="C596" t="str">
            <v>C1.AM.17.78</v>
          </cell>
          <cell r="D596" t="str">
            <v>AM</v>
          </cell>
          <cell r="E596" t="str">
            <v>G-101</v>
          </cell>
          <cell r="F596" t="str">
            <v>AM167</v>
          </cell>
          <cell r="G596" t="str">
            <v>N1</v>
          </cell>
          <cell r="H596" t="str">
            <v>b3</v>
          </cell>
          <cell r="I596" t="str">
            <v>N1-b3</v>
          </cell>
          <cell r="J596">
            <v>17</v>
          </cell>
          <cell r="K596" t="str">
            <v>78</v>
          </cell>
        </row>
        <row r="597">
          <cell r="A597" t="str">
            <v>20-70</v>
          </cell>
          <cell r="B597">
            <v>1032</v>
          </cell>
          <cell r="C597" t="str">
            <v>C1.AM.20.70</v>
          </cell>
          <cell r="D597" t="str">
            <v>AM</v>
          </cell>
          <cell r="E597" t="str">
            <v>G-101</v>
          </cell>
          <cell r="F597" t="str">
            <v>AM167</v>
          </cell>
          <cell r="G597" t="str">
            <v>N2</v>
          </cell>
          <cell r="H597" t="str">
            <v>b3</v>
          </cell>
          <cell r="I597" t="str">
            <v>N2-b3</v>
          </cell>
          <cell r="J597">
            <v>20</v>
          </cell>
          <cell r="K597" t="str">
            <v>70</v>
          </cell>
        </row>
        <row r="598">
          <cell r="A598" t="str">
            <v>01-01</v>
          </cell>
          <cell r="B598">
            <v>1</v>
          </cell>
          <cell r="C598" t="str">
            <v>C1.AM.01.01</v>
          </cell>
          <cell r="D598" t="str">
            <v>AM</v>
          </cell>
          <cell r="E598" t="str">
            <v>G-102</v>
          </cell>
          <cell r="F598" t="str">
            <v>AM168</v>
          </cell>
          <cell r="G598" t="str">
            <v>N1</v>
          </cell>
          <cell r="H598" t="str">
            <v>b1</v>
          </cell>
          <cell r="I598" t="str">
            <v>N1-b1</v>
          </cell>
          <cell r="J598" t="str">
            <v>01</v>
          </cell>
          <cell r="K598" t="str">
            <v>01</v>
          </cell>
        </row>
        <row r="599">
          <cell r="A599" t="str">
            <v>04-42</v>
          </cell>
          <cell r="B599">
            <v>234</v>
          </cell>
          <cell r="C599" t="str">
            <v>C1.AM.04.42</v>
          </cell>
          <cell r="D599" t="str">
            <v>AM</v>
          </cell>
          <cell r="E599" t="str">
            <v>G-102</v>
          </cell>
          <cell r="F599" t="str">
            <v>AM168</v>
          </cell>
          <cell r="G599" t="str">
            <v>N2</v>
          </cell>
          <cell r="H599" t="str">
            <v>b2</v>
          </cell>
          <cell r="I599" t="str">
            <v>N2-b2</v>
          </cell>
          <cell r="J599" t="str">
            <v>04</v>
          </cell>
          <cell r="K599" t="str">
            <v>42</v>
          </cell>
        </row>
        <row r="600">
          <cell r="A600" t="str">
            <v>08-19</v>
          </cell>
          <cell r="B600">
            <v>467</v>
          </cell>
          <cell r="C600" t="str">
            <v>C1.AM.08.19</v>
          </cell>
          <cell r="D600" t="str">
            <v>AM</v>
          </cell>
          <cell r="E600" t="str">
            <v>G-102</v>
          </cell>
          <cell r="F600" t="str">
            <v>AM168</v>
          </cell>
          <cell r="G600" t="str">
            <v>N2</v>
          </cell>
          <cell r="H600" t="str">
            <v>b1</v>
          </cell>
          <cell r="I600" t="str">
            <v>N2-b1</v>
          </cell>
          <cell r="J600" t="str">
            <v>08</v>
          </cell>
          <cell r="K600" t="str">
            <v>19</v>
          </cell>
        </row>
        <row r="601">
          <cell r="A601" t="str">
            <v>08-42</v>
          </cell>
          <cell r="B601">
            <v>490</v>
          </cell>
          <cell r="C601" t="str">
            <v>C1.AM.08.42</v>
          </cell>
          <cell r="D601" t="str">
            <v>AM</v>
          </cell>
          <cell r="E601" t="str">
            <v>G-102</v>
          </cell>
          <cell r="F601" t="str">
            <v>AM168</v>
          </cell>
          <cell r="G601" t="str">
            <v>N1</v>
          </cell>
          <cell r="H601" t="str">
            <v>b2</v>
          </cell>
          <cell r="I601" t="str">
            <v>N1-b2</v>
          </cell>
          <cell r="J601" t="str">
            <v>08</v>
          </cell>
          <cell r="K601" t="str">
            <v>42</v>
          </cell>
        </row>
        <row r="602">
          <cell r="A602" t="str">
            <v>17-82</v>
          </cell>
          <cell r="B602">
            <v>966</v>
          </cell>
          <cell r="C602" t="str">
            <v>C1.AM.17.82</v>
          </cell>
          <cell r="D602" t="str">
            <v>AM</v>
          </cell>
          <cell r="E602" t="str">
            <v>G-102</v>
          </cell>
          <cell r="F602" t="str">
            <v>AM168</v>
          </cell>
          <cell r="G602" t="str">
            <v>N1</v>
          </cell>
          <cell r="H602" t="str">
            <v>b3</v>
          </cell>
          <cell r="I602" t="str">
            <v>N1-b3</v>
          </cell>
          <cell r="J602">
            <v>17</v>
          </cell>
          <cell r="K602" t="str">
            <v>82</v>
          </cell>
        </row>
        <row r="603">
          <cell r="A603" t="str">
            <v>22-74</v>
          </cell>
          <cell r="B603">
            <v>1088</v>
          </cell>
          <cell r="C603" t="str">
            <v>C1.AM.22.74</v>
          </cell>
          <cell r="D603" t="str">
            <v>AM</v>
          </cell>
          <cell r="E603" t="str">
            <v>G-102</v>
          </cell>
          <cell r="F603" t="str">
            <v>AM168</v>
          </cell>
          <cell r="G603" t="str">
            <v>N2</v>
          </cell>
          <cell r="H603" t="str">
            <v>b3</v>
          </cell>
          <cell r="I603" t="str">
            <v>N2-b3</v>
          </cell>
          <cell r="J603">
            <v>22</v>
          </cell>
          <cell r="K603" t="str">
            <v>74</v>
          </cell>
        </row>
        <row r="604">
          <cell r="A604" t="str">
            <v>02-04</v>
          </cell>
          <cell r="B604">
            <v>68</v>
          </cell>
          <cell r="C604" t="str">
            <v>C1.AM.02.04</v>
          </cell>
          <cell r="D604" t="str">
            <v>AM</v>
          </cell>
          <cell r="E604" t="str">
            <v>G-103</v>
          </cell>
          <cell r="F604" t="str">
            <v>AM169</v>
          </cell>
          <cell r="G604" t="str">
            <v>N1</v>
          </cell>
          <cell r="H604" t="str">
            <v>b1</v>
          </cell>
          <cell r="I604" t="str">
            <v>N1-b1</v>
          </cell>
          <cell r="J604" t="str">
            <v>02</v>
          </cell>
          <cell r="K604" t="str">
            <v>04</v>
          </cell>
        </row>
        <row r="605">
          <cell r="A605" t="str">
            <v>02-56</v>
          </cell>
          <cell r="B605">
            <v>120</v>
          </cell>
          <cell r="C605" t="str">
            <v>C1.AM.02.56</v>
          </cell>
          <cell r="D605" t="str">
            <v>AM</v>
          </cell>
          <cell r="E605" t="str">
            <v>G-103</v>
          </cell>
          <cell r="F605" t="str">
            <v>AM169</v>
          </cell>
          <cell r="G605" t="str">
            <v>N2</v>
          </cell>
          <cell r="H605" t="str">
            <v>b2</v>
          </cell>
          <cell r="I605" t="str">
            <v>N2-b2</v>
          </cell>
          <cell r="J605" t="str">
            <v>02</v>
          </cell>
          <cell r="K605" t="str">
            <v>56</v>
          </cell>
        </row>
        <row r="606">
          <cell r="A606" t="str">
            <v>06-60</v>
          </cell>
          <cell r="B606">
            <v>380</v>
          </cell>
          <cell r="C606" t="str">
            <v>C1.AM.06.60</v>
          </cell>
          <cell r="D606" t="str">
            <v>AM</v>
          </cell>
          <cell r="E606" t="str">
            <v>G-103</v>
          </cell>
          <cell r="F606" t="str">
            <v>AM169</v>
          </cell>
          <cell r="G606" t="str">
            <v>N1</v>
          </cell>
          <cell r="H606" t="str">
            <v>b2</v>
          </cell>
          <cell r="I606" t="str">
            <v>N1-b2</v>
          </cell>
          <cell r="J606" t="str">
            <v>06</v>
          </cell>
          <cell r="K606" t="str">
            <v>60</v>
          </cell>
        </row>
        <row r="607">
          <cell r="A607" t="str">
            <v>07-23</v>
          </cell>
          <cell r="B607">
            <v>407</v>
          </cell>
          <cell r="C607" t="str">
            <v>C1.AM.07.23</v>
          </cell>
          <cell r="D607" t="str">
            <v>AM</v>
          </cell>
          <cell r="E607" t="str">
            <v>G-103</v>
          </cell>
          <cell r="F607" t="str">
            <v>AM169</v>
          </cell>
          <cell r="G607" t="str">
            <v>N2</v>
          </cell>
          <cell r="H607" t="str">
            <v>b1</v>
          </cell>
          <cell r="I607" t="str">
            <v>N2-b1</v>
          </cell>
          <cell r="J607" t="str">
            <v>07</v>
          </cell>
          <cell r="K607" t="str">
            <v>23</v>
          </cell>
        </row>
        <row r="608">
          <cell r="A608" t="str">
            <v>18-89</v>
          </cell>
          <cell r="B608">
            <v>999</v>
          </cell>
          <cell r="C608" t="str">
            <v>C1.AM.18.89</v>
          </cell>
          <cell r="D608" t="str">
            <v>AM</v>
          </cell>
          <cell r="E608" t="str">
            <v>G-103</v>
          </cell>
          <cell r="F608" t="str">
            <v>AM169</v>
          </cell>
          <cell r="G608" t="str">
            <v>N1</v>
          </cell>
          <cell r="H608" t="str">
            <v>b3</v>
          </cell>
          <cell r="I608" t="str">
            <v>N1-b3</v>
          </cell>
          <cell r="J608">
            <v>18</v>
          </cell>
          <cell r="K608" t="str">
            <v>89</v>
          </cell>
        </row>
        <row r="609">
          <cell r="A609" t="str">
            <v>22-72</v>
          </cell>
          <cell r="B609">
            <v>1086</v>
          </cell>
          <cell r="C609" t="str">
            <v>C1.AM.22.72</v>
          </cell>
          <cell r="D609" t="str">
            <v>AM</v>
          </cell>
          <cell r="E609" t="str">
            <v>G-103</v>
          </cell>
          <cell r="F609" t="str">
            <v>AM169</v>
          </cell>
          <cell r="G609" t="str">
            <v>N2</v>
          </cell>
          <cell r="H609" t="str">
            <v>b3</v>
          </cell>
          <cell r="I609" t="str">
            <v>N2-b3</v>
          </cell>
          <cell r="J609">
            <v>22</v>
          </cell>
          <cell r="K609" t="str">
            <v>72</v>
          </cell>
        </row>
        <row r="610">
          <cell r="A610" t="str">
            <v>01-47</v>
          </cell>
          <cell r="B610">
            <v>47</v>
          </cell>
          <cell r="C610" t="str">
            <v>C1.AM.01.47</v>
          </cell>
          <cell r="D610" t="str">
            <v>AM</v>
          </cell>
          <cell r="E610" t="str">
            <v>G-104</v>
          </cell>
          <cell r="F610" t="str">
            <v>AM170</v>
          </cell>
          <cell r="G610" t="str">
            <v>N2</v>
          </cell>
          <cell r="H610" t="str">
            <v>b2</v>
          </cell>
          <cell r="I610" t="str">
            <v>N2-b2</v>
          </cell>
          <cell r="J610" t="str">
            <v>01</v>
          </cell>
          <cell r="K610" t="str">
            <v>47</v>
          </cell>
        </row>
        <row r="611">
          <cell r="A611" t="str">
            <v>03-26</v>
          </cell>
          <cell r="B611">
            <v>154</v>
          </cell>
          <cell r="C611" t="str">
            <v>C1.AM.03.26</v>
          </cell>
          <cell r="D611" t="str">
            <v>AM</v>
          </cell>
          <cell r="E611" t="str">
            <v>G-104</v>
          </cell>
          <cell r="F611" t="str">
            <v>AM170</v>
          </cell>
          <cell r="G611" t="str">
            <v>N1</v>
          </cell>
          <cell r="H611" t="str">
            <v>b1</v>
          </cell>
          <cell r="I611" t="str">
            <v>N1-b1</v>
          </cell>
          <cell r="J611" t="str">
            <v>03</v>
          </cell>
          <cell r="K611" t="str">
            <v>26</v>
          </cell>
        </row>
        <row r="612">
          <cell r="A612" t="str">
            <v>05-61</v>
          </cell>
          <cell r="B612">
            <v>317</v>
          </cell>
          <cell r="C612" t="str">
            <v>C1.AM.05.61</v>
          </cell>
          <cell r="D612" t="str">
            <v>AM</v>
          </cell>
          <cell r="E612" t="str">
            <v>G-104</v>
          </cell>
          <cell r="F612" t="str">
            <v>AM170</v>
          </cell>
          <cell r="G612" t="str">
            <v>N1</v>
          </cell>
          <cell r="H612" t="str">
            <v>b2</v>
          </cell>
          <cell r="I612" t="str">
            <v>N1-b2</v>
          </cell>
          <cell r="J612" t="str">
            <v>05</v>
          </cell>
          <cell r="K612" t="str">
            <v>61</v>
          </cell>
        </row>
        <row r="613">
          <cell r="A613" t="str">
            <v>07-18</v>
          </cell>
          <cell r="B613">
            <v>402</v>
          </cell>
          <cell r="C613" t="str">
            <v>C1.AM.07.18</v>
          </cell>
          <cell r="D613" t="str">
            <v>AM</v>
          </cell>
          <cell r="E613" t="str">
            <v>G-104</v>
          </cell>
          <cell r="F613" t="str">
            <v>AM170</v>
          </cell>
          <cell r="G613" t="str">
            <v>N2</v>
          </cell>
          <cell r="H613" t="str">
            <v>b1</v>
          </cell>
          <cell r="I613" t="str">
            <v>N2-b1</v>
          </cell>
          <cell r="J613" t="str">
            <v>07</v>
          </cell>
          <cell r="K613" t="str">
            <v>18</v>
          </cell>
        </row>
        <row r="614">
          <cell r="A614" t="str">
            <v>17-83</v>
          </cell>
          <cell r="B614">
            <v>967</v>
          </cell>
          <cell r="C614" t="str">
            <v>C1.AM.17.83</v>
          </cell>
          <cell r="D614" t="str">
            <v>AM</v>
          </cell>
          <cell r="E614" t="str">
            <v>G-104</v>
          </cell>
          <cell r="F614" t="str">
            <v>AM170</v>
          </cell>
          <cell r="G614" t="str">
            <v>N1</v>
          </cell>
          <cell r="H614" t="str">
            <v>b3</v>
          </cell>
          <cell r="I614" t="str">
            <v>N1-b3</v>
          </cell>
          <cell r="J614">
            <v>17</v>
          </cell>
          <cell r="K614" t="str">
            <v>83</v>
          </cell>
        </row>
        <row r="615">
          <cell r="A615" t="str">
            <v>21-69</v>
          </cell>
          <cell r="B615">
            <v>1057</v>
          </cell>
          <cell r="C615" t="str">
            <v>C1.AM.21.69</v>
          </cell>
          <cell r="D615" t="str">
            <v>AM</v>
          </cell>
          <cell r="E615" t="str">
            <v>G-104</v>
          </cell>
          <cell r="F615" t="str">
            <v>AM170</v>
          </cell>
          <cell r="G615" t="str">
            <v>N2</v>
          </cell>
          <cell r="H615" t="str">
            <v>b3</v>
          </cell>
          <cell r="I615" t="str">
            <v>N2-b3</v>
          </cell>
          <cell r="J615">
            <v>21</v>
          </cell>
          <cell r="K615" t="str">
            <v>69</v>
          </cell>
        </row>
        <row r="616">
          <cell r="A616" t="str">
            <v>01-41</v>
          </cell>
          <cell r="B616">
            <v>41</v>
          </cell>
          <cell r="C616" t="str">
            <v>C1.AM.01.41</v>
          </cell>
          <cell r="D616" t="str">
            <v>AM</v>
          </cell>
          <cell r="E616" t="str">
            <v>G-105</v>
          </cell>
          <cell r="F616" t="str">
            <v>AM171</v>
          </cell>
          <cell r="G616" t="str">
            <v>N2</v>
          </cell>
          <cell r="H616" t="str">
            <v>b2</v>
          </cell>
          <cell r="I616" t="str">
            <v>N2-b2</v>
          </cell>
          <cell r="J616" t="str">
            <v>01</v>
          </cell>
          <cell r="K616" t="str">
            <v>41</v>
          </cell>
        </row>
        <row r="617">
          <cell r="A617" t="str">
            <v>02-21</v>
          </cell>
          <cell r="B617">
            <v>85</v>
          </cell>
          <cell r="C617" t="str">
            <v>C1.AM.02.21</v>
          </cell>
          <cell r="D617" t="str">
            <v>AM</v>
          </cell>
          <cell r="E617" t="str">
            <v>G-105</v>
          </cell>
          <cell r="F617" t="str">
            <v>AM171</v>
          </cell>
          <cell r="G617" t="str">
            <v>N1</v>
          </cell>
          <cell r="H617" t="str">
            <v>b1</v>
          </cell>
          <cell r="I617" t="str">
            <v>N1-b1</v>
          </cell>
          <cell r="J617" t="str">
            <v>02</v>
          </cell>
          <cell r="K617" t="str">
            <v>21</v>
          </cell>
        </row>
        <row r="618">
          <cell r="A618" t="str">
            <v>06-04</v>
          </cell>
          <cell r="B618">
            <v>324</v>
          </cell>
          <cell r="C618" t="str">
            <v>C1.AM.06.04</v>
          </cell>
          <cell r="D618" t="str">
            <v>AM</v>
          </cell>
          <cell r="E618" t="str">
            <v>G-105</v>
          </cell>
          <cell r="F618" t="str">
            <v>AM171</v>
          </cell>
          <cell r="G618" t="str">
            <v>N2</v>
          </cell>
          <cell r="H618" t="str">
            <v>b1</v>
          </cell>
          <cell r="I618" t="str">
            <v>N2-b1</v>
          </cell>
          <cell r="J618" t="str">
            <v>06</v>
          </cell>
          <cell r="K618" t="str">
            <v>04</v>
          </cell>
        </row>
        <row r="619">
          <cell r="A619" t="str">
            <v>08-44</v>
          </cell>
          <cell r="B619">
            <v>492</v>
          </cell>
          <cell r="C619" t="str">
            <v>C1.AM.08.44</v>
          </cell>
          <cell r="D619" t="str">
            <v>AM</v>
          </cell>
          <cell r="E619" t="str">
            <v>G-105</v>
          </cell>
          <cell r="F619" t="str">
            <v>AM171</v>
          </cell>
          <cell r="G619" t="str">
            <v>N1</v>
          </cell>
          <cell r="H619" t="str">
            <v>b2</v>
          </cell>
          <cell r="I619" t="str">
            <v>N1-b2</v>
          </cell>
          <cell r="J619" t="str">
            <v>08</v>
          </cell>
          <cell r="K619" t="str">
            <v>44</v>
          </cell>
        </row>
        <row r="620">
          <cell r="A620" t="str">
            <v>18-75</v>
          </cell>
          <cell r="B620">
            <v>985</v>
          </cell>
          <cell r="C620" t="str">
            <v>C1.AM.18.75</v>
          </cell>
          <cell r="D620" t="str">
            <v>AM</v>
          </cell>
          <cell r="E620" t="str">
            <v>G-105</v>
          </cell>
          <cell r="F620" t="str">
            <v>AM171</v>
          </cell>
          <cell r="G620" t="str">
            <v>N1</v>
          </cell>
          <cell r="H620" t="str">
            <v>b3</v>
          </cell>
          <cell r="I620" t="str">
            <v>N1-b3</v>
          </cell>
          <cell r="J620">
            <v>18</v>
          </cell>
          <cell r="K620" t="str">
            <v>75</v>
          </cell>
        </row>
        <row r="621">
          <cell r="A621" t="str">
            <v>24-67</v>
          </cell>
          <cell r="B621">
            <v>1133</v>
          </cell>
          <cell r="C621" t="str">
            <v>C1.AM.24.67</v>
          </cell>
          <cell r="D621" t="str">
            <v>AM</v>
          </cell>
          <cell r="E621" t="str">
            <v>G-105</v>
          </cell>
          <cell r="F621" t="str">
            <v>AM171</v>
          </cell>
          <cell r="G621" t="str">
            <v>N2</v>
          </cell>
          <cell r="H621" t="str">
            <v>b3</v>
          </cell>
          <cell r="I621" t="str">
            <v>N2-b3</v>
          </cell>
          <cell r="J621">
            <v>24</v>
          </cell>
          <cell r="K621" t="str">
            <v>67</v>
          </cell>
        </row>
        <row r="622">
          <cell r="A622" t="str">
            <v>04-03</v>
          </cell>
          <cell r="B622">
            <v>195</v>
          </cell>
          <cell r="C622" t="str">
            <v>C1.AM.04.03</v>
          </cell>
          <cell r="D622" t="str">
            <v>AM</v>
          </cell>
          <cell r="E622" t="str">
            <v>G-106</v>
          </cell>
          <cell r="F622" t="str">
            <v>AM172</v>
          </cell>
          <cell r="G622" t="str">
            <v>N1</v>
          </cell>
          <cell r="H622" t="str">
            <v>b1</v>
          </cell>
          <cell r="I622" t="str">
            <v>N1-b1</v>
          </cell>
          <cell r="J622" t="str">
            <v>04</v>
          </cell>
          <cell r="K622" t="str">
            <v>03</v>
          </cell>
        </row>
        <row r="623">
          <cell r="A623" t="str">
            <v>04-34</v>
          </cell>
          <cell r="B623">
            <v>226</v>
          </cell>
          <cell r="C623" t="str">
            <v>C1.AM.04.34</v>
          </cell>
          <cell r="D623" t="str">
            <v>AM</v>
          </cell>
          <cell r="E623" t="str">
            <v>G-106</v>
          </cell>
          <cell r="F623" t="str">
            <v>AM172</v>
          </cell>
          <cell r="G623" t="str">
            <v>N2</v>
          </cell>
          <cell r="H623" t="str">
            <v>b2</v>
          </cell>
          <cell r="I623" t="str">
            <v>N2-b2</v>
          </cell>
          <cell r="J623" t="str">
            <v>04</v>
          </cell>
          <cell r="K623" t="str">
            <v>34</v>
          </cell>
        </row>
        <row r="624">
          <cell r="A624" t="str">
            <v>06-11</v>
          </cell>
          <cell r="B624">
            <v>331</v>
          </cell>
          <cell r="C624" t="str">
            <v>C1.AM.06.11</v>
          </cell>
          <cell r="D624" t="str">
            <v>AM</v>
          </cell>
          <cell r="E624" t="str">
            <v>G-106</v>
          </cell>
          <cell r="F624" t="str">
            <v>AM172</v>
          </cell>
          <cell r="G624" t="str">
            <v>N2</v>
          </cell>
          <cell r="H624" t="str">
            <v>b1</v>
          </cell>
          <cell r="I624" t="str">
            <v>N2-b1</v>
          </cell>
          <cell r="J624" t="str">
            <v>06</v>
          </cell>
          <cell r="K624" t="str">
            <v>11</v>
          </cell>
        </row>
        <row r="625">
          <cell r="A625" t="str">
            <v>07-63</v>
          </cell>
          <cell r="B625">
            <v>447</v>
          </cell>
          <cell r="C625" t="str">
            <v>C1.AM.07.63</v>
          </cell>
          <cell r="D625" t="str">
            <v>AM</v>
          </cell>
          <cell r="E625" t="str">
            <v>G-106</v>
          </cell>
          <cell r="F625" t="str">
            <v>AM172</v>
          </cell>
          <cell r="G625" t="str">
            <v>N1</v>
          </cell>
          <cell r="H625" t="str">
            <v>b2</v>
          </cell>
          <cell r="I625" t="str">
            <v>N1-b2</v>
          </cell>
          <cell r="J625" t="str">
            <v>07</v>
          </cell>
          <cell r="K625" t="str">
            <v>63</v>
          </cell>
        </row>
        <row r="626">
          <cell r="A626" t="str">
            <v>17-90</v>
          </cell>
          <cell r="B626">
            <v>974</v>
          </cell>
          <cell r="C626" t="str">
            <v>C1.AM.17.90</v>
          </cell>
          <cell r="D626" t="str">
            <v>AM</v>
          </cell>
          <cell r="E626" t="str">
            <v>G-106</v>
          </cell>
          <cell r="F626" t="str">
            <v>AM172</v>
          </cell>
          <cell r="G626" t="str">
            <v>N1</v>
          </cell>
          <cell r="H626" t="str">
            <v>b3</v>
          </cell>
          <cell r="I626" t="str">
            <v>N1-b3</v>
          </cell>
          <cell r="J626">
            <v>17</v>
          </cell>
          <cell r="K626" t="str">
            <v>90</v>
          </cell>
        </row>
        <row r="627">
          <cell r="A627" t="str">
            <v>23-81</v>
          </cell>
          <cell r="B627">
            <v>1121</v>
          </cell>
          <cell r="C627" t="str">
            <v>C1.AM.23.81</v>
          </cell>
          <cell r="D627" t="str">
            <v>AM</v>
          </cell>
          <cell r="E627" t="str">
            <v>G-106</v>
          </cell>
          <cell r="F627" t="str">
            <v>AM172</v>
          </cell>
          <cell r="G627" t="str">
            <v>N2</v>
          </cell>
          <cell r="H627" t="str">
            <v>b3</v>
          </cell>
          <cell r="I627" t="str">
            <v>N2-b3</v>
          </cell>
          <cell r="J627">
            <v>23</v>
          </cell>
          <cell r="K627" t="str">
            <v>81</v>
          </cell>
        </row>
        <row r="628">
          <cell r="A628" t="str">
            <v>02-53</v>
          </cell>
          <cell r="B628">
            <v>117</v>
          </cell>
          <cell r="C628" t="str">
            <v>C1.AM.02.53</v>
          </cell>
          <cell r="D628" t="str">
            <v>AM</v>
          </cell>
          <cell r="E628" t="str">
            <v>G-107</v>
          </cell>
          <cell r="F628" t="str">
            <v>AM173</v>
          </cell>
          <cell r="G628" t="str">
            <v>N2</v>
          </cell>
          <cell r="H628" t="str">
            <v>b2</v>
          </cell>
          <cell r="I628" t="str">
            <v>N2-b2</v>
          </cell>
          <cell r="J628" t="str">
            <v>02</v>
          </cell>
          <cell r="K628" t="str">
            <v>53</v>
          </cell>
        </row>
        <row r="629">
          <cell r="A629" t="str">
            <v>04-15</v>
          </cell>
          <cell r="B629">
            <v>207</v>
          </cell>
          <cell r="C629" t="str">
            <v>C1.AM.04.15</v>
          </cell>
          <cell r="D629" t="str">
            <v>AM</v>
          </cell>
          <cell r="E629" t="str">
            <v>G-107</v>
          </cell>
          <cell r="F629" t="str">
            <v>AM173</v>
          </cell>
          <cell r="G629" t="str">
            <v>N1</v>
          </cell>
          <cell r="H629" t="str">
            <v>b1</v>
          </cell>
          <cell r="I629" t="str">
            <v>N1-b1</v>
          </cell>
          <cell r="J629" t="str">
            <v>04</v>
          </cell>
          <cell r="K629" t="str">
            <v>15</v>
          </cell>
        </row>
        <row r="630">
          <cell r="A630" t="str">
            <v>05-34</v>
          </cell>
          <cell r="B630">
            <v>290</v>
          </cell>
          <cell r="C630" t="str">
            <v>C1.AM.05.34</v>
          </cell>
          <cell r="D630" t="str">
            <v>AM</v>
          </cell>
          <cell r="E630" t="str">
            <v>G-107</v>
          </cell>
          <cell r="F630" t="str">
            <v>AM173</v>
          </cell>
          <cell r="G630" t="str">
            <v>N1</v>
          </cell>
          <cell r="H630" t="str">
            <v>b2</v>
          </cell>
          <cell r="I630" t="str">
            <v>N1-b2</v>
          </cell>
          <cell r="J630" t="str">
            <v>05</v>
          </cell>
          <cell r="K630" t="str">
            <v>34</v>
          </cell>
        </row>
        <row r="631">
          <cell r="A631" t="str">
            <v>07-29</v>
          </cell>
          <cell r="B631">
            <v>413</v>
          </cell>
          <cell r="C631" t="str">
            <v>C1.AM.07.29</v>
          </cell>
          <cell r="D631" t="str">
            <v>AM</v>
          </cell>
          <cell r="E631" t="str">
            <v>G-107</v>
          </cell>
          <cell r="F631" t="str">
            <v>AM173</v>
          </cell>
          <cell r="G631" t="str">
            <v>N2</v>
          </cell>
          <cell r="H631" t="str">
            <v>b1</v>
          </cell>
          <cell r="I631" t="str">
            <v>N2-b1</v>
          </cell>
          <cell r="J631" t="str">
            <v>07</v>
          </cell>
          <cell r="K631" t="str">
            <v>29</v>
          </cell>
        </row>
        <row r="632">
          <cell r="A632" t="str">
            <v>19-90</v>
          </cell>
          <cell r="B632">
            <v>1026</v>
          </cell>
          <cell r="C632" t="str">
            <v>C1.AM.19.90</v>
          </cell>
          <cell r="D632" t="str">
            <v>AM</v>
          </cell>
          <cell r="E632" t="str">
            <v>G-107</v>
          </cell>
          <cell r="F632" t="str">
            <v>AM173</v>
          </cell>
          <cell r="G632" t="str">
            <v>N1</v>
          </cell>
          <cell r="H632" t="str">
            <v>b3</v>
          </cell>
          <cell r="I632" t="str">
            <v>N1-b3</v>
          </cell>
          <cell r="J632">
            <v>19</v>
          </cell>
          <cell r="K632" t="str">
            <v>90</v>
          </cell>
        </row>
        <row r="633">
          <cell r="A633" t="str">
            <v>22-76</v>
          </cell>
          <cell r="B633">
            <v>1090</v>
          </cell>
          <cell r="C633" t="str">
            <v>C1.AM.22.76</v>
          </cell>
          <cell r="D633" t="str">
            <v>AM</v>
          </cell>
          <cell r="E633" t="str">
            <v>G-107</v>
          </cell>
          <cell r="F633" t="str">
            <v>AM173</v>
          </cell>
          <cell r="G633" t="str">
            <v>N2</v>
          </cell>
          <cell r="H633" t="str">
            <v>b3</v>
          </cell>
          <cell r="I633" t="str">
            <v>N2-b3</v>
          </cell>
          <cell r="J633">
            <v>22</v>
          </cell>
          <cell r="K633" t="str">
            <v>76</v>
          </cell>
        </row>
        <row r="634">
          <cell r="A634" t="str">
            <v>01-61</v>
          </cell>
          <cell r="B634">
            <v>61</v>
          </cell>
          <cell r="C634" t="str">
            <v>C1.AM.01.61</v>
          </cell>
          <cell r="D634" t="str">
            <v>AM</v>
          </cell>
          <cell r="E634" t="str">
            <v>G-108</v>
          </cell>
          <cell r="F634" t="str">
            <v>AM174</v>
          </cell>
          <cell r="G634" t="str">
            <v>N2</v>
          </cell>
          <cell r="H634" t="str">
            <v>b2</v>
          </cell>
          <cell r="I634" t="str">
            <v>N2-b2</v>
          </cell>
          <cell r="J634" t="str">
            <v>01</v>
          </cell>
          <cell r="K634" t="str">
            <v>61</v>
          </cell>
        </row>
        <row r="635">
          <cell r="A635" t="str">
            <v>03-16</v>
          </cell>
          <cell r="B635">
            <v>144</v>
          </cell>
          <cell r="C635" t="str">
            <v>C1.AM.03.16</v>
          </cell>
          <cell r="D635" t="str">
            <v>AM</v>
          </cell>
          <cell r="E635" t="str">
            <v>G-108</v>
          </cell>
          <cell r="F635" t="str">
            <v>AM174</v>
          </cell>
          <cell r="G635" t="str">
            <v>N1</v>
          </cell>
          <cell r="H635" t="str">
            <v>b1</v>
          </cell>
          <cell r="I635" t="str">
            <v>N1-b1</v>
          </cell>
          <cell r="J635" t="str">
            <v>03</v>
          </cell>
          <cell r="K635" t="str">
            <v>16</v>
          </cell>
        </row>
        <row r="636">
          <cell r="A636" t="str">
            <v>05-45</v>
          </cell>
          <cell r="B636">
            <v>301</v>
          </cell>
          <cell r="C636" t="str">
            <v>C1.AM.05.45</v>
          </cell>
          <cell r="D636" t="str">
            <v>AM</v>
          </cell>
          <cell r="E636" t="str">
            <v>G-108</v>
          </cell>
          <cell r="F636" t="str">
            <v>AM174</v>
          </cell>
          <cell r="G636" t="str">
            <v>N1</v>
          </cell>
          <cell r="H636" t="str">
            <v>b2</v>
          </cell>
          <cell r="I636" t="str">
            <v>N1-b2</v>
          </cell>
          <cell r="J636" t="str">
            <v>05</v>
          </cell>
          <cell r="K636" t="str">
            <v>45</v>
          </cell>
        </row>
        <row r="637">
          <cell r="A637" t="str">
            <v>08-12</v>
          </cell>
          <cell r="B637">
            <v>460</v>
          </cell>
          <cell r="C637" t="str">
            <v>C1.AM.08.12</v>
          </cell>
          <cell r="D637" t="str">
            <v>AM</v>
          </cell>
          <cell r="E637" t="str">
            <v>G-108</v>
          </cell>
          <cell r="F637" t="str">
            <v>AM174</v>
          </cell>
          <cell r="G637" t="str">
            <v>N2</v>
          </cell>
          <cell r="H637" t="str">
            <v>b1</v>
          </cell>
          <cell r="I637" t="str">
            <v>N2-b1</v>
          </cell>
          <cell r="J637" t="str">
            <v>08</v>
          </cell>
          <cell r="K637" t="str">
            <v>12</v>
          </cell>
        </row>
        <row r="638">
          <cell r="A638" t="str">
            <v>17-65</v>
          </cell>
          <cell r="B638">
            <v>949</v>
          </cell>
          <cell r="C638" t="str">
            <v>C1.AM.17.65</v>
          </cell>
          <cell r="D638" t="str">
            <v>AM</v>
          </cell>
          <cell r="E638" t="str">
            <v>G-108</v>
          </cell>
          <cell r="F638" t="str">
            <v>AM174</v>
          </cell>
          <cell r="G638" t="str">
            <v>N1</v>
          </cell>
          <cell r="H638" t="str">
            <v>b3</v>
          </cell>
          <cell r="I638" t="str">
            <v>N1-b3</v>
          </cell>
          <cell r="J638">
            <v>17</v>
          </cell>
          <cell r="K638" t="str">
            <v>65</v>
          </cell>
        </row>
        <row r="639">
          <cell r="A639" t="str">
            <v>20-83</v>
          </cell>
          <cell r="B639">
            <v>1045</v>
          </cell>
          <cell r="C639" t="str">
            <v>C1.AM.20.83</v>
          </cell>
          <cell r="D639" t="str">
            <v>AM</v>
          </cell>
          <cell r="E639" t="str">
            <v>G-108</v>
          </cell>
          <cell r="F639" t="str">
            <v>AM174</v>
          </cell>
          <cell r="G639" t="str">
            <v>N2</v>
          </cell>
          <cell r="H639" t="str">
            <v>b3</v>
          </cell>
          <cell r="I639" t="str">
            <v>N2-b3</v>
          </cell>
          <cell r="J639">
            <v>20</v>
          </cell>
          <cell r="K639" t="str">
            <v>83</v>
          </cell>
        </row>
        <row r="640">
          <cell r="A640" t="str">
            <v>02-07</v>
          </cell>
          <cell r="B640">
            <v>71</v>
          </cell>
          <cell r="C640" t="str">
            <v>C1.AM.02.07</v>
          </cell>
          <cell r="D640" t="str">
            <v>AM</v>
          </cell>
          <cell r="E640" t="str">
            <v>G-109</v>
          </cell>
          <cell r="F640" t="str">
            <v>AM183</v>
          </cell>
          <cell r="G640" t="str">
            <v>N1</v>
          </cell>
          <cell r="H640" t="str">
            <v>b1</v>
          </cell>
          <cell r="I640" t="str">
            <v>N1-b1</v>
          </cell>
          <cell r="J640" t="str">
            <v>02</v>
          </cell>
          <cell r="K640" t="str">
            <v>07</v>
          </cell>
        </row>
        <row r="641">
          <cell r="A641" t="str">
            <v>04-41</v>
          </cell>
          <cell r="B641">
            <v>233</v>
          </cell>
          <cell r="C641" t="str">
            <v>C1.AM.04.41</v>
          </cell>
          <cell r="D641" t="str">
            <v>AM</v>
          </cell>
          <cell r="E641" t="str">
            <v>G-109</v>
          </cell>
          <cell r="F641" t="str">
            <v>AM183</v>
          </cell>
          <cell r="G641" t="str">
            <v>N2</v>
          </cell>
          <cell r="H641" t="str">
            <v>b2</v>
          </cell>
          <cell r="I641" t="str">
            <v>N2-b2</v>
          </cell>
          <cell r="J641" t="str">
            <v>04</v>
          </cell>
          <cell r="K641" t="str">
            <v>41</v>
          </cell>
        </row>
        <row r="642">
          <cell r="A642" t="str">
            <v>05-64</v>
          </cell>
          <cell r="B642">
            <v>320</v>
          </cell>
          <cell r="C642" t="str">
            <v>C1.AM.05.64</v>
          </cell>
          <cell r="D642" t="str">
            <v>AM</v>
          </cell>
          <cell r="E642" t="str">
            <v>G-109</v>
          </cell>
          <cell r="F642" t="str">
            <v>AM183</v>
          </cell>
          <cell r="G642" t="str">
            <v>N1</v>
          </cell>
          <cell r="H642" t="str">
            <v>b2</v>
          </cell>
          <cell r="I642" t="str">
            <v>N1-b2</v>
          </cell>
          <cell r="J642" t="str">
            <v>05</v>
          </cell>
          <cell r="K642" t="str">
            <v>64</v>
          </cell>
        </row>
        <row r="643">
          <cell r="A643" t="str">
            <v>08-03</v>
          </cell>
          <cell r="B643">
            <v>451</v>
          </cell>
          <cell r="C643" t="str">
            <v>C1.AM.08.03</v>
          </cell>
          <cell r="D643" t="str">
            <v>AM</v>
          </cell>
          <cell r="E643" t="str">
            <v>G-109</v>
          </cell>
          <cell r="F643" t="str">
            <v>AM183</v>
          </cell>
          <cell r="G643" t="str">
            <v>N2</v>
          </cell>
          <cell r="H643" t="str">
            <v>b1</v>
          </cell>
          <cell r="I643" t="str">
            <v>N2-b1</v>
          </cell>
          <cell r="J643" t="str">
            <v>08</v>
          </cell>
          <cell r="K643" t="str">
            <v>03</v>
          </cell>
        </row>
        <row r="644">
          <cell r="A644" t="str">
            <v>17-71</v>
          </cell>
          <cell r="B644">
            <v>955</v>
          </cell>
          <cell r="C644" t="str">
            <v>C1.AM.17.71</v>
          </cell>
          <cell r="D644" t="str">
            <v>AM</v>
          </cell>
          <cell r="E644" t="str">
            <v>G-109</v>
          </cell>
          <cell r="F644" t="str">
            <v>AM183</v>
          </cell>
          <cell r="G644" t="str">
            <v>N1</v>
          </cell>
          <cell r="H644" t="str">
            <v>b3</v>
          </cell>
          <cell r="I644" t="str">
            <v>N1-b3</v>
          </cell>
          <cell r="J644">
            <v>17</v>
          </cell>
          <cell r="K644" t="str">
            <v>71</v>
          </cell>
        </row>
        <row r="645">
          <cell r="A645" t="str">
            <v>22-68</v>
          </cell>
          <cell r="B645">
            <v>1082</v>
          </cell>
          <cell r="C645" t="str">
            <v>C1.AM.22.68</v>
          </cell>
          <cell r="D645" t="str">
            <v>AM</v>
          </cell>
          <cell r="E645" t="str">
            <v>G-109</v>
          </cell>
          <cell r="F645" t="str">
            <v>AM183</v>
          </cell>
          <cell r="G645" t="str">
            <v>N2</v>
          </cell>
          <cell r="H645" t="str">
            <v>b3</v>
          </cell>
          <cell r="I645" t="str">
            <v>N2-b3</v>
          </cell>
          <cell r="J645">
            <v>22</v>
          </cell>
          <cell r="K645" t="str">
            <v>68</v>
          </cell>
        </row>
        <row r="646">
          <cell r="A646" t="str">
            <v>01-09</v>
          </cell>
          <cell r="B646">
            <v>9</v>
          </cell>
          <cell r="C646" t="str">
            <v>C1.AM.01.09</v>
          </cell>
          <cell r="D646" t="str">
            <v>AM</v>
          </cell>
          <cell r="E646" t="str">
            <v>G-110</v>
          </cell>
          <cell r="F646" t="str">
            <v>AM185</v>
          </cell>
          <cell r="G646" t="str">
            <v>N1</v>
          </cell>
          <cell r="H646" t="str">
            <v>b1</v>
          </cell>
          <cell r="I646" t="str">
            <v>N1-b1</v>
          </cell>
          <cell r="J646" t="str">
            <v>01</v>
          </cell>
          <cell r="K646" t="str">
            <v>09</v>
          </cell>
        </row>
        <row r="647">
          <cell r="A647" t="str">
            <v>02-61</v>
          </cell>
          <cell r="B647">
            <v>125</v>
          </cell>
          <cell r="C647" t="str">
            <v>C1.AM.02.61</v>
          </cell>
          <cell r="D647" t="str">
            <v>AM</v>
          </cell>
          <cell r="E647" t="str">
            <v>G-110</v>
          </cell>
          <cell r="F647" t="str">
            <v>AM185</v>
          </cell>
          <cell r="G647" t="str">
            <v>N2</v>
          </cell>
          <cell r="H647" t="str">
            <v>b2</v>
          </cell>
          <cell r="I647" t="str">
            <v>N2-b2</v>
          </cell>
          <cell r="J647" t="str">
            <v>02</v>
          </cell>
          <cell r="K647" t="str">
            <v>61</v>
          </cell>
        </row>
        <row r="648">
          <cell r="A648" t="str">
            <v>05-31</v>
          </cell>
          <cell r="B648">
            <v>287</v>
          </cell>
          <cell r="C648" t="str">
            <v>C1.AM.05.31</v>
          </cell>
          <cell r="D648" t="str">
            <v>AM</v>
          </cell>
          <cell r="E648" t="str">
            <v>G-110</v>
          </cell>
          <cell r="F648" t="str">
            <v>AM185</v>
          </cell>
          <cell r="G648" t="str">
            <v>N2</v>
          </cell>
          <cell r="H648" t="str">
            <v>b1</v>
          </cell>
          <cell r="I648" t="str">
            <v>N2-b1</v>
          </cell>
          <cell r="J648" t="str">
            <v>05</v>
          </cell>
          <cell r="K648" t="str">
            <v>31</v>
          </cell>
        </row>
        <row r="649">
          <cell r="A649" t="str">
            <v>05-49</v>
          </cell>
          <cell r="B649">
            <v>305</v>
          </cell>
          <cell r="C649" t="str">
            <v>C1.AM.05.49</v>
          </cell>
          <cell r="D649" t="str">
            <v>AM</v>
          </cell>
          <cell r="E649" t="str">
            <v>G-110</v>
          </cell>
          <cell r="F649" t="str">
            <v>AM185</v>
          </cell>
          <cell r="G649" t="str">
            <v>N1</v>
          </cell>
          <cell r="H649" t="str">
            <v>b2</v>
          </cell>
          <cell r="I649" t="str">
            <v>N1-b2</v>
          </cell>
          <cell r="J649" t="str">
            <v>05</v>
          </cell>
          <cell r="K649" t="str">
            <v>49</v>
          </cell>
        </row>
        <row r="650">
          <cell r="A650" t="str">
            <v>16-78</v>
          </cell>
          <cell r="B650">
            <v>936</v>
          </cell>
          <cell r="C650" t="str">
            <v>C1.AM.16.78</v>
          </cell>
          <cell r="D650" t="str">
            <v>AM</v>
          </cell>
          <cell r="E650" t="str">
            <v>G-110</v>
          </cell>
          <cell r="F650" t="str">
            <v>AM185</v>
          </cell>
          <cell r="G650" t="str">
            <v>N1</v>
          </cell>
          <cell r="H650" t="str">
            <v>b3</v>
          </cell>
          <cell r="I650" t="str">
            <v>N1-b3</v>
          </cell>
          <cell r="J650" t="str">
            <v>16</v>
          </cell>
          <cell r="K650" t="str">
            <v>78</v>
          </cell>
        </row>
        <row r="651">
          <cell r="A651" t="str">
            <v>24-90</v>
          </cell>
          <cell r="B651">
            <v>1156</v>
          </cell>
          <cell r="C651" t="str">
            <v>C1.AM.24.90</v>
          </cell>
          <cell r="D651" t="str">
            <v>AM</v>
          </cell>
          <cell r="E651" t="str">
            <v>G-110</v>
          </cell>
          <cell r="F651" t="str">
            <v>AM185</v>
          </cell>
          <cell r="G651" t="str">
            <v>N2</v>
          </cell>
          <cell r="H651" t="str">
            <v>b3</v>
          </cell>
          <cell r="I651" t="str">
            <v>N2-b3</v>
          </cell>
          <cell r="J651">
            <v>24</v>
          </cell>
          <cell r="K651" t="str">
            <v>90</v>
          </cell>
        </row>
        <row r="652">
          <cell r="A652" t="str">
            <v>03-30</v>
          </cell>
          <cell r="B652">
            <v>158</v>
          </cell>
          <cell r="C652" t="str">
            <v>C1.AM.03.30</v>
          </cell>
          <cell r="D652" t="str">
            <v>AM</v>
          </cell>
          <cell r="E652" t="str">
            <v>G-111</v>
          </cell>
          <cell r="F652" t="str">
            <v>AM186</v>
          </cell>
          <cell r="G652" t="str">
            <v>N1</v>
          </cell>
          <cell r="H652" t="str">
            <v>b1</v>
          </cell>
          <cell r="I652" t="str">
            <v>N1-b1</v>
          </cell>
          <cell r="J652" t="str">
            <v>03</v>
          </cell>
          <cell r="K652" t="str">
            <v>30</v>
          </cell>
        </row>
        <row r="653">
          <cell r="A653" t="str">
            <v>03-33</v>
          </cell>
          <cell r="B653">
            <v>161</v>
          </cell>
          <cell r="C653" t="str">
            <v>C1.AM.03.33</v>
          </cell>
          <cell r="D653" t="str">
            <v>AM</v>
          </cell>
          <cell r="E653" t="str">
            <v>G-111</v>
          </cell>
          <cell r="F653" t="str">
            <v>AM186</v>
          </cell>
          <cell r="G653" t="str">
            <v>N2</v>
          </cell>
          <cell r="H653" t="str">
            <v>b2</v>
          </cell>
          <cell r="I653" t="str">
            <v>N2-b2</v>
          </cell>
          <cell r="J653" t="str">
            <v>03</v>
          </cell>
          <cell r="K653" t="str">
            <v>33</v>
          </cell>
        </row>
        <row r="654">
          <cell r="A654" t="str">
            <v>07-40</v>
          </cell>
          <cell r="B654">
            <v>424</v>
          </cell>
          <cell r="C654" t="str">
            <v>C1.AM.07.40</v>
          </cell>
          <cell r="D654" t="str">
            <v>AM</v>
          </cell>
          <cell r="E654" t="str">
            <v>G-111</v>
          </cell>
          <cell r="F654" t="str">
            <v>AM186</v>
          </cell>
          <cell r="G654" t="str">
            <v>N1</v>
          </cell>
          <cell r="H654" t="str">
            <v>b2</v>
          </cell>
          <cell r="I654" t="str">
            <v>N1-b2</v>
          </cell>
          <cell r="J654" t="str">
            <v>07</v>
          </cell>
          <cell r="K654" t="str">
            <v>40</v>
          </cell>
        </row>
        <row r="655">
          <cell r="A655" t="str">
            <v>08-29</v>
          </cell>
          <cell r="B655">
            <v>477</v>
          </cell>
          <cell r="C655" t="str">
            <v>C1.AM.08.29</v>
          </cell>
          <cell r="D655" t="str">
            <v>AM</v>
          </cell>
          <cell r="E655" t="str">
            <v>G-111</v>
          </cell>
          <cell r="F655" t="str">
            <v>AM186</v>
          </cell>
          <cell r="G655" t="str">
            <v>N2</v>
          </cell>
          <cell r="H655" t="str">
            <v>b1</v>
          </cell>
          <cell r="I655" t="str">
            <v>N2-b1</v>
          </cell>
          <cell r="J655" t="str">
            <v>08</v>
          </cell>
          <cell r="K655" t="str">
            <v>29</v>
          </cell>
        </row>
        <row r="656">
          <cell r="A656" t="str">
            <v>15-73</v>
          </cell>
          <cell r="B656">
            <v>905</v>
          </cell>
          <cell r="C656" t="str">
            <v>C1.AM.15.73</v>
          </cell>
          <cell r="D656" t="str">
            <v>AM</v>
          </cell>
          <cell r="E656" t="str">
            <v>G-111</v>
          </cell>
          <cell r="F656" t="str">
            <v>AM186</v>
          </cell>
          <cell r="G656" t="str">
            <v>N1</v>
          </cell>
          <cell r="H656" t="str">
            <v>b3</v>
          </cell>
          <cell r="I656" t="str">
            <v>N1-b3</v>
          </cell>
          <cell r="J656">
            <v>15</v>
          </cell>
          <cell r="K656" t="str">
            <v>73</v>
          </cell>
        </row>
        <row r="657">
          <cell r="A657" t="str">
            <v>22-84</v>
          </cell>
          <cell r="B657">
            <v>1098</v>
          </cell>
          <cell r="C657" t="str">
            <v>C1.AM.22.84</v>
          </cell>
          <cell r="D657" t="str">
            <v>AM</v>
          </cell>
          <cell r="E657" t="str">
            <v>G-111</v>
          </cell>
          <cell r="F657" t="str">
            <v>AM186</v>
          </cell>
          <cell r="G657" t="str">
            <v>N2</v>
          </cell>
          <cell r="H657" t="str">
            <v>b3</v>
          </cell>
          <cell r="I657" t="str">
            <v>N2-b3</v>
          </cell>
          <cell r="J657">
            <v>22</v>
          </cell>
          <cell r="K657" t="str">
            <v>84</v>
          </cell>
        </row>
        <row r="658">
          <cell r="A658" t="str">
            <v>01-54</v>
          </cell>
          <cell r="B658">
            <v>54</v>
          </cell>
          <cell r="C658" t="str">
            <v>C1.AM.01.54</v>
          </cell>
          <cell r="D658" t="str">
            <v>AM</v>
          </cell>
          <cell r="E658" t="str">
            <v>G-112</v>
          </cell>
          <cell r="F658" t="str">
            <v>AM188</v>
          </cell>
          <cell r="G658" t="str">
            <v>N2</v>
          </cell>
          <cell r="H658" t="str">
            <v>b2</v>
          </cell>
          <cell r="I658" t="str">
            <v>N2-b2</v>
          </cell>
          <cell r="J658" t="str">
            <v>01</v>
          </cell>
          <cell r="K658" t="str">
            <v>54</v>
          </cell>
        </row>
        <row r="659">
          <cell r="A659" t="str">
            <v>02-02</v>
          </cell>
          <cell r="B659">
            <v>66</v>
          </cell>
          <cell r="C659" t="str">
            <v>C1.AM.02.02</v>
          </cell>
          <cell r="D659" t="str">
            <v>AM</v>
          </cell>
          <cell r="E659" t="str">
            <v>G-112</v>
          </cell>
          <cell r="F659" t="str">
            <v>AM188</v>
          </cell>
          <cell r="G659" t="str">
            <v>N1</v>
          </cell>
          <cell r="H659" t="str">
            <v>b1</v>
          </cell>
          <cell r="I659" t="str">
            <v>N1-b1</v>
          </cell>
          <cell r="J659" t="str">
            <v>02</v>
          </cell>
          <cell r="K659" t="str">
            <v>02</v>
          </cell>
        </row>
        <row r="660">
          <cell r="A660" t="str">
            <v>08-05</v>
          </cell>
          <cell r="B660">
            <v>453</v>
          </cell>
          <cell r="C660" t="str">
            <v>C1.AM.08.05</v>
          </cell>
          <cell r="D660" t="str">
            <v>AM</v>
          </cell>
          <cell r="E660" t="str">
            <v>G-112</v>
          </cell>
          <cell r="F660" t="str">
            <v>AM188</v>
          </cell>
          <cell r="G660" t="str">
            <v>N2</v>
          </cell>
          <cell r="H660" t="str">
            <v>b1</v>
          </cell>
          <cell r="I660" t="str">
            <v>N2-b1</v>
          </cell>
          <cell r="J660" t="str">
            <v>08</v>
          </cell>
          <cell r="K660" t="str">
            <v>05</v>
          </cell>
        </row>
        <row r="661">
          <cell r="A661" t="str">
            <v>08-33</v>
          </cell>
          <cell r="B661">
            <v>481</v>
          </cell>
          <cell r="C661" t="str">
            <v>C1.AM.08.33</v>
          </cell>
          <cell r="D661" t="str">
            <v>AM</v>
          </cell>
          <cell r="E661" t="str">
            <v>G-112</v>
          </cell>
          <cell r="F661" t="str">
            <v>AM188</v>
          </cell>
          <cell r="G661" t="str">
            <v>N1</v>
          </cell>
          <cell r="H661" t="str">
            <v>b2</v>
          </cell>
          <cell r="I661" t="str">
            <v>N1-b2</v>
          </cell>
          <cell r="J661" t="str">
            <v>08</v>
          </cell>
          <cell r="K661" t="str">
            <v>33</v>
          </cell>
        </row>
        <row r="662">
          <cell r="A662" t="str">
            <v>16-66</v>
          </cell>
          <cell r="B662">
            <v>924</v>
          </cell>
          <cell r="C662" t="str">
            <v>C1.AM.16.66</v>
          </cell>
          <cell r="D662" t="str">
            <v>AM</v>
          </cell>
          <cell r="E662" t="str">
            <v>G-112</v>
          </cell>
          <cell r="F662" t="str">
            <v>AM188</v>
          </cell>
          <cell r="G662" t="str">
            <v>N1</v>
          </cell>
          <cell r="H662" t="str">
            <v>b3</v>
          </cell>
          <cell r="I662" t="str">
            <v>N1-b3</v>
          </cell>
          <cell r="J662" t="str">
            <v>16</v>
          </cell>
          <cell r="K662" t="str">
            <v>66</v>
          </cell>
        </row>
        <row r="663">
          <cell r="A663" t="str">
            <v>22-77</v>
          </cell>
          <cell r="B663">
            <v>1091</v>
          </cell>
          <cell r="C663" t="str">
            <v>C1.AM.22.77</v>
          </cell>
          <cell r="D663" t="str">
            <v>AM</v>
          </cell>
          <cell r="E663" t="str">
            <v>G-112</v>
          </cell>
          <cell r="F663" t="str">
            <v>AM188</v>
          </cell>
          <cell r="G663" t="str">
            <v>N2</v>
          </cell>
          <cell r="H663" t="str">
            <v>b3</v>
          </cell>
          <cell r="I663" t="str">
            <v>N2-b3</v>
          </cell>
          <cell r="J663">
            <v>22</v>
          </cell>
          <cell r="K663" t="str">
            <v>77</v>
          </cell>
        </row>
        <row r="664">
          <cell r="A664" t="str">
            <v>01-49</v>
          </cell>
          <cell r="B664">
            <v>49</v>
          </cell>
          <cell r="C664" t="str">
            <v>C1.AM.01.49</v>
          </cell>
          <cell r="D664" t="str">
            <v>AM</v>
          </cell>
          <cell r="E664" t="str">
            <v>G-113</v>
          </cell>
          <cell r="F664" t="str">
            <v>AM189</v>
          </cell>
          <cell r="G664" t="str">
            <v>N2</v>
          </cell>
          <cell r="H664" t="str">
            <v>b2</v>
          </cell>
          <cell r="I664" t="str">
            <v>N2-b2</v>
          </cell>
          <cell r="J664" t="str">
            <v>01</v>
          </cell>
          <cell r="K664" t="str">
            <v>49</v>
          </cell>
        </row>
        <row r="665">
          <cell r="A665" t="str">
            <v>04-12</v>
          </cell>
          <cell r="B665">
            <v>204</v>
          </cell>
          <cell r="C665" t="str">
            <v>C1.AM.04.12</v>
          </cell>
          <cell r="D665" t="str">
            <v>AM</v>
          </cell>
          <cell r="E665" t="str">
            <v>G-113</v>
          </cell>
          <cell r="F665" t="str">
            <v>AM189</v>
          </cell>
          <cell r="G665" t="str">
            <v>N1</v>
          </cell>
          <cell r="H665" t="str">
            <v>b1</v>
          </cell>
          <cell r="I665" t="str">
            <v>N1-b1</v>
          </cell>
          <cell r="J665" t="str">
            <v>04</v>
          </cell>
          <cell r="K665" t="str">
            <v>12</v>
          </cell>
        </row>
        <row r="666">
          <cell r="A666" t="str">
            <v>06-42</v>
          </cell>
          <cell r="B666">
            <v>362</v>
          </cell>
          <cell r="C666" t="str">
            <v>C1.AM.06.42</v>
          </cell>
          <cell r="D666" t="str">
            <v>AM</v>
          </cell>
          <cell r="E666" t="str">
            <v>G-113</v>
          </cell>
          <cell r="F666" t="str">
            <v>AM189</v>
          </cell>
          <cell r="G666" t="str">
            <v>N1</v>
          </cell>
          <cell r="H666" t="str">
            <v>b2</v>
          </cell>
          <cell r="I666" t="str">
            <v>N1-b2</v>
          </cell>
          <cell r="J666" t="str">
            <v>06</v>
          </cell>
          <cell r="K666" t="str">
            <v>42</v>
          </cell>
        </row>
        <row r="667">
          <cell r="A667" t="str">
            <v>07-24</v>
          </cell>
          <cell r="B667">
            <v>408</v>
          </cell>
          <cell r="C667" t="str">
            <v>C1.AM.07.24</v>
          </cell>
          <cell r="D667" t="str">
            <v>AM</v>
          </cell>
          <cell r="E667" t="str">
            <v>G-113</v>
          </cell>
          <cell r="F667" t="str">
            <v>AM189</v>
          </cell>
          <cell r="G667" t="str">
            <v>N2</v>
          </cell>
          <cell r="H667" t="str">
            <v>b1</v>
          </cell>
          <cell r="I667" t="str">
            <v>N2-b1</v>
          </cell>
          <cell r="J667" t="str">
            <v>07</v>
          </cell>
          <cell r="K667" t="str">
            <v>24</v>
          </cell>
        </row>
        <row r="668">
          <cell r="A668" t="str">
            <v>19-80</v>
          </cell>
          <cell r="B668">
            <v>1016</v>
          </cell>
          <cell r="C668" t="str">
            <v>C1.AM.19.80</v>
          </cell>
          <cell r="D668" t="str">
            <v>AM</v>
          </cell>
          <cell r="E668" t="str">
            <v>G-113</v>
          </cell>
          <cell r="F668" t="str">
            <v>AM189</v>
          </cell>
          <cell r="G668" t="str">
            <v>N1</v>
          </cell>
          <cell r="H668" t="str">
            <v>b3</v>
          </cell>
          <cell r="I668" t="str">
            <v>N1-b3</v>
          </cell>
          <cell r="J668">
            <v>19</v>
          </cell>
          <cell r="K668" t="str">
            <v>80</v>
          </cell>
        </row>
        <row r="669">
          <cell r="A669" t="str">
            <v>22-75</v>
          </cell>
          <cell r="B669">
            <v>1089</v>
          </cell>
          <cell r="C669" t="str">
            <v>C1.AM.22.75</v>
          </cell>
          <cell r="D669" t="str">
            <v>AM</v>
          </cell>
          <cell r="E669" t="str">
            <v>G-113</v>
          </cell>
          <cell r="F669" t="str">
            <v>AM189</v>
          </cell>
          <cell r="G669" t="str">
            <v>N2</v>
          </cell>
          <cell r="H669" t="str">
            <v>b3</v>
          </cell>
          <cell r="I669" t="str">
            <v>N2-b3</v>
          </cell>
          <cell r="J669">
            <v>22</v>
          </cell>
          <cell r="K669" t="str">
            <v>75</v>
          </cell>
        </row>
        <row r="670">
          <cell r="A670" t="str">
            <v>01-38</v>
          </cell>
          <cell r="B670">
            <v>38</v>
          </cell>
          <cell r="C670" t="str">
            <v>C1.AM.01.38</v>
          </cell>
          <cell r="D670" t="str">
            <v>AM</v>
          </cell>
          <cell r="E670" t="str">
            <v>G-114</v>
          </cell>
          <cell r="F670" t="str">
            <v>AM193</v>
          </cell>
          <cell r="G670" t="str">
            <v>N2</v>
          </cell>
          <cell r="H670" t="str">
            <v>b2</v>
          </cell>
          <cell r="I670" t="str">
            <v>N2-b2</v>
          </cell>
          <cell r="J670" t="str">
            <v>01</v>
          </cell>
          <cell r="K670" t="str">
            <v>38</v>
          </cell>
        </row>
        <row r="671">
          <cell r="A671" t="str">
            <v>03-03</v>
          </cell>
          <cell r="B671">
            <v>131</v>
          </cell>
          <cell r="C671" t="str">
            <v>C1.AM.03.03</v>
          </cell>
          <cell r="D671" t="str">
            <v>AM</v>
          </cell>
          <cell r="E671" t="str">
            <v>G-114</v>
          </cell>
          <cell r="F671" t="str">
            <v>AM193</v>
          </cell>
          <cell r="G671" t="str">
            <v>N1</v>
          </cell>
          <cell r="H671" t="str">
            <v>b1</v>
          </cell>
          <cell r="I671" t="str">
            <v>N1-b1</v>
          </cell>
          <cell r="J671" t="str">
            <v>03</v>
          </cell>
          <cell r="K671" t="str">
            <v>03</v>
          </cell>
        </row>
        <row r="672">
          <cell r="A672" t="str">
            <v>05-51</v>
          </cell>
          <cell r="B672">
            <v>307</v>
          </cell>
          <cell r="C672" t="str">
            <v>C1.AM.05.51</v>
          </cell>
          <cell r="D672" t="str">
            <v>AM</v>
          </cell>
          <cell r="E672" t="str">
            <v>G-114</v>
          </cell>
          <cell r="F672" t="str">
            <v>AM193</v>
          </cell>
          <cell r="G672" t="str">
            <v>N1</v>
          </cell>
          <cell r="H672" t="str">
            <v>b2</v>
          </cell>
          <cell r="I672" t="str">
            <v>N1-b2</v>
          </cell>
          <cell r="J672" t="str">
            <v>05</v>
          </cell>
          <cell r="K672" t="str">
            <v>51</v>
          </cell>
        </row>
        <row r="673">
          <cell r="A673" t="str">
            <v>07-19</v>
          </cell>
          <cell r="B673">
            <v>403</v>
          </cell>
          <cell r="C673" t="str">
            <v>C1.AM.07.19</v>
          </cell>
          <cell r="D673" t="str">
            <v>AM</v>
          </cell>
          <cell r="E673" t="str">
            <v>G-114</v>
          </cell>
          <cell r="F673" t="str">
            <v>AM193</v>
          </cell>
          <cell r="G673" t="str">
            <v>N2</v>
          </cell>
          <cell r="H673" t="str">
            <v>b1</v>
          </cell>
          <cell r="I673" t="str">
            <v>N2-b1</v>
          </cell>
          <cell r="J673" t="str">
            <v>07</v>
          </cell>
          <cell r="K673" t="str">
            <v>19</v>
          </cell>
        </row>
        <row r="674">
          <cell r="A674" t="str">
            <v>16-70</v>
          </cell>
          <cell r="B674">
            <v>928</v>
          </cell>
          <cell r="C674" t="str">
            <v>C1.AM.16.70</v>
          </cell>
          <cell r="D674" t="str">
            <v>AM</v>
          </cell>
          <cell r="E674" t="str">
            <v>G-114</v>
          </cell>
          <cell r="F674" t="str">
            <v>AM193</v>
          </cell>
          <cell r="G674" t="str">
            <v>N1</v>
          </cell>
          <cell r="H674" t="str">
            <v>b3</v>
          </cell>
          <cell r="I674" t="str">
            <v>N1-b3</v>
          </cell>
          <cell r="J674" t="str">
            <v>16</v>
          </cell>
          <cell r="K674" t="str">
            <v>70</v>
          </cell>
        </row>
        <row r="675">
          <cell r="A675" t="str">
            <v>20-69</v>
          </cell>
          <cell r="B675">
            <v>1031</v>
          </cell>
          <cell r="C675" t="str">
            <v>C1.AM.20.69</v>
          </cell>
          <cell r="D675" t="str">
            <v>AM</v>
          </cell>
          <cell r="E675" t="str">
            <v>G-114</v>
          </cell>
          <cell r="F675" t="str">
            <v>AM193</v>
          </cell>
          <cell r="G675" t="str">
            <v>N2</v>
          </cell>
          <cell r="H675" t="str">
            <v>b3</v>
          </cell>
          <cell r="I675" t="str">
            <v>N2-b3</v>
          </cell>
          <cell r="J675">
            <v>20</v>
          </cell>
          <cell r="K675" t="str">
            <v>69</v>
          </cell>
        </row>
        <row r="676">
          <cell r="A676" t="str">
            <v>04-04</v>
          </cell>
          <cell r="B676">
            <v>196</v>
          </cell>
          <cell r="C676" t="str">
            <v>C1.AM.04.04</v>
          </cell>
          <cell r="D676" t="str">
            <v>AM</v>
          </cell>
          <cell r="E676" t="str">
            <v>G-115</v>
          </cell>
          <cell r="F676" t="str">
            <v>AM195</v>
          </cell>
          <cell r="G676" t="str">
            <v>N1</v>
          </cell>
          <cell r="H676" t="str">
            <v>b1</v>
          </cell>
          <cell r="I676" t="str">
            <v>N1-b1</v>
          </cell>
          <cell r="J676" t="str">
            <v>04</v>
          </cell>
          <cell r="K676" t="str">
            <v>04</v>
          </cell>
        </row>
        <row r="677">
          <cell r="A677" t="str">
            <v>04-46</v>
          </cell>
          <cell r="B677">
            <v>238</v>
          </cell>
          <cell r="C677" t="str">
            <v>C1.AM.04.46</v>
          </cell>
          <cell r="D677" t="str">
            <v>AM</v>
          </cell>
          <cell r="E677" t="str">
            <v>G-115</v>
          </cell>
          <cell r="F677" t="str">
            <v>AM195</v>
          </cell>
          <cell r="G677" t="str">
            <v>N2</v>
          </cell>
          <cell r="H677" t="str">
            <v>b2</v>
          </cell>
          <cell r="I677" t="str">
            <v>N2-b2</v>
          </cell>
          <cell r="J677" t="str">
            <v>04</v>
          </cell>
          <cell r="K677" t="str">
            <v>46</v>
          </cell>
        </row>
        <row r="678">
          <cell r="A678" t="str">
            <v>06-01</v>
          </cell>
          <cell r="B678">
            <v>321</v>
          </cell>
          <cell r="C678" t="str">
            <v>C1.AM.06.01</v>
          </cell>
          <cell r="D678" t="str">
            <v>AM</v>
          </cell>
          <cell r="E678" t="str">
            <v>G-115</v>
          </cell>
          <cell r="F678" t="str">
            <v>AM195</v>
          </cell>
          <cell r="G678" t="str">
            <v>N2</v>
          </cell>
          <cell r="H678" t="str">
            <v>b1</v>
          </cell>
          <cell r="I678" t="str">
            <v>N2-b1</v>
          </cell>
          <cell r="J678" t="str">
            <v>06</v>
          </cell>
          <cell r="K678" t="str">
            <v>01</v>
          </cell>
        </row>
        <row r="679">
          <cell r="A679" t="str">
            <v>08-43</v>
          </cell>
          <cell r="B679">
            <v>491</v>
          </cell>
          <cell r="C679" t="str">
            <v>C1.AM.08.43</v>
          </cell>
          <cell r="D679" t="str">
            <v>AM</v>
          </cell>
          <cell r="E679" t="str">
            <v>G-115</v>
          </cell>
          <cell r="F679" t="str">
            <v>AM195</v>
          </cell>
          <cell r="G679" t="str">
            <v>N1</v>
          </cell>
          <cell r="H679" t="str">
            <v>b2</v>
          </cell>
          <cell r="I679" t="str">
            <v>N1-b2</v>
          </cell>
          <cell r="J679" t="str">
            <v>08</v>
          </cell>
          <cell r="K679" t="str">
            <v>43</v>
          </cell>
        </row>
        <row r="680">
          <cell r="A680" t="str">
            <v>15-72</v>
          </cell>
          <cell r="B680">
            <v>904</v>
          </cell>
          <cell r="C680" t="str">
            <v>C1.AM.15.72</v>
          </cell>
          <cell r="D680" t="str">
            <v>AM</v>
          </cell>
          <cell r="E680" t="str">
            <v>G-115</v>
          </cell>
          <cell r="F680" t="str">
            <v>AM195</v>
          </cell>
          <cell r="G680" t="str">
            <v>N1</v>
          </cell>
          <cell r="H680" t="str">
            <v>b3</v>
          </cell>
          <cell r="I680" t="str">
            <v>N1-b3</v>
          </cell>
          <cell r="J680">
            <v>15</v>
          </cell>
          <cell r="K680" t="str">
            <v>72</v>
          </cell>
        </row>
        <row r="681">
          <cell r="A681" t="str">
            <v>22-90</v>
          </cell>
          <cell r="B681">
            <v>1104</v>
          </cell>
          <cell r="C681" t="str">
            <v>C1.AM.22.90</v>
          </cell>
          <cell r="D681" t="str">
            <v>AM</v>
          </cell>
          <cell r="E681" t="str">
            <v>G-115</v>
          </cell>
          <cell r="F681" t="str">
            <v>AM195</v>
          </cell>
          <cell r="G681" t="str">
            <v>N2</v>
          </cell>
          <cell r="H681" t="str">
            <v>b3</v>
          </cell>
          <cell r="I681" t="str">
            <v>N2-b3</v>
          </cell>
          <cell r="J681">
            <v>22</v>
          </cell>
          <cell r="K681" t="str">
            <v>90</v>
          </cell>
        </row>
        <row r="682">
          <cell r="A682" t="str">
            <v>03-17</v>
          </cell>
          <cell r="B682">
            <v>145</v>
          </cell>
          <cell r="C682" t="str">
            <v>C1.AM.03.17</v>
          </cell>
          <cell r="D682" t="str">
            <v>AM</v>
          </cell>
          <cell r="E682" t="str">
            <v>G-116</v>
          </cell>
          <cell r="F682" t="str">
            <v>AM197</v>
          </cell>
          <cell r="G682" t="str">
            <v>N1</v>
          </cell>
          <cell r="H682" t="str">
            <v>b1</v>
          </cell>
          <cell r="I682" t="str">
            <v>N1-b1</v>
          </cell>
          <cell r="J682" t="str">
            <v>03</v>
          </cell>
          <cell r="K682" t="str">
            <v>17</v>
          </cell>
        </row>
        <row r="683">
          <cell r="A683" t="str">
            <v>04-55</v>
          </cell>
          <cell r="B683">
            <v>247</v>
          </cell>
          <cell r="C683" t="str">
            <v>C1.AM.04.55</v>
          </cell>
          <cell r="D683" t="str">
            <v>AM</v>
          </cell>
          <cell r="E683" t="str">
            <v>G-116</v>
          </cell>
          <cell r="F683" t="str">
            <v>AM197</v>
          </cell>
          <cell r="G683" t="str">
            <v>N2</v>
          </cell>
          <cell r="H683" t="str">
            <v>b2</v>
          </cell>
          <cell r="I683" t="str">
            <v>N2-b2</v>
          </cell>
          <cell r="J683" t="str">
            <v>04</v>
          </cell>
          <cell r="K683" t="str">
            <v>55</v>
          </cell>
        </row>
        <row r="684">
          <cell r="A684" t="str">
            <v>05-13</v>
          </cell>
          <cell r="B684">
            <v>269</v>
          </cell>
          <cell r="C684" t="str">
            <v>C1.AM.05.13</v>
          </cell>
          <cell r="D684" t="str">
            <v>AM</v>
          </cell>
          <cell r="E684" t="str">
            <v>G-116</v>
          </cell>
          <cell r="F684" t="str">
            <v>AM197</v>
          </cell>
          <cell r="G684" t="str">
            <v>N2</v>
          </cell>
          <cell r="H684" t="str">
            <v>b1</v>
          </cell>
          <cell r="I684" t="str">
            <v>N2-b1</v>
          </cell>
          <cell r="J684" t="str">
            <v>05</v>
          </cell>
          <cell r="K684" t="str">
            <v>13</v>
          </cell>
        </row>
        <row r="685">
          <cell r="A685" t="str">
            <v>07-59</v>
          </cell>
          <cell r="B685">
            <v>443</v>
          </cell>
          <cell r="C685" t="str">
            <v>C1.AM.07.59</v>
          </cell>
          <cell r="D685" t="str">
            <v>AM</v>
          </cell>
          <cell r="E685" t="str">
            <v>G-116</v>
          </cell>
          <cell r="F685" t="str">
            <v>AM197</v>
          </cell>
          <cell r="G685" t="str">
            <v>N1</v>
          </cell>
          <cell r="H685" t="str">
            <v>b2</v>
          </cell>
          <cell r="I685" t="str">
            <v>N1-b2</v>
          </cell>
          <cell r="J685" t="str">
            <v>07</v>
          </cell>
          <cell r="K685" t="str">
            <v>59</v>
          </cell>
        </row>
        <row r="686">
          <cell r="A686" t="str">
            <v>17-87</v>
          </cell>
          <cell r="B686">
            <v>971</v>
          </cell>
          <cell r="C686" t="str">
            <v>C1.AM.17.87</v>
          </cell>
          <cell r="D686" t="str">
            <v>AM</v>
          </cell>
          <cell r="E686" t="str">
            <v>G-116</v>
          </cell>
          <cell r="F686" t="str">
            <v>AM197</v>
          </cell>
          <cell r="G686" t="str">
            <v>N1</v>
          </cell>
          <cell r="H686" t="str">
            <v>b3</v>
          </cell>
          <cell r="I686" t="str">
            <v>N1-b3</v>
          </cell>
          <cell r="J686">
            <v>17</v>
          </cell>
          <cell r="K686" t="str">
            <v>87</v>
          </cell>
        </row>
        <row r="687">
          <cell r="A687" t="str">
            <v>21-70</v>
          </cell>
          <cell r="B687">
            <v>1058</v>
          </cell>
          <cell r="C687" t="str">
            <v>C1.AM.21.70</v>
          </cell>
          <cell r="D687" t="str">
            <v>AM</v>
          </cell>
          <cell r="E687" t="str">
            <v>G-116</v>
          </cell>
          <cell r="F687" t="str">
            <v>AM197</v>
          </cell>
          <cell r="G687" t="str">
            <v>N2</v>
          </cell>
          <cell r="H687" t="str">
            <v>b3</v>
          </cell>
          <cell r="I687" t="str">
            <v>N2-b3</v>
          </cell>
          <cell r="J687">
            <v>21</v>
          </cell>
          <cell r="K687" t="str">
            <v>70</v>
          </cell>
        </row>
        <row r="688">
          <cell r="A688" t="str">
            <v>01-52</v>
          </cell>
          <cell r="B688">
            <v>52</v>
          </cell>
          <cell r="C688" t="str">
            <v>C1.AM.01.52</v>
          </cell>
          <cell r="D688" t="str">
            <v>AM</v>
          </cell>
          <cell r="E688" t="str">
            <v>G-117</v>
          </cell>
          <cell r="F688" t="str">
            <v>AM198</v>
          </cell>
          <cell r="G688" t="str">
            <v>N2</v>
          </cell>
          <cell r="H688" t="str">
            <v>b2</v>
          </cell>
          <cell r="I688" t="str">
            <v>N2-b2</v>
          </cell>
          <cell r="J688" t="str">
            <v>01</v>
          </cell>
          <cell r="K688" t="str">
            <v>52</v>
          </cell>
        </row>
        <row r="689">
          <cell r="A689" t="str">
            <v>03-02</v>
          </cell>
          <cell r="B689">
            <v>130</v>
          </cell>
          <cell r="C689" t="str">
            <v>C1.AM.03.02</v>
          </cell>
          <cell r="D689" t="str">
            <v>AM</v>
          </cell>
          <cell r="E689" t="str">
            <v>G-117</v>
          </cell>
          <cell r="F689" t="str">
            <v>AM198</v>
          </cell>
          <cell r="G689" t="str">
            <v>N1</v>
          </cell>
          <cell r="H689" t="str">
            <v>b1</v>
          </cell>
          <cell r="I689" t="str">
            <v>N1-b1</v>
          </cell>
          <cell r="J689" t="str">
            <v>03</v>
          </cell>
          <cell r="K689" t="str">
            <v>02</v>
          </cell>
        </row>
        <row r="690">
          <cell r="A690" t="str">
            <v>05-12</v>
          </cell>
          <cell r="B690">
            <v>268</v>
          </cell>
          <cell r="C690" t="str">
            <v>C1.AM.05.12</v>
          </cell>
          <cell r="D690" t="str">
            <v>AM</v>
          </cell>
          <cell r="E690" t="str">
            <v>G-117</v>
          </cell>
          <cell r="F690" t="str">
            <v>AM198</v>
          </cell>
          <cell r="G690" t="str">
            <v>N2</v>
          </cell>
          <cell r="H690" t="str">
            <v>b1</v>
          </cell>
          <cell r="I690" t="str">
            <v>N2-b1</v>
          </cell>
          <cell r="J690" t="str">
            <v>05</v>
          </cell>
          <cell r="K690" t="str">
            <v>12</v>
          </cell>
        </row>
        <row r="691">
          <cell r="A691" t="str">
            <v>05-58</v>
          </cell>
          <cell r="B691">
            <v>314</v>
          </cell>
          <cell r="C691" t="str">
            <v>C1.AM.05.58</v>
          </cell>
          <cell r="D691" t="str">
            <v>AM</v>
          </cell>
          <cell r="E691" t="str">
            <v>G-117</v>
          </cell>
          <cell r="F691" t="str">
            <v>AM198</v>
          </cell>
          <cell r="G691" t="str">
            <v>N1</v>
          </cell>
          <cell r="H691" t="str">
            <v>b2</v>
          </cell>
          <cell r="I691" t="str">
            <v>N1-b2</v>
          </cell>
          <cell r="J691" t="str">
            <v>05</v>
          </cell>
          <cell r="K691" t="str">
            <v>58</v>
          </cell>
        </row>
        <row r="692">
          <cell r="A692" t="str">
            <v>16-90</v>
          </cell>
          <cell r="B692">
            <v>948</v>
          </cell>
          <cell r="C692" t="str">
            <v>C1.AM.16.90</v>
          </cell>
          <cell r="D692" t="str">
            <v>AM</v>
          </cell>
          <cell r="E692" t="str">
            <v>G-117</v>
          </cell>
          <cell r="F692" t="str">
            <v>AM198</v>
          </cell>
          <cell r="G692" t="str">
            <v>N1</v>
          </cell>
          <cell r="H692" t="str">
            <v>b3</v>
          </cell>
          <cell r="I692" t="str">
            <v>N1-b3</v>
          </cell>
          <cell r="J692" t="str">
            <v>16</v>
          </cell>
          <cell r="K692" t="str">
            <v>90</v>
          </cell>
        </row>
        <row r="693">
          <cell r="A693" t="str">
            <v>24-86</v>
          </cell>
          <cell r="B693">
            <v>1152</v>
          </cell>
          <cell r="C693" t="str">
            <v>C1.AM.24.86</v>
          </cell>
          <cell r="D693" t="str">
            <v>AM</v>
          </cell>
          <cell r="E693" t="str">
            <v>G-117</v>
          </cell>
          <cell r="F693" t="str">
            <v>AM198</v>
          </cell>
          <cell r="G693" t="str">
            <v>N2</v>
          </cell>
          <cell r="H693" t="str">
            <v>b3</v>
          </cell>
          <cell r="I693" t="str">
            <v>N2-b3</v>
          </cell>
          <cell r="J693">
            <v>24</v>
          </cell>
          <cell r="K693" t="str">
            <v>86</v>
          </cell>
        </row>
        <row r="694">
          <cell r="A694" t="str">
            <v>02-57</v>
          </cell>
          <cell r="B694">
            <v>121</v>
          </cell>
          <cell r="C694" t="str">
            <v>C1.AM.02.57</v>
          </cell>
          <cell r="D694" t="str">
            <v>AM</v>
          </cell>
          <cell r="E694" t="str">
            <v>G-001</v>
          </cell>
          <cell r="F694" t="str">
            <v>Aviso</v>
          </cell>
          <cell r="G694" t="str">
            <v>N2</v>
          </cell>
          <cell r="H694" t="str">
            <v>b2</v>
          </cell>
          <cell r="I694" t="str">
            <v>N2-b2</v>
          </cell>
          <cell r="J694" t="str">
            <v>02</v>
          </cell>
          <cell r="K694" t="str">
            <v>57</v>
          </cell>
        </row>
        <row r="695">
          <cell r="A695" t="str">
            <v>03-04</v>
          </cell>
          <cell r="B695">
            <v>132</v>
          </cell>
          <cell r="C695" t="str">
            <v>C1.AM.03.04</v>
          </cell>
          <cell r="D695" t="str">
            <v>AM</v>
          </cell>
          <cell r="E695" t="str">
            <v>G-001</v>
          </cell>
          <cell r="F695" t="str">
            <v>Aviso</v>
          </cell>
          <cell r="G695" t="str">
            <v>N1</v>
          </cell>
          <cell r="H695" t="str">
            <v>b1</v>
          </cell>
          <cell r="I695" t="str">
            <v>N1-b1</v>
          </cell>
          <cell r="J695" t="str">
            <v>03</v>
          </cell>
          <cell r="K695" t="str">
            <v>04</v>
          </cell>
        </row>
        <row r="696">
          <cell r="A696" t="str">
            <v>03-20</v>
          </cell>
          <cell r="B696">
            <v>148</v>
          </cell>
          <cell r="C696" t="str">
            <v>C1.AM.03.20</v>
          </cell>
          <cell r="D696" t="str">
            <v>AM</v>
          </cell>
          <cell r="E696" t="str">
            <v>G-001</v>
          </cell>
          <cell r="F696" t="str">
            <v>Aviso</v>
          </cell>
          <cell r="G696" t="str">
            <v>N1</v>
          </cell>
          <cell r="H696" t="str">
            <v>b1</v>
          </cell>
          <cell r="I696" t="str">
            <v>N1-b1</v>
          </cell>
          <cell r="J696" t="str">
            <v>03</v>
          </cell>
          <cell r="K696" t="str">
            <v>20</v>
          </cell>
        </row>
        <row r="697">
          <cell r="A697" t="str">
            <v>03-42</v>
          </cell>
          <cell r="B697">
            <v>170</v>
          </cell>
          <cell r="C697" t="str">
            <v>C1.AM.03.42</v>
          </cell>
          <cell r="D697" t="str">
            <v>AM</v>
          </cell>
          <cell r="E697" t="str">
            <v>G-001</v>
          </cell>
          <cell r="F697" t="str">
            <v>Aviso</v>
          </cell>
          <cell r="G697" t="str">
            <v>N2</v>
          </cell>
          <cell r="H697" t="str">
            <v>b2</v>
          </cell>
          <cell r="I697" t="str">
            <v>N2-b2</v>
          </cell>
          <cell r="J697" t="str">
            <v>03</v>
          </cell>
          <cell r="K697" t="str">
            <v>42</v>
          </cell>
        </row>
        <row r="698">
          <cell r="A698" t="str">
            <v>03-59</v>
          </cell>
          <cell r="B698">
            <v>187</v>
          </cell>
          <cell r="C698" t="str">
            <v>C1.AM.03.59</v>
          </cell>
          <cell r="D698" t="str">
            <v>AM</v>
          </cell>
          <cell r="E698" t="str">
            <v>G-001</v>
          </cell>
          <cell r="F698" t="str">
            <v>Aviso</v>
          </cell>
          <cell r="G698" t="str">
            <v>N2</v>
          </cell>
          <cell r="H698" t="str">
            <v>b2</v>
          </cell>
          <cell r="I698" t="str">
            <v>N2-b2</v>
          </cell>
          <cell r="J698" t="str">
            <v>03</v>
          </cell>
          <cell r="K698" t="str">
            <v>59</v>
          </cell>
        </row>
        <row r="699">
          <cell r="A699" t="str">
            <v>04-05</v>
          </cell>
          <cell r="B699">
            <v>197</v>
          </cell>
          <cell r="C699" t="str">
            <v>C1.AM.04.05</v>
          </cell>
          <cell r="D699" t="str">
            <v>AM</v>
          </cell>
          <cell r="E699" t="str">
            <v>G-001</v>
          </cell>
          <cell r="F699" t="str">
            <v>Aviso</v>
          </cell>
          <cell r="G699" t="str">
            <v>N1</v>
          </cell>
          <cell r="H699" t="str">
            <v>b1</v>
          </cell>
          <cell r="I699" t="str">
            <v>N1-b1</v>
          </cell>
          <cell r="J699" t="str">
            <v>04</v>
          </cell>
          <cell r="K699" t="str">
            <v>05</v>
          </cell>
        </row>
        <row r="700">
          <cell r="A700" t="str">
            <v>05-19</v>
          </cell>
          <cell r="B700">
            <v>275</v>
          </cell>
          <cell r="C700" t="str">
            <v>C1.AM.05.19</v>
          </cell>
          <cell r="D700" t="str">
            <v>AM</v>
          </cell>
          <cell r="E700" t="str">
            <v>G-001</v>
          </cell>
          <cell r="F700" t="str">
            <v>Aviso</v>
          </cell>
          <cell r="G700" t="str">
            <v>N2</v>
          </cell>
          <cell r="H700" t="str">
            <v>b1</v>
          </cell>
          <cell r="I700" t="str">
            <v>N2-b1</v>
          </cell>
          <cell r="J700" t="str">
            <v>05</v>
          </cell>
          <cell r="K700" t="str">
            <v>19</v>
          </cell>
        </row>
        <row r="701">
          <cell r="A701" t="str">
            <v>05-35</v>
          </cell>
          <cell r="B701">
            <v>291</v>
          </cell>
          <cell r="C701" t="str">
            <v>C1.AM.05.35</v>
          </cell>
          <cell r="D701" t="str">
            <v>AM</v>
          </cell>
          <cell r="E701" t="str">
            <v>G-001</v>
          </cell>
          <cell r="F701" t="str">
            <v>Aviso</v>
          </cell>
          <cell r="G701" t="str">
            <v>N1</v>
          </cell>
          <cell r="H701" t="str">
            <v>b2</v>
          </cell>
          <cell r="I701" t="str">
            <v>N1-b2</v>
          </cell>
          <cell r="J701" t="str">
            <v>05</v>
          </cell>
          <cell r="K701" t="str">
            <v>35</v>
          </cell>
        </row>
        <row r="702">
          <cell r="A702" t="str">
            <v>06-30</v>
          </cell>
          <cell r="B702">
            <v>350</v>
          </cell>
          <cell r="C702" t="str">
            <v>C1.AM.06.30</v>
          </cell>
          <cell r="D702" t="str">
            <v>AM</v>
          </cell>
          <cell r="E702" t="str">
            <v>G-001</v>
          </cell>
          <cell r="F702" t="str">
            <v>Aviso</v>
          </cell>
          <cell r="G702" t="str">
            <v>N2</v>
          </cell>
          <cell r="H702" t="str">
            <v>b1</v>
          </cell>
          <cell r="I702" t="str">
            <v>N2-b1</v>
          </cell>
          <cell r="J702" t="str">
            <v>06</v>
          </cell>
          <cell r="K702" t="str">
            <v>30</v>
          </cell>
        </row>
        <row r="703">
          <cell r="A703" t="str">
            <v>06-54</v>
          </cell>
          <cell r="B703">
            <v>374</v>
          </cell>
          <cell r="C703" t="str">
            <v>C1.AM.06.54</v>
          </cell>
          <cell r="D703" t="str">
            <v>AM</v>
          </cell>
          <cell r="E703" t="str">
            <v>G-001</v>
          </cell>
          <cell r="F703" t="str">
            <v>Aviso</v>
          </cell>
          <cell r="G703" t="str">
            <v>N1</v>
          </cell>
          <cell r="H703" t="str">
            <v>b2</v>
          </cell>
          <cell r="I703" t="str">
            <v>N1-b2</v>
          </cell>
          <cell r="J703" t="str">
            <v>06</v>
          </cell>
          <cell r="K703" t="str">
            <v>54</v>
          </cell>
        </row>
        <row r="704">
          <cell r="A704" t="str">
            <v>07-06</v>
          </cell>
          <cell r="B704">
            <v>390</v>
          </cell>
          <cell r="C704" t="str">
            <v>C1.AM.07.06</v>
          </cell>
          <cell r="D704" t="str">
            <v>AM</v>
          </cell>
          <cell r="E704" t="str">
            <v>G-001</v>
          </cell>
          <cell r="F704" t="str">
            <v>Aviso</v>
          </cell>
          <cell r="G704" t="str">
            <v>N2</v>
          </cell>
          <cell r="H704" t="str">
            <v>b1</v>
          </cell>
          <cell r="I704" t="str">
            <v>N2-b1</v>
          </cell>
          <cell r="J704" t="str">
            <v>07</v>
          </cell>
          <cell r="K704" t="str">
            <v>06</v>
          </cell>
        </row>
        <row r="705">
          <cell r="A705" t="str">
            <v>07-49</v>
          </cell>
          <cell r="B705">
            <v>433</v>
          </cell>
          <cell r="C705" t="str">
            <v>C1.AM.07.49</v>
          </cell>
          <cell r="D705" t="str">
            <v>AM</v>
          </cell>
          <cell r="E705" t="str">
            <v>G-001</v>
          </cell>
          <cell r="F705" t="str">
            <v>Aviso</v>
          </cell>
          <cell r="G705" t="str">
            <v>N1</v>
          </cell>
          <cell r="H705" t="str">
            <v>b2</v>
          </cell>
          <cell r="I705" t="str">
            <v>N1-b2</v>
          </cell>
          <cell r="J705" t="str">
            <v>07</v>
          </cell>
          <cell r="K705" t="str">
            <v>49</v>
          </cell>
        </row>
        <row r="706">
          <cell r="A706" t="str">
            <v>16-84</v>
          </cell>
          <cell r="B706">
            <v>942</v>
          </cell>
          <cell r="C706" t="str">
            <v>C1.AM.16.84</v>
          </cell>
          <cell r="D706" t="str">
            <v>AM</v>
          </cell>
          <cell r="E706" t="str">
            <v>G-001</v>
          </cell>
          <cell r="F706" t="str">
            <v>Aviso</v>
          </cell>
          <cell r="G706" t="str">
            <v>N1</v>
          </cell>
          <cell r="H706" t="str">
            <v>b3</v>
          </cell>
          <cell r="I706" t="str">
            <v>N1-b3</v>
          </cell>
          <cell r="J706" t="str">
            <v>16</v>
          </cell>
          <cell r="K706" t="str">
            <v>84</v>
          </cell>
        </row>
        <row r="707">
          <cell r="A707" t="str">
            <v>17-77</v>
          </cell>
          <cell r="B707">
            <v>961</v>
          </cell>
          <cell r="C707" t="str">
            <v>C1.AM.17.77</v>
          </cell>
          <cell r="D707" t="str">
            <v>AM</v>
          </cell>
          <cell r="E707" t="str">
            <v>G-001</v>
          </cell>
          <cell r="F707" t="str">
            <v>Aviso</v>
          </cell>
          <cell r="G707" t="str">
            <v>N1</v>
          </cell>
          <cell r="H707" t="str">
            <v>b3</v>
          </cell>
          <cell r="I707" t="str">
            <v>N1-b3</v>
          </cell>
          <cell r="J707">
            <v>17</v>
          </cell>
          <cell r="K707" t="str">
            <v>77</v>
          </cell>
        </row>
        <row r="708">
          <cell r="A708" t="str">
            <v>18-85</v>
          </cell>
          <cell r="B708">
            <v>995</v>
          </cell>
          <cell r="C708" t="str">
            <v>C1.AM.18.85</v>
          </cell>
          <cell r="D708" t="str">
            <v>AM</v>
          </cell>
          <cell r="E708" t="str">
            <v>G-001</v>
          </cell>
          <cell r="F708" t="str">
            <v>Aviso</v>
          </cell>
          <cell r="G708" t="str">
            <v>N1</v>
          </cell>
          <cell r="H708" t="str">
            <v>b3</v>
          </cell>
          <cell r="I708" t="str">
            <v>N1-b3</v>
          </cell>
          <cell r="J708">
            <v>18</v>
          </cell>
          <cell r="K708" t="str">
            <v>85</v>
          </cell>
        </row>
        <row r="709">
          <cell r="A709" t="str">
            <v>19-86</v>
          </cell>
          <cell r="B709">
            <v>1022</v>
          </cell>
          <cell r="C709" t="str">
            <v>C1.AM.19.86</v>
          </cell>
          <cell r="D709" t="str">
            <v>AM</v>
          </cell>
          <cell r="E709" t="str">
            <v>G-001</v>
          </cell>
          <cell r="F709" t="str">
            <v>Aviso</v>
          </cell>
          <cell r="G709" t="str">
            <v>N1</v>
          </cell>
          <cell r="H709" t="str">
            <v>b3</v>
          </cell>
          <cell r="I709" t="str">
            <v>N1-b3</v>
          </cell>
          <cell r="J709">
            <v>19</v>
          </cell>
          <cell r="K709" t="str">
            <v>86</v>
          </cell>
        </row>
        <row r="710">
          <cell r="A710" t="str">
            <v>20-73</v>
          </cell>
          <cell r="B710">
            <v>1035</v>
          </cell>
          <cell r="C710" t="str">
            <v>C1.AM.20.73</v>
          </cell>
          <cell r="D710" t="str">
            <v>AM</v>
          </cell>
          <cell r="E710" t="str">
            <v>G-001</v>
          </cell>
          <cell r="F710" t="str">
            <v>Aviso</v>
          </cell>
          <cell r="G710" t="str">
            <v>N2</v>
          </cell>
          <cell r="H710" t="str">
            <v>b3</v>
          </cell>
          <cell r="I710" t="str">
            <v>N2-b3</v>
          </cell>
          <cell r="J710">
            <v>20</v>
          </cell>
          <cell r="K710" t="str">
            <v>73</v>
          </cell>
        </row>
        <row r="711">
          <cell r="A711" t="str">
            <v>21-74</v>
          </cell>
          <cell r="B711">
            <v>1062</v>
          </cell>
          <cell r="C711" t="str">
            <v>C1.AM.21.74</v>
          </cell>
          <cell r="D711" t="str">
            <v>AM</v>
          </cell>
          <cell r="E711" t="str">
            <v>G-001</v>
          </cell>
          <cell r="F711" t="str">
            <v>Aviso</v>
          </cell>
          <cell r="G711" t="str">
            <v>N2</v>
          </cell>
          <cell r="H711" t="str">
            <v>b3</v>
          </cell>
          <cell r="I711" t="str">
            <v>N2-b3</v>
          </cell>
          <cell r="J711">
            <v>21</v>
          </cell>
          <cell r="K711" t="str">
            <v>74</v>
          </cell>
        </row>
        <row r="712">
          <cell r="A712" t="str">
            <v>21-77</v>
          </cell>
          <cell r="B712">
            <v>1065</v>
          </cell>
          <cell r="C712" t="str">
            <v>C1.AM.21.77</v>
          </cell>
          <cell r="D712" t="str">
            <v>AM</v>
          </cell>
          <cell r="E712" t="str">
            <v>G-001</v>
          </cell>
          <cell r="F712" t="str">
            <v>Aviso</v>
          </cell>
          <cell r="G712" t="str">
            <v>N2</v>
          </cell>
          <cell r="H712" t="str">
            <v>b3</v>
          </cell>
          <cell r="I712" t="str">
            <v>N2-b3</v>
          </cell>
          <cell r="J712">
            <v>21</v>
          </cell>
          <cell r="K712" t="str">
            <v>77</v>
          </cell>
        </row>
        <row r="713">
          <cell r="A713" t="str">
            <v>23-89</v>
          </cell>
          <cell r="B713">
            <v>1129</v>
          </cell>
          <cell r="C713" t="str">
            <v>C1.AM.23.89</v>
          </cell>
          <cell r="D713" t="str">
            <v>AM</v>
          </cell>
          <cell r="E713" t="str">
            <v>G-001</v>
          </cell>
          <cell r="F713" t="str">
            <v>Aviso</v>
          </cell>
          <cell r="G713" t="str">
            <v>N2</v>
          </cell>
          <cell r="H713" t="str">
            <v>b3</v>
          </cell>
          <cell r="I713" t="str">
            <v>N2-b3</v>
          </cell>
          <cell r="J713">
            <v>23</v>
          </cell>
          <cell r="K713" t="str">
            <v>89</v>
          </cell>
        </row>
        <row r="714">
          <cell r="A714" t="str">
            <v>01-06</v>
          </cell>
          <cell r="B714">
            <v>6</v>
          </cell>
          <cell r="C714" t="str">
            <v>C1.AM.01.06</v>
          </cell>
          <cell r="D714" t="str">
            <v>AM</v>
          </cell>
          <cell r="E714" t="str">
            <v>G-123</v>
          </cell>
          <cell r="F714" t="str">
            <v>C-California</v>
          </cell>
          <cell r="G714" t="str">
            <v>N1</v>
          </cell>
          <cell r="H714" t="str">
            <v>b1</v>
          </cell>
          <cell r="I714" t="str">
            <v>N1-b1</v>
          </cell>
          <cell r="J714" t="str">
            <v>01</v>
          </cell>
          <cell r="K714" t="str">
            <v>06</v>
          </cell>
        </row>
        <row r="715">
          <cell r="A715" t="str">
            <v>03-37</v>
          </cell>
          <cell r="B715">
            <v>165</v>
          </cell>
          <cell r="C715" t="str">
            <v>C1.AM.03.37</v>
          </cell>
          <cell r="D715" t="str">
            <v>AM</v>
          </cell>
          <cell r="E715" t="str">
            <v>G-123</v>
          </cell>
          <cell r="F715" t="str">
            <v>C-California</v>
          </cell>
          <cell r="G715" t="str">
            <v>N2</v>
          </cell>
          <cell r="H715" t="str">
            <v>b2</v>
          </cell>
          <cell r="I715" t="str">
            <v>N2-b2</v>
          </cell>
          <cell r="J715" t="str">
            <v>03</v>
          </cell>
          <cell r="K715" t="str">
            <v>37</v>
          </cell>
        </row>
        <row r="716">
          <cell r="A716" t="str">
            <v>05-04</v>
          </cell>
          <cell r="B716">
            <v>260</v>
          </cell>
          <cell r="C716" t="str">
            <v>C1.AM.05.04</v>
          </cell>
          <cell r="D716" t="str">
            <v>AM</v>
          </cell>
          <cell r="E716" t="str">
            <v>G-123</v>
          </cell>
          <cell r="F716" t="str">
            <v>C-California</v>
          </cell>
          <cell r="G716" t="str">
            <v>N2</v>
          </cell>
          <cell r="H716" t="str">
            <v>b1</v>
          </cell>
          <cell r="I716" t="str">
            <v>N2-b1</v>
          </cell>
          <cell r="J716" t="str">
            <v>05</v>
          </cell>
          <cell r="K716" t="str">
            <v>04</v>
          </cell>
        </row>
        <row r="717">
          <cell r="A717" t="str">
            <v>08-57</v>
          </cell>
          <cell r="B717">
            <v>505</v>
          </cell>
          <cell r="C717" t="str">
            <v>C1.AM.08.57</v>
          </cell>
          <cell r="D717" t="str">
            <v>AM</v>
          </cell>
          <cell r="E717" t="str">
            <v>G-123</v>
          </cell>
          <cell r="F717" t="str">
            <v>C-California</v>
          </cell>
          <cell r="G717" t="str">
            <v>N1</v>
          </cell>
          <cell r="H717" t="str">
            <v>b2</v>
          </cell>
          <cell r="I717" t="str">
            <v>N1-b2</v>
          </cell>
          <cell r="J717" t="str">
            <v>08</v>
          </cell>
          <cell r="K717" t="str">
            <v>57</v>
          </cell>
        </row>
        <row r="718">
          <cell r="A718" t="str">
            <v>16-67</v>
          </cell>
          <cell r="B718">
            <v>925</v>
          </cell>
          <cell r="C718" t="str">
            <v>C1.AM.16.67</v>
          </cell>
          <cell r="D718" t="str">
            <v>AM</v>
          </cell>
          <cell r="E718" t="str">
            <v>G-123</v>
          </cell>
          <cell r="F718" t="str">
            <v>C-California</v>
          </cell>
          <cell r="G718" t="str">
            <v>N1</v>
          </cell>
          <cell r="H718" t="str">
            <v>b3</v>
          </cell>
          <cell r="I718" t="str">
            <v>N1-b3</v>
          </cell>
          <cell r="J718" t="str">
            <v>16</v>
          </cell>
          <cell r="K718" t="str">
            <v>67</v>
          </cell>
        </row>
        <row r="719">
          <cell r="A719" t="str">
            <v>23-82</v>
          </cell>
          <cell r="B719">
            <v>1122</v>
          </cell>
          <cell r="C719" t="str">
            <v>C1.AM.23.82</v>
          </cell>
          <cell r="D719" t="str">
            <v>AM</v>
          </cell>
          <cell r="E719" t="str">
            <v>G-123</v>
          </cell>
          <cell r="F719" t="str">
            <v>C-California</v>
          </cell>
          <cell r="G719" t="str">
            <v>N2</v>
          </cell>
          <cell r="H719" t="str">
            <v>b3</v>
          </cell>
          <cell r="I719" t="str">
            <v>N2-b3</v>
          </cell>
          <cell r="J719">
            <v>23</v>
          </cell>
          <cell r="K719" t="str">
            <v>82</v>
          </cell>
        </row>
        <row r="720">
          <cell r="A720" t="str">
            <v>09-62</v>
          </cell>
          <cell r="B720">
            <v>574</v>
          </cell>
          <cell r="C720" t="str">
            <v>C1.DK.09.62</v>
          </cell>
          <cell r="D720" t="str">
            <v>DK</v>
          </cell>
          <cell r="E720" t="str">
            <v>G-216</v>
          </cell>
          <cell r="F720" t="str">
            <v>C-California2</v>
          </cell>
          <cell r="G720" t="str">
            <v>N2</v>
          </cell>
          <cell r="H720" t="str">
            <v>b2</v>
          </cell>
          <cell r="I720" t="str">
            <v>N2-b2</v>
          </cell>
          <cell r="J720" t="str">
            <v>09</v>
          </cell>
          <cell r="K720" t="str">
            <v>62</v>
          </cell>
        </row>
        <row r="721">
          <cell r="A721" t="str">
            <v>11-22</v>
          </cell>
          <cell r="B721">
            <v>662</v>
          </cell>
          <cell r="C721" t="str">
            <v>C1.DK.11.22</v>
          </cell>
          <cell r="D721" t="str">
            <v>DK</v>
          </cell>
          <cell r="E721" t="str">
            <v>G-216</v>
          </cell>
          <cell r="F721" t="str">
            <v>C-California2</v>
          </cell>
          <cell r="G721" t="str">
            <v>N2</v>
          </cell>
          <cell r="H721" t="str">
            <v>b1</v>
          </cell>
          <cell r="I721" t="str">
            <v>N2-b1</v>
          </cell>
          <cell r="J721">
            <v>11</v>
          </cell>
          <cell r="K721" t="str">
            <v>22</v>
          </cell>
        </row>
        <row r="722">
          <cell r="A722" t="str">
            <v>12-46</v>
          </cell>
          <cell r="B722">
            <v>750</v>
          </cell>
          <cell r="C722" t="str">
            <v>C1.DK.12.46</v>
          </cell>
          <cell r="D722" t="str">
            <v>DK</v>
          </cell>
          <cell r="E722" t="str">
            <v>G-216</v>
          </cell>
          <cell r="F722" t="str">
            <v>C-California2</v>
          </cell>
          <cell r="G722" t="str">
            <v>N1</v>
          </cell>
          <cell r="H722" t="str">
            <v>b2</v>
          </cell>
          <cell r="I722" t="str">
            <v>N1-b2</v>
          </cell>
          <cell r="J722">
            <v>12</v>
          </cell>
          <cell r="K722" t="str">
            <v>46</v>
          </cell>
        </row>
        <row r="723">
          <cell r="A723" t="str">
            <v>14-16</v>
          </cell>
          <cell r="B723">
            <v>848</v>
          </cell>
          <cell r="C723" t="str">
            <v>C1.DK.14.16</v>
          </cell>
          <cell r="D723" t="str">
            <v>DK</v>
          </cell>
          <cell r="E723" t="str">
            <v>G-216</v>
          </cell>
          <cell r="F723" t="str">
            <v>C-California2</v>
          </cell>
          <cell r="G723" t="str">
            <v>N1</v>
          </cell>
          <cell r="H723" t="str">
            <v>b1</v>
          </cell>
          <cell r="I723" t="str">
            <v>N1-b1</v>
          </cell>
          <cell r="J723">
            <v>14</v>
          </cell>
          <cell r="K723" t="str">
            <v>16</v>
          </cell>
        </row>
        <row r="724">
          <cell r="A724" t="str">
            <v>25-77</v>
          </cell>
          <cell r="B724">
            <v>1169</v>
          </cell>
          <cell r="C724" t="str">
            <v>C1.DK.25.77</v>
          </cell>
          <cell r="D724" t="str">
            <v>DK</v>
          </cell>
          <cell r="E724" t="str">
            <v>G-216</v>
          </cell>
          <cell r="F724" t="str">
            <v>C-California2</v>
          </cell>
          <cell r="G724" t="str">
            <v>N1</v>
          </cell>
          <cell r="H724" t="str">
            <v>b3</v>
          </cell>
          <cell r="I724" t="str">
            <v>N1-b3</v>
          </cell>
          <cell r="J724">
            <v>25</v>
          </cell>
          <cell r="K724" t="str">
            <v>77</v>
          </cell>
        </row>
        <row r="725">
          <cell r="A725" t="str">
            <v>31-73</v>
          </cell>
          <cell r="B725">
            <v>1321</v>
          </cell>
          <cell r="C725" t="str">
            <v>C1.DK.31.73</v>
          </cell>
          <cell r="D725" t="str">
            <v>DK</v>
          </cell>
          <cell r="E725" t="str">
            <v>G-216</v>
          </cell>
          <cell r="F725" t="str">
            <v>C-California2</v>
          </cell>
          <cell r="G725" t="str">
            <v>N2</v>
          </cell>
          <cell r="H725" t="str">
            <v>b3</v>
          </cell>
          <cell r="I725" t="str">
            <v>N2-b3</v>
          </cell>
          <cell r="J725">
            <v>31</v>
          </cell>
          <cell r="K725" t="str">
            <v>73</v>
          </cell>
        </row>
        <row r="726">
          <cell r="A726" t="str">
            <v>01-50</v>
          </cell>
          <cell r="B726">
            <v>50</v>
          </cell>
          <cell r="C726" t="str">
            <v>C1.AM.01.50</v>
          </cell>
          <cell r="D726" t="str">
            <v>AM</v>
          </cell>
          <cell r="E726" t="str">
            <v>G-118</v>
          </cell>
          <cell r="F726" t="str">
            <v>Colvert</v>
          </cell>
          <cell r="G726" t="str">
            <v>N2</v>
          </cell>
          <cell r="H726" t="str">
            <v>b2</v>
          </cell>
          <cell r="I726" t="str">
            <v>N2-b2</v>
          </cell>
          <cell r="J726" t="str">
            <v>01</v>
          </cell>
          <cell r="K726" t="str">
            <v>50</v>
          </cell>
        </row>
        <row r="727">
          <cell r="A727" t="str">
            <v>02-29</v>
          </cell>
          <cell r="B727">
            <v>93</v>
          </cell>
          <cell r="C727" t="str">
            <v>C1.AM.02.29</v>
          </cell>
          <cell r="D727" t="str">
            <v>AM</v>
          </cell>
          <cell r="E727" t="str">
            <v>G-118</v>
          </cell>
          <cell r="F727" t="str">
            <v>Colvert</v>
          </cell>
          <cell r="G727" t="str">
            <v>N1</v>
          </cell>
          <cell r="H727" t="str">
            <v>b1</v>
          </cell>
          <cell r="I727" t="str">
            <v>N1-b1</v>
          </cell>
          <cell r="J727" t="str">
            <v>02</v>
          </cell>
          <cell r="K727" t="str">
            <v>29</v>
          </cell>
        </row>
        <row r="728">
          <cell r="A728" t="str">
            <v>05-30</v>
          </cell>
          <cell r="B728">
            <v>286</v>
          </cell>
          <cell r="C728" t="str">
            <v>C1.AM.05.30</v>
          </cell>
          <cell r="D728" t="str">
            <v>AM</v>
          </cell>
          <cell r="E728" t="str">
            <v>G-118</v>
          </cell>
          <cell r="F728" t="str">
            <v>Colvert</v>
          </cell>
          <cell r="G728" t="str">
            <v>N2</v>
          </cell>
          <cell r="H728" t="str">
            <v>b1</v>
          </cell>
          <cell r="I728" t="str">
            <v>N2-b1</v>
          </cell>
          <cell r="J728" t="str">
            <v>05</v>
          </cell>
          <cell r="K728" t="str">
            <v>30</v>
          </cell>
        </row>
        <row r="729">
          <cell r="A729" t="str">
            <v>06-55</v>
          </cell>
          <cell r="B729">
            <v>375</v>
          </cell>
          <cell r="C729" t="str">
            <v>C1.AM.06.55</v>
          </cell>
          <cell r="D729" t="str">
            <v>AM</v>
          </cell>
          <cell r="E729" t="str">
            <v>G-118</v>
          </cell>
          <cell r="F729" t="str">
            <v>Colvert</v>
          </cell>
          <cell r="G729" t="str">
            <v>N1</v>
          </cell>
          <cell r="H729" t="str">
            <v>b2</v>
          </cell>
          <cell r="I729" t="str">
            <v>N1-b2</v>
          </cell>
          <cell r="J729" t="str">
            <v>06</v>
          </cell>
          <cell r="K729" t="str">
            <v>55</v>
          </cell>
        </row>
        <row r="730">
          <cell r="A730" t="str">
            <v>16-68</v>
          </cell>
          <cell r="B730">
            <v>926</v>
          </cell>
          <cell r="C730" t="str">
            <v>C1.AM.16.68</v>
          </cell>
          <cell r="D730" t="str">
            <v>AM</v>
          </cell>
          <cell r="E730" t="str">
            <v>G-118</v>
          </cell>
          <cell r="F730" t="str">
            <v>Colvert</v>
          </cell>
          <cell r="G730" t="str">
            <v>N1</v>
          </cell>
          <cell r="H730" t="str">
            <v>b3</v>
          </cell>
          <cell r="I730" t="str">
            <v>N1-b3</v>
          </cell>
          <cell r="J730" t="str">
            <v>16</v>
          </cell>
          <cell r="K730" t="str">
            <v>68</v>
          </cell>
        </row>
        <row r="731">
          <cell r="A731" t="str">
            <v>23-66</v>
          </cell>
          <cell r="B731">
            <v>1106</v>
          </cell>
          <cell r="C731" t="str">
            <v>C1.AM.23.66</v>
          </cell>
          <cell r="D731" t="str">
            <v>AM</v>
          </cell>
          <cell r="E731" t="str">
            <v>G-118</v>
          </cell>
          <cell r="F731" t="str">
            <v>Colvert</v>
          </cell>
          <cell r="G731" t="str">
            <v>N2</v>
          </cell>
          <cell r="H731" t="str">
            <v>b3</v>
          </cell>
          <cell r="I731" t="str">
            <v>N2-b3</v>
          </cell>
          <cell r="J731">
            <v>23</v>
          </cell>
          <cell r="K731" t="str">
            <v>66</v>
          </cell>
        </row>
        <row r="732">
          <cell r="A732" t="str">
            <v>09-08</v>
          </cell>
          <cell r="B732">
            <v>520</v>
          </cell>
          <cell r="C732" t="str">
            <v>C1.DK.09.08</v>
          </cell>
          <cell r="D732" t="str">
            <v>DK</v>
          </cell>
          <cell r="E732" t="str">
            <v>G-211</v>
          </cell>
          <cell r="F732" t="str">
            <v>Colvert2</v>
          </cell>
          <cell r="G732" t="str">
            <v>N2</v>
          </cell>
          <cell r="H732" t="str">
            <v>b1</v>
          </cell>
          <cell r="I732" t="str">
            <v>N2-b1</v>
          </cell>
          <cell r="J732" t="str">
            <v>09</v>
          </cell>
          <cell r="K732" t="str">
            <v>08</v>
          </cell>
        </row>
        <row r="733">
          <cell r="A733" t="str">
            <v>11-47</v>
          </cell>
          <cell r="B733">
            <v>687</v>
          </cell>
          <cell r="C733" t="str">
            <v>C1.DK.11.47</v>
          </cell>
          <cell r="D733" t="str">
            <v>DK</v>
          </cell>
          <cell r="E733" t="str">
            <v>G-211</v>
          </cell>
          <cell r="F733" t="str">
            <v>Colvert2</v>
          </cell>
          <cell r="G733" t="str">
            <v>N2</v>
          </cell>
          <cell r="H733" t="str">
            <v>b2</v>
          </cell>
          <cell r="I733" t="str">
            <v>N2-b2</v>
          </cell>
          <cell r="J733">
            <v>11</v>
          </cell>
          <cell r="K733" t="str">
            <v>47</v>
          </cell>
        </row>
        <row r="734">
          <cell r="A734" t="str">
            <v>12-47</v>
          </cell>
          <cell r="B734">
            <v>751</v>
          </cell>
          <cell r="C734" t="str">
            <v>C1.DK.12.47</v>
          </cell>
          <cell r="D734" t="str">
            <v>DK</v>
          </cell>
          <cell r="E734" t="str">
            <v>G-211</v>
          </cell>
          <cell r="F734" t="str">
            <v>Colvert2</v>
          </cell>
          <cell r="G734" t="str">
            <v>N1</v>
          </cell>
          <cell r="H734" t="str">
            <v>b2</v>
          </cell>
          <cell r="I734" t="str">
            <v>N1-b2</v>
          </cell>
          <cell r="J734">
            <v>12</v>
          </cell>
          <cell r="K734" t="str">
            <v>47</v>
          </cell>
        </row>
        <row r="735">
          <cell r="A735" t="str">
            <v>14-08</v>
          </cell>
          <cell r="B735">
            <v>840</v>
          </cell>
          <cell r="C735" t="str">
            <v>C1.DK.14.08</v>
          </cell>
          <cell r="D735" t="str">
            <v>DK</v>
          </cell>
          <cell r="E735" t="str">
            <v>G-211</v>
          </cell>
          <cell r="F735" t="str">
            <v>Colvert2</v>
          </cell>
          <cell r="G735" t="str">
            <v>N1</v>
          </cell>
          <cell r="H735" t="str">
            <v>b1</v>
          </cell>
          <cell r="I735" t="str">
            <v>N1-b1</v>
          </cell>
          <cell r="J735">
            <v>14</v>
          </cell>
          <cell r="K735" t="str">
            <v>08</v>
          </cell>
        </row>
        <row r="736">
          <cell r="A736" t="str">
            <v>26-90</v>
          </cell>
          <cell r="B736">
            <v>1208</v>
          </cell>
          <cell r="C736" t="str">
            <v>C1.DK.26.90</v>
          </cell>
          <cell r="D736" t="str">
            <v>DK</v>
          </cell>
          <cell r="E736" t="str">
            <v>G-211</v>
          </cell>
          <cell r="F736" t="str">
            <v>Colvert2</v>
          </cell>
          <cell r="G736" t="str">
            <v>N1</v>
          </cell>
          <cell r="H736" t="str">
            <v>b3</v>
          </cell>
          <cell r="I736" t="str">
            <v>N1-b3</v>
          </cell>
          <cell r="J736" t="str">
            <v>26</v>
          </cell>
          <cell r="K736" t="str">
            <v>90</v>
          </cell>
        </row>
        <row r="737">
          <cell r="A737" t="str">
            <v>30-76</v>
          </cell>
          <cell r="B737">
            <v>1298</v>
          </cell>
          <cell r="C737" t="str">
            <v>C1.DK.30.76</v>
          </cell>
          <cell r="D737" t="str">
            <v>DK</v>
          </cell>
          <cell r="E737" t="str">
            <v>G-211</v>
          </cell>
          <cell r="F737" t="str">
            <v>Colvert2</v>
          </cell>
          <cell r="G737" t="str">
            <v>N2</v>
          </cell>
          <cell r="H737" t="str">
            <v>b3</v>
          </cell>
          <cell r="I737" t="str">
            <v>N2-b3</v>
          </cell>
          <cell r="J737">
            <v>30</v>
          </cell>
          <cell r="K737" t="str">
            <v>76</v>
          </cell>
        </row>
        <row r="738">
          <cell r="A738" t="str">
            <v>04-19</v>
          </cell>
          <cell r="B738">
            <v>211</v>
          </cell>
          <cell r="C738" t="str">
            <v>C1.AM.04.19</v>
          </cell>
          <cell r="D738" t="str">
            <v>AM</v>
          </cell>
          <cell r="E738" t="str">
            <v>G-121</v>
          </cell>
          <cell r="F738" t="str">
            <v>Darmor</v>
          </cell>
          <cell r="G738" t="str">
            <v>N1</v>
          </cell>
          <cell r="H738" t="str">
            <v>b1</v>
          </cell>
          <cell r="I738" t="str">
            <v>N1-b1</v>
          </cell>
          <cell r="J738" t="str">
            <v>04</v>
          </cell>
          <cell r="K738" t="str">
            <v>19</v>
          </cell>
        </row>
        <row r="739">
          <cell r="A739" t="str">
            <v>04-54</v>
          </cell>
          <cell r="B739">
            <v>246</v>
          </cell>
          <cell r="C739" t="str">
            <v>C1.AM.04.54</v>
          </cell>
          <cell r="D739" t="str">
            <v>AM</v>
          </cell>
          <cell r="E739" t="str">
            <v>G-121</v>
          </cell>
          <cell r="F739" t="str">
            <v>Darmor</v>
          </cell>
          <cell r="G739" t="str">
            <v>N2</v>
          </cell>
          <cell r="H739" t="str">
            <v>b2</v>
          </cell>
          <cell r="I739" t="str">
            <v>N2-b2</v>
          </cell>
          <cell r="J739" t="str">
            <v>04</v>
          </cell>
          <cell r="K739" t="str">
            <v>54</v>
          </cell>
        </row>
        <row r="740">
          <cell r="A740" t="str">
            <v>05-26</v>
          </cell>
          <cell r="B740">
            <v>282</v>
          </cell>
          <cell r="C740" t="str">
            <v>C1.AM.05.26</v>
          </cell>
          <cell r="D740" t="str">
            <v>AM</v>
          </cell>
          <cell r="E740" t="str">
            <v>G-121</v>
          </cell>
          <cell r="F740" t="str">
            <v>Darmor</v>
          </cell>
          <cell r="G740" t="str">
            <v>N2</v>
          </cell>
          <cell r="H740" t="str">
            <v>b1</v>
          </cell>
          <cell r="I740" t="str">
            <v>N2-b1</v>
          </cell>
          <cell r="J740" t="str">
            <v>05</v>
          </cell>
          <cell r="K740" t="str">
            <v>26</v>
          </cell>
        </row>
        <row r="741">
          <cell r="A741" t="str">
            <v>07-52</v>
          </cell>
          <cell r="B741">
            <v>436</v>
          </cell>
          <cell r="C741" t="str">
            <v>C1.AM.07.52</v>
          </cell>
          <cell r="D741" t="str">
            <v>AM</v>
          </cell>
          <cell r="E741" t="str">
            <v>G-121</v>
          </cell>
          <cell r="F741" t="str">
            <v>Darmor</v>
          </cell>
          <cell r="G741" t="str">
            <v>N1</v>
          </cell>
          <cell r="H741" t="str">
            <v>b2</v>
          </cell>
          <cell r="I741" t="str">
            <v>N1-b2</v>
          </cell>
          <cell r="J741" t="str">
            <v>07</v>
          </cell>
          <cell r="K741" t="str">
            <v>52</v>
          </cell>
        </row>
        <row r="742">
          <cell r="A742" t="str">
            <v>17-81</v>
          </cell>
          <cell r="B742">
            <v>965</v>
          </cell>
          <cell r="C742" t="str">
            <v>C1.AM.17.81</v>
          </cell>
          <cell r="D742" t="str">
            <v>AM</v>
          </cell>
          <cell r="E742" t="str">
            <v>G-121</v>
          </cell>
          <cell r="F742" t="str">
            <v>Darmor</v>
          </cell>
          <cell r="G742" t="str">
            <v>N1</v>
          </cell>
          <cell r="H742" t="str">
            <v>b3</v>
          </cell>
          <cell r="I742" t="str">
            <v>N1-b3</v>
          </cell>
          <cell r="J742">
            <v>17</v>
          </cell>
          <cell r="K742" t="str">
            <v>81</v>
          </cell>
        </row>
        <row r="743">
          <cell r="A743" t="str">
            <v>21-87</v>
          </cell>
          <cell r="B743">
            <v>1075</v>
          </cell>
          <cell r="C743" t="str">
            <v>C1.AM.21.87</v>
          </cell>
          <cell r="D743" t="str">
            <v>AM</v>
          </cell>
          <cell r="E743" t="str">
            <v>G-121</v>
          </cell>
          <cell r="F743" t="str">
            <v>Darmor</v>
          </cell>
          <cell r="G743" t="str">
            <v>N2</v>
          </cell>
          <cell r="H743" t="str">
            <v>b3</v>
          </cell>
          <cell r="I743" t="str">
            <v>N2-b3</v>
          </cell>
          <cell r="J743">
            <v>21</v>
          </cell>
          <cell r="K743" t="str">
            <v>87</v>
          </cell>
        </row>
        <row r="744">
          <cell r="A744" t="str">
            <v>10-58</v>
          </cell>
          <cell r="B744">
            <v>634</v>
          </cell>
          <cell r="C744" t="str">
            <v>C1.DK.10.58</v>
          </cell>
          <cell r="D744" t="str">
            <v>DK</v>
          </cell>
          <cell r="E744" t="str">
            <v>G-214</v>
          </cell>
          <cell r="F744" t="str">
            <v>Darmor2</v>
          </cell>
          <cell r="G744" t="str">
            <v>N2</v>
          </cell>
          <cell r="H744" t="str">
            <v>b2</v>
          </cell>
          <cell r="I744" t="str">
            <v>N2-b2</v>
          </cell>
          <cell r="J744">
            <v>10</v>
          </cell>
          <cell r="K744" t="str">
            <v>58</v>
          </cell>
        </row>
        <row r="745">
          <cell r="A745" t="str">
            <v>11-06</v>
          </cell>
          <cell r="B745">
            <v>646</v>
          </cell>
          <cell r="C745" t="str">
            <v>C1.DK.11.06</v>
          </cell>
          <cell r="D745" t="str">
            <v>DK</v>
          </cell>
          <cell r="E745" t="str">
            <v>G-214</v>
          </cell>
          <cell r="F745" t="str">
            <v>Darmor2</v>
          </cell>
          <cell r="G745" t="str">
            <v>N2</v>
          </cell>
          <cell r="H745" t="str">
            <v>b1</v>
          </cell>
          <cell r="I745" t="str">
            <v>N2-b1</v>
          </cell>
          <cell r="J745">
            <v>11</v>
          </cell>
          <cell r="K745" t="str">
            <v>06</v>
          </cell>
        </row>
        <row r="746">
          <cell r="A746" t="str">
            <v>12-01</v>
          </cell>
          <cell r="B746">
            <v>705</v>
          </cell>
          <cell r="C746" t="str">
            <v>C1.DK.12.01</v>
          </cell>
          <cell r="D746" t="str">
            <v>DK</v>
          </cell>
          <cell r="E746" t="str">
            <v>G-214</v>
          </cell>
          <cell r="F746" t="str">
            <v>Darmor2</v>
          </cell>
          <cell r="G746" t="str">
            <v>N1</v>
          </cell>
          <cell r="H746" t="str">
            <v>b1</v>
          </cell>
          <cell r="I746" t="str">
            <v>N1-b1</v>
          </cell>
          <cell r="J746">
            <v>12</v>
          </cell>
          <cell r="K746" t="str">
            <v>01</v>
          </cell>
        </row>
        <row r="747">
          <cell r="A747" t="str">
            <v>13-45</v>
          </cell>
          <cell r="B747">
            <v>813</v>
          </cell>
          <cell r="C747" t="str">
            <v>C1.DK.13.45</v>
          </cell>
          <cell r="D747" t="str">
            <v>DK</v>
          </cell>
          <cell r="E747" t="str">
            <v>G-214</v>
          </cell>
          <cell r="F747" t="str">
            <v>Darmor2</v>
          </cell>
          <cell r="G747" t="str">
            <v>N1</v>
          </cell>
          <cell r="H747" t="str">
            <v>b2</v>
          </cell>
          <cell r="I747" t="str">
            <v>N1-b2</v>
          </cell>
          <cell r="J747">
            <v>13</v>
          </cell>
          <cell r="K747" t="str">
            <v>45</v>
          </cell>
        </row>
        <row r="748">
          <cell r="A748" t="str">
            <v>25-90</v>
          </cell>
          <cell r="B748">
            <v>1182</v>
          </cell>
          <cell r="C748" t="str">
            <v>C1.DK.25.90</v>
          </cell>
          <cell r="D748" t="str">
            <v>DK</v>
          </cell>
          <cell r="E748" t="str">
            <v>G-214</v>
          </cell>
          <cell r="F748" t="str">
            <v>Darmor2</v>
          </cell>
          <cell r="G748" t="str">
            <v>N1</v>
          </cell>
          <cell r="H748" t="str">
            <v>b3</v>
          </cell>
          <cell r="I748" t="str">
            <v>N1-b3</v>
          </cell>
          <cell r="J748">
            <v>25</v>
          </cell>
          <cell r="K748" t="str">
            <v>90</v>
          </cell>
        </row>
        <row r="749">
          <cell r="A749" t="str">
            <v>29-82</v>
          </cell>
          <cell r="B749">
            <v>1278</v>
          </cell>
          <cell r="C749" t="str">
            <v>C1.DK.29.82</v>
          </cell>
          <cell r="D749" t="str">
            <v>DK</v>
          </cell>
          <cell r="E749" t="str">
            <v>G-214</v>
          </cell>
          <cell r="F749" t="str">
            <v>Darmor2</v>
          </cell>
          <cell r="G749" t="str">
            <v>N2</v>
          </cell>
          <cell r="H749" t="str">
            <v>b3</v>
          </cell>
          <cell r="I749" t="str">
            <v>N2-b3</v>
          </cell>
          <cell r="J749">
            <v>29</v>
          </cell>
          <cell r="K749" t="str">
            <v>82</v>
          </cell>
        </row>
        <row r="750">
          <cell r="A750" t="str">
            <v>10-64</v>
          </cell>
          <cell r="B750">
            <v>640</v>
          </cell>
          <cell r="C750" t="str">
            <v>C1.DK.10.64</v>
          </cell>
          <cell r="D750" t="str">
            <v>DK</v>
          </cell>
          <cell r="E750" t="str">
            <v>G-127</v>
          </cell>
          <cell r="F750" t="str">
            <v>DK001</v>
          </cell>
          <cell r="G750" t="str">
            <v>N2</v>
          </cell>
          <cell r="H750" t="str">
            <v>b2</v>
          </cell>
          <cell r="I750" t="str">
            <v>N2-b2</v>
          </cell>
          <cell r="J750">
            <v>10</v>
          </cell>
          <cell r="K750" t="str">
            <v>64</v>
          </cell>
        </row>
        <row r="751">
          <cell r="A751" t="str">
            <v>11-30</v>
          </cell>
          <cell r="B751">
            <v>670</v>
          </cell>
          <cell r="C751" t="str">
            <v>C1.DK.11.30</v>
          </cell>
          <cell r="D751" t="str">
            <v>DK</v>
          </cell>
          <cell r="E751" t="str">
            <v>G-127</v>
          </cell>
          <cell r="F751" t="str">
            <v>DK001</v>
          </cell>
          <cell r="G751" t="str">
            <v>N2</v>
          </cell>
          <cell r="H751" t="str">
            <v>b1</v>
          </cell>
          <cell r="I751" t="str">
            <v>N2-b1</v>
          </cell>
          <cell r="J751">
            <v>11</v>
          </cell>
          <cell r="K751" t="str">
            <v>30</v>
          </cell>
        </row>
        <row r="752">
          <cell r="A752" t="str">
            <v>12-53</v>
          </cell>
          <cell r="B752">
            <v>757</v>
          </cell>
          <cell r="C752" t="str">
            <v>C1.DK.12.53</v>
          </cell>
          <cell r="D752" t="str">
            <v>DK</v>
          </cell>
          <cell r="E752" t="str">
            <v>G-127</v>
          </cell>
          <cell r="F752" t="str">
            <v>DK001</v>
          </cell>
          <cell r="G752" t="str">
            <v>N1</v>
          </cell>
          <cell r="H752" t="str">
            <v>b2</v>
          </cell>
          <cell r="I752" t="str">
            <v>N1-b2</v>
          </cell>
          <cell r="J752">
            <v>12</v>
          </cell>
          <cell r="K752" t="str">
            <v>53</v>
          </cell>
        </row>
        <row r="753">
          <cell r="A753" t="str">
            <v>14-21</v>
          </cell>
          <cell r="B753">
            <v>853</v>
          </cell>
          <cell r="C753" t="str">
            <v>C1.DK.14.21</v>
          </cell>
          <cell r="D753" t="str">
            <v>DK</v>
          </cell>
          <cell r="E753" t="str">
            <v>G-127</v>
          </cell>
          <cell r="F753" t="str">
            <v>DK001</v>
          </cell>
          <cell r="G753" t="str">
            <v>N1</v>
          </cell>
          <cell r="H753" t="str">
            <v>b1</v>
          </cell>
          <cell r="I753" t="str">
            <v>N1-b1</v>
          </cell>
          <cell r="J753">
            <v>14</v>
          </cell>
          <cell r="K753" t="str">
            <v>21</v>
          </cell>
        </row>
        <row r="754">
          <cell r="A754" t="str">
            <v>28-77</v>
          </cell>
          <cell r="B754">
            <v>1247</v>
          </cell>
          <cell r="C754" t="str">
            <v>C1.DK.28.77</v>
          </cell>
          <cell r="D754" t="str">
            <v>DK</v>
          </cell>
          <cell r="E754" t="str">
            <v>G-127</v>
          </cell>
          <cell r="F754" t="str">
            <v>DK001</v>
          </cell>
          <cell r="G754" t="str">
            <v>N1</v>
          </cell>
          <cell r="H754" t="str">
            <v>b3</v>
          </cell>
          <cell r="I754" t="str">
            <v>N1-b3</v>
          </cell>
          <cell r="J754">
            <v>28</v>
          </cell>
          <cell r="K754" t="str">
            <v>77</v>
          </cell>
        </row>
        <row r="755">
          <cell r="A755" t="str">
            <v>30-69</v>
          </cell>
          <cell r="B755">
            <v>1291</v>
          </cell>
          <cell r="C755" t="str">
            <v>C1.DK.30.69</v>
          </cell>
          <cell r="D755" t="str">
            <v>DK</v>
          </cell>
          <cell r="E755" t="str">
            <v>G-127</v>
          </cell>
          <cell r="F755" t="str">
            <v>DK001</v>
          </cell>
          <cell r="G755" t="str">
            <v>N2</v>
          </cell>
          <cell r="H755" t="str">
            <v>b3</v>
          </cell>
          <cell r="I755" t="str">
            <v>N2-b3</v>
          </cell>
          <cell r="J755">
            <v>30</v>
          </cell>
          <cell r="K755" t="str">
            <v>69</v>
          </cell>
        </row>
        <row r="756">
          <cell r="A756" t="str">
            <v>11-09</v>
          </cell>
          <cell r="B756">
            <v>649</v>
          </cell>
          <cell r="C756" t="str">
            <v>C1.DK.11.09</v>
          </cell>
          <cell r="D756" t="str">
            <v>DK</v>
          </cell>
          <cell r="E756" t="str">
            <v>G-128</v>
          </cell>
          <cell r="F756" t="str">
            <v>DK007</v>
          </cell>
          <cell r="G756" t="str">
            <v>N2</v>
          </cell>
          <cell r="H756" t="str">
            <v>b1</v>
          </cell>
          <cell r="I756" t="str">
            <v>N2-b1</v>
          </cell>
          <cell r="J756">
            <v>11</v>
          </cell>
          <cell r="K756" t="str">
            <v>09</v>
          </cell>
        </row>
        <row r="757">
          <cell r="A757" t="str">
            <v>11-41</v>
          </cell>
          <cell r="B757">
            <v>681</v>
          </cell>
          <cell r="C757" t="str">
            <v>C1.DK.11.41</v>
          </cell>
          <cell r="D757" t="str">
            <v>DK</v>
          </cell>
          <cell r="E757" t="str">
            <v>G-128</v>
          </cell>
          <cell r="F757" t="str">
            <v>DK007</v>
          </cell>
          <cell r="G757" t="str">
            <v>N2</v>
          </cell>
          <cell r="H757" t="str">
            <v>b2</v>
          </cell>
          <cell r="I757" t="str">
            <v>N2-b2</v>
          </cell>
          <cell r="J757">
            <v>11</v>
          </cell>
          <cell r="K757" t="str">
            <v>41</v>
          </cell>
        </row>
        <row r="758">
          <cell r="A758" t="str">
            <v>13-28</v>
          </cell>
          <cell r="B758">
            <v>796</v>
          </cell>
          <cell r="C758" t="str">
            <v>C1.DK.13.28</v>
          </cell>
          <cell r="D758" t="str">
            <v>DK</v>
          </cell>
          <cell r="E758" t="str">
            <v>G-128</v>
          </cell>
          <cell r="F758" t="str">
            <v>DK007</v>
          </cell>
          <cell r="G758" t="str">
            <v>N1</v>
          </cell>
          <cell r="H758" t="str">
            <v>b1</v>
          </cell>
          <cell r="I758" t="str">
            <v>N1-b1</v>
          </cell>
          <cell r="J758">
            <v>13</v>
          </cell>
          <cell r="K758" t="str">
            <v>28</v>
          </cell>
        </row>
        <row r="759">
          <cell r="A759" t="str">
            <v>14-40</v>
          </cell>
          <cell r="B759">
            <v>872</v>
          </cell>
          <cell r="C759" t="str">
            <v>C1.DK.14.40</v>
          </cell>
          <cell r="D759" t="str">
            <v>DK</v>
          </cell>
          <cell r="E759" t="str">
            <v>G-128</v>
          </cell>
          <cell r="F759" t="str">
            <v>DK007</v>
          </cell>
          <cell r="G759" t="str">
            <v>N1</v>
          </cell>
          <cell r="H759" t="str">
            <v>b2</v>
          </cell>
          <cell r="I759" t="str">
            <v>N1-b2</v>
          </cell>
          <cell r="J759">
            <v>14</v>
          </cell>
          <cell r="K759" t="str">
            <v>40</v>
          </cell>
        </row>
        <row r="760">
          <cell r="A760" t="str">
            <v>25-66</v>
          </cell>
          <cell r="B760">
            <v>1158</v>
          </cell>
          <cell r="C760" t="str">
            <v>C1.DK.25.66</v>
          </cell>
          <cell r="D760" t="str">
            <v>DK</v>
          </cell>
          <cell r="E760" t="str">
            <v>G-128</v>
          </cell>
          <cell r="F760" t="str">
            <v>DK007</v>
          </cell>
          <cell r="G760" t="str">
            <v>N1</v>
          </cell>
          <cell r="H760" t="str">
            <v>b3</v>
          </cell>
          <cell r="I760" t="str">
            <v>N1-b3</v>
          </cell>
          <cell r="J760">
            <v>25</v>
          </cell>
          <cell r="K760" t="str">
            <v>66</v>
          </cell>
        </row>
        <row r="761">
          <cell r="A761" t="str">
            <v>32-70</v>
          </cell>
          <cell r="B761">
            <v>1344</v>
          </cell>
          <cell r="C761" t="str">
            <v>C1.DK.32.70</v>
          </cell>
          <cell r="D761" t="str">
            <v>DK</v>
          </cell>
          <cell r="E761" t="str">
            <v>G-128</v>
          </cell>
          <cell r="F761" t="str">
            <v>DK007</v>
          </cell>
          <cell r="G761" t="str">
            <v>N2</v>
          </cell>
          <cell r="H761" t="str">
            <v>b3</v>
          </cell>
          <cell r="I761" t="str">
            <v>N2-b3</v>
          </cell>
          <cell r="J761">
            <v>32</v>
          </cell>
          <cell r="K761" t="str">
            <v>70</v>
          </cell>
        </row>
        <row r="762">
          <cell r="A762" t="str">
            <v>10-35</v>
          </cell>
          <cell r="B762">
            <v>611</v>
          </cell>
          <cell r="C762" t="str">
            <v>C1.DK.10.35</v>
          </cell>
          <cell r="D762" t="str">
            <v>DK</v>
          </cell>
          <cell r="E762" t="str">
            <v>G-129</v>
          </cell>
          <cell r="F762" t="str">
            <v>DK008</v>
          </cell>
          <cell r="G762" t="str">
            <v>N2</v>
          </cell>
          <cell r="H762" t="str">
            <v>b2</v>
          </cell>
          <cell r="I762" t="str">
            <v>N2-b2</v>
          </cell>
          <cell r="J762">
            <v>10</v>
          </cell>
          <cell r="K762" t="str">
            <v>35</v>
          </cell>
        </row>
        <row r="763">
          <cell r="A763" t="str">
            <v>11-21</v>
          </cell>
          <cell r="B763">
            <v>661</v>
          </cell>
          <cell r="C763" t="str">
            <v>C1.DK.11.21</v>
          </cell>
          <cell r="D763" t="str">
            <v>DK</v>
          </cell>
          <cell r="E763" t="str">
            <v>G-129</v>
          </cell>
          <cell r="F763" t="str">
            <v>DK008</v>
          </cell>
          <cell r="G763" t="str">
            <v>N2</v>
          </cell>
          <cell r="H763" t="str">
            <v>b1</v>
          </cell>
          <cell r="I763" t="str">
            <v>N2-b1</v>
          </cell>
          <cell r="J763">
            <v>11</v>
          </cell>
          <cell r="K763" t="str">
            <v>21</v>
          </cell>
        </row>
        <row r="764">
          <cell r="A764" t="str">
            <v>13-50</v>
          </cell>
          <cell r="B764">
            <v>818</v>
          </cell>
          <cell r="C764" t="str">
            <v>C1.DK.13.50</v>
          </cell>
          <cell r="D764" t="str">
            <v>DK</v>
          </cell>
          <cell r="E764" t="str">
            <v>G-129</v>
          </cell>
          <cell r="F764" t="str">
            <v>DK008</v>
          </cell>
          <cell r="G764" t="str">
            <v>N1</v>
          </cell>
          <cell r="H764" t="str">
            <v>b2</v>
          </cell>
          <cell r="I764" t="str">
            <v>N1-b2</v>
          </cell>
          <cell r="J764">
            <v>13</v>
          </cell>
          <cell r="K764" t="str">
            <v>50</v>
          </cell>
        </row>
        <row r="765">
          <cell r="A765" t="str">
            <v>14-28</v>
          </cell>
          <cell r="B765">
            <v>860</v>
          </cell>
          <cell r="C765" t="str">
            <v>C1.DK.14.28</v>
          </cell>
          <cell r="D765" t="str">
            <v>DK</v>
          </cell>
          <cell r="E765" t="str">
            <v>G-129</v>
          </cell>
          <cell r="F765" t="str">
            <v>DK008</v>
          </cell>
          <cell r="G765" t="str">
            <v>N1</v>
          </cell>
          <cell r="H765" t="str">
            <v>b1</v>
          </cell>
          <cell r="I765" t="str">
            <v>N1-b1</v>
          </cell>
          <cell r="J765">
            <v>14</v>
          </cell>
          <cell r="K765" t="str">
            <v>28</v>
          </cell>
        </row>
        <row r="766">
          <cell r="A766" t="str">
            <v>27-88</v>
          </cell>
          <cell r="B766">
            <v>1232</v>
          </cell>
          <cell r="C766" t="str">
            <v>C1.DK.27.88</v>
          </cell>
          <cell r="D766" t="str">
            <v>DK</v>
          </cell>
          <cell r="E766" t="str">
            <v>G-129</v>
          </cell>
          <cell r="F766" t="str">
            <v>DK008</v>
          </cell>
          <cell r="G766" t="str">
            <v>N1</v>
          </cell>
          <cell r="H766" t="str">
            <v>b3</v>
          </cell>
          <cell r="I766" t="str">
            <v>N1-b3</v>
          </cell>
          <cell r="J766">
            <v>27</v>
          </cell>
          <cell r="K766" t="str">
            <v>88</v>
          </cell>
        </row>
        <row r="767">
          <cell r="A767" t="str">
            <v>30-72</v>
          </cell>
          <cell r="B767">
            <v>1294</v>
          </cell>
          <cell r="C767" t="str">
            <v>C1.DK.30.72</v>
          </cell>
          <cell r="D767" t="str">
            <v>DK</v>
          </cell>
          <cell r="E767" t="str">
            <v>G-129</v>
          </cell>
          <cell r="F767" t="str">
            <v>DK008</v>
          </cell>
          <cell r="G767" t="str">
            <v>N2</v>
          </cell>
          <cell r="H767" t="str">
            <v>b3</v>
          </cell>
          <cell r="I767" t="str">
            <v>N2-b3</v>
          </cell>
          <cell r="J767">
            <v>30</v>
          </cell>
          <cell r="K767" t="str">
            <v>72</v>
          </cell>
        </row>
        <row r="768">
          <cell r="A768" t="str">
            <v>10-20</v>
          </cell>
          <cell r="B768">
            <v>596</v>
          </cell>
          <cell r="C768" t="str">
            <v>C1.DK.10.20</v>
          </cell>
          <cell r="D768" t="str">
            <v>DK</v>
          </cell>
          <cell r="E768" t="str">
            <v>G-130</v>
          </cell>
          <cell r="F768" t="str">
            <v>DK011</v>
          </cell>
          <cell r="G768" t="str">
            <v>N2</v>
          </cell>
          <cell r="H768" t="str">
            <v>b1</v>
          </cell>
          <cell r="I768" t="str">
            <v>N2-b1</v>
          </cell>
          <cell r="J768">
            <v>10</v>
          </cell>
          <cell r="K768" t="str">
            <v>20</v>
          </cell>
        </row>
        <row r="769">
          <cell r="A769" t="str">
            <v>11-55</v>
          </cell>
          <cell r="B769">
            <v>695</v>
          </cell>
          <cell r="C769" t="str">
            <v>C1.DK.11.55</v>
          </cell>
          <cell r="D769" t="str">
            <v>DK</v>
          </cell>
          <cell r="E769" t="str">
            <v>G-130</v>
          </cell>
          <cell r="F769" t="str">
            <v>DK011</v>
          </cell>
          <cell r="G769" t="str">
            <v>N2</v>
          </cell>
          <cell r="H769" t="str">
            <v>b2</v>
          </cell>
          <cell r="I769" t="str">
            <v>N2-b2</v>
          </cell>
          <cell r="J769">
            <v>11</v>
          </cell>
          <cell r="K769" t="str">
            <v>55</v>
          </cell>
        </row>
        <row r="770">
          <cell r="A770" t="str">
            <v>12-29</v>
          </cell>
          <cell r="B770">
            <v>733</v>
          </cell>
          <cell r="C770" t="str">
            <v>C1.DK.12.29</v>
          </cell>
          <cell r="D770" t="str">
            <v>DK</v>
          </cell>
          <cell r="E770" t="str">
            <v>G-130</v>
          </cell>
          <cell r="F770" t="str">
            <v>DK011</v>
          </cell>
          <cell r="G770" t="str">
            <v>N1</v>
          </cell>
          <cell r="H770" t="str">
            <v>b1</v>
          </cell>
          <cell r="I770" t="str">
            <v>N1-b1</v>
          </cell>
          <cell r="J770">
            <v>12</v>
          </cell>
          <cell r="K770" t="str">
            <v>29</v>
          </cell>
        </row>
        <row r="771">
          <cell r="A771" t="str">
            <v>14-41</v>
          </cell>
          <cell r="B771">
            <v>873</v>
          </cell>
          <cell r="C771" t="str">
            <v>C1.DK.14.41</v>
          </cell>
          <cell r="D771" t="str">
            <v>DK</v>
          </cell>
          <cell r="E771" t="str">
            <v>G-130</v>
          </cell>
          <cell r="F771" t="str">
            <v>DK011</v>
          </cell>
          <cell r="G771" t="str">
            <v>N1</v>
          </cell>
          <cell r="H771" t="str">
            <v>b2</v>
          </cell>
          <cell r="I771" t="str">
            <v>N1-b2</v>
          </cell>
          <cell r="J771">
            <v>14</v>
          </cell>
          <cell r="K771" t="str">
            <v>41</v>
          </cell>
        </row>
        <row r="772">
          <cell r="A772" t="str">
            <v>27-81</v>
          </cell>
          <cell r="B772">
            <v>1225</v>
          </cell>
          <cell r="C772" t="str">
            <v>C1.DK.27.81</v>
          </cell>
          <cell r="D772" t="str">
            <v>DK</v>
          </cell>
          <cell r="E772" t="str">
            <v>G-130</v>
          </cell>
          <cell r="F772" t="str">
            <v>DK011</v>
          </cell>
          <cell r="G772" t="str">
            <v>N1</v>
          </cell>
          <cell r="H772" t="str">
            <v>b3</v>
          </cell>
          <cell r="I772" t="str">
            <v>N1-b3</v>
          </cell>
          <cell r="J772">
            <v>27</v>
          </cell>
          <cell r="K772" t="str">
            <v>81</v>
          </cell>
        </row>
        <row r="773">
          <cell r="A773" t="str">
            <v>31-90</v>
          </cell>
          <cell r="B773">
            <v>1338</v>
          </cell>
          <cell r="C773" t="str">
            <v>C1.DK.31.90</v>
          </cell>
          <cell r="D773" t="str">
            <v>DK</v>
          </cell>
          <cell r="E773" t="str">
            <v>G-130</v>
          </cell>
          <cell r="F773" t="str">
            <v>DK011</v>
          </cell>
          <cell r="G773" t="str">
            <v>N2</v>
          </cell>
          <cell r="H773" t="str">
            <v>b3</v>
          </cell>
          <cell r="I773" t="str">
            <v>N2-b3</v>
          </cell>
          <cell r="J773">
            <v>31</v>
          </cell>
          <cell r="K773" t="str">
            <v>90</v>
          </cell>
        </row>
        <row r="774">
          <cell r="A774" t="str">
            <v>10-21</v>
          </cell>
          <cell r="B774">
            <v>597</v>
          </cell>
          <cell r="C774" t="str">
            <v>C1.DK.10.21</v>
          </cell>
          <cell r="D774" t="str">
            <v>DK</v>
          </cell>
          <cell r="E774" t="str">
            <v>G-131</v>
          </cell>
          <cell r="F774" t="str">
            <v>DK012</v>
          </cell>
          <cell r="G774" t="str">
            <v>N2</v>
          </cell>
          <cell r="H774" t="str">
            <v>b1</v>
          </cell>
          <cell r="I774" t="str">
            <v>N2-b1</v>
          </cell>
          <cell r="J774">
            <v>10</v>
          </cell>
          <cell r="K774" t="str">
            <v>21</v>
          </cell>
        </row>
        <row r="775">
          <cell r="A775" t="str">
            <v>11-33</v>
          </cell>
          <cell r="B775">
            <v>673</v>
          </cell>
          <cell r="C775" t="str">
            <v>C1.DK.11.33</v>
          </cell>
          <cell r="D775" t="str">
            <v>DK</v>
          </cell>
          <cell r="E775" t="str">
            <v>G-131</v>
          </cell>
          <cell r="F775" t="str">
            <v>DK012</v>
          </cell>
          <cell r="G775" t="str">
            <v>N2</v>
          </cell>
          <cell r="H775" t="str">
            <v>b2</v>
          </cell>
          <cell r="I775" t="str">
            <v>N2-b2</v>
          </cell>
          <cell r="J775">
            <v>11</v>
          </cell>
          <cell r="K775" t="str">
            <v>33</v>
          </cell>
        </row>
        <row r="776">
          <cell r="A776" t="str">
            <v>13-18</v>
          </cell>
          <cell r="B776">
            <v>786</v>
          </cell>
          <cell r="C776" t="str">
            <v>C1.DK.13.18</v>
          </cell>
          <cell r="D776" t="str">
            <v>DK</v>
          </cell>
          <cell r="E776" t="str">
            <v>G-131</v>
          </cell>
          <cell r="F776" t="str">
            <v>DK012</v>
          </cell>
          <cell r="G776" t="str">
            <v>N1</v>
          </cell>
          <cell r="H776" t="str">
            <v>b1</v>
          </cell>
          <cell r="I776" t="str">
            <v>N1-b1</v>
          </cell>
          <cell r="J776">
            <v>13</v>
          </cell>
          <cell r="K776" t="str">
            <v>18</v>
          </cell>
        </row>
        <row r="777">
          <cell r="A777" t="str">
            <v>14-63</v>
          </cell>
          <cell r="B777">
            <v>895</v>
          </cell>
          <cell r="C777" t="str">
            <v>C1.DK.14.63</v>
          </cell>
          <cell r="D777" t="str">
            <v>DK</v>
          </cell>
          <cell r="E777" t="str">
            <v>G-131</v>
          </cell>
          <cell r="F777" t="str">
            <v>DK012</v>
          </cell>
          <cell r="G777" t="str">
            <v>N1</v>
          </cell>
          <cell r="H777" t="str">
            <v>b2</v>
          </cell>
          <cell r="I777" t="str">
            <v>N1-b2</v>
          </cell>
          <cell r="J777">
            <v>14</v>
          </cell>
          <cell r="K777" t="str">
            <v>63</v>
          </cell>
        </row>
        <row r="778">
          <cell r="A778" t="str">
            <v>25-84</v>
          </cell>
          <cell r="B778">
            <v>1176</v>
          </cell>
          <cell r="C778" t="str">
            <v>C1.DK.25.84</v>
          </cell>
          <cell r="D778" t="str">
            <v>DK</v>
          </cell>
          <cell r="E778" t="str">
            <v>G-131</v>
          </cell>
          <cell r="F778" t="str">
            <v>DK012</v>
          </cell>
          <cell r="G778" t="str">
            <v>N1</v>
          </cell>
          <cell r="H778" t="str">
            <v>b3</v>
          </cell>
          <cell r="I778" t="str">
            <v>N1-b3</v>
          </cell>
          <cell r="J778">
            <v>25</v>
          </cell>
          <cell r="K778" t="str">
            <v>84</v>
          </cell>
        </row>
        <row r="779">
          <cell r="A779" t="str">
            <v>30-80</v>
          </cell>
          <cell r="B779">
            <v>1302</v>
          </cell>
          <cell r="C779" t="str">
            <v>C1.DK.30.80</v>
          </cell>
          <cell r="D779" t="str">
            <v>DK</v>
          </cell>
          <cell r="E779" t="str">
            <v>G-131</v>
          </cell>
          <cell r="F779" t="str">
            <v>DK012</v>
          </cell>
          <cell r="G779" t="str">
            <v>N2</v>
          </cell>
          <cell r="H779" t="str">
            <v>b3</v>
          </cell>
          <cell r="I779" t="str">
            <v>N2-b3</v>
          </cell>
          <cell r="J779">
            <v>30</v>
          </cell>
          <cell r="K779" t="str">
            <v>80</v>
          </cell>
        </row>
        <row r="780">
          <cell r="A780" t="str">
            <v>09-17</v>
          </cell>
          <cell r="B780">
            <v>529</v>
          </cell>
          <cell r="C780" t="str">
            <v>C1.DK.09.17</v>
          </cell>
          <cell r="D780" t="str">
            <v>DK</v>
          </cell>
          <cell r="E780" t="str">
            <v>G-132</v>
          </cell>
          <cell r="F780" t="str">
            <v>DK013</v>
          </cell>
          <cell r="G780" t="str">
            <v>N2</v>
          </cell>
          <cell r="H780" t="str">
            <v>b1</v>
          </cell>
          <cell r="I780" t="str">
            <v>N2-b1</v>
          </cell>
          <cell r="J780" t="str">
            <v>09</v>
          </cell>
          <cell r="K780" t="str">
            <v>17</v>
          </cell>
        </row>
        <row r="781">
          <cell r="A781" t="str">
            <v>09-59</v>
          </cell>
          <cell r="B781">
            <v>571</v>
          </cell>
          <cell r="C781" t="str">
            <v>C1.DK.09.59</v>
          </cell>
          <cell r="D781" t="str">
            <v>DK</v>
          </cell>
          <cell r="E781" t="str">
            <v>G-132</v>
          </cell>
          <cell r="F781" t="str">
            <v>DK013</v>
          </cell>
          <cell r="G781" t="str">
            <v>N2</v>
          </cell>
          <cell r="H781" t="str">
            <v>b2</v>
          </cell>
          <cell r="I781" t="str">
            <v>N2-b2</v>
          </cell>
          <cell r="J781" t="str">
            <v>09</v>
          </cell>
          <cell r="K781" t="str">
            <v>59</v>
          </cell>
        </row>
        <row r="782">
          <cell r="A782" t="str">
            <v>13-47</v>
          </cell>
          <cell r="B782">
            <v>815</v>
          </cell>
          <cell r="C782" t="str">
            <v>C1.DK.13.47</v>
          </cell>
          <cell r="D782" t="str">
            <v>DK</v>
          </cell>
          <cell r="E782" t="str">
            <v>G-132</v>
          </cell>
          <cell r="F782" t="str">
            <v>DK013</v>
          </cell>
          <cell r="G782" t="str">
            <v>N1</v>
          </cell>
          <cell r="H782" t="str">
            <v>b2</v>
          </cell>
          <cell r="I782" t="str">
            <v>N1-b2</v>
          </cell>
          <cell r="J782">
            <v>13</v>
          </cell>
          <cell r="K782" t="str">
            <v>47</v>
          </cell>
        </row>
        <row r="783">
          <cell r="A783" t="str">
            <v>14-10</v>
          </cell>
          <cell r="B783">
            <v>842</v>
          </cell>
          <cell r="C783" t="str">
            <v>C1.DK.14.10</v>
          </cell>
          <cell r="D783" t="str">
            <v>DK</v>
          </cell>
          <cell r="E783" t="str">
            <v>G-132</v>
          </cell>
          <cell r="F783" t="str">
            <v>DK013</v>
          </cell>
          <cell r="G783" t="str">
            <v>N1</v>
          </cell>
          <cell r="H783" t="str">
            <v>b1</v>
          </cell>
          <cell r="I783" t="str">
            <v>N1-b1</v>
          </cell>
          <cell r="J783">
            <v>14</v>
          </cell>
          <cell r="K783" t="str">
            <v>10</v>
          </cell>
        </row>
        <row r="784">
          <cell r="A784" t="str">
            <v>26-81</v>
          </cell>
          <cell r="B784">
            <v>1199</v>
          </cell>
          <cell r="C784" t="str">
            <v>C1.DK.26.81</v>
          </cell>
          <cell r="D784" t="str">
            <v>DK</v>
          </cell>
          <cell r="E784" t="str">
            <v>G-132</v>
          </cell>
          <cell r="F784" t="str">
            <v>DK013</v>
          </cell>
          <cell r="G784" t="str">
            <v>N1</v>
          </cell>
          <cell r="H784" t="str">
            <v>b3</v>
          </cell>
          <cell r="I784" t="str">
            <v>N1-b3</v>
          </cell>
          <cell r="J784" t="str">
            <v>26</v>
          </cell>
          <cell r="K784" t="str">
            <v>81</v>
          </cell>
        </row>
        <row r="785">
          <cell r="A785" t="str">
            <v>29-90</v>
          </cell>
          <cell r="B785">
            <v>1286</v>
          </cell>
          <cell r="C785" t="str">
            <v>C1.DK.29.90</v>
          </cell>
          <cell r="D785" t="str">
            <v>DK</v>
          </cell>
          <cell r="E785" t="str">
            <v>G-132</v>
          </cell>
          <cell r="F785" t="str">
            <v>DK013</v>
          </cell>
          <cell r="G785" t="str">
            <v>N2</v>
          </cell>
          <cell r="H785" t="str">
            <v>b3</v>
          </cell>
          <cell r="I785" t="str">
            <v>N2-b3</v>
          </cell>
          <cell r="J785">
            <v>29</v>
          </cell>
          <cell r="K785" t="str">
            <v>90</v>
          </cell>
        </row>
        <row r="786">
          <cell r="A786" t="str">
            <v>09-32</v>
          </cell>
          <cell r="B786">
            <v>544</v>
          </cell>
          <cell r="C786" t="str">
            <v>C1.DK.09.32</v>
          </cell>
          <cell r="D786" t="str">
            <v>DK</v>
          </cell>
          <cell r="E786" t="str">
            <v>G-133</v>
          </cell>
          <cell r="F786" t="str">
            <v>DK016</v>
          </cell>
          <cell r="G786" t="str">
            <v>N2</v>
          </cell>
          <cell r="H786" t="str">
            <v>b1</v>
          </cell>
          <cell r="I786" t="str">
            <v>N2-b1</v>
          </cell>
          <cell r="J786" t="str">
            <v>09</v>
          </cell>
          <cell r="K786" t="str">
            <v>32</v>
          </cell>
        </row>
        <row r="787">
          <cell r="A787" t="str">
            <v>11-50</v>
          </cell>
          <cell r="B787">
            <v>690</v>
          </cell>
          <cell r="C787" t="str">
            <v>C1.DK.11.50</v>
          </cell>
          <cell r="D787" t="str">
            <v>DK</v>
          </cell>
          <cell r="E787" t="str">
            <v>G-133</v>
          </cell>
          <cell r="F787" t="str">
            <v>DK016</v>
          </cell>
          <cell r="G787" t="str">
            <v>N2</v>
          </cell>
          <cell r="H787" t="str">
            <v>b2</v>
          </cell>
          <cell r="I787" t="str">
            <v>N2-b2</v>
          </cell>
          <cell r="J787">
            <v>11</v>
          </cell>
          <cell r="K787" t="str">
            <v>50</v>
          </cell>
        </row>
        <row r="788">
          <cell r="A788" t="str">
            <v>13-12</v>
          </cell>
          <cell r="B788">
            <v>780</v>
          </cell>
          <cell r="C788" t="str">
            <v>C1.DK.13.12</v>
          </cell>
          <cell r="D788" t="str">
            <v>DK</v>
          </cell>
          <cell r="E788" t="str">
            <v>G-133</v>
          </cell>
          <cell r="F788" t="str">
            <v>DK016</v>
          </cell>
          <cell r="G788" t="str">
            <v>N1</v>
          </cell>
          <cell r="H788" t="str">
            <v>b1</v>
          </cell>
          <cell r="I788" t="str">
            <v>N1-b1</v>
          </cell>
          <cell r="J788">
            <v>13</v>
          </cell>
          <cell r="K788" t="str">
            <v>12</v>
          </cell>
        </row>
        <row r="789">
          <cell r="A789" t="str">
            <v>14-39</v>
          </cell>
          <cell r="B789">
            <v>871</v>
          </cell>
          <cell r="C789" t="str">
            <v>C1.DK.14.39</v>
          </cell>
          <cell r="D789" t="str">
            <v>DK</v>
          </cell>
          <cell r="E789" t="str">
            <v>G-133</v>
          </cell>
          <cell r="F789" t="str">
            <v>DK016</v>
          </cell>
          <cell r="G789" t="str">
            <v>N1</v>
          </cell>
          <cell r="H789" t="str">
            <v>b2</v>
          </cell>
          <cell r="I789" t="str">
            <v>N1-b2</v>
          </cell>
          <cell r="J789">
            <v>14</v>
          </cell>
          <cell r="K789" t="str">
            <v>39</v>
          </cell>
        </row>
        <row r="790">
          <cell r="A790" t="str">
            <v>27-71</v>
          </cell>
          <cell r="B790">
            <v>1215</v>
          </cell>
          <cell r="C790" t="str">
            <v>C1.DK.27.71</v>
          </cell>
          <cell r="D790" t="str">
            <v>DK</v>
          </cell>
          <cell r="E790" t="str">
            <v>G-133</v>
          </cell>
          <cell r="F790" t="str">
            <v>DK016</v>
          </cell>
          <cell r="G790" t="str">
            <v>N1</v>
          </cell>
          <cell r="H790" t="str">
            <v>b3</v>
          </cell>
          <cell r="I790" t="str">
            <v>N1-b3</v>
          </cell>
          <cell r="J790">
            <v>27</v>
          </cell>
          <cell r="K790" t="str">
            <v>71</v>
          </cell>
        </row>
        <row r="791">
          <cell r="A791" t="str">
            <v>29-87</v>
          </cell>
          <cell r="B791">
            <v>1283</v>
          </cell>
          <cell r="C791" t="str">
            <v>C1.DK.29.87</v>
          </cell>
          <cell r="D791" t="str">
            <v>DK</v>
          </cell>
          <cell r="E791" t="str">
            <v>G-133</v>
          </cell>
          <cell r="F791" t="str">
            <v>DK016</v>
          </cell>
          <cell r="G791" t="str">
            <v>N2</v>
          </cell>
          <cell r="H791" t="str">
            <v>b3</v>
          </cell>
          <cell r="I791" t="str">
            <v>N2-b3</v>
          </cell>
          <cell r="J791">
            <v>29</v>
          </cell>
          <cell r="K791" t="str">
            <v>87</v>
          </cell>
        </row>
        <row r="792">
          <cell r="A792" t="str">
            <v>09-04</v>
          </cell>
          <cell r="B792">
            <v>516</v>
          </cell>
          <cell r="C792" t="str">
            <v>C1.DK.09.04</v>
          </cell>
          <cell r="D792" t="str">
            <v>DK</v>
          </cell>
          <cell r="E792" t="str">
            <v>G-134</v>
          </cell>
          <cell r="F792" t="str">
            <v>DK017</v>
          </cell>
          <cell r="G792" t="str">
            <v>N2</v>
          </cell>
          <cell r="H792" t="str">
            <v>b1</v>
          </cell>
          <cell r="I792" t="str">
            <v>N2-b1</v>
          </cell>
          <cell r="J792" t="str">
            <v>09</v>
          </cell>
          <cell r="K792" t="str">
            <v>04</v>
          </cell>
        </row>
        <row r="793">
          <cell r="A793" t="str">
            <v>09-36</v>
          </cell>
          <cell r="B793">
            <v>548</v>
          </cell>
          <cell r="C793" t="str">
            <v>C1.DK.09.36</v>
          </cell>
          <cell r="D793" t="str">
            <v>DK</v>
          </cell>
          <cell r="E793" t="str">
            <v>G-134</v>
          </cell>
          <cell r="F793" t="str">
            <v>DK017</v>
          </cell>
          <cell r="G793" t="str">
            <v>N2</v>
          </cell>
          <cell r="H793" t="str">
            <v>b2</v>
          </cell>
          <cell r="I793" t="str">
            <v>N2-b2</v>
          </cell>
          <cell r="J793" t="str">
            <v>09</v>
          </cell>
          <cell r="K793" t="str">
            <v>36</v>
          </cell>
        </row>
        <row r="794">
          <cell r="A794" t="str">
            <v>14-09</v>
          </cell>
          <cell r="B794">
            <v>841</v>
          </cell>
          <cell r="C794" t="str">
            <v>C1.DK.14.09</v>
          </cell>
          <cell r="D794" t="str">
            <v>DK</v>
          </cell>
          <cell r="E794" t="str">
            <v>G-134</v>
          </cell>
          <cell r="F794" t="str">
            <v>DK017</v>
          </cell>
          <cell r="G794" t="str">
            <v>N1</v>
          </cell>
          <cell r="H794" t="str">
            <v>b1</v>
          </cell>
          <cell r="I794" t="str">
            <v>N1-b1</v>
          </cell>
          <cell r="J794">
            <v>14</v>
          </cell>
          <cell r="K794" t="str">
            <v>09</v>
          </cell>
        </row>
        <row r="795">
          <cell r="A795" t="str">
            <v>14-44</v>
          </cell>
          <cell r="B795">
            <v>876</v>
          </cell>
          <cell r="C795" t="str">
            <v>C1.DK.14.44</v>
          </cell>
          <cell r="D795" t="str">
            <v>DK</v>
          </cell>
          <cell r="E795" t="str">
            <v>G-134</v>
          </cell>
          <cell r="F795" t="str">
            <v>DK017</v>
          </cell>
          <cell r="G795" t="str">
            <v>N1</v>
          </cell>
          <cell r="H795" t="str">
            <v>b2</v>
          </cell>
          <cell r="I795" t="str">
            <v>N1-b2</v>
          </cell>
          <cell r="J795">
            <v>14</v>
          </cell>
          <cell r="K795" t="str">
            <v>44</v>
          </cell>
        </row>
        <row r="796">
          <cell r="A796" t="str">
            <v>27-80</v>
          </cell>
          <cell r="B796">
            <v>1224</v>
          </cell>
          <cell r="C796" t="str">
            <v>C1.DK.27.80</v>
          </cell>
          <cell r="D796" t="str">
            <v>DK</v>
          </cell>
          <cell r="E796" t="str">
            <v>G-134</v>
          </cell>
          <cell r="F796" t="str">
            <v>DK017</v>
          </cell>
          <cell r="G796" t="str">
            <v>N1</v>
          </cell>
          <cell r="H796" t="str">
            <v>b3</v>
          </cell>
          <cell r="I796" t="str">
            <v>N1-b3</v>
          </cell>
          <cell r="J796">
            <v>27</v>
          </cell>
          <cell r="K796" t="str">
            <v>80</v>
          </cell>
        </row>
        <row r="797">
          <cell r="A797" t="str">
            <v>32-81</v>
          </cell>
          <cell r="B797">
            <v>1355</v>
          </cell>
          <cell r="C797" t="str">
            <v>C1.DK.32.81</v>
          </cell>
          <cell r="D797" t="str">
            <v>DK</v>
          </cell>
          <cell r="E797" t="str">
            <v>G-134</v>
          </cell>
          <cell r="F797" t="str">
            <v>DK017</v>
          </cell>
          <cell r="G797" t="str">
            <v>N2</v>
          </cell>
          <cell r="H797" t="str">
            <v>b3</v>
          </cell>
          <cell r="I797" t="str">
            <v>N2-b3</v>
          </cell>
          <cell r="J797">
            <v>32</v>
          </cell>
          <cell r="K797" t="str">
            <v>81</v>
          </cell>
        </row>
        <row r="798">
          <cell r="A798" t="str">
            <v>11-20</v>
          </cell>
          <cell r="B798">
            <v>660</v>
          </cell>
          <cell r="C798" t="str">
            <v>C1.DK.11.20</v>
          </cell>
          <cell r="D798" t="str">
            <v>DK</v>
          </cell>
          <cell r="E798" t="str">
            <v>G-135</v>
          </cell>
          <cell r="F798" t="str">
            <v>DK018</v>
          </cell>
          <cell r="G798" t="str">
            <v>N2</v>
          </cell>
          <cell r="H798" t="str">
            <v>b1</v>
          </cell>
          <cell r="I798" t="str">
            <v>N2-b1</v>
          </cell>
          <cell r="J798">
            <v>11</v>
          </cell>
          <cell r="K798" t="str">
            <v>20</v>
          </cell>
        </row>
        <row r="799">
          <cell r="A799" t="str">
            <v>11-44</v>
          </cell>
          <cell r="B799">
            <v>684</v>
          </cell>
          <cell r="C799" t="str">
            <v>C1.DK.11.44</v>
          </cell>
          <cell r="D799" t="str">
            <v>DK</v>
          </cell>
          <cell r="E799" t="str">
            <v>G-135</v>
          </cell>
          <cell r="F799" t="str">
            <v>DK018</v>
          </cell>
          <cell r="G799" t="str">
            <v>N2</v>
          </cell>
          <cell r="H799" t="str">
            <v>b2</v>
          </cell>
          <cell r="I799" t="str">
            <v>N2-b2</v>
          </cell>
          <cell r="J799">
            <v>11</v>
          </cell>
          <cell r="K799" t="str">
            <v>44</v>
          </cell>
        </row>
        <row r="800">
          <cell r="A800" t="str">
            <v>14-04</v>
          </cell>
          <cell r="B800">
            <v>836</v>
          </cell>
          <cell r="C800" t="str">
            <v>C1.DK.14.04</v>
          </cell>
          <cell r="D800" t="str">
            <v>DK</v>
          </cell>
          <cell r="E800" t="str">
            <v>G-135</v>
          </cell>
          <cell r="F800" t="str">
            <v>DK018</v>
          </cell>
          <cell r="G800" t="str">
            <v>N1</v>
          </cell>
          <cell r="H800" t="str">
            <v>b1</v>
          </cell>
          <cell r="I800" t="str">
            <v>N1-b1</v>
          </cell>
          <cell r="J800">
            <v>14</v>
          </cell>
          <cell r="K800" t="str">
            <v>04</v>
          </cell>
        </row>
        <row r="801">
          <cell r="A801" t="str">
            <v>14-34</v>
          </cell>
          <cell r="B801">
            <v>866</v>
          </cell>
          <cell r="C801" t="str">
            <v>C1.DK.14.34</v>
          </cell>
          <cell r="D801" t="str">
            <v>DK</v>
          </cell>
          <cell r="E801" t="str">
            <v>G-135</v>
          </cell>
          <cell r="F801" t="str">
            <v>DK018</v>
          </cell>
          <cell r="G801" t="str">
            <v>N1</v>
          </cell>
          <cell r="H801" t="str">
            <v>b2</v>
          </cell>
          <cell r="I801" t="str">
            <v>N1-b2</v>
          </cell>
          <cell r="J801">
            <v>14</v>
          </cell>
          <cell r="K801" t="str">
            <v>34</v>
          </cell>
        </row>
        <row r="802">
          <cell r="A802" t="str">
            <v>27-87</v>
          </cell>
          <cell r="B802">
            <v>1231</v>
          </cell>
          <cell r="C802" t="str">
            <v>C1.DK.27.87</v>
          </cell>
          <cell r="D802" t="str">
            <v>DK</v>
          </cell>
          <cell r="E802" t="str">
            <v>G-135</v>
          </cell>
          <cell r="F802" t="str">
            <v>DK018</v>
          </cell>
          <cell r="G802" t="str">
            <v>N1</v>
          </cell>
          <cell r="H802" t="str">
            <v>b3</v>
          </cell>
          <cell r="I802" t="str">
            <v>N1-b3</v>
          </cell>
          <cell r="J802">
            <v>27</v>
          </cell>
          <cell r="K802" t="str">
            <v>87</v>
          </cell>
        </row>
        <row r="803">
          <cell r="A803" t="str">
            <v>29-69</v>
          </cell>
          <cell r="B803">
            <v>1265</v>
          </cell>
          <cell r="C803" t="str">
            <v>C1.DK.29.69</v>
          </cell>
          <cell r="D803" t="str">
            <v>DK</v>
          </cell>
          <cell r="E803" t="str">
            <v>G-135</v>
          </cell>
          <cell r="F803" t="str">
            <v>DK018</v>
          </cell>
          <cell r="G803" t="str">
            <v>N2</v>
          </cell>
          <cell r="H803" t="str">
            <v>b3</v>
          </cell>
          <cell r="I803" t="str">
            <v>N2-b3</v>
          </cell>
          <cell r="J803">
            <v>29</v>
          </cell>
          <cell r="K803" t="str">
            <v>69</v>
          </cell>
        </row>
        <row r="804">
          <cell r="A804" t="str">
            <v>09-38</v>
          </cell>
          <cell r="B804">
            <v>550</v>
          </cell>
          <cell r="C804" t="str">
            <v>C1.DK.09.38</v>
          </cell>
          <cell r="D804" t="str">
            <v>DK</v>
          </cell>
          <cell r="E804" t="str">
            <v>G-136</v>
          </cell>
          <cell r="F804" t="str">
            <v>DK020</v>
          </cell>
          <cell r="G804" t="str">
            <v>N2</v>
          </cell>
          <cell r="H804" t="str">
            <v>b2</v>
          </cell>
          <cell r="I804" t="str">
            <v>N2-b2</v>
          </cell>
          <cell r="J804" t="str">
            <v>09</v>
          </cell>
          <cell r="K804" t="str">
            <v>38</v>
          </cell>
        </row>
        <row r="805">
          <cell r="A805" t="str">
            <v>10-18</v>
          </cell>
          <cell r="B805">
            <v>594</v>
          </cell>
          <cell r="C805" t="str">
            <v>C1.DK.10.18</v>
          </cell>
          <cell r="D805" t="str">
            <v>DK</v>
          </cell>
          <cell r="E805" t="str">
            <v>G-136</v>
          </cell>
          <cell r="F805" t="str">
            <v>DK020</v>
          </cell>
          <cell r="G805" t="str">
            <v>N2</v>
          </cell>
          <cell r="H805" t="str">
            <v>b1</v>
          </cell>
          <cell r="I805" t="str">
            <v>N2-b1</v>
          </cell>
          <cell r="J805">
            <v>10</v>
          </cell>
          <cell r="K805" t="str">
            <v>18</v>
          </cell>
        </row>
        <row r="806">
          <cell r="A806" t="str">
            <v>12-39</v>
          </cell>
          <cell r="B806">
            <v>743</v>
          </cell>
          <cell r="C806" t="str">
            <v>C1.DK.12.39</v>
          </cell>
          <cell r="D806" t="str">
            <v>DK</v>
          </cell>
          <cell r="E806" t="str">
            <v>G-136</v>
          </cell>
          <cell r="F806" t="str">
            <v>DK020</v>
          </cell>
          <cell r="G806" t="str">
            <v>N1</v>
          </cell>
          <cell r="H806" t="str">
            <v>b2</v>
          </cell>
          <cell r="I806" t="str">
            <v>N1-b2</v>
          </cell>
          <cell r="J806">
            <v>12</v>
          </cell>
          <cell r="K806" t="str">
            <v>39</v>
          </cell>
        </row>
        <row r="807">
          <cell r="A807" t="str">
            <v>14-31</v>
          </cell>
          <cell r="B807">
            <v>863</v>
          </cell>
          <cell r="C807" t="str">
            <v>C1.DK.14.31</v>
          </cell>
          <cell r="D807" t="str">
            <v>DK</v>
          </cell>
          <cell r="E807" t="str">
            <v>G-136</v>
          </cell>
          <cell r="F807" t="str">
            <v>DK020</v>
          </cell>
          <cell r="G807" t="str">
            <v>N1</v>
          </cell>
          <cell r="H807" t="str">
            <v>b1</v>
          </cell>
          <cell r="I807" t="str">
            <v>N1-b1</v>
          </cell>
          <cell r="J807">
            <v>14</v>
          </cell>
          <cell r="K807" t="str">
            <v>31</v>
          </cell>
        </row>
        <row r="808">
          <cell r="A808" t="str">
            <v>28-87</v>
          </cell>
          <cell r="B808">
            <v>1257</v>
          </cell>
          <cell r="C808" t="str">
            <v>C1.DK.28.87</v>
          </cell>
          <cell r="D808" t="str">
            <v>DK</v>
          </cell>
          <cell r="E808" t="str">
            <v>G-136</v>
          </cell>
          <cell r="F808" t="str">
            <v>DK020</v>
          </cell>
          <cell r="G808" t="str">
            <v>N1</v>
          </cell>
          <cell r="H808" t="str">
            <v>b3</v>
          </cell>
          <cell r="I808" t="str">
            <v>N1-b3</v>
          </cell>
          <cell r="J808">
            <v>28</v>
          </cell>
          <cell r="K808" t="str">
            <v>87</v>
          </cell>
        </row>
        <row r="809">
          <cell r="A809" t="str">
            <v>30-88</v>
          </cell>
          <cell r="B809">
            <v>1310</v>
          </cell>
          <cell r="C809" t="str">
            <v>C1.DK.30.88</v>
          </cell>
          <cell r="D809" t="str">
            <v>DK</v>
          </cell>
          <cell r="E809" t="str">
            <v>G-136</v>
          </cell>
          <cell r="F809" t="str">
            <v>DK020</v>
          </cell>
          <cell r="G809" t="str">
            <v>N2</v>
          </cell>
          <cell r="H809" t="str">
            <v>b3</v>
          </cell>
          <cell r="I809" t="str">
            <v>N2-b3</v>
          </cell>
          <cell r="J809">
            <v>30</v>
          </cell>
          <cell r="K809" t="str">
            <v>88</v>
          </cell>
        </row>
        <row r="810">
          <cell r="A810" t="str">
            <v>10-37</v>
          </cell>
          <cell r="B810">
            <v>613</v>
          </cell>
          <cell r="C810" t="str">
            <v>C1.DK.10.37</v>
          </cell>
          <cell r="D810" t="str">
            <v>DK</v>
          </cell>
          <cell r="E810" t="str">
            <v>G-137</v>
          </cell>
          <cell r="F810" t="str">
            <v>DK021</v>
          </cell>
          <cell r="G810" t="str">
            <v>N2</v>
          </cell>
          <cell r="H810" t="str">
            <v>b2</v>
          </cell>
          <cell r="I810" t="str">
            <v>N2-b2</v>
          </cell>
          <cell r="J810">
            <v>10</v>
          </cell>
          <cell r="K810" t="str">
            <v>37</v>
          </cell>
        </row>
        <row r="811">
          <cell r="A811" t="str">
            <v>11-26</v>
          </cell>
          <cell r="B811">
            <v>666</v>
          </cell>
          <cell r="C811" t="str">
            <v>C1.DK.11.26</v>
          </cell>
          <cell r="D811" t="str">
            <v>DK</v>
          </cell>
          <cell r="E811" t="str">
            <v>G-137</v>
          </cell>
          <cell r="F811" t="str">
            <v>DK021</v>
          </cell>
          <cell r="G811" t="str">
            <v>N2</v>
          </cell>
          <cell r="H811" t="str">
            <v>b1</v>
          </cell>
          <cell r="I811" t="str">
            <v>N2-b1</v>
          </cell>
          <cell r="J811">
            <v>11</v>
          </cell>
          <cell r="K811" t="str">
            <v>26</v>
          </cell>
        </row>
        <row r="812">
          <cell r="A812" t="str">
            <v>12-07</v>
          </cell>
          <cell r="B812">
            <v>711</v>
          </cell>
          <cell r="C812" t="str">
            <v>C1.DK.12.07</v>
          </cell>
          <cell r="D812" t="str">
            <v>DK</v>
          </cell>
          <cell r="E812" t="str">
            <v>G-137</v>
          </cell>
          <cell r="F812" t="str">
            <v>DK021</v>
          </cell>
          <cell r="G812" t="str">
            <v>N1</v>
          </cell>
          <cell r="H812" t="str">
            <v>b1</v>
          </cell>
          <cell r="I812" t="str">
            <v>N1-b1</v>
          </cell>
          <cell r="J812">
            <v>12</v>
          </cell>
          <cell r="K812" t="str">
            <v>07</v>
          </cell>
        </row>
        <row r="813">
          <cell r="A813" t="str">
            <v>13-48</v>
          </cell>
          <cell r="B813">
            <v>816</v>
          </cell>
          <cell r="C813" t="str">
            <v>C1.DK.13.48</v>
          </cell>
          <cell r="D813" t="str">
            <v>DK</v>
          </cell>
          <cell r="E813" t="str">
            <v>G-137</v>
          </cell>
          <cell r="F813" t="str">
            <v>DK021</v>
          </cell>
          <cell r="G813" t="str">
            <v>N1</v>
          </cell>
          <cell r="H813" t="str">
            <v>b2</v>
          </cell>
          <cell r="I813" t="str">
            <v>N1-b2</v>
          </cell>
          <cell r="J813">
            <v>13</v>
          </cell>
          <cell r="K813" t="str">
            <v>48</v>
          </cell>
        </row>
        <row r="814">
          <cell r="A814" t="str">
            <v>25-85</v>
          </cell>
          <cell r="B814">
            <v>1177</v>
          </cell>
          <cell r="C814" t="str">
            <v>C1.DK.25.85</v>
          </cell>
          <cell r="D814" t="str">
            <v>DK</v>
          </cell>
          <cell r="E814" t="str">
            <v>G-137</v>
          </cell>
          <cell r="F814" t="str">
            <v>DK021</v>
          </cell>
          <cell r="G814" t="str">
            <v>N1</v>
          </cell>
          <cell r="H814" t="str">
            <v>b3</v>
          </cell>
          <cell r="I814" t="str">
            <v>N1-b3</v>
          </cell>
          <cell r="J814">
            <v>25</v>
          </cell>
          <cell r="K814" t="str">
            <v>85</v>
          </cell>
        </row>
        <row r="815">
          <cell r="A815" t="str">
            <v>31-80</v>
          </cell>
          <cell r="B815">
            <v>1328</v>
          </cell>
          <cell r="C815" t="str">
            <v>C1.DK.31.80</v>
          </cell>
          <cell r="D815" t="str">
            <v>DK</v>
          </cell>
          <cell r="E815" t="str">
            <v>G-137</v>
          </cell>
          <cell r="F815" t="str">
            <v>DK021</v>
          </cell>
          <cell r="G815" t="str">
            <v>N2</v>
          </cell>
          <cell r="H815" t="str">
            <v>b3</v>
          </cell>
          <cell r="I815" t="str">
            <v>N2-b3</v>
          </cell>
          <cell r="J815">
            <v>31</v>
          </cell>
          <cell r="K815" t="str">
            <v>80</v>
          </cell>
        </row>
        <row r="816">
          <cell r="A816" t="str">
            <v>10-13</v>
          </cell>
          <cell r="B816">
            <v>589</v>
          </cell>
          <cell r="C816" t="str">
            <v>C1.DK.10.13</v>
          </cell>
          <cell r="D816" t="str">
            <v>DK</v>
          </cell>
          <cell r="E816" t="str">
            <v>G-138</v>
          </cell>
          <cell r="F816" t="str">
            <v>DK023</v>
          </cell>
          <cell r="G816" t="str">
            <v>N2</v>
          </cell>
          <cell r="H816" t="str">
            <v>b1</v>
          </cell>
          <cell r="I816" t="str">
            <v>N2-b1</v>
          </cell>
          <cell r="J816">
            <v>10</v>
          </cell>
          <cell r="K816" t="str">
            <v>13</v>
          </cell>
        </row>
        <row r="817">
          <cell r="A817" t="str">
            <v>10-39</v>
          </cell>
          <cell r="B817">
            <v>615</v>
          </cell>
          <cell r="C817" t="str">
            <v>C1.DK.10.39</v>
          </cell>
          <cell r="D817" t="str">
            <v>DK</v>
          </cell>
          <cell r="E817" t="str">
            <v>G-138</v>
          </cell>
          <cell r="F817" t="str">
            <v>DK023</v>
          </cell>
          <cell r="G817" t="str">
            <v>N2</v>
          </cell>
          <cell r="H817" t="str">
            <v>b2</v>
          </cell>
          <cell r="I817" t="str">
            <v>N2-b2</v>
          </cell>
          <cell r="J817">
            <v>10</v>
          </cell>
          <cell r="K817" t="str">
            <v>39</v>
          </cell>
        </row>
        <row r="818">
          <cell r="A818" t="str">
            <v>13-06</v>
          </cell>
          <cell r="B818">
            <v>774</v>
          </cell>
          <cell r="C818" t="str">
            <v>C1.DK.13.06</v>
          </cell>
          <cell r="D818" t="str">
            <v>DK</v>
          </cell>
          <cell r="E818" t="str">
            <v>G-138</v>
          </cell>
          <cell r="F818" t="str">
            <v>DK023</v>
          </cell>
          <cell r="G818" t="str">
            <v>N1</v>
          </cell>
          <cell r="H818" t="str">
            <v>b1</v>
          </cell>
          <cell r="I818" t="str">
            <v>N1-b1</v>
          </cell>
          <cell r="J818">
            <v>13</v>
          </cell>
          <cell r="K818" t="str">
            <v>06</v>
          </cell>
        </row>
        <row r="819">
          <cell r="A819" t="str">
            <v>14-59</v>
          </cell>
          <cell r="B819">
            <v>891</v>
          </cell>
          <cell r="C819" t="str">
            <v>C1.DK.14.59</v>
          </cell>
          <cell r="D819" t="str">
            <v>DK</v>
          </cell>
          <cell r="E819" t="str">
            <v>G-138</v>
          </cell>
          <cell r="F819" t="str">
            <v>DK023</v>
          </cell>
          <cell r="G819" t="str">
            <v>N1</v>
          </cell>
          <cell r="H819" t="str">
            <v>b2</v>
          </cell>
          <cell r="I819" t="str">
            <v>N1-b2</v>
          </cell>
          <cell r="J819">
            <v>14</v>
          </cell>
          <cell r="K819" t="str">
            <v>59</v>
          </cell>
        </row>
        <row r="820">
          <cell r="A820" t="str">
            <v>28-82</v>
          </cell>
          <cell r="B820">
            <v>1252</v>
          </cell>
          <cell r="C820" t="str">
            <v>C1.DK.28.82</v>
          </cell>
          <cell r="D820" t="str">
            <v>DK</v>
          </cell>
          <cell r="E820" t="str">
            <v>G-138</v>
          </cell>
          <cell r="F820" t="str">
            <v>DK023</v>
          </cell>
          <cell r="G820" t="str">
            <v>N1</v>
          </cell>
          <cell r="H820" t="str">
            <v>b3</v>
          </cell>
          <cell r="I820" t="str">
            <v>N1-b3</v>
          </cell>
          <cell r="J820">
            <v>28</v>
          </cell>
          <cell r="K820" t="str">
            <v>82</v>
          </cell>
        </row>
        <row r="821">
          <cell r="A821" t="str">
            <v>31-69</v>
          </cell>
          <cell r="B821">
            <v>1317</v>
          </cell>
          <cell r="C821" t="str">
            <v>C1.DK.31.69</v>
          </cell>
          <cell r="D821" t="str">
            <v>DK</v>
          </cell>
          <cell r="E821" t="str">
            <v>G-138</v>
          </cell>
          <cell r="F821" t="str">
            <v>DK023</v>
          </cell>
          <cell r="G821" t="str">
            <v>N2</v>
          </cell>
          <cell r="H821" t="str">
            <v>b3</v>
          </cell>
          <cell r="I821" t="str">
            <v>N2-b3</v>
          </cell>
          <cell r="J821">
            <v>31</v>
          </cell>
          <cell r="K821" t="str">
            <v>69</v>
          </cell>
        </row>
        <row r="822">
          <cell r="A822" t="str">
            <v>09-40</v>
          </cell>
          <cell r="B822">
            <v>552</v>
          </cell>
          <cell r="C822" t="str">
            <v>C1.DK.09.40</v>
          </cell>
          <cell r="D822" t="str">
            <v>DK</v>
          </cell>
          <cell r="E822" t="str">
            <v>G-139</v>
          </cell>
          <cell r="F822" t="str">
            <v>DK024</v>
          </cell>
          <cell r="G822" t="str">
            <v>N2</v>
          </cell>
          <cell r="H822" t="str">
            <v>b2</v>
          </cell>
          <cell r="I822" t="str">
            <v>N2-b2</v>
          </cell>
          <cell r="J822" t="str">
            <v>09</v>
          </cell>
          <cell r="K822" t="str">
            <v>40</v>
          </cell>
        </row>
        <row r="823">
          <cell r="A823" t="str">
            <v>10-07</v>
          </cell>
          <cell r="B823">
            <v>583</v>
          </cell>
          <cell r="C823" t="str">
            <v>C1.DK.10.07</v>
          </cell>
          <cell r="D823" t="str">
            <v>DK</v>
          </cell>
          <cell r="E823" t="str">
            <v>G-139</v>
          </cell>
          <cell r="F823" t="str">
            <v>DK024</v>
          </cell>
          <cell r="G823" t="str">
            <v>N2</v>
          </cell>
          <cell r="H823" t="str">
            <v>b1</v>
          </cell>
          <cell r="I823" t="str">
            <v>N2-b1</v>
          </cell>
          <cell r="J823">
            <v>10</v>
          </cell>
          <cell r="K823" t="str">
            <v>07</v>
          </cell>
        </row>
        <row r="824">
          <cell r="A824" t="str">
            <v>13-15</v>
          </cell>
          <cell r="B824">
            <v>783</v>
          </cell>
          <cell r="C824" t="str">
            <v>C1.DK.13.15</v>
          </cell>
          <cell r="D824" t="str">
            <v>DK</v>
          </cell>
          <cell r="E824" t="str">
            <v>G-139</v>
          </cell>
          <cell r="F824" t="str">
            <v>DK024</v>
          </cell>
          <cell r="G824" t="str">
            <v>N1</v>
          </cell>
          <cell r="H824" t="str">
            <v>b1</v>
          </cell>
          <cell r="I824" t="str">
            <v>N1-b1</v>
          </cell>
          <cell r="J824">
            <v>13</v>
          </cell>
          <cell r="K824" t="str">
            <v>15</v>
          </cell>
        </row>
        <row r="825">
          <cell r="A825" t="str">
            <v>14-53</v>
          </cell>
          <cell r="B825">
            <v>885</v>
          </cell>
          <cell r="C825" t="str">
            <v>C1.DK.14.53</v>
          </cell>
          <cell r="D825" t="str">
            <v>DK</v>
          </cell>
          <cell r="E825" t="str">
            <v>G-139</v>
          </cell>
          <cell r="F825" t="str">
            <v>DK024</v>
          </cell>
          <cell r="G825" t="str">
            <v>N1</v>
          </cell>
          <cell r="H825" t="str">
            <v>b2</v>
          </cell>
          <cell r="I825" t="str">
            <v>N1-b2</v>
          </cell>
          <cell r="J825">
            <v>14</v>
          </cell>
          <cell r="K825" t="str">
            <v>53</v>
          </cell>
        </row>
        <row r="826">
          <cell r="A826" t="str">
            <v>25-88</v>
          </cell>
          <cell r="B826">
            <v>1180</v>
          </cell>
          <cell r="C826" t="str">
            <v>C1.DK.25.88</v>
          </cell>
          <cell r="D826" t="str">
            <v>DK</v>
          </cell>
          <cell r="E826" t="str">
            <v>G-139</v>
          </cell>
          <cell r="F826" t="str">
            <v>DK024</v>
          </cell>
          <cell r="G826" t="str">
            <v>N1</v>
          </cell>
          <cell r="H826" t="str">
            <v>b3</v>
          </cell>
          <cell r="I826" t="str">
            <v>N1-b3</v>
          </cell>
          <cell r="J826">
            <v>25</v>
          </cell>
          <cell r="K826" t="str">
            <v>88</v>
          </cell>
        </row>
        <row r="827">
          <cell r="A827" t="str">
            <v>29-77</v>
          </cell>
          <cell r="B827">
            <v>1273</v>
          </cell>
          <cell r="C827" t="str">
            <v>C1.DK.29.77</v>
          </cell>
          <cell r="D827" t="str">
            <v>DK</v>
          </cell>
          <cell r="E827" t="str">
            <v>G-139</v>
          </cell>
          <cell r="F827" t="str">
            <v>DK024</v>
          </cell>
          <cell r="G827" t="str">
            <v>N2</v>
          </cell>
          <cell r="H827" t="str">
            <v>b3</v>
          </cell>
          <cell r="I827" t="str">
            <v>N2-b3</v>
          </cell>
          <cell r="J827">
            <v>29</v>
          </cell>
          <cell r="K827" t="str">
            <v>77</v>
          </cell>
        </row>
        <row r="828">
          <cell r="A828" t="str">
            <v>09-20</v>
          </cell>
          <cell r="B828">
            <v>532</v>
          </cell>
          <cell r="C828" t="str">
            <v>C1.DK.09.20</v>
          </cell>
          <cell r="D828" t="str">
            <v>DK</v>
          </cell>
          <cell r="E828" t="str">
            <v>G-140</v>
          </cell>
          <cell r="F828" t="str">
            <v>DK029</v>
          </cell>
          <cell r="G828" t="str">
            <v>N2</v>
          </cell>
          <cell r="H828" t="str">
            <v>b1</v>
          </cell>
          <cell r="I828" t="str">
            <v>N2-b1</v>
          </cell>
          <cell r="J828" t="str">
            <v>09</v>
          </cell>
          <cell r="K828" t="str">
            <v>20</v>
          </cell>
        </row>
        <row r="829">
          <cell r="A829" t="str">
            <v>11-45</v>
          </cell>
          <cell r="B829">
            <v>685</v>
          </cell>
          <cell r="C829" t="str">
            <v>C1.DK.11.45</v>
          </cell>
          <cell r="D829" t="str">
            <v>DK</v>
          </cell>
          <cell r="E829" t="str">
            <v>G-140</v>
          </cell>
          <cell r="F829" t="str">
            <v>DK029</v>
          </cell>
          <cell r="G829" t="str">
            <v>N2</v>
          </cell>
          <cell r="H829" t="str">
            <v>b2</v>
          </cell>
          <cell r="I829" t="str">
            <v>N2-b2</v>
          </cell>
          <cell r="J829">
            <v>11</v>
          </cell>
          <cell r="K829" t="str">
            <v>45</v>
          </cell>
        </row>
        <row r="830">
          <cell r="A830" t="str">
            <v>13-41</v>
          </cell>
          <cell r="B830">
            <v>809</v>
          </cell>
          <cell r="C830" t="str">
            <v>C1.DK.13.41</v>
          </cell>
          <cell r="D830" t="str">
            <v>DK</v>
          </cell>
          <cell r="E830" t="str">
            <v>G-140</v>
          </cell>
          <cell r="F830" t="str">
            <v>DK029</v>
          </cell>
          <cell r="G830" t="str">
            <v>N1</v>
          </cell>
          <cell r="H830" t="str">
            <v>b2</v>
          </cell>
          <cell r="I830" t="str">
            <v>N1-b2</v>
          </cell>
          <cell r="J830">
            <v>13</v>
          </cell>
          <cell r="K830" t="str">
            <v>41</v>
          </cell>
        </row>
        <row r="831">
          <cell r="A831" t="str">
            <v>14-22</v>
          </cell>
          <cell r="B831">
            <v>854</v>
          </cell>
          <cell r="C831" t="str">
            <v>C1.DK.14.22</v>
          </cell>
          <cell r="D831" t="str">
            <v>DK</v>
          </cell>
          <cell r="E831" t="str">
            <v>G-140</v>
          </cell>
          <cell r="F831" t="str">
            <v>DK029</v>
          </cell>
          <cell r="G831" t="str">
            <v>N1</v>
          </cell>
          <cell r="H831" t="str">
            <v>b1</v>
          </cell>
          <cell r="I831" t="str">
            <v>N1-b1</v>
          </cell>
          <cell r="J831">
            <v>14</v>
          </cell>
          <cell r="K831" t="str">
            <v>22</v>
          </cell>
        </row>
        <row r="832">
          <cell r="A832" t="str">
            <v>28-74</v>
          </cell>
          <cell r="B832">
            <v>1244</v>
          </cell>
          <cell r="C832" t="str">
            <v>C1.DK.28.74</v>
          </cell>
          <cell r="D832" t="str">
            <v>DK</v>
          </cell>
          <cell r="E832" t="str">
            <v>G-140</v>
          </cell>
          <cell r="F832" t="str">
            <v>DK029</v>
          </cell>
          <cell r="G832" t="str">
            <v>N1</v>
          </cell>
          <cell r="H832" t="str">
            <v>b3</v>
          </cell>
          <cell r="I832" t="str">
            <v>N1-b3</v>
          </cell>
          <cell r="J832">
            <v>28</v>
          </cell>
          <cell r="K832" t="str">
            <v>74</v>
          </cell>
        </row>
        <row r="833">
          <cell r="A833" t="str">
            <v>29-80</v>
          </cell>
          <cell r="B833">
            <v>1276</v>
          </cell>
          <cell r="C833" t="str">
            <v>C1.DK.29.80</v>
          </cell>
          <cell r="D833" t="str">
            <v>DK</v>
          </cell>
          <cell r="E833" t="str">
            <v>G-140</v>
          </cell>
          <cell r="F833" t="str">
            <v>DK029</v>
          </cell>
          <cell r="G833" t="str">
            <v>N2</v>
          </cell>
          <cell r="H833" t="str">
            <v>b3</v>
          </cell>
          <cell r="I833" t="str">
            <v>N2-b3</v>
          </cell>
          <cell r="J833">
            <v>29</v>
          </cell>
          <cell r="K833" t="str">
            <v>80</v>
          </cell>
        </row>
        <row r="834">
          <cell r="A834" t="str">
            <v>09-05</v>
          </cell>
          <cell r="B834">
            <v>517</v>
          </cell>
          <cell r="C834" t="str">
            <v>C1.DK.09.05</v>
          </cell>
          <cell r="D834" t="str">
            <v>DK</v>
          </cell>
          <cell r="E834" t="str">
            <v>G-141</v>
          </cell>
          <cell r="F834" t="str">
            <v>DK030</v>
          </cell>
          <cell r="G834" t="str">
            <v>N2</v>
          </cell>
          <cell r="H834" t="str">
            <v>b1</v>
          </cell>
          <cell r="I834" t="str">
            <v>N2-b1</v>
          </cell>
          <cell r="J834" t="str">
            <v>09</v>
          </cell>
          <cell r="K834" t="str">
            <v>05</v>
          </cell>
        </row>
        <row r="835">
          <cell r="A835" t="str">
            <v>11-34</v>
          </cell>
          <cell r="B835">
            <v>674</v>
          </cell>
          <cell r="C835" t="str">
            <v>C1.DK.11.34</v>
          </cell>
          <cell r="D835" t="str">
            <v>DK</v>
          </cell>
          <cell r="E835" t="str">
            <v>G-141</v>
          </cell>
          <cell r="F835" t="str">
            <v>DK030</v>
          </cell>
          <cell r="G835" t="str">
            <v>N2</v>
          </cell>
          <cell r="H835" t="str">
            <v>b2</v>
          </cell>
          <cell r="I835" t="str">
            <v>N2-b2</v>
          </cell>
          <cell r="J835">
            <v>11</v>
          </cell>
          <cell r="K835" t="str">
            <v>34</v>
          </cell>
        </row>
        <row r="836">
          <cell r="A836" t="str">
            <v>12-10</v>
          </cell>
          <cell r="B836">
            <v>714</v>
          </cell>
          <cell r="C836" t="str">
            <v>C1.DK.12.10</v>
          </cell>
          <cell r="D836" t="str">
            <v>DK</v>
          </cell>
          <cell r="E836" t="str">
            <v>G-141</v>
          </cell>
          <cell r="F836" t="str">
            <v>DK030</v>
          </cell>
          <cell r="G836" t="str">
            <v>N1</v>
          </cell>
          <cell r="H836" t="str">
            <v>b1</v>
          </cell>
          <cell r="I836" t="str">
            <v>N1-b1</v>
          </cell>
          <cell r="J836">
            <v>12</v>
          </cell>
          <cell r="K836" t="str">
            <v>10</v>
          </cell>
        </row>
        <row r="837">
          <cell r="A837" t="str">
            <v>12-42</v>
          </cell>
          <cell r="B837">
            <v>746</v>
          </cell>
          <cell r="C837" t="str">
            <v>C1.DK.12.42</v>
          </cell>
          <cell r="D837" t="str">
            <v>DK</v>
          </cell>
          <cell r="E837" t="str">
            <v>G-141</v>
          </cell>
          <cell r="F837" t="str">
            <v>DK030</v>
          </cell>
          <cell r="G837" t="str">
            <v>N1</v>
          </cell>
          <cell r="H837" t="str">
            <v>b2</v>
          </cell>
          <cell r="I837" t="str">
            <v>N1-b2</v>
          </cell>
          <cell r="J837">
            <v>12</v>
          </cell>
          <cell r="K837" t="str">
            <v>42</v>
          </cell>
        </row>
        <row r="838">
          <cell r="A838" t="str">
            <v>27-89</v>
          </cell>
          <cell r="B838">
            <v>1233</v>
          </cell>
          <cell r="C838" t="str">
            <v>C1.DK.27.89</v>
          </cell>
          <cell r="D838" t="str">
            <v>DK</v>
          </cell>
          <cell r="E838" t="str">
            <v>G-141</v>
          </cell>
          <cell r="F838" t="str">
            <v>DK030</v>
          </cell>
          <cell r="G838" t="str">
            <v>N1</v>
          </cell>
          <cell r="H838" t="str">
            <v>b3</v>
          </cell>
          <cell r="I838" t="str">
            <v>N1-b3</v>
          </cell>
          <cell r="J838">
            <v>27</v>
          </cell>
          <cell r="K838" t="str">
            <v>89</v>
          </cell>
        </row>
        <row r="839">
          <cell r="A839" t="str">
            <v>29-71</v>
          </cell>
          <cell r="B839">
            <v>1267</v>
          </cell>
          <cell r="C839" t="str">
            <v>C1.DK.29.71</v>
          </cell>
          <cell r="D839" t="str">
            <v>DK</v>
          </cell>
          <cell r="E839" t="str">
            <v>G-141</v>
          </cell>
          <cell r="F839" t="str">
            <v>DK030</v>
          </cell>
          <cell r="G839" t="str">
            <v>N2</v>
          </cell>
          <cell r="H839" t="str">
            <v>b3</v>
          </cell>
          <cell r="I839" t="str">
            <v>N2-b3</v>
          </cell>
          <cell r="J839">
            <v>29</v>
          </cell>
          <cell r="K839" t="str">
            <v>71</v>
          </cell>
        </row>
        <row r="840">
          <cell r="A840" t="str">
            <v>09-21</v>
          </cell>
          <cell r="B840">
            <v>533</v>
          </cell>
          <cell r="C840" t="str">
            <v>C1.DK.09.21</v>
          </cell>
          <cell r="D840" t="str">
            <v>DK</v>
          </cell>
          <cell r="E840" t="str">
            <v>G-142</v>
          </cell>
          <cell r="F840" t="str">
            <v>DK031</v>
          </cell>
          <cell r="G840" t="str">
            <v>N2</v>
          </cell>
          <cell r="H840" t="str">
            <v>b1</v>
          </cell>
          <cell r="I840" t="str">
            <v>N2-b1</v>
          </cell>
          <cell r="J840" t="str">
            <v>09</v>
          </cell>
          <cell r="K840" t="str">
            <v>21</v>
          </cell>
        </row>
        <row r="841">
          <cell r="A841" t="str">
            <v>09-54</v>
          </cell>
          <cell r="B841">
            <v>566</v>
          </cell>
          <cell r="C841" t="str">
            <v>C1.DK.09.54</v>
          </cell>
          <cell r="D841" t="str">
            <v>DK</v>
          </cell>
          <cell r="E841" t="str">
            <v>G-142</v>
          </cell>
          <cell r="F841" t="str">
            <v>DK031</v>
          </cell>
          <cell r="G841" t="str">
            <v>N2</v>
          </cell>
          <cell r="H841" t="str">
            <v>b2</v>
          </cell>
          <cell r="I841" t="str">
            <v>N2-b2</v>
          </cell>
          <cell r="J841" t="str">
            <v>09</v>
          </cell>
          <cell r="K841" t="str">
            <v>54</v>
          </cell>
        </row>
        <row r="842">
          <cell r="A842" t="str">
            <v>12-23</v>
          </cell>
          <cell r="B842">
            <v>727</v>
          </cell>
          <cell r="C842" t="str">
            <v>C1.DK.12.23</v>
          </cell>
          <cell r="D842" t="str">
            <v>DK</v>
          </cell>
          <cell r="E842" t="str">
            <v>G-142</v>
          </cell>
          <cell r="F842" t="str">
            <v>DK031</v>
          </cell>
          <cell r="G842" t="str">
            <v>N1</v>
          </cell>
          <cell r="H842" t="str">
            <v>b1</v>
          </cell>
          <cell r="I842" t="str">
            <v>N1-b1</v>
          </cell>
          <cell r="J842">
            <v>12</v>
          </cell>
          <cell r="K842" t="str">
            <v>23</v>
          </cell>
        </row>
        <row r="843">
          <cell r="A843" t="str">
            <v>12-34</v>
          </cell>
          <cell r="B843">
            <v>738</v>
          </cell>
          <cell r="C843" t="str">
            <v>C1.DK.12.34</v>
          </cell>
          <cell r="D843" t="str">
            <v>DK</v>
          </cell>
          <cell r="E843" t="str">
            <v>G-142</v>
          </cell>
          <cell r="F843" t="str">
            <v>DK031</v>
          </cell>
          <cell r="G843" t="str">
            <v>N1</v>
          </cell>
          <cell r="H843" t="str">
            <v>b2</v>
          </cell>
          <cell r="I843" t="str">
            <v>N1-b2</v>
          </cell>
          <cell r="J843">
            <v>12</v>
          </cell>
          <cell r="K843" t="str">
            <v>34</v>
          </cell>
        </row>
        <row r="844">
          <cell r="A844" t="str">
            <v>28-76</v>
          </cell>
          <cell r="B844">
            <v>1246</v>
          </cell>
          <cell r="C844" t="str">
            <v>C1.DK.28.76</v>
          </cell>
          <cell r="D844" t="str">
            <v>DK</v>
          </cell>
          <cell r="E844" t="str">
            <v>G-142</v>
          </cell>
          <cell r="F844" t="str">
            <v>DK031</v>
          </cell>
          <cell r="G844" t="str">
            <v>N1</v>
          </cell>
          <cell r="H844" t="str">
            <v>b3</v>
          </cell>
          <cell r="I844" t="str">
            <v>N1-b3</v>
          </cell>
          <cell r="J844">
            <v>28</v>
          </cell>
          <cell r="K844" t="str">
            <v>76</v>
          </cell>
        </row>
        <row r="845">
          <cell r="A845" t="str">
            <v>30-77</v>
          </cell>
          <cell r="B845">
            <v>1299</v>
          </cell>
          <cell r="C845" t="str">
            <v>C1.DK.30.77</v>
          </cell>
          <cell r="D845" t="str">
            <v>DK</v>
          </cell>
          <cell r="E845" t="str">
            <v>G-142</v>
          </cell>
          <cell r="F845" t="str">
            <v>DK031</v>
          </cell>
          <cell r="G845" t="str">
            <v>N2</v>
          </cell>
          <cell r="H845" t="str">
            <v>b3</v>
          </cell>
          <cell r="I845" t="str">
            <v>N2-b3</v>
          </cell>
          <cell r="J845">
            <v>30</v>
          </cell>
          <cell r="K845" t="str">
            <v>77</v>
          </cell>
        </row>
        <row r="846">
          <cell r="A846" t="str">
            <v>10-19</v>
          </cell>
          <cell r="B846">
            <v>595</v>
          </cell>
          <cell r="C846" t="str">
            <v>C1.DK.10.19</v>
          </cell>
          <cell r="D846" t="str">
            <v>DK</v>
          </cell>
          <cell r="E846" t="str">
            <v>G-143</v>
          </cell>
          <cell r="F846" t="str">
            <v>DK035</v>
          </cell>
          <cell r="G846" t="str">
            <v>N2</v>
          </cell>
          <cell r="H846" t="str">
            <v>b1</v>
          </cell>
          <cell r="I846" t="str">
            <v>N2-b1</v>
          </cell>
          <cell r="J846">
            <v>10</v>
          </cell>
          <cell r="K846" t="str">
            <v>19</v>
          </cell>
        </row>
        <row r="847">
          <cell r="A847" t="str">
            <v>11-37</v>
          </cell>
          <cell r="B847">
            <v>677</v>
          </cell>
          <cell r="C847" t="str">
            <v>C1.DK.11.37</v>
          </cell>
          <cell r="D847" t="str">
            <v>DK</v>
          </cell>
          <cell r="E847" t="str">
            <v>G-143</v>
          </cell>
          <cell r="F847" t="str">
            <v>DK035</v>
          </cell>
          <cell r="G847" t="str">
            <v>N2</v>
          </cell>
          <cell r="H847" t="str">
            <v>b2</v>
          </cell>
          <cell r="I847" t="str">
            <v>N2-b2</v>
          </cell>
          <cell r="J847">
            <v>11</v>
          </cell>
          <cell r="K847" t="str">
            <v>37</v>
          </cell>
        </row>
        <row r="848">
          <cell r="A848" t="str">
            <v>14-27</v>
          </cell>
          <cell r="B848">
            <v>859</v>
          </cell>
          <cell r="C848" t="str">
            <v>C1.DK.14.27</v>
          </cell>
          <cell r="D848" t="str">
            <v>DK</v>
          </cell>
          <cell r="E848" t="str">
            <v>G-143</v>
          </cell>
          <cell r="F848" t="str">
            <v>DK035</v>
          </cell>
          <cell r="G848" t="str">
            <v>N1</v>
          </cell>
          <cell r="H848" t="str">
            <v>b1</v>
          </cell>
          <cell r="I848" t="str">
            <v>N1-b1</v>
          </cell>
          <cell r="J848">
            <v>14</v>
          </cell>
          <cell r="K848" t="str">
            <v>27</v>
          </cell>
        </row>
        <row r="849">
          <cell r="A849" t="str">
            <v>14-38</v>
          </cell>
          <cell r="B849">
            <v>870</v>
          </cell>
          <cell r="C849" t="str">
            <v>C1.DK.14.38</v>
          </cell>
          <cell r="D849" t="str">
            <v>DK</v>
          </cell>
          <cell r="E849" t="str">
            <v>G-143</v>
          </cell>
          <cell r="F849" t="str">
            <v>DK035</v>
          </cell>
          <cell r="G849" t="str">
            <v>N1</v>
          </cell>
          <cell r="H849" t="str">
            <v>b2</v>
          </cell>
          <cell r="I849" t="str">
            <v>N1-b2</v>
          </cell>
          <cell r="J849">
            <v>14</v>
          </cell>
          <cell r="K849" t="str">
            <v>38</v>
          </cell>
        </row>
        <row r="850">
          <cell r="A850" t="str">
            <v>27-84</v>
          </cell>
          <cell r="B850">
            <v>1228</v>
          </cell>
          <cell r="C850" t="str">
            <v>C1.DK.27.84</v>
          </cell>
          <cell r="D850" t="str">
            <v>DK</v>
          </cell>
          <cell r="E850" t="str">
            <v>G-143</v>
          </cell>
          <cell r="F850" t="str">
            <v>DK035</v>
          </cell>
          <cell r="G850" t="str">
            <v>N1</v>
          </cell>
          <cell r="H850" t="str">
            <v>b3</v>
          </cell>
          <cell r="I850" t="str">
            <v>N1-b3</v>
          </cell>
          <cell r="J850">
            <v>27</v>
          </cell>
          <cell r="K850" t="str">
            <v>84</v>
          </cell>
        </row>
        <row r="851">
          <cell r="A851" t="str">
            <v>32-68</v>
          </cell>
          <cell r="B851">
            <v>1342</v>
          </cell>
          <cell r="C851" t="str">
            <v>C1.DK.32.68</v>
          </cell>
          <cell r="D851" t="str">
            <v>DK</v>
          </cell>
          <cell r="E851" t="str">
            <v>G-143</v>
          </cell>
          <cell r="F851" t="str">
            <v>DK035</v>
          </cell>
          <cell r="G851" t="str">
            <v>N2</v>
          </cell>
          <cell r="H851" t="str">
            <v>b3</v>
          </cell>
          <cell r="I851" t="str">
            <v>N2-b3</v>
          </cell>
          <cell r="J851">
            <v>32</v>
          </cell>
          <cell r="K851" t="str">
            <v>68</v>
          </cell>
        </row>
        <row r="852">
          <cell r="A852" t="str">
            <v>10-46</v>
          </cell>
          <cell r="B852">
            <v>622</v>
          </cell>
          <cell r="C852" t="str">
            <v>C1.DK.10.46</v>
          </cell>
          <cell r="D852" t="str">
            <v>DK</v>
          </cell>
          <cell r="E852" t="str">
            <v>G-144</v>
          </cell>
          <cell r="F852" t="str">
            <v>DK036</v>
          </cell>
          <cell r="G852" t="str">
            <v>N2</v>
          </cell>
          <cell r="H852" t="str">
            <v>b2</v>
          </cell>
          <cell r="I852" t="str">
            <v>N2-b2</v>
          </cell>
          <cell r="J852">
            <v>10</v>
          </cell>
          <cell r="K852" t="str">
            <v>46</v>
          </cell>
        </row>
        <row r="853">
          <cell r="A853" t="str">
            <v>11-32</v>
          </cell>
          <cell r="B853">
            <v>672</v>
          </cell>
          <cell r="C853" t="str">
            <v>C1.DK.11.32</v>
          </cell>
          <cell r="D853" t="str">
            <v>DK</v>
          </cell>
          <cell r="E853" t="str">
            <v>G-144</v>
          </cell>
          <cell r="F853" t="str">
            <v>DK036</v>
          </cell>
          <cell r="G853" t="str">
            <v>N2</v>
          </cell>
          <cell r="H853" t="str">
            <v>b1</v>
          </cell>
          <cell r="I853" t="str">
            <v>N2-b1</v>
          </cell>
          <cell r="J853">
            <v>11</v>
          </cell>
          <cell r="K853" t="str">
            <v>32</v>
          </cell>
        </row>
        <row r="854">
          <cell r="A854" t="str">
            <v>12-26</v>
          </cell>
          <cell r="B854">
            <v>730</v>
          </cell>
          <cell r="C854" t="str">
            <v>C1.DK.12.26</v>
          </cell>
          <cell r="D854" t="str">
            <v>DK</v>
          </cell>
          <cell r="E854" t="str">
            <v>G-144</v>
          </cell>
          <cell r="F854" t="str">
            <v>DK036</v>
          </cell>
          <cell r="G854" t="str">
            <v>N1</v>
          </cell>
          <cell r="H854" t="str">
            <v>b1</v>
          </cell>
          <cell r="I854" t="str">
            <v>N1-b1</v>
          </cell>
          <cell r="J854">
            <v>12</v>
          </cell>
          <cell r="K854" t="str">
            <v>26</v>
          </cell>
        </row>
        <row r="855">
          <cell r="A855" t="str">
            <v>14-43</v>
          </cell>
          <cell r="B855">
            <v>875</v>
          </cell>
          <cell r="C855" t="str">
            <v>C1.DK.14.43</v>
          </cell>
          <cell r="D855" t="str">
            <v>DK</v>
          </cell>
          <cell r="E855" t="str">
            <v>G-144</v>
          </cell>
          <cell r="F855" t="str">
            <v>DK036</v>
          </cell>
          <cell r="G855" t="str">
            <v>N1</v>
          </cell>
          <cell r="H855" t="str">
            <v>b2</v>
          </cell>
          <cell r="I855" t="str">
            <v>N1-b2</v>
          </cell>
          <cell r="J855">
            <v>14</v>
          </cell>
          <cell r="K855" t="str">
            <v>43</v>
          </cell>
        </row>
        <row r="856">
          <cell r="A856" t="str">
            <v>28-68</v>
          </cell>
          <cell r="B856">
            <v>1238</v>
          </cell>
          <cell r="C856" t="str">
            <v>C1.DK.28.68</v>
          </cell>
          <cell r="D856" t="str">
            <v>DK</v>
          </cell>
          <cell r="E856" t="str">
            <v>G-144</v>
          </cell>
          <cell r="F856" t="str">
            <v>DK036</v>
          </cell>
          <cell r="G856" t="str">
            <v>N1</v>
          </cell>
          <cell r="H856" t="str">
            <v>b3</v>
          </cell>
          <cell r="I856" t="str">
            <v>N1-b3</v>
          </cell>
          <cell r="J856">
            <v>28</v>
          </cell>
          <cell r="K856" t="str">
            <v>68</v>
          </cell>
        </row>
        <row r="857">
          <cell r="A857" t="str">
            <v>32-86</v>
          </cell>
          <cell r="B857">
            <v>1360</v>
          </cell>
          <cell r="C857" t="str">
            <v>C1.DK.32.86</v>
          </cell>
          <cell r="D857" t="str">
            <v>DK</v>
          </cell>
          <cell r="E857" t="str">
            <v>G-144</v>
          </cell>
          <cell r="F857" t="str">
            <v>DK036</v>
          </cell>
          <cell r="G857" t="str">
            <v>N2</v>
          </cell>
          <cell r="H857" t="str">
            <v>b3</v>
          </cell>
          <cell r="I857" t="str">
            <v>N2-b3</v>
          </cell>
          <cell r="J857">
            <v>32</v>
          </cell>
          <cell r="K857" t="str">
            <v>86</v>
          </cell>
        </row>
        <row r="858">
          <cell r="A858" t="str">
            <v>09-28</v>
          </cell>
          <cell r="B858">
            <v>540</v>
          </cell>
          <cell r="C858" t="str">
            <v>C1.DK.09.28</v>
          </cell>
          <cell r="D858" t="str">
            <v>DK</v>
          </cell>
          <cell r="E858" t="str">
            <v>G-145</v>
          </cell>
          <cell r="F858" t="str">
            <v>DK037</v>
          </cell>
          <cell r="G858" t="str">
            <v>N2</v>
          </cell>
          <cell r="H858" t="str">
            <v>b1</v>
          </cell>
          <cell r="I858" t="str">
            <v>N2-b1</v>
          </cell>
          <cell r="J858" t="str">
            <v>09</v>
          </cell>
          <cell r="K858" t="str">
            <v>28</v>
          </cell>
        </row>
        <row r="859">
          <cell r="A859" t="str">
            <v>10-61</v>
          </cell>
          <cell r="B859">
            <v>637</v>
          </cell>
          <cell r="C859" t="str">
            <v>C1.DK.10.61</v>
          </cell>
          <cell r="D859" t="str">
            <v>DK</v>
          </cell>
          <cell r="E859" t="str">
            <v>G-145</v>
          </cell>
          <cell r="F859" t="str">
            <v>DK037</v>
          </cell>
          <cell r="G859" t="str">
            <v>N2</v>
          </cell>
          <cell r="H859" t="str">
            <v>b2</v>
          </cell>
          <cell r="I859" t="str">
            <v>N2-b2</v>
          </cell>
          <cell r="J859">
            <v>10</v>
          </cell>
          <cell r="K859" t="str">
            <v>61</v>
          </cell>
        </row>
        <row r="860">
          <cell r="A860" t="str">
            <v>12-24</v>
          </cell>
          <cell r="B860">
            <v>728</v>
          </cell>
          <cell r="C860" t="str">
            <v>C1.DK.12.24</v>
          </cell>
          <cell r="D860" t="str">
            <v>DK</v>
          </cell>
          <cell r="E860" t="str">
            <v>G-145</v>
          </cell>
          <cell r="F860" t="str">
            <v>DK037</v>
          </cell>
          <cell r="G860" t="str">
            <v>N1</v>
          </cell>
          <cell r="H860" t="str">
            <v>b1</v>
          </cell>
          <cell r="I860" t="str">
            <v>N1-b1</v>
          </cell>
          <cell r="J860">
            <v>12</v>
          </cell>
          <cell r="K860" t="str">
            <v>24</v>
          </cell>
        </row>
        <row r="861">
          <cell r="A861" t="str">
            <v>14-60</v>
          </cell>
          <cell r="B861">
            <v>892</v>
          </cell>
          <cell r="C861" t="str">
            <v>C1.DK.14.60</v>
          </cell>
          <cell r="D861" t="str">
            <v>DK</v>
          </cell>
          <cell r="E861" t="str">
            <v>G-145</v>
          </cell>
          <cell r="F861" t="str">
            <v>DK037</v>
          </cell>
          <cell r="G861" t="str">
            <v>N1</v>
          </cell>
          <cell r="H861" t="str">
            <v>b2</v>
          </cell>
          <cell r="I861" t="str">
            <v>N1-b2</v>
          </cell>
          <cell r="J861">
            <v>14</v>
          </cell>
          <cell r="K861" t="str">
            <v>60</v>
          </cell>
        </row>
        <row r="862">
          <cell r="A862" t="str">
            <v>25-72</v>
          </cell>
          <cell r="B862">
            <v>1164</v>
          </cell>
          <cell r="C862" t="str">
            <v>C1.DK.25.72</v>
          </cell>
          <cell r="D862" t="str">
            <v>DK</v>
          </cell>
          <cell r="E862" t="str">
            <v>G-145</v>
          </cell>
          <cell r="F862" t="str">
            <v>DK037</v>
          </cell>
          <cell r="G862" t="str">
            <v>N1</v>
          </cell>
          <cell r="H862" t="str">
            <v>b3</v>
          </cell>
          <cell r="I862" t="str">
            <v>N1-b3</v>
          </cell>
          <cell r="J862">
            <v>25</v>
          </cell>
          <cell r="K862" t="str">
            <v>72</v>
          </cell>
        </row>
        <row r="863">
          <cell r="A863" t="str">
            <v>29-79</v>
          </cell>
          <cell r="B863">
            <v>1275</v>
          </cell>
          <cell r="C863" t="str">
            <v>C1.DK.29.79</v>
          </cell>
          <cell r="D863" t="str">
            <v>DK</v>
          </cell>
          <cell r="E863" t="str">
            <v>G-145</v>
          </cell>
          <cell r="F863" t="str">
            <v>DK037</v>
          </cell>
          <cell r="G863" t="str">
            <v>N2</v>
          </cell>
          <cell r="H863" t="str">
            <v>b3</v>
          </cell>
          <cell r="I863" t="str">
            <v>N2-b3</v>
          </cell>
          <cell r="J863">
            <v>29</v>
          </cell>
          <cell r="K863" t="str">
            <v>79</v>
          </cell>
        </row>
        <row r="864">
          <cell r="A864" t="str">
            <v>09-57</v>
          </cell>
          <cell r="B864">
            <v>569</v>
          </cell>
          <cell r="C864" t="str">
            <v>C1.DK.09.57</v>
          </cell>
          <cell r="D864" t="str">
            <v>DK</v>
          </cell>
          <cell r="E864" t="str">
            <v>G-146</v>
          </cell>
          <cell r="F864" t="str">
            <v>DK038</v>
          </cell>
          <cell r="G864" t="str">
            <v>N2</v>
          </cell>
          <cell r="H864" t="str">
            <v>b2</v>
          </cell>
          <cell r="I864" t="str">
            <v>N2-b2</v>
          </cell>
          <cell r="J864" t="str">
            <v>09</v>
          </cell>
          <cell r="K864" t="str">
            <v>57</v>
          </cell>
        </row>
        <row r="865">
          <cell r="A865" t="str">
            <v>11-18</v>
          </cell>
          <cell r="B865">
            <v>658</v>
          </cell>
          <cell r="C865" t="str">
            <v>C1.DK.11.18</v>
          </cell>
          <cell r="D865" t="str">
            <v>DK</v>
          </cell>
          <cell r="E865" t="str">
            <v>G-146</v>
          </cell>
          <cell r="F865" t="str">
            <v>DK038</v>
          </cell>
          <cell r="G865" t="str">
            <v>N2</v>
          </cell>
          <cell r="H865" t="str">
            <v>b1</v>
          </cell>
          <cell r="I865" t="str">
            <v>N2-b1</v>
          </cell>
          <cell r="J865">
            <v>11</v>
          </cell>
          <cell r="K865" t="str">
            <v>18</v>
          </cell>
        </row>
        <row r="866">
          <cell r="A866" t="str">
            <v>12-30</v>
          </cell>
          <cell r="B866">
            <v>734</v>
          </cell>
          <cell r="C866" t="str">
            <v>C1.DK.12.30</v>
          </cell>
          <cell r="D866" t="str">
            <v>DK</v>
          </cell>
          <cell r="E866" t="str">
            <v>G-146</v>
          </cell>
          <cell r="F866" t="str">
            <v>DK038</v>
          </cell>
          <cell r="G866" t="str">
            <v>N1</v>
          </cell>
          <cell r="H866" t="str">
            <v>b1</v>
          </cell>
          <cell r="I866" t="str">
            <v>N1-b1</v>
          </cell>
          <cell r="J866">
            <v>12</v>
          </cell>
          <cell r="K866" t="str">
            <v>30</v>
          </cell>
        </row>
        <row r="867">
          <cell r="A867" t="str">
            <v>14-62</v>
          </cell>
          <cell r="B867">
            <v>894</v>
          </cell>
          <cell r="C867" t="str">
            <v>C1.DK.14.62</v>
          </cell>
          <cell r="D867" t="str">
            <v>DK</v>
          </cell>
          <cell r="E867" t="str">
            <v>G-146</v>
          </cell>
          <cell r="F867" t="str">
            <v>DK038</v>
          </cell>
          <cell r="G867" t="str">
            <v>N1</v>
          </cell>
          <cell r="H867" t="str">
            <v>b2</v>
          </cell>
          <cell r="I867" t="str">
            <v>N1-b2</v>
          </cell>
          <cell r="J867">
            <v>14</v>
          </cell>
          <cell r="K867" t="str">
            <v>62</v>
          </cell>
        </row>
        <row r="868">
          <cell r="A868" t="str">
            <v>26-84</v>
          </cell>
          <cell r="B868">
            <v>1202</v>
          </cell>
          <cell r="C868" t="str">
            <v>C1.DK.26.84</v>
          </cell>
          <cell r="D868" t="str">
            <v>DK</v>
          </cell>
          <cell r="E868" t="str">
            <v>G-146</v>
          </cell>
          <cell r="F868" t="str">
            <v>DK038</v>
          </cell>
          <cell r="G868" t="str">
            <v>N1</v>
          </cell>
          <cell r="H868" t="str">
            <v>b3</v>
          </cell>
          <cell r="I868" t="str">
            <v>N1-b3</v>
          </cell>
          <cell r="J868" t="str">
            <v>26</v>
          </cell>
          <cell r="K868" t="str">
            <v>84</v>
          </cell>
        </row>
        <row r="869">
          <cell r="A869" t="str">
            <v>32-85</v>
          </cell>
          <cell r="B869">
            <v>1359</v>
          </cell>
          <cell r="C869" t="str">
            <v>C1.DK.32.85</v>
          </cell>
          <cell r="D869" t="str">
            <v>DK</v>
          </cell>
          <cell r="E869" t="str">
            <v>G-146</v>
          </cell>
          <cell r="F869" t="str">
            <v>DK038</v>
          </cell>
          <cell r="G869" t="str">
            <v>N2</v>
          </cell>
          <cell r="H869" t="str">
            <v>b3</v>
          </cell>
          <cell r="I869" t="str">
            <v>N2-b3</v>
          </cell>
          <cell r="J869">
            <v>32</v>
          </cell>
          <cell r="K869" t="str">
            <v>85</v>
          </cell>
        </row>
        <row r="870">
          <cell r="A870" t="str">
            <v>09-02</v>
          </cell>
          <cell r="B870">
            <v>514</v>
          </cell>
          <cell r="C870" t="str">
            <v>C1.DK.09.02</v>
          </cell>
          <cell r="D870" t="str">
            <v>DK</v>
          </cell>
          <cell r="E870" t="str">
            <v>G-147</v>
          </cell>
          <cell r="F870" t="str">
            <v>DK039</v>
          </cell>
          <cell r="G870" t="str">
            <v>N2</v>
          </cell>
          <cell r="H870" t="str">
            <v>b1</v>
          </cell>
          <cell r="I870" t="str">
            <v>N2-b1</v>
          </cell>
          <cell r="J870" t="str">
            <v>09</v>
          </cell>
          <cell r="K870" t="str">
            <v>02</v>
          </cell>
        </row>
        <row r="871">
          <cell r="A871" t="str">
            <v>10-44</v>
          </cell>
          <cell r="B871">
            <v>620</v>
          </cell>
          <cell r="C871" t="str">
            <v>C1.DK.10.44</v>
          </cell>
          <cell r="D871" t="str">
            <v>DK</v>
          </cell>
          <cell r="E871" t="str">
            <v>G-147</v>
          </cell>
          <cell r="F871" t="str">
            <v>DK039</v>
          </cell>
          <cell r="G871" t="str">
            <v>N2</v>
          </cell>
          <cell r="H871" t="str">
            <v>b2</v>
          </cell>
          <cell r="I871" t="str">
            <v>N2-b2</v>
          </cell>
          <cell r="J871">
            <v>10</v>
          </cell>
          <cell r="K871" t="str">
            <v>44</v>
          </cell>
        </row>
        <row r="872">
          <cell r="A872" t="str">
            <v>13-16</v>
          </cell>
          <cell r="B872">
            <v>784</v>
          </cell>
          <cell r="C872" t="str">
            <v>C1.DK.13.16</v>
          </cell>
          <cell r="D872" t="str">
            <v>DK</v>
          </cell>
          <cell r="E872" t="str">
            <v>G-147</v>
          </cell>
          <cell r="F872" t="str">
            <v>DK039</v>
          </cell>
          <cell r="G872" t="str">
            <v>N1</v>
          </cell>
          <cell r="H872" t="str">
            <v>b1</v>
          </cell>
          <cell r="I872" t="str">
            <v>N1-b1</v>
          </cell>
          <cell r="J872">
            <v>13</v>
          </cell>
          <cell r="K872" t="str">
            <v>16</v>
          </cell>
        </row>
        <row r="873">
          <cell r="A873" t="str">
            <v>13-63</v>
          </cell>
          <cell r="B873">
            <v>831</v>
          </cell>
          <cell r="C873" t="str">
            <v>C1.DK.13.63</v>
          </cell>
          <cell r="D873" t="str">
            <v>DK</v>
          </cell>
          <cell r="E873" t="str">
            <v>G-147</v>
          </cell>
          <cell r="F873" t="str">
            <v>DK039</v>
          </cell>
          <cell r="G873" t="str">
            <v>N1</v>
          </cell>
          <cell r="H873" t="str">
            <v>b2</v>
          </cell>
          <cell r="I873" t="str">
            <v>N1-b2</v>
          </cell>
          <cell r="J873">
            <v>13</v>
          </cell>
          <cell r="K873" t="str">
            <v>63</v>
          </cell>
        </row>
        <row r="874">
          <cell r="A874" t="str">
            <v>27-70</v>
          </cell>
          <cell r="B874">
            <v>1214</v>
          </cell>
          <cell r="C874" t="str">
            <v>C1.DK.27.70</v>
          </cell>
          <cell r="D874" t="str">
            <v>DK</v>
          </cell>
          <cell r="E874" t="str">
            <v>G-147</v>
          </cell>
          <cell r="F874" t="str">
            <v>DK039</v>
          </cell>
          <cell r="G874" t="str">
            <v>N1</v>
          </cell>
          <cell r="H874" t="str">
            <v>b3</v>
          </cell>
          <cell r="I874" t="str">
            <v>N1-b3</v>
          </cell>
          <cell r="J874">
            <v>27</v>
          </cell>
          <cell r="K874" t="str">
            <v>70</v>
          </cell>
        </row>
        <row r="875">
          <cell r="A875" t="str">
            <v>29-86</v>
          </cell>
          <cell r="B875">
            <v>1282</v>
          </cell>
          <cell r="C875" t="str">
            <v>C1.DK.29.86</v>
          </cell>
          <cell r="D875" t="str">
            <v>DK</v>
          </cell>
          <cell r="E875" t="str">
            <v>G-147</v>
          </cell>
          <cell r="F875" t="str">
            <v>DK039</v>
          </cell>
          <cell r="G875" t="str">
            <v>N2</v>
          </cell>
          <cell r="H875" t="str">
            <v>b3</v>
          </cell>
          <cell r="I875" t="str">
            <v>N2-b3</v>
          </cell>
          <cell r="J875">
            <v>29</v>
          </cell>
          <cell r="K875" t="str">
            <v>86</v>
          </cell>
        </row>
        <row r="876">
          <cell r="A876" t="str">
            <v>10-24</v>
          </cell>
          <cell r="B876">
            <v>600</v>
          </cell>
          <cell r="C876" t="str">
            <v>C1.DK.10.24</v>
          </cell>
          <cell r="D876" t="str">
            <v>DK</v>
          </cell>
          <cell r="E876" t="str">
            <v>G-148</v>
          </cell>
          <cell r="F876" t="str">
            <v>DK041</v>
          </cell>
          <cell r="G876" t="str">
            <v>N2</v>
          </cell>
          <cell r="H876" t="str">
            <v>b1</v>
          </cell>
          <cell r="I876" t="str">
            <v>N2-b1</v>
          </cell>
          <cell r="J876">
            <v>10</v>
          </cell>
          <cell r="K876" t="str">
            <v>24</v>
          </cell>
        </row>
        <row r="877">
          <cell r="A877" t="str">
            <v>11-35</v>
          </cell>
          <cell r="B877">
            <v>675</v>
          </cell>
          <cell r="C877" t="str">
            <v>C1.DK.11.35</v>
          </cell>
          <cell r="D877" t="str">
            <v>DK</v>
          </cell>
          <cell r="E877" t="str">
            <v>G-148</v>
          </cell>
          <cell r="F877" t="str">
            <v>DK041</v>
          </cell>
          <cell r="G877" t="str">
            <v>N2</v>
          </cell>
          <cell r="H877" t="str">
            <v>b2</v>
          </cell>
          <cell r="I877" t="str">
            <v>N2-b2</v>
          </cell>
          <cell r="J877">
            <v>11</v>
          </cell>
          <cell r="K877" t="str">
            <v>35</v>
          </cell>
        </row>
        <row r="878">
          <cell r="A878" t="str">
            <v>12-48</v>
          </cell>
          <cell r="B878">
            <v>752</v>
          </cell>
          <cell r="C878" t="str">
            <v>C1.DK.12.48</v>
          </cell>
          <cell r="D878" t="str">
            <v>DK</v>
          </cell>
          <cell r="E878" t="str">
            <v>G-148</v>
          </cell>
          <cell r="F878" t="str">
            <v>DK041</v>
          </cell>
          <cell r="G878" t="str">
            <v>N1</v>
          </cell>
          <cell r="H878" t="str">
            <v>b2</v>
          </cell>
          <cell r="I878" t="str">
            <v>N1-b2</v>
          </cell>
          <cell r="J878">
            <v>12</v>
          </cell>
          <cell r="K878" t="str">
            <v>48</v>
          </cell>
        </row>
        <row r="879">
          <cell r="A879" t="str">
            <v>13-07</v>
          </cell>
          <cell r="B879">
            <v>775</v>
          </cell>
          <cell r="C879" t="str">
            <v>C1.DK.13.07</v>
          </cell>
          <cell r="D879" t="str">
            <v>DK</v>
          </cell>
          <cell r="E879" t="str">
            <v>G-148</v>
          </cell>
          <cell r="F879" t="str">
            <v>DK041</v>
          </cell>
          <cell r="G879" t="str">
            <v>N1</v>
          </cell>
          <cell r="H879" t="str">
            <v>b1</v>
          </cell>
          <cell r="I879" t="str">
            <v>N1-b1</v>
          </cell>
          <cell r="J879">
            <v>13</v>
          </cell>
          <cell r="K879" t="str">
            <v>07</v>
          </cell>
        </row>
        <row r="880">
          <cell r="A880" t="str">
            <v>28-67</v>
          </cell>
          <cell r="B880">
            <v>1237</v>
          </cell>
          <cell r="C880" t="str">
            <v>C1.DK.28.67</v>
          </cell>
          <cell r="D880" t="str">
            <v>DK</v>
          </cell>
          <cell r="E880" t="str">
            <v>G-148</v>
          </cell>
          <cell r="F880" t="str">
            <v>DK041</v>
          </cell>
          <cell r="G880" t="str">
            <v>N1</v>
          </cell>
          <cell r="H880" t="str">
            <v>b3</v>
          </cell>
          <cell r="I880" t="str">
            <v>N1-b3</v>
          </cell>
          <cell r="J880">
            <v>28</v>
          </cell>
          <cell r="K880" t="str">
            <v>67</v>
          </cell>
        </row>
        <row r="881">
          <cell r="A881" t="str">
            <v>31-66</v>
          </cell>
          <cell r="B881">
            <v>1314</v>
          </cell>
          <cell r="C881" t="str">
            <v>C1.DK.31.66</v>
          </cell>
          <cell r="D881" t="str">
            <v>DK</v>
          </cell>
          <cell r="E881" t="str">
            <v>G-148</v>
          </cell>
          <cell r="F881" t="str">
            <v>DK041</v>
          </cell>
          <cell r="G881" t="str">
            <v>N2</v>
          </cell>
          <cell r="H881" t="str">
            <v>b3</v>
          </cell>
          <cell r="I881" t="str">
            <v>N2-b3</v>
          </cell>
          <cell r="J881">
            <v>31</v>
          </cell>
          <cell r="K881" t="str">
            <v>66</v>
          </cell>
        </row>
        <row r="882">
          <cell r="A882" t="str">
            <v>10-01</v>
          </cell>
          <cell r="B882">
            <v>577</v>
          </cell>
          <cell r="C882" t="str">
            <v>C1.DK.10.01</v>
          </cell>
          <cell r="D882" t="str">
            <v>DK</v>
          </cell>
          <cell r="E882" t="str">
            <v>G-149</v>
          </cell>
          <cell r="F882" t="str">
            <v>DK042</v>
          </cell>
          <cell r="G882" t="str">
            <v>N2</v>
          </cell>
          <cell r="H882" t="str">
            <v>b1</v>
          </cell>
          <cell r="I882" t="str">
            <v>N2-b1</v>
          </cell>
          <cell r="J882">
            <v>10</v>
          </cell>
          <cell r="K882" t="str">
            <v>01</v>
          </cell>
        </row>
        <row r="883">
          <cell r="A883" t="str">
            <v>10-62</v>
          </cell>
          <cell r="B883">
            <v>638</v>
          </cell>
          <cell r="C883" t="str">
            <v>C1.DK.10.62</v>
          </cell>
          <cell r="D883" t="str">
            <v>DK</v>
          </cell>
          <cell r="E883" t="str">
            <v>G-149</v>
          </cell>
          <cell r="F883" t="str">
            <v>DK042</v>
          </cell>
          <cell r="G883" t="str">
            <v>N2</v>
          </cell>
          <cell r="H883" t="str">
            <v>b2</v>
          </cell>
          <cell r="I883" t="str">
            <v>N2-b2</v>
          </cell>
          <cell r="J883">
            <v>10</v>
          </cell>
          <cell r="K883" t="str">
            <v>62</v>
          </cell>
        </row>
        <row r="884">
          <cell r="A884" t="str">
            <v>13-32</v>
          </cell>
          <cell r="B884">
            <v>800</v>
          </cell>
          <cell r="C884" t="str">
            <v>C1.DK.13.32</v>
          </cell>
          <cell r="D884" t="str">
            <v>DK</v>
          </cell>
          <cell r="E884" t="str">
            <v>G-149</v>
          </cell>
          <cell r="F884" t="str">
            <v>DK042</v>
          </cell>
          <cell r="G884" t="str">
            <v>N1</v>
          </cell>
          <cell r="H884" t="str">
            <v>b1</v>
          </cell>
          <cell r="I884" t="str">
            <v>N1-b1</v>
          </cell>
          <cell r="J884">
            <v>13</v>
          </cell>
          <cell r="K884" t="str">
            <v>32</v>
          </cell>
        </row>
        <row r="885">
          <cell r="A885" t="str">
            <v>14-61</v>
          </cell>
          <cell r="B885">
            <v>893</v>
          </cell>
          <cell r="C885" t="str">
            <v>C1.DK.14.61</v>
          </cell>
          <cell r="D885" t="str">
            <v>DK</v>
          </cell>
          <cell r="E885" t="str">
            <v>G-149</v>
          </cell>
          <cell r="F885" t="str">
            <v>DK042</v>
          </cell>
          <cell r="G885" t="str">
            <v>N1</v>
          </cell>
          <cell r="H885" t="str">
            <v>b2</v>
          </cell>
          <cell r="I885" t="str">
            <v>N1-b2</v>
          </cell>
          <cell r="J885">
            <v>14</v>
          </cell>
          <cell r="K885" t="str">
            <v>61</v>
          </cell>
        </row>
        <row r="886">
          <cell r="A886" t="str">
            <v>26-83</v>
          </cell>
          <cell r="B886">
            <v>1201</v>
          </cell>
          <cell r="C886" t="str">
            <v>C1.DK.26.83</v>
          </cell>
          <cell r="D886" t="str">
            <v>DK</v>
          </cell>
          <cell r="E886" t="str">
            <v>G-149</v>
          </cell>
          <cell r="F886" t="str">
            <v>DK042</v>
          </cell>
          <cell r="G886" t="str">
            <v>N1</v>
          </cell>
          <cell r="H886" t="str">
            <v>b3</v>
          </cell>
          <cell r="I886" t="str">
            <v>N1-b3</v>
          </cell>
          <cell r="J886" t="str">
            <v>26</v>
          </cell>
          <cell r="K886" t="str">
            <v>83</v>
          </cell>
        </row>
        <row r="887">
          <cell r="A887" t="str">
            <v>32-80</v>
          </cell>
          <cell r="B887">
            <v>1354</v>
          </cell>
          <cell r="C887" t="str">
            <v>C1.DK.32.80</v>
          </cell>
          <cell r="D887" t="str">
            <v>DK</v>
          </cell>
          <cell r="E887" t="str">
            <v>G-149</v>
          </cell>
          <cell r="F887" t="str">
            <v>DK042</v>
          </cell>
          <cell r="G887" t="str">
            <v>N2</v>
          </cell>
          <cell r="H887" t="str">
            <v>b3</v>
          </cell>
          <cell r="I887" t="str">
            <v>N2-b3</v>
          </cell>
          <cell r="J887">
            <v>32</v>
          </cell>
          <cell r="K887" t="str">
            <v>80</v>
          </cell>
        </row>
        <row r="888">
          <cell r="A888" t="str">
            <v>09-06</v>
          </cell>
          <cell r="B888">
            <v>518</v>
          </cell>
          <cell r="C888" t="str">
            <v>C1.DK.09.06</v>
          </cell>
          <cell r="D888" t="str">
            <v>DK</v>
          </cell>
          <cell r="E888" t="str">
            <v>G-150</v>
          </cell>
          <cell r="F888" t="str">
            <v>DK044</v>
          </cell>
          <cell r="G888" t="str">
            <v>N2</v>
          </cell>
          <cell r="H888" t="str">
            <v>b1</v>
          </cell>
          <cell r="I888" t="str">
            <v>N2-b1</v>
          </cell>
          <cell r="J888" t="str">
            <v>09</v>
          </cell>
          <cell r="K888" t="str">
            <v>06</v>
          </cell>
        </row>
        <row r="889">
          <cell r="A889" t="str">
            <v>09-52</v>
          </cell>
          <cell r="B889">
            <v>564</v>
          </cell>
          <cell r="C889" t="str">
            <v>C1.DK.09.52</v>
          </cell>
          <cell r="D889" t="str">
            <v>DK</v>
          </cell>
          <cell r="E889" t="str">
            <v>G-150</v>
          </cell>
          <cell r="F889" t="str">
            <v>DK044</v>
          </cell>
          <cell r="G889" t="str">
            <v>N2</v>
          </cell>
          <cell r="H889" t="str">
            <v>b2</v>
          </cell>
          <cell r="I889" t="str">
            <v>N2-b2</v>
          </cell>
          <cell r="J889" t="str">
            <v>09</v>
          </cell>
          <cell r="K889" t="str">
            <v>52</v>
          </cell>
        </row>
        <row r="890">
          <cell r="A890" t="str">
            <v>12-51</v>
          </cell>
          <cell r="B890">
            <v>755</v>
          </cell>
          <cell r="C890" t="str">
            <v>C1.DK.12.51</v>
          </cell>
          <cell r="D890" t="str">
            <v>DK</v>
          </cell>
          <cell r="E890" t="str">
            <v>G-150</v>
          </cell>
          <cell r="F890" t="str">
            <v>DK044</v>
          </cell>
          <cell r="G890" t="str">
            <v>N1</v>
          </cell>
          <cell r="H890" t="str">
            <v>b2</v>
          </cell>
          <cell r="I890" t="str">
            <v>N1-b2</v>
          </cell>
          <cell r="J890">
            <v>12</v>
          </cell>
          <cell r="K890" t="str">
            <v>51</v>
          </cell>
        </row>
        <row r="891">
          <cell r="A891" t="str">
            <v>14-07</v>
          </cell>
          <cell r="B891">
            <v>839</v>
          </cell>
          <cell r="C891" t="str">
            <v>C1.DK.14.07</v>
          </cell>
          <cell r="D891" t="str">
            <v>DK</v>
          </cell>
          <cell r="E891" t="str">
            <v>G-150</v>
          </cell>
          <cell r="F891" t="str">
            <v>DK044</v>
          </cell>
          <cell r="G891" t="str">
            <v>N1</v>
          </cell>
          <cell r="H891" t="str">
            <v>b1</v>
          </cell>
          <cell r="I891" t="str">
            <v>N1-b1</v>
          </cell>
          <cell r="J891">
            <v>14</v>
          </cell>
          <cell r="K891" t="str">
            <v>07</v>
          </cell>
        </row>
        <row r="892">
          <cell r="A892" t="str">
            <v>28-84</v>
          </cell>
          <cell r="B892">
            <v>1254</v>
          </cell>
          <cell r="C892" t="str">
            <v>C1.DK.28.84</v>
          </cell>
          <cell r="D892" t="str">
            <v>DK</v>
          </cell>
          <cell r="E892" t="str">
            <v>G-150</v>
          </cell>
          <cell r="F892" t="str">
            <v>DK044</v>
          </cell>
          <cell r="G892" t="str">
            <v>N1</v>
          </cell>
          <cell r="H892" t="str">
            <v>b3</v>
          </cell>
          <cell r="I892" t="str">
            <v>N1-b3</v>
          </cell>
          <cell r="J892">
            <v>28</v>
          </cell>
          <cell r="K892" t="str">
            <v>84</v>
          </cell>
        </row>
        <row r="893">
          <cell r="A893" t="str">
            <v>29-84</v>
          </cell>
          <cell r="B893">
            <v>1280</v>
          </cell>
          <cell r="C893" t="str">
            <v>C1.DK.29.84</v>
          </cell>
          <cell r="D893" t="str">
            <v>DK</v>
          </cell>
          <cell r="E893" t="str">
            <v>G-150</v>
          </cell>
          <cell r="F893" t="str">
            <v>DK044</v>
          </cell>
          <cell r="G893" t="str">
            <v>N2</v>
          </cell>
          <cell r="H893" t="str">
            <v>b3</v>
          </cell>
          <cell r="I893" t="str">
            <v>N2-b3</v>
          </cell>
          <cell r="J893">
            <v>29</v>
          </cell>
          <cell r="K893" t="str">
            <v>84</v>
          </cell>
        </row>
        <row r="894">
          <cell r="A894" t="str">
            <v>09-35</v>
          </cell>
          <cell r="B894">
            <v>547</v>
          </cell>
          <cell r="C894" t="str">
            <v>C1.DK.09.35</v>
          </cell>
          <cell r="D894" t="str">
            <v>DK</v>
          </cell>
          <cell r="E894" t="str">
            <v>G-151</v>
          </cell>
          <cell r="F894" t="str">
            <v>DK045</v>
          </cell>
          <cell r="G894" t="str">
            <v>N2</v>
          </cell>
          <cell r="H894" t="str">
            <v>b2</v>
          </cell>
          <cell r="I894" t="str">
            <v>N2-b2</v>
          </cell>
          <cell r="J894" t="str">
            <v>09</v>
          </cell>
          <cell r="K894" t="str">
            <v>35</v>
          </cell>
        </row>
        <row r="895">
          <cell r="A895" t="str">
            <v>10-31</v>
          </cell>
          <cell r="B895">
            <v>607</v>
          </cell>
          <cell r="C895" t="str">
            <v>C1.DK.10.31</v>
          </cell>
          <cell r="D895" t="str">
            <v>DK</v>
          </cell>
          <cell r="E895" t="str">
            <v>G-151</v>
          </cell>
          <cell r="F895" t="str">
            <v>DK045</v>
          </cell>
          <cell r="G895" t="str">
            <v>N2</v>
          </cell>
          <cell r="H895" t="str">
            <v>b1</v>
          </cell>
          <cell r="I895" t="str">
            <v>N2-b1</v>
          </cell>
          <cell r="J895">
            <v>10</v>
          </cell>
          <cell r="K895" t="str">
            <v>31</v>
          </cell>
        </row>
        <row r="896">
          <cell r="A896" t="str">
            <v>14-25</v>
          </cell>
          <cell r="B896">
            <v>857</v>
          </cell>
          <cell r="C896" t="str">
            <v>C1.DK.14.25</v>
          </cell>
          <cell r="D896" t="str">
            <v>DK</v>
          </cell>
          <cell r="E896" t="str">
            <v>G-151</v>
          </cell>
          <cell r="F896" t="str">
            <v>DK045</v>
          </cell>
          <cell r="G896" t="str">
            <v>N1</v>
          </cell>
          <cell r="H896" t="str">
            <v>b1</v>
          </cell>
          <cell r="I896" t="str">
            <v>N1-b1</v>
          </cell>
          <cell r="J896">
            <v>14</v>
          </cell>
          <cell r="K896" t="str">
            <v>25</v>
          </cell>
        </row>
        <row r="897">
          <cell r="A897" t="str">
            <v>14-54</v>
          </cell>
          <cell r="B897">
            <v>886</v>
          </cell>
          <cell r="C897" t="str">
            <v>C1.DK.14.54</v>
          </cell>
          <cell r="D897" t="str">
            <v>DK</v>
          </cell>
          <cell r="E897" t="str">
            <v>G-151</v>
          </cell>
          <cell r="F897" t="str">
            <v>DK045</v>
          </cell>
          <cell r="G897" t="str">
            <v>N1</v>
          </cell>
          <cell r="H897" t="str">
            <v>b2</v>
          </cell>
          <cell r="I897" t="str">
            <v>N1-b2</v>
          </cell>
          <cell r="J897">
            <v>14</v>
          </cell>
          <cell r="K897" t="str">
            <v>54</v>
          </cell>
        </row>
        <row r="898">
          <cell r="A898" t="str">
            <v>26-77</v>
          </cell>
          <cell r="B898">
            <v>1195</v>
          </cell>
          <cell r="C898" t="str">
            <v>C1.DK.26.77</v>
          </cell>
          <cell r="D898" t="str">
            <v>DK</v>
          </cell>
          <cell r="E898" t="str">
            <v>G-151</v>
          </cell>
          <cell r="F898" t="str">
            <v>DK045</v>
          </cell>
          <cell r="G898" t="str">
            <v>N1</v>
          </cell>
          <cell r="H898" t="str">
            <v>b3</v>
          </cell>
          <cell r="I898" t="str">
            <v>N1-b3</v>
          </cell>
          <cell r="J898" t="str">
            <v>26</v>
          </cell>
          <cell r="K898" t="str">
            <v>77</v>
          </cell>
        </row>
        <row r="899">
          <cell r="A899" t="str">
            <v>32-74</v>
          </cell>
          <cell r="B899">
            <v>1348</v>
          </cell>
          <cell r="C899" t="str">
            <v>C1.DK.32.74</v>
          </cell>
          <cell r="D899" t="str">
            <v>DK</v>
          </cell>
          <cell r="E899" t="str">
            <v>G-151</v>
          </cell>
          <cell r="F899" t="str">
            <v>DK045</v>
          </cell>
          <cell r="G899" t="str">
            <v>N2</v>
          </cell>
          <cell r="H899" t="str">
            <v>b3</v>
          </cell>
          <cell r="I899" t="str">
            <v>N2-b3</v>
          </cell>
          <cell r="J899">
            <v>32</v>
          </cell>
          <cell r="K899" t="str">
            <v>74</v>
          </cell>
        </row>
        <row r="900">
          <cell r="A900" t="str">
            <v>11-03</v>
          </cell>
          <cell r="B900">
            <v>643</v>
          </cell>
          <cell r="C900" t="str">
            <v>C1.DK.11.03</v>
          </cell>
          <cell r="D900" t="str">
            <v>DK</v>
          </cell>
          <cell r="E900" t="str">
            <v>G-152</v>
          </cell>
          <cell r="F900" t="str">
            <v>DK046</v>
          </cell>
          <cell r="G900" t="str">
            <v>N2</v>
          </cell>
          <cell r="H900" t="str">
            <v>b1</v>
          </cell>
          <cell r="I900" t="str">
            <v>N2-b1</v>
          </cell>
          <cell r="J900">
            <v>11</v>
          </cell>
          <cell r="K900" t="str">
            <v>03</v>
          </cell>
        </row>
        <row r="901">
          <cell r="A901" t="str">
            <v>11-52</v>
          </cell>
          <cell r="B901">
            <v>692</v>
          </cell>
          <cell r="C901" t="str">
            <v>C1.DK.11.52</v>
          </cell>
          <cell r="D901" t="str">
            <v>DK</v>
          </cell>
          <cell r="E901" t="str">
            <v>G-152</v>
          </cell>
          <cell r="F901" t="str">
            <v>DK046</v>
          </cell>
          <cell r="G901" t="str">
            <v>N2</v>
          </cell>
          <cell r="H901" t="str">
            <v>b2</v>
          </cell>
          <cell r="I901" t="str">
            <v>N2-b2</v>
          </cell>
          <cell r="J901">
            <v>11</v>
          </cell>
          <cell r="K901" t="str">
            <v>52</v>
          </cell>
        </row>
        <row r="902">
          <cell r="A902" t="str">
            <v>14-23</v>
          </cell>
          <cell r="B902">
            <v>855</v>
          </cell>
          <cell r="C902" t="str">
            <v>C1.DK.14.23</v>
          </cell>
          <cell r="D902" t="str">
            <v>DK</v>
          </cell>
          <cell r="E902" t="str">
            <v>G-152</v>
          </cell>
          <cell r="F902" t="str">
            <v>DK046</v>
          </cell>
          <cell r="G902" t="str">
            <v>N1</v>
          </cell>
          <cell r="H902" t="str">
            <v>b1</v>
          </cell>
          <cell r="I902" t="str">
            <v>N1-b1</v>
          </cell>
          <cell r="J902">
            <v>14</v>
          </cell>
          <cell r="K902" t="str">
            <v>23</v>
          </cell>
        </row>
        <row r="903">
          <cell r="A903" t="str">
            <v>14-33</v>
          </cell>
          <cell r="B903">
            <v>865</v>
          </cell>
          <cell r="C903" t="str">
            <v>C1.DK.14.33</v>
          </cell>
          <cell r="D903" t="str">
            <v>DK</v>
          </cell>
          <cell r="E903" t="str">
            <v>G-152</v>
          </cell>
          <cell r="F903" t="str">
            <v>DK046</v>
          </cell>
          <cell r="G903" t="str">
            <v>N1</v>
          </cell>
          <cell r="H903" t="str">
            <v>b2</v>
          </cell>
          <cell r="I903" t="str">
            <v>N1-b2</v>
          </cell>
          <cell r="J903">
            <v>14</v>
          </cell>
          <cell r="K903" t="str">
            <v>33</v>
          </cell>
        </row>
        <row r="904">
          <cell r="A904" t="str">
            <v>26-87</v>
          </cell>
          <cell r="B904">
            <v>1205</v>
          </cell>
          <cell r="C904" t="str">
            <v>C1.DK.26.87</v>
          </cell>
          <cell r="D904" t="str">
            <v>DK</v>
          </cell>
          <cell r="E904" t="str">
            <v>G-152</v>
          </cell>
          <cell r="F904" t="str">
            <v>DK046</v>
          </cell>
          <cell r="G904" t="str">
            <v>N1</v>
          </cell>
          <cell r="H904" t="str">
            <v>b3</v>
          </cell>
          <cell r="I904" t="str">
            <v>N1-b3</v>
          </cell>
          <cell r="J904" t="str">
            <v>26</v>
          </cell>
          <cell r="K904" t="str">
            <v>87</v>
          </cell>
        </row>
        <row r="905">
          <cell r="A905" t="str">
            <v>31-75</v>
          </cell>
          <cell r="B905">
            <v>1323</v>
          </cell>
          <cell r="C905" t="str">
            <v>C1.DK.31.75</v>
          </cell>
          <cell r="D905" t="str">
            <v>DK</v>
          </cell>
          <cell r="E905" t="str">
            <v>G-152</v>
          </cell>
          <cell r="F905" t="str">
            <v>DK046</v>
          </cell>
          <cell r="G905" t="str">
            <v>N2</v>
          </cell>
          <cell r="H905" t="str">
            <v>b3</v>
          </cell>
          <cell r="I905" t="str">
            <v>N2-b3</v>
          </cell>
          <cell r="J905">
            <v>31</v>
          </cell>
          <cell r="K905" t="str">
            <v>75</v>
          </cell>
        </row>
        <row r="906">
          <cell r="A906" t="str">
            <v>09-07</v>
          </cell>
          <cell r="B906">
            <v>519</v>
          </cell>
          <cell r="C906" t="str">
            <v>C1.DK.09.07</v>
          </cell>
          <cell r="D906" t="str">
            <v>DK</v>
          </cell>
          <cell r="E906" t="str">
            <v>G-153</v>
          </cell>
          <cell r="F906" t="str">
            <v>DK049</v>
          </cell>
          <cell r="G906" t="str">
            <v>N2</v>
          </cell>
          <cell r="H906" t="str">
            <v>b1</v>
          </cell>
          <cell r="I906" t="str">
            <v>N2-b1</v>
          </cell>
          <cell r="J906" t="str">
            <v>09</v>
          </cell>
          <cell r="K906" t="str">
            <v>07</v>
          </cell>
        </row>
        <row r="907">
          <cell r="A907" t="str">
            <v>09-64</v>
          </cell>
          <cell r="B907">
            <v>576</v>
          </cell>
          <cell r="C907" t="str">
            <v>C1.DK.09.64</v>
          </cell>
          <cell r="D907" t="str">
            <v>DK</v>
          </cell>
          <cell r="E907" t="str">
            <v>G-153</v>
          </cell>
          <cell r="F907" t="str">
            <v>DK049</v>
          </cell>
          <cell r="G907" t="str">
            <v>N2</v>
          </cell>
          <cell r="H907" t="str">
            <v>b2</v>
          </cell>
          <cell r="I907" t="str">
            <v>N2-b2</v>
          </cell>
          <cell r="J907" t="str">
            <v>09</v>
          </cell>
          <cell r="K907" t="str">
            <v>64</v>
          </cell>
        </row>
        <row r="908">
          <cell r="A908" t="str">
            <v>13-14</v>
          </cell>
          <cell r="B908">
            <v>782</v>
          </cell>
          <cell r="C908" t="str">
            <v>C1.DK.13.14</v>
          </cell>
          <cell r="D908" t="str">
            <v>DK</v>
          </cell>
          <cell r="E908" t="str">
            <v>G-153</v>
          </cell>
          <cell r="F908" t="str">
            <v>DK049</v>
          </cell>
          <cell r="G908" t="str">
            <v>N1</v>
          </cell>
          <cell r="H908" t="str">
            <v>b1</v>
          </cell>
          <cell r="I908" t="str">
            <v>N1-b1</v>
          </cell>
          <cell r="J908">
            <v>13</v>
          </cell>
          <cell r="K908" t="str">
            <v>14</v>
          </cell>
        </row>
        <row r="909">
          <cell r="A909" t="str">
            <v>14-57</v>
          </cell>
          <cell r="B909">
            <v>889</v>
          </cell>
          <cell r="C909" t="str">
            <v>C1.DK.14.57</v>
          </cell>
          <cell r="D909" t="str">
            <v>DK</v>
          </cell>
          <cell r="E909" t="str">
            <v>G-153</v>
          </cell>
          <cell r="F909" t="str">
            <v>DK049</v>
          </cell>
          <cell r="G909" t="str">
            <v>N1</v>
          </cell>
          <cell r="H909" t="str">
            <v>b2</v>
          </cell>
          <cell r="I909" t="str">
            <v>N1-b2</v>
          </cell>
          <cell r="J909">
            <v>14</v>
          </cell>
          <cell r="K909" t="str">
            <v>57</v>
          </cell>
        </row>
        <row r="910">
          <cell r="A910" t="str">
            <v>27-65</v>
          </cell>
          <cell r="B910">
            <v>1209</v>
          </cell>
          <cell r="C910" t="str">
            <v>C1.DK.27.65</v>
          </cell>
          <cell r="D910" t="str">
            <v>DK</v>
          </cell>
          <cell r="E910" t="str">
            <v>G-153</v>
          </cell>
          <cell r="F910" t="str">
            <v>DK049</v>
          </cell>
          <cell r="G910" t="str">
            <v>N1</v>
          </cell>
          <cell r="H910" t="str">
            <v>b3</v>
          </cell>
          <cell r="I910" t="str">
            <v>N1-b3</v>
          </cell>
          <cell r="J910">
            <v>27</v>
          </cell>
          <cell r="K910" t="str">
            <v>65</v>
          </cell>
        </row>
        <row r="911">
          <cell r="A911" t="str">
            <v>30-86</v>
          </cell>
          <cell r="B911">
            <v>1308</v>
          </cell>
          <cell r="C911" t="str">
            <v>C1.DK.30.86</v>
          </cell>
          <cell r="D911" t="str">
            <v>DK</v>
          </cell>
          <cell r="E911" t="str">
            <v>G-153</v>
          </cell>
          <cell r="F911" t="str">
            <v>DK049</v>
          </cell>
          <cell r="G911" t="str">
            <v>N2</v>
          </cell>
          <cell r="H911" t="str">
            <v>b3</v>
          </cell>
          <cell r="I911" t="str">
            <v>N2-b3</v>
          </cell>
          <cell r="J911">
            <v>30</v>
          </cell>
          <cell r="K911" t="str">
            <v>86</v>
          </cell>
        </row>
        <row r="912">
          <cell r="A912" t="str">
            <v>09-27</v>
          </cell>
          <cell r="B912">
            <v>539</v>
          </cell>
          <cell r="C912" t="str">
            <v>C1.DK.09.27</v>
          </cell>
          <cell r="D912" t="str">
            <v>DK</v>
          </cell>
          <cell r="E912" t="str">
            <v>G-154</v>
          </cell>
          <cell r="F912" t="str">
            <v>DK052</v>
          </cell>
          <cell r="G912" t="str">
            <v>N2</v>
          </cell>
          <cell r="H912" t="str">
            <v>b1</v>
          </cell>
          <cell r="I912" t="str">
            <v>N2-b1</v>
          </cell>
          <cell r="J912" t="str">
            <v>09</v>
          </cell>
          <cell r="K912" t="str">
            <v>27</v>
          </cell>
        </row>
        <row r="913">
          <cell r="A913" t="str">
            <v>09-50</v>
          </cell>
          <cell r="B913">
            <v>562</v>
          </cell>
          <cell r="C913" t="str">
            <v>C1.DK.09.50</v>
          </cell>
          <cell r="D913" t="str">
            <v>DK</v>
          </cell>
          <cell r="E913" t="str">
            <v>G-154</v>
          </cell>
          <cell r="F913" t="str">
            <v>DK052</v>
          </cell>
          <cell r="G913" t="str">
            <v>N2</v>
          </cell>
          <cell r="H913" t="str">
            <v>b2</v>
          </cell>
          <cell r="I913" t="str">
            <v>N2-b2</v>
          </cell>
          <cell r="J913" t="str">
            <v>09</v>
          </cell>
          <cell r="K913" t="str">
            <v>50</v>
          </cell>
        </row>
        <row r="914">
          <cell r="A914" t="str">
            <v>12-21</v>
          </cell>
          <cell r="B914">
            <v>725</v>
          </cell>
          <cell r="C914" t="str">
            <v>C1.DK.12.21</v>
          </cell>
          <cell r="D914" t="str">
            <v>DK</v>
          </cell>
          <cell r="E914" t="str">
            <v>G-154</v>
          </cell>
          <cell r="F914" t="str">
            <v>DK052</v>
          </cell>
          <cell r="G914" t="str">
            <v>N1</v>
          </cell>
          <cell r="H914" t="str">
            <v>b1</v>
          </cell>
          <cell r="I914" t="str">
            <v>N1-b1</v>
          </cell>
          <cell r="J914">
            <v>12</v>
          </cell>
          <cell r="K914" t="str">
            <v>21</v>
          </cell>
        </row>
        <row r="915">
          <cell r="A915" t="str">
            <v>12-43</v>
          </cell>
          <cell r="B915">
            <v>747</v>
          </cell>
          <cell r="C915" t="str">
            <v>C1.DK.12.43</v>
          </cell>
          <cell r="D915" t="str">
            <v>DK</v>
          </cell>
          <cell r="E915" t="str">
            <v>G-154</v>
          </cell>
          <cell r="F915" t="str">
            <v>DK052</v>
          </cell>
          <cell r="G915" t="str">
            <v>N1</v>
          </cell>
          <cell r="H915" t="str">
            <v>b2</v>
          </cell>
          <cell r="I915" t="str">
            <v>N1-b2</v>
          </cell>
          <cell r="J915">
            <v>12</v>
          </cell>
          <cell r="K915" t="str">
            <v>43</v>
          </cell>
        </row>
        <row r="916">
          <cell r="A916" t="str">
            <v>26-76</v>
          </cell>
          <cell r="B916">
            <v>1194</v>
          </cell>
          <cell r="C916" t="str">
            <v>C1.DK.26.76</v>
          </cell>
          <cell r="D916" t="str">
            <v>DK</v>
          </cell>
          <cell r="E916" t="str">
            <v>G-154</v>
          </cell>
          <cell r="F916" t="str">
            <v>DK052</v>
          </cell>
          <cell r="G916" t="str">
            <v>N1</v>
          </cell>
          <cell r="H916" t="str">
            <v>b3</v>
          </cell>
          <cell r="I916" t="str">
            <v>N1-b3</v>
          </cell>
          <cell r="J916" t="str">
            <v>26</v>
          </cell>
          <cell r="K916" t="str">
            <v>76</v>
          </cell>
        </row>
        <row r="917">
          <cell r="A917" t="str">
            <v>30-82</v>
          </cell>
          <cell r="B917">
            <v>1304</v>
          </cell>
          <cell r="C917" t="str">
            <v>C1.DK.30.82</v>
          </cell>
          <cell r="D917" t="str">
            <v>DK</v>
          </cell>
          <cell r="E917" t="str">
            <v>G-154</v>
          </cell>
          <cell r="F917" t="str">
            <v>DK052</v>
          </cell>
          <cell r="G917" t="str">
            <v>N2</v>
          </cell>
          <cell r="H917" t="str">
            <v>b3</v>
          </cell>
          <cell r="I917" t="str">
            <v>N2-b3</v>
          </cell>
          <cell r="J917">
            <v>30</v>
          </cell>
          <cell r="K917" t="str">
            <v>82</v>
          </cell>
        </row>
        <row r="918">
          <cell r="A918" t="str">
            <v>09-46</v>
          </cell>
          <cell r="B918">
            <v>558</v>
          </cell>
          <cell r="C918" t="str">
            <v>C1.DK.09.46</v>
          </cell>
          <cell r="D918" t="str">
            <v>DK</v>
          </cell>
          <cell r="E918" t="str">
            <v>G-155</v>
          </cell>
          <cell r="F918" t="str">
            <v>DK053</v>
          </cell>
          <cell r="G918" t="str">
            <v>N2</v>
          </cell>
          <cell r="H918" t="str">
            <v>b2</v>
          </cell>
          <cell r="I918" t="str">
            <v>N2-b2</v>
          </cell>
          <cell r="J918" t="str">
            <v>09</v>
          </cell>
          <cell r="K918" t="str">
            <v>46</v>
          </cell>
        </row>
        <row r="919">
          <cell r="A919" t="str">
            <v>10-32</v>
          </cell>
          <cell r="B919">
            <v>608</v>
          </cell>
          <cell r="C919" t="str">
            <v>C1.DK.10.32</v>
          </cell>
          <cell r="D919" t="str">
            <v>DK</v>
          </cell>
          <cell r="E919" t="str">
            <v>G-155</v>
          </cell>
          <cell r="F919" t="str">
            <v>DK053</v>
          </cell>
          <cell r="G919" t="str">
            <v>N2</v>
          </cell>
          <cell r="H919" t="str">
            <v>b1</v>
          </cell>
          <cell r="I919" t="str">
            <v>N2-b1</v>
          </cell>
          <cell r="J919">
            <v>10</v>
          </cell>
          <cell r="K919" t="str">
            <v>32</v>
          </cell>
        </row>
        <row r="920">
          <cell r="A920" t="str">
            <v>13-22</v>
          </cell>
          <cell r="B920">
            <v>790</v>
          </cell>
          <cell r="C920" t="str">
            <v>C1.DK.13.22</v>
          </cell>
          <cell r="D920" t="str">
            <v>DK</v>
          </cell>
          <cell r="E920" t="str">
            <v>G-155</v>
          </cell>
          <cell r="F920" t="str">
            <v>DK053</v>
          </cell>
          <cell r="G920" t="str">
            <v>N1</v>
          </cell>
          <cell r="H920" t="str">
            <v>b1</v>
          </cell>
          <cell r="I920" t="str">
            <v>N1-b1</v>
          </cell>
          <cell r="J920">
            <v>13</v>
          </cell>
          <cell r="K920" t="str">
            <v>22</v>
          </cell>
        </row>
        <row r="921">
          <cell r="A921" t="str">
            <v>14-55</v>
          </cell>
          <cell r="B921">
            <v>887</v>
          </cell>
          <cell r="C921" t="str">
            <v>C1.DK.14.55</v>
          </cell>
          <cell r="D921" t="str">
            <v>DK</v>
          </cell>
          <cell r="E921" t="str">
            <v>G-155</v>
          </cell>
          <cell r="F921" t="str">
            <v>DK053</v>
          </cell>
          <cell r="G921" t="str">
            <v>N1</v>
          </cell>
          <cell r="H921" t="str">
            <v>b2</v>
          </cell>
          <cell r="I921" t="str">
            <v>N1-b2</v>
          </cell>
          <cell r="J921">
            <v>14</v>
          </cell>
          <cell r="K921" t="str">
            <v>55</v>
          </cell>
        </row>
        <row r="922">
          <cell r="A922" t="str">
            <v>26-72</v>
          </cell>
          <cell r="B922">
            <v>1190</v>
          </cell>
          <cell r="C922" t="str">
            <v>C1.DK.26.72</v>
          </cell>
          <cell r="D922" t="str">
            <v>DK</v>
          </cell>
          <cell r="E922" t="str">
            <v>G-155</v>
          </cell>
          <cell r="F922" t="str">
            <v>DK053</v>
          </cell>
          <cell r="G922" t="str">
            <v>N1</v>
          </cell>
          <cell r="H922" t="str">
            <v>b3</v>
          </cell>
          <cell r="I922" t="str">
            <v>N1-b3</v>
          </cell>
          <cell r="J922" t="str">
            <v>26</v>
          </cell>
          <cell r="K922" t="str">
            <v>72</v>
          </cell>
        </row>
        <row r="923">
          <cell r="A923" t="str">
            <v>31-86</v>
          </cell>
          <cell r="B923">
            <v>1334</v>
          </cell>
          <cell r="C923" t="str">
            <v>C1.DK.31.86</v>
          </cell>
          <cell r="D923" t="str">
            <v>DK</v>
          </cell>
          <cell r="E923" t="str">
            <v>G-155</v>
          </cell>
          <cell r="F923" t="str">
            <v>DK053</v>
          </cell>
          <cell r="G923" t="str">
            <v>N2</v>
          </cell>
          <cell r="H923" t="str">
            <v>b3</v>
          </cell>
          <cell r="I923" t="str">
            <v>N2-b3</v>
          </cell>
          <cell r="J923">
            <v>31</v>
          </cell>
          <cell r="K923" t="str">
            <v>86</v>
          </cell>
        </row>
        <row r="924">
          <cell r="A924" t="str">
            <v>11-31</v>
          </cell>
          <cell r="B924">
            <v>671</v>
          </cell>
          <cell r="C924" t="str">
            <v>C1.DK.11.31</v>
          </cell>
          <cell r="D924" t="str">
            <v>DK</v>
          </cell>
          <cell r="E924" t="str">
            <v>G-156</v>
          </cell>
          <cell r="F924" t="str">
            <v>DK055</v>
          </cell>
          <cell r="G924" t="str">
            <v>N2</v>
          </cell>
          <cell r="H924" t="str">
            <v>b1</v>
          </cell>
          <cell r="I924" t="str">
            <v>N2-b1</v>
          </cell>
          <cell r="J924">
            <v>11</v>
          </cell>
          <cell r="K924" t="str">
            <v>31</v>
          </cell>
        </row>
        <row r="925">
          <cell r="A925" t="str">
            <v>11-53</v>
          </cell>
          <cell r="B925">
            <v>693</v>
          </cell>
          <cell r="C925" t="str">
            <v>C1.DK.11.53</v>
          </cell>
          <cell r="D925" t="str">
            <v>DK</v>
          </cell>
          <cell r="E925" t="str">
            <v>G-156</v>
          </cell>
          <cell r="F925" t="str">
            <v>DK055</v>
          </cell>
          <cell r="G925" t="str">
            <v>N2</v>
          </cell>
          <cell r="H925" t="str">
            <v>b2</v>
          </cell>
          <cell r="I925" t="str">
            <v>N2-b2</v>
          </cell>
          <cell r="J925">
            <v>11</v>
          </cell>
          <cell r="K925" t="str">
            <v>53</v>
          </cell>
        </row>
        <row r="926">
          <cell r="A926" t="str">
            <v>13-30</v>
          </cell>
          <cell r="B926">
            <v>798</v>
          </cell>
          <cell r="C926" t="str">
            <v>C1.DK.13.30</v>
          </cell>
          <cell r="D926" t="str">
            <v>DK</v>
          </cell>
          <cell r="E926" t="str">
            <v>G-156</v>
          </cell>
          <cell r="F926" t="str">
            <v>DK055</v>
          </cell>
          <cell r="G926" t="str">
            <v>N1</v>
          </cell>
          <cell r="H926" t="str">
            <v>b1</v>
          </cell>
          <cell r="I926" t="str">
            <v>N1-b1</v>
          </cell>
          <cell r="J926">
            <v>13</v>
          </cell>
          <cell r="K926" t="str">
            <v>30</v>
          </cell>
        </row>
        <row r="927">
          <cell r="A927" t="str">
            <v>14-52</v>
          </cell>
          <cell r="B927">
            <v>884</v>
          </cell>
          <cell r="C927" t="str">
            <v>C1.DK.14.52</v>
          </cell>
          <cell r="D927" t="str">
            <v>DK</v>
          </cell>
          <cell r="E927" t="str">
            <v>G-156</v>
          </cell>
          <cell r="F927" t="str">
            <v>DK055</v>
          </cell>
          <cell r="G927" t="str">
            <v>N1</v>
          </cell>
          <cell r="H927" t="str">
            <v>b2</v>
          </cell>
          <cell r="I927" t="str">
            <v>N1-b2</v>
          </cell>
          <cell r="J927">
            <v>14</v>
          </cell>
          <cell r="K927" t="str">
            <v>52</v>
          </cell>
        </row>
        <row r="928">
          <cell r="A928" t="str">
            <v>26-70</v>
          </cell>
          <cell r="B928">
            <v>1188</v>
          </cell>
          <cell r="C928" t="str">
            <v>C1.DK.26.70</v>
          </cell>
          <cell r="D928" t="str">
            <v>DK</v>
          </cell>
          <cell r="E928" t="str">
            <v>G-156</v>
          </cell>
          <cell r="F928" t="str">
            <v>DK055</v>
          </cell>
          <cell r="G928" t="str">
            <v>N1</v>
          </cell>
          <cell r="H928" t="str">
            <v>b3</v>
          </cell>
          <cell r="I928" t="str">
            <v>N1-b3</v>
          </cell>
          <cell r="J928" t="str">
            <v>26</v>
          </cell>
          <cell r="K928" t="str">
            <v>70</v>
          </cell>
        </row>
        <row r="929">
          <cell r="A929" t="str">
            <v>32-76</v>
          </cell>
          <cell r="B929">
            <v>1350</v>
          </cell>
          <cell r="C929" t="str">
            <v>C1.DK.32.76</v>
          </cell>
          <cell r="D929" t="str">
            <v>DK</v>
          </cell>
          <cell r="E929" t="str">
            <v>G-156</v>
          </cell>
          <cell r="F929" t="str">
            <v>DK055</v>
          </cell>
          <cell r="G929" t="str">
            <v>N2</v>
          </cell>
          <cell r="H929" t="str">
            <v>b3</v>
          </cell>
          <cell r="I929" t="str">
            <v>N2-b3</v>
          </cell>
          <cell r="J929">
            <v>32</v>
          </cell>
          <cell r="K929" t="str">
            <v>76</v>
          </cell>
        </row>
        <row r="930">
          <cell r="A930" t="str">
            <v>10-22</v>
          </cell>
          <cell r="B930">
            <v>598</v>
          </cell>
          <cell r="C930" t="str">
            <v>C1.DK.10.22</v>
          </cell>
          <cell r="D930" t="str">
            <v>DK</v>
          </cell>
          <cell r="E930" t="str">
            <v>G-157</v>
          </cell>
          <cell r="F930" t="str">
            <v>DK057</v>
          </cell>
          <cell r="G930" t="str">
            <v>N2</v>
          </cell>
          <cell r="H930" t="str">
            <v>b1</v>
          </cell>
          <cell r="I930" t="str">
            <v>N2-b1</v>
          </cell>
          <cell r="J930">
            <v>10</v>
          </cell>
          <cell r="K930" t="str">
            <v>22</v>
          </cell>
        </row>
        <row r="931">
          <cell r="A931" t="str">
            <v>10-52</v>
          </cell>
          <cell r="B931">
            <v>628</v>
          </cell>
          <cell r="C931" t="str">
            <v>C1.DK.10.52</v>
          </cell>
          <cell r="D931" t="str">
            <v>DK</v>
          </cell>
          <cell r="E931" t="str">
            <v>G-157</v>
          </cell>
          <cell r="F931" t="str">
            <v>DK057</v>
          </cell>
          <cell r="G931" t="str">
            <v>N2</v>
          </cell>
          <cell r="H931" t="str">
            <v>b2</v>
          </cell>
          <cell r="I931" t="str">
            <v>N2-b2</v>
          </cell>
          <cell r="J931">
            <v>10</v>
          </cell>
          <cell r="K931" t="str">
            <v>52</v>
          </cell>
        </row>
        <row r="932">
          <cell r="A932" t="str">
            <v>12-49</v>
          </cell>
          <cell r="B932">
            <v>753</v>
          </cell>
          <cell r="C932" t="str">
            <v>C1.DK.12.49</v>
          </cell>
          <cell r="D932" t="str">
            <v>DK</v>
          </cell>
          <cell r="E932" t="str">
            <v>G-157</v>
          </cell>
          <cell r="F932" t="str">
            <v>DK057</v>
          </cell>
          <cell r="G932" t="str">
            <v>N1</v>
          </cell>
          <cell r="H932" t="str">
            <v>b2</v>
          </cell>
          <cell r="I932" t="str">
            <v>N1-b2</v>
          </cell>
          <cell r="J932">
            <v>12</v>
          </cell>
          <cell r="K932" t="str">
            <v>49</v>
          </cell>
        </row>
        <row r="933">
          <cell r="A933" t="str">
            <v>13-26</v>
          </cell>
          <cell r="B933">
            <v>794</v>
          </cell>
          <cell r="C933" t="str">
            <v>C1.DK.13.26</v>
          </cell>
          <cell r="D933" t="str">
            <v>DK</v>
          </cell>
          <cell r="E933" t="str">
            <v>G-157</v>
          </cell>
          <cell r="F933" t="str">
            <v>DK057</v>
          </cell>
          <cell r="G933" t="str">
            <v>N1</v>
          </cell>
          <cell r="H933" t="str">
            <v>b1</v>
          </cell>
          <cell r="I933" t="str">
            <v>N1-b1</v>
          </cell>
          <cell r="J933">
            <v>13</v>
          </cell>
          <cell r="K933" t="str">
            <v>26</v>
          </cell>
        </row>
        <row r="934">
          <cell r="A934" t="str">
            <v>25-82</v>
          </cell>
          <cell r="B934">
            <v>1174</v>
          </cell>
          <cell r="C934" t="str">
            <v>C1.DK.25.82</v>
          </cell>
          <cell r="D934" t="str">
            <v>DK</v>
          </cell>
          <cell r="E934" t="str">
            <v>G-157</v>
          </cell>
          <cell r="F934" t="str">
            <v>DK057</v>
          </cell>
          <cell r="G934" t="str">
            <v>N1</v>
          </cell>
          <cell r="H934" t="str">
            <v>b3</v>
          </cell>
          <cell r="I934" t="str">
            <v>N1-b3</v>
          </cell>
          <cell r="J934">
            <v>25</v>
          </cell>
          <cell r="K934" t="str">
            <v>82</v>
          </cell>
        </row>
        <row r="935">
          <cell r="A935" t="str">
            <v>30-90</v>
          </cell>
          <cell r="B935">
            <v>1312</v>
          </cell>
          <cell r="C935" t="str">
            <v>C1.DK.30.90</v>
          </cell>
          <cell r="D935" t="str">
            <v>DK</v>
          </cell>
          <cell r="E935" t="str">
            <v>G-157</v>
          </cell>
          <cell r="F935" t="str">
            <v>DK057</v>
          </cell>
          <cell r="G935" t="str">
            <v>N2</v>
          </cell>
          <cell r="H935" t="str">
            <v>b3</v>
          </cell>
          <cell r="I935" t="str">
            <v>N2-b3</v>
          </cell>
          <cell r="J935">
            <v>30</v>
          </cell>
          <cell r="K935" t="str">
            <v>90</v>
          </cell>
        </row>
        <row r="936">
          <cell r="A936" t="str">
            <v>10-08</v>
          </cell>
          <cell r="B936">
            <v>584</v>
          </cell>
          <cell r="C936" t="str">
            <v>C1.DK.10.08</v>
          </cell>
          <cell r="D936" t="str">
            <v>DK</v>
          </cell>
          <cell r="E936" t="str">
            <v>G-158</v>
          </cell>
          <cell r="F936" t="str">
            <v>DK058</v>
          </cell>
          <cell r="G936" t="str">
            <v>N2</v>
          </cell>
          <cell r="H936" t="str">
            <v>b1</v>
          </cell>
          <cell r="I936" t="str">
            <v>N2-b1</v>
          </cell>
          <cell r="J936">
            <v>10</v>
          </cell>
          <cell r="K936" t="str">
            <v>08</v>
          </cell>
        </row>
        <row r="937">
          <cell r="A937" t="str">
            <v>11-39</v>
          </cell>
          <cell r="B937">
            <v>679</v>
          </cell>
          <cell r="C937" t="str">
            <v>C1.DK.11.39</v>
          </cell>
          <cell r="D937" t="str">
            <v>DK</v>
          </cell>
          <cell r="E937" t="str">
            <v>G-158</v>
          </cell>
          <cell r="F937" t="str">
            <v>DK058</v>
          </cell>
          <cell r="G937" t="str">
            <v>N2</v>
          </cell>
          <cell r="H937" t="str">
            <v>b2</v>
          </cell>
          <cell r="I937" t="str">
            <v>N2-b2</v>
          </cell>
          <cell r="J937">
            <v>11</v>
          </cell>
          <cell r="K937" t="str">
            <v>39</v>
          </cell>
        </row>
        <row r="938">
          <cell r="A938" t="str">
            <v>12-59</v>
          </cell>
          <cell r="B938">
            <v>763</v>
          </cell>
          <cell r="C938" t="str">
            <v>C1.DK.12.59</v>
          </cell>
          <cell r="D938" t="str">
            <v>DK</v>
          </cell>
          <cell r="E938" t="str">
            <v>G-158</v>
          </cell>
          <cell r="F938" t="str">
            <v>DK058</v>
          </cell>
          <cell r="G938" t="str">
            <v>N1</v>
          </cell>
          <cell r="H938" t="str">
            <v>b2</v>
          </cell>
          <cell r="I938" t="str">
            <v>N1-b2</v>
          </cell>
          <cell r="J938">
            <v>12</v>
          </cell>
          <cell r="K938" t="str">
            <v>59</v>
          </cell>
        </row>
        <row r="939">
          <cell r="A939" t="str">
            <v>14-19</v>
          </cell>
          <cell r="B939">
            <v>851</v>
          </cell>
          <cell r="C939" t="str">
            <v>C1.DK.14.19</v>
          </cell>
          <cell r="D939" t="str">
            <v>DK</v>
          </cell>
          <cell r="E939" t="str">
            <v>G-158</v>
          </cell>
          <cell r="F939" t="str">
            <v>DK058</v>
          </cell>
          <cell r="G939" t="str">
            <v>N1</v>
          </cell>
          <cell r="H939" t="str">
            <v>b1</v>
          </cell>
          <cell r="I939" t="str">
            <v>N1-b1</v>
          </cell>
          <cell r="J939">
            <v>14</v>
          </cell>
          <cell r="K939" t="str">
            <v>19</v>
          </cell>
        </row>
        <row r="940">
          <cell r="A940" t="str">
            <v>26-85</v>
          </cell>
          <cell r="B940">
            <v>1203</v>
          </cell>
          <cell r="C940" t="str">
            <v>C1.DK.26.85</v>
          </cell>
          <cell r="D940" t="str">
            <v>DK</v>
          </cell>
          <cell r="E940" t="str">
            <v>G-158</v>
          </cell>
          <cell r="F940" t="str">
            <v>DK058</v>
          </cell>
          <cell r="G940" t="str">
            <v>N1</v>
          </cell>
          <cell r="H940" t="str">
            <v>b3</v>
          </cell>
          <cell r="I940" t="str">
            <v>N1-b3</v>
          </cell>
          <cell r="J940" t="str">
            <v>26</v>
          </cell>
          <cell r="K940" t="str">
            <v>85</v>
          </cell>
        </row>
        <row r="941">
          <cell r="A941" t="str">
            <v>31-78</v>
          </cell>
          <cell r="B941">
            <v>1326</v>
          </cell>
          <cell r="C941" t="str">
            <v>C1.DK.31.78</v>
          </cell>
          <cell r="D941" t="str">
            <v>DK</v>
          </cell>
          <cell r="E941" t="str">
            <v>G-158</v>
          </cell>
          <cell r="F941" t="str">
            <v>DK058</v>
          </cell>
          <cell r="G941" t="str">
            <v>N2</v>
          </cell>
          <cell r="H941" t="str">
            <v>b3</v>
          </cell>
          <cell r="I941" t="str">
            <v>N2-b3</v>
          </cell>
          <cell r="J941">
            <v>31</v>
          </cell>
          <cell r="K941" t="str">
            <v>78</v>
          </cell>
        </row>
        <row r="942">
          <cell r="A942" t="str">
            <v>10-23</v>
          </cell>
          <cell r="B942">
            <v>599</v>
          </cell>
          <cell r="C942" t="str">
            <v>C1.DK.10.23</v>
          </cell>
          <cell r="D942" t="str">
            <v>DK</v>
          </cell>
          <cell r="E942" t="str">
            <v>G-159</v>
          </cell>
          <cell r="F942" t="str">
            <v>DK061</v>
          </cell>
          <cell r="G942" t="str">
            <v>N2</v>
          </cell>
          <cell r="H942" t="str">
            <v>b1</v>
          </cell>
          <cell r="I942" t="str">
            <v>N2-b1</v>
          </cell>
          <cell r="J942">
            <v>10</v>
          </cell>
          <cell r="K942" t="str">
            <v>23</v>
          </cell>
        </row>
        <row r="943">
          <cell r="A943" t="str">
            <v>11-60</v>
          </cell>
          <cell r="B943">
            <v>700</v>
          </cell>
          <cell r="C943" t="str">
            <v>C1.DK.11.60</v>
          </cell>
          <cell r="D943" t="str">
            <v>DK</v>
          </cell>
          <cell r="E943" t="str">
            <v>G-159</v>
          </cell>
          <cell r="F943" t="str">
            <v>DK061</v>
          </cell>
          <cell r="G943" t="str">
            <v>N2</v>
          </cell>
          <cell r="H943" t="str">
            <v>b2</v>
          </cell>
          <cell r="I943" t="str">
            <v>N2-b2</v>
          </cell>
          <cell r="J943">
            <v>11</v>
          </cell>
          <cell r="K943" t="str">
            <v>60</v>
          </cell>
        </row>
        <row r="944">
          <cell r="A944" t="str">
            <v>12-15</v>
          </cell>
          <cell r="B944">
            <v>719</v>
          </cell>
          <cell r="C944" t="str">
            <v>C1.DK.12.15</v>
          </cell>
          <cell r="D944" t="str">
            <v>DK</v>
          </cell>
          <cell r="E944" t="str">
            <v>G-159</v>
          </cell>
          <cell r="F944" t="str">
            <v>DK061</v>
          </cell>
          <cell r="G944" t="str">
            <v>N1</v>
          </cell>
          <cell r="H944" t="str">
            <v>b1</v>
          </cell>
          <cell r="I944" t="str">
            <v>N1-b1</v>
          </cell>
          <cell r="J944">
            <v>12</v>
          </cell>
          <cell r="K944" t="str">
            <v>15</v>
          </cell>
        </row>
        <row r="945">
          <cell r="A945" t="str">
            <v>12-56</v>
          </cell>
          <cell r="B945">
            <v>760</v>
          </cell>
          <cell r="C945" t="str">
            <v>C1.DK.12.56</v>
          </cell>
          <cell r="D945" t="str">
            <v>DK</v>
          </cell>
          <cell r="E945" t="str">
            <v>G-159</v>
          </cell>
          <cell r="F945" t="str">
            <v>DK061</v>
          </cell>
          <cell r="G945" t="str">
            <v>N1</v>
          </cell>
          <cell r="H945" t="str">
            <v>b2</v>
          </cell>
          <cell r="I945" t="str">
            <v>N1-b2</v>
          </cell>
          <cell r="J945">
            <v>12</v>
          </cell>
          <cell r="K945" t="str">
            <v>56</v>
          </cell>
        </row>
        <row r="946">
          <cell r="A946" t="str">
            <v>27-90</v>
          </cell>
          <cell r="B946">
            <v>1234</v>
          </cell>
          <cell r="C946" t="str">
            <v>C1.DK.27.90</v>
          </cell>
          <cell r="D946" t="str">
            <v>DK</v>
          </cell>
          <cell r="E946" t="str">
            <v>G-159</v>
          </cell>
          <cell r="F946" t="str">
            <v>DK061</v>
          </cell>
          <cell r="G946" t="str">
            <v>N1</v>
          </cell>
          <cell r="H946" t="str">
            <v>b3</v>
          </cell>
          <cell r="I946" t="str">
            <v>N1-b3</v>
          </cell>
          <cell r="J946">
            <v>27</v>
          </cell>
          <cell r="K946" t="str">
            <v>90</v>
          </cell>
        </row>
        <row r="947">
          <cell r="A947" t="str">
            <v>32-65</v>
          </cell>
          <cell r="B947">
            <v>1339</v>
          </cell>
          <cell r="C947" t="str">
            <v>C1.DK.32.65</v>
          </cell>
          <cell r="D947" t="str">
            <v>DK</v>
          </cell>
          <cell r="E947" t="str">
            <v>G-159</v>
          </cell>
          <cell r="F947" t="str">
            <v>DK061</v>
          </cell>
          <cell r="G947" t="str">
            <v>N2</v>
          </cell>
          <cell r="H947" t="str">
            <v>b3</v>
          </cell>
          <cell r="I947" t="str">
            <v>N2-b3</v>
          </cell>
          <cell r="J947">
            <v>32</v>
          </cell>
          <cell r="K947" t="str">
            <v>65</v>
          </cell>
        </row>
        <row r="948">
          <cell r="A948" t="str">
            <v>11-07</v>
          </cell>
          <cell r="B948">
            <v>647</v>
          </cell>
          <cell r="C948" t="str">
            <v>C1.DK.11.07</v>
          </cell>
          <cell r="D948" t="str">
            <v>DK</v>
          </cell>
          <cell r="E948" t="str">
            <v>G-160</v>
          </cell>
          <cell r="F948" t="str">
            <v>DK063</v>
          </cell>
          <cell r="G948" t="str">
            <v>N2</v>
          </cell>
          <cell r="H948" t="str">
            <v>b1</v>
          </cell>
          <cell r="I948" t="str">
            <v>N2-b1</v>
          </cell>
          <cell r="J948">
            <v>11</v>
          </cell>
          <cell r="K948" t="str">
            <v>07</v>
          </cell>
        </row>
        <row r="949">
          <cell r="A949" t="str">
            <v>11-62</v>
          </cell>
          <cell r="B949">
            <v>702</v>
          </cell>
          <cell r="C949" t="str">
            <v>C1.DK.11.62</v>
          </cell>
          <cell r="D949" t="str">
            <v>DK</v>
          </cell>
          <cell r="E949" t="str">
            <v>G-160</v>
          </cell>
          <cell r="F949" t="str">
            <v>DK063</v>
          </cell>
          <cell r="G949" t="str">
            <v>N2</v>
          </cell>
          <cell r="H949" t="str">
            <v>b2</v>
          </cell>
          <cell r="I949" t="str">
            <v>N2-b2</v>
          </cell>
          <cell r="J949">
            <v>11</v>
          </cell>
          <cell r="K949" t="str">
            <v>62</v>
          </cell>
        </row>
        <row r="950">
          <cell r="A950" t="str">
            <v>13-59</v>
          </cell>
          <cell r="B950">
            <v>827</v>
          </cell>
          <cell r="C950" t="str">
            <v>C1.DK.13.59</v>
          </cell>
          <cell r="D950" t="str">
            <v>DK</v>
          </cell>
          <cell r="E950" t="str">
            <v>G-160</v>
          </cell>
          <cell r="F950" t="str">
            <v>DK063</v>
          </cell>
          <cell r="G950" t="str">
            <v>N1</v>
          </cell>
          <cell r="H950" t="str">
            <v>b2</v>
          </cell>
          <cell r="I950" t="str">
            <v>N1-b2</v>
          </cell>
          <cell r="J950">
            <v>13</v>
          </cell>
          <cell r="K950" t="str">
            <v>59</v>
          </cell>
        </row>
        <row r="951">
          <cell r="A951" t="str">
            <v>14-03</v>
          </cell>
          <cell r="B951">
            <v>835</v>
          </cell>
          <cell r="C951" t="str">
            <v>C1.DK.14.03</v>
          </cell>
          <cell r="D951" t="str">
            <v>DK</v>
          </cell>
          <cell r="E951" t="str">
            <v>G-160</v>
          </cell>
          <cell r="F951" t="str">
            <v>DK063</v>
          </cell>
          <cell r="G951" t="str">
            <v>N1</v>
          </cell>
          <cell r="H951" t="str">
            <v>b1</v>
          </cell>
          <cell r="I951" t="str">
            <v>N1-b1</v>
          </cell>
          <cell r="J951">
            <v>14</v>
          </cell>
          <cell r="K951" t="str">
            <v>03</v>
          </cell>
        </row>
        <row r="952">
          <cell r="A952" t="str">
            <v>28-79</v>
          </cell>
          <cell r="B952">
            <v>1249</v>
          </cell>
          <cell r="C952" t="str">
            <v>C1.DK.28.79</v>
          </cell>
          <cell r="D952" t="str">
            <v>DK</v>
          </cell>
          <cell r="E952" t="str">
            <v>G-160</v>
          </cell>
          <cell r="F952" t="str">
            <v>DK063</v>
          </cell>
          <cell r="G952" t="str">
            <v>N1</v>
          </cell>
          <cell r="H952" t="str">
            <v>b3</v>
          </cell>
          <cell r="I952" t="str">
            <v>N1-b3</v>
          </cell>
          <cell r="J952">
            <v>28</v>
          </cell>
          <cell r="K952" t="str">
            <v>79</v>
          </cell>
        </row>
        <row r="953">
          <cell r="A953" t="str">
            <v>29-66</v>
          </cell>
          <cell r="B953">
            <v>1262</v>
          </cell>
          <cell r="C953" t="str">
            <v>C1.DK.29.66</v>
          </cell>
          <cell r="D953" t="str">
            <v>DK</v>
          </cell>
          <cell r="E953" t="str">
            <v>G-160</v>
          </cell>
          <cell r="F953" t="str">
            <v>DK063</v>
          </cell>
          <cell r="G953" t="str">
            <v>N2</v>
          </cell>
          <cell r="H953" t="str">
            <v>b3</v>
          </cell>
          <cell r="I953" t="str">
            <v>N2-b3</v>
          </cell>
          <cell r="J953">
            <v>29</v>
          </cell>
          <cell r="K953" t="str">
            <v>66</v>
          </cell>
        </row>
        <row r="954">
          <cell r="A954" t="str">
            <v>09-55</v>
          </cell>
          <cell r="B954">
            <v>567</v>
          </cell>
          <cell r="C954" t="str">
            <v>C1.DK.09.55</v>
          </cell>
          <cell r="D954" t="str">
            <v>DK</v>
          </cell>
          <cell r="E954" t="str">
            <v>G-161</v>
          </cell>
          <cell r="F954" t="str">
            <v>DK064</v>
          </cell>
          <cell r="G954" t="str">
            <v>N2</v>
          </cell>
          <cell r="H954" t="str">
            <v>b2</v>
          </cell>
          <cell r="I954" t="str">
            <v>N2-b2</v>
          </cell>
          <cell r="J954" t="str">
            <v>09</v>
          </cell>
          <cell r="K954" t="str">
            <v>55</v>
          </cell>
        </row>
        <row r="955">
          <cell r="A955" t="str">
            <v>11-11</v>
          </cell>
          <cell r="B955">
            <v>651</v>
          </cell>
          <cell r="C955" t="str">
            <v>C1.DK.11.11</v>
          </cell>
          <cell r="D955" t="str">
            <v>DK</v>
          </cell>
          <cell r="E955" t="str">
            <v>G-161</v>
          </cell>
          <cell r="F955" t="str">
            <v>DK064</v>
          </cell>
          <cell r="G955" t="str">
            <v>N2</v>
          </cell>
          <cell r="H955" t="str">
            <v>b1</v>
          </cell>
          <cell r="I955" t="str">
            <v>N2-b1</v>
          </cell>
          <cell r="J955">
            <v>11</v>
          </cell>
          <cell r="K955" t="str">
            <v>11</v>
          </cell>
        </row>
        <row r="956">
          <cell r="A956" t="str">
            <v>12-32</v>
          </cell>
          <cell r="B956">
            <v>736</v>
          </cell>
          <cell r="C956" t="str">
            <v>C1.DK.12.32</v>
          </cell>
          <cell r="D956" t="str">
            <v>DK</v>
          </cell>
          <cell r="E956" t="str">
            <v>G-161</v>
          </cell>
          <cell r="F956" t="str">
            <v>DK064</v>
          </cell>
          <cell r="G956" t="str">
            <v>N1</v>
          </cell>
          <cell r="H956" t="str">
            <v>b1</v>
          </cell>
          <cell r="I956" t="str">
            <v>N1-b1</v>
          </cell>
          <cell r="J956">
            <v>12</v>
          </cell>
          <cell r="K956" t="str">
            <v>32</v>
          </cell>
        </row>
        <row r="957">
          <cell r="A957" t="str">
            <v>14-47</v>
          </cell>
          <cell r="B957">
            <v>879</v>
          </cell>
          <cell r="C957" t="str">
            <v>C1.DK.14.47</v>
          </cell>
          <cell r="D957" t="str">
            <v>DK</v>
          </cell>
          <cell r="E957" t="str">
            <v>G-161</v>
          </cell>
          <cell r="F957" t="str">
            <v>DK064</v>
          </cell>
          <cell r="G957" t="str">
            <v>N1</v>
          </cell>
          <cell r="H957" t="str">
            <v>b2</v>
          </cell>
          <cell r="I957" t="str">
            <v>N1-b2</v>
          </cell>
          <cell r="J957">
            <v>14</v>
          </cell>
          <cell r="K957" t="str">
            <v>47</v>
          </cell>
        </row>
        <row r="958">
          <cell r="A958" t="str">
            <v>26-71</v>
          </cell>
          <cell r="B958">
            <v>1189</v>
          </cell>
          <cell r="C958" t="str">
            <v>C1.DK.26.71</v>
          </cell>
          <cell r="D958" t="str">
            <v>DK</v>
          </cell>
          <cell r="E958" t="str">
            <v>G-161</v>
          </cell>
          <cell r="F958" t="str">
            <v>DK064</v>
          </cell>
          <cell r="G958" t="str">
            <v>N1</v>
          </cell>
          <cell r="H958" t="str">
            <v>b3</v>
          </cell>
          <cell r="I958" t="str">
            <v>N1-b3</v>
          </cell>
          <cell r="J958" t="str">
            <v>26</v>
          </cell>
          <cell r="K958" t="str">
            <v>71</v>
          </cell>
        </row>
        <row r="959">
          <cell r="A959" t="str">
            <v>31-74</v>
          </cell>
          <cell r="B959">
            <v>1322</v>
          </cell>
          <cell r="C959" t="str">
            <v>C1.DK.31.74</v>
          </cell>
          <cell r="D959" t="str">
            <v>DK</v>
          </cell>
          <cell r="E959" t="str">
            <v>G-161</v>
          </cell>
          <cell r="F959" t="str">
            <v>DK064</v>
          </cell>
          <cell r="G959" t="str">
            <v>N2</v>
          </cell>
          <cell r="H959" t="str">
            <v>b3</v>
          </cell>
          <cell r="I959" t="str">
            <v>N2-b3</v>
          </cell>
          <cell r="J959">
            <v>31</v>
          </cell>
          <cell r="K959" t="str">
            <v>74</v>
          </cell>
        </row>
        <row r="960">
          <cell r="A960" t="str">
            <v>09-10</v>
          </cell>
          <cell r="B960">
            <v>522</v>
          </cell>
          <cell r="C960" t="str">
            <v>C1.DK.09.10</v>
          </cell>
          <cell r="D960" t="str">
            <v>DK</v>
          </cell>
          <cell r="E960" t="str">
            <v>G-162</v>
          </cell>
          <cell r="F960" t="str">
            <v>DK066</v>
          </cell>
          <cell r="G960" t="str">
            <v>N2</v>
          </cell>
          <cell r="H960" t="str">
            <v>b1</v>
          </cell>
          <cell r="I960" t="str">
            <v>N2-b1</v>
          </cell>
          <cell r="J960" t="str">
            <v>09</v>
          </cell>
          <cell r="K960" t="str">
            <v>10</v>
          </cell>
        </row>
        <row r="961">
          <cell r="A961" t="str">
            <v>10-38</v>
          </cell>
          <cell r="B961">
            <v>614</v>
          </cell>
          <cell r="C961" t="str">
            <v>C1.DK.10.38</v>
          </cell>
          <cell r="D961" t="str">
            <v>DK</v>
          </cell>
          <cell r="E961" t="str">
            <v>G-162</v>
          </cell>
          <cell r="F961" t="str">
            <v>DK066</v>
          </cell>
          <cell r="G961" t="str">
            <v>N2</v>
          </cell>
          <cell r="H961" t="str">
            <v>b2</v>
          </cell>
          <cell r="I961" t="str">
            <v>N2-b2</v>
          </cell>
          <cell r="J961">
            <v>10</v>
          </cell>
          <cell r="K961" t="str">
            <v>38</v>
          </cell>
        </row>
        <row r="962">
          <cell r="A962" t="str">
            <v>14-05</v>
          </cell>
          <cell r="B962">
            <v>837</v>
          </cell>
          <cell r="C962" t="str">
            <v>C1.DK.14.05</v>
          </cell>
          <cell r="D962" t="str">
            <v>DK</v>
          </cell>
          <cell r="E962" t="str">
            <v>G-162</v>
          </cell>
          <cell r="F962" t="str">
            <v>DK066</v>
          </cell>
          <cell r="G962" t="str">
            <v>N1</v>
          </cell>
          <cell r="H962" t="str">
            <v>b1</v>
          </cell>
          <cell r="I962" t="str">
            <v>N1-b1</v>
          </cell>
          <cell r="J962">
            <v>14</v>
          </cell>
          <cell r="K962" t="str">
            <v>05</v>
          </cell>
        </row>
        <row r="963">
          <cell r="A963" t="str">
            <v>14-42</v>
          </cell>
          <cell r="B963">
            <v>874</v>
          </cell>
          <cell r="C963" t="str">
            <v>C1.DK.14.42</v>
          </cell>
          <cell r="D963" t="str">
            <v>DK</v>
          </cell>
          <cell r="E963" t="str">
            <v>G-162</v>
          </cell>
          <cell r="F963" t="str">
            <v>DK066</v>
          </cell>
          <cell r="G963" t="str">
            <v>N1</v>
          </cell>
          <cell r="H963" t="str">
            <v>b2</v>
          </cell>
          <cell r="I963" t="str">
            <v>N1-b2</v>
          </cell>
          <cell r="J963">
            <v>14</v>
          </cell>
          <cell r="K963" t="str">
            <v>42</v>
          </cell>
        </row>
        <row r="964">
          <cell r="A964" t="str">
            <v>28-86</v>
          </cell>
          <cell r="B964">
            <v>1256</v>
          </cell>
          <cell r="C964" t="str">
            <v>C1.DK.28.86</v>
          </cell>
          <cell r="D964" t="str">
            <v>DK</v>
          </cell>
          <cell r="E964" t="str">
            <v>G-162</v>
          </cell>
          <cell r="F964" t="str">
            <v>DK066</v>
          </cell>
          <cell r="G964" t="str">
            <v>N1</v>
          </cell>
          <cell r="H964" t="str">
            <v>b3</v>
          </cell>
          <cell r="I964" t="str">
            <v>N1-b3</v>
          </cell>
          <cell r="J964">
            <v>28</v>
          </cell>
          <cell r="K964" t="str">
            <v>86</v>
          </cell>
        </row>
        <row r="965">
          <cell r="A965" t="str">
            <v>30-66</v>
          </cell>
          <cell r="B965">
            <v>1288</v>
          </cell>
          <cell r="C965" t="str">
            <v>C1.DK.30.66</v>
          </cell>
          <cell r="D965" t="str">
            <v>DK</v>
          </cell>
          <cell r="E965" t="str">
            <v>G-162</v>
          </cell>
          <cell r="F965" t="str">
            <v>DK066</v>
          </cell>
          <cell r="G965" t="str">
            <v>N2</v>
          </cell>
          <cell r="H965" t="str">
            <v>b3</v>
          </cell>
          <cell r="I965" t="str">
            <v>N2-b3</v>
          </cell>
          <cell r="J965">
            <v>30</v>
          </cell>
          <cell r="K965" t="str">
            <v>66</v>
          </cell>
        </row>
        <row r="966">
          <cell r="A966" t="str">
            <v>10-55</v>
          </cell>
          <cell r="B966">
            <v>631</v>
          </cell>
          <cell r="C966" t="str">
            <v>C1.DK.10.55</v>
          </cell>
          <cell r="D966" t="str">
            <v>DK</v>
          </cell>
          <cell r="E966" t="str">
            <v>G-163</v>
          </cell>
          <cell r="F966" t="str">
            <v>DK068</v>
          </cell>
          <cell r="G966" t="str">
            <v>N2</v>
          </cell>
          <cell r="H966" t="str">
            <v>b2</v>
          </cell>
          <cell r="I966" t="str">
            <v>N2-b2</v>
          </cell>
          <cell r="J966">
            <v>10</v>
          </cell>
          <cell r="K966" t="str">
            <v>55</v>
          </cell>
        </row>
        <row r="967">
          <cell r="A967" t="str">
            <v>11-28</v>
          </cell>
          <cell r="B967">
            <v>668</v>
          </cell>
          <cell r="C967" t="str">
            <v>C1.DK.11.28</v>
          </cell>
          <cell r="D967" t="str">
            <v>DK</v>
          </cell>
          <cell r="E967" t="str">
            <v>G-163</v>
          </cell>
          <cell r="F967" t="str">
            <v>DK068</v>
          </cell>
          <cell r="G967" t="str">
            <v>N2</v>
          </cell>
          <cell r="H967" t="str">
            <v>b1</v>
          </cell>
          <cell r="I967" t="str">
            <v>N2-b1</v>
          </cell>
          <cell r="J967">
            <v>11</v>
          </cell>
          <cell r="K967" t="str">
            <v>28</v>
          </cell>
        </row>
        <row r="968">
          <cell r="A968" t="str">
            <v>12-62</v>
          </cell>
          <cell r="B968">
            <v>766</v>
          </cell>
          <cell r="C968" t="str">
            <v>C1.DK.12.62</v>
          </cell>
          <cell r="D968" t="str">
            <v>DK</v>
          </cell>
          <cell r="E968" t="str">
            <v>G-163</v>
          </cell>
          <cell r="F968" t="str">
            <v>DK068</v>
          </cell>
          <cell r="G968" t="str">
            <v>N1</v>
          </cell>
          <cell r="H968" t="str">
            <v>b2</v>
          </cell>
          <cell r="I968" t="str">
            <v>N1-b2</v>
          </cell>
          <cell r="J968">
            <v>12</v>
          </cell>
          <cell r="K968" t="str">
            <v>62</v>
          </cell>
        </row>
        <row r="969">
          <cell r="A969" t="str">
            <v>14-15</v>
          </cell>
          <cell r="B969">
            <v>847</v>
          </cell>
          <cell r="C969" t="str">
            <v>C1.DK.14.15</v>
          </cell>
          <cell r="D969" t="str">
            <v>DK</v>
          </cell>
          <cell r="E969" t="str">
            <v>G-163</v>
          </cell>
          <cell r="F969" t="str">
            <v>DK068</v>
          </cell>
          <cell r="G969" t="str">
            <v>N1</v>
          </cell>
          <cell r="H969" t="str">
            <v>b1</v>
          </cell>
          <cell r="I969" t="str">
            <v>N1-b1</v>
          </cell>
          <cell r="J969">
            <v>14</v>
          </cell>
          <cell r="K969" t="str">
            <v>15</v>
          </cell>
        </row>
        <row r="970">
          <cell r="A970" t="str">
            <v>27-68</v>
          </cell>
          <cell r="B970">
            <v>1212</v>
          </cell>
          <cell r="C970" t="str">
            <v>C1.DK.27.68</v>
          </cell>
          <cell r="D970" t="str">
            <v>DK</v>
          </cell>
          <cell r="E970" t="str">
            <v>G-163</v>
          </cell>
          <cell r="F970" t="str">
            <v>DK068</v>
          </cell>
          <cell r="G970" t="str">
            <v>N1</v>
          </cell>
          <cell r="H970" t="str">
            <v>b3</v>
          </cell>
          <cell r="I970" t="str">
            <v>N1-b3</v>
          </cell>
          <cell r="J970">
            <v>27</v>
          </cell>
          <cell r="K970" t="str">
            <v>68</v>
          </cell>
        </row>
        <row r="971">
          <cell r="A971" t="str">
            <v>30-74</v>
          </cell>
          <cell r="B971">
            <v>1296</v>
          </cell>
          <cell r="C971" t="str">
            <v>C1.DK.30.74</v>
          </cell>
          <cell r="D971" t="str">
            <v>DK</v>
          </cell>
          <cell r="E971" t="str">
            <v>G-163</v>
          </cell>
          <cell r="F971" t="str">
            <v>DK068</v>
          </cell>
          <cell r="G971" t="str">
            <v>N2</v>
          </cell>
          <cell r="H971" t="str">
            <v>b3</v>
          </cell>
          <cell r="I971" t="str">
            <v>N2-b3</v>
          </cell>
          <cell r="J971">
            <v>30</v>
          </cell>
          <cell r="K971" t="str">
            <v>74</v>
          </cell>
        </row>
        <row r="972">
          <cell r="A972" t="str">
            <v>10-16</v>
          </cell>
          <cell r="B972">
            <v>592</v>
          </cell>
          <cell r="C972" t="str">
            <v>C1.DK.10.16</v>
          </cell>
          <cell r="D972" t="str">
            <v>DK</v>
          </cell>
          <cell r="E972" t="str">
            <v>G-164</v>
          </cell>
          <cell r="F972" t="str">
            <v>DK069</v>
          </cell>
          <cell r="G972" t="str">
            <v>N2</v>
          </cell>
          <cell r="H972" t="str">
            <v>b1</v>
          </cell>
          <cell r="I972" t="str">
            <v>N2-b1</v>
          </cell>
          <cell r="J972">
            <v>10</v>
          </cell>
          <cell r="K972" t="str">
            <v>16</v>
          </cell>
        </row>
        <row r="973">
          <cell r="A973" t="str">
            <v>10-51</v>
          </cell>
          <cell r="B973">
            <v>627</v>
          </cell>
          <cell r="C973" t="str">
            <v>C1.DK.10.51</v>
          </cell>
          <cell r="D973" t="str">
            <v>DK</v>
          </cell>
          <cell r="E973" t="str">
            <v>G-164</v>
          </cell>
          <cell r="F973" t="str">
            <v>DK069</v>
          </cell>
          <cell r="G973" t="str">
            <v>N2</v>
          </cell>
          <cell r="H973" t="str">
            <v>b2</v>
          </cell>
          <cell r="I973" t="str">
            <v>N2-b2</v>
          </cell>
          <cell r="J973">
            <v>10</v>
          </cell>
          <cell r="K973" t="str">
            <v>51</v>
          </cell>
        </row>
        <row r="974">
          <cell r="A974" t="str">
            <v>12-08</v>
          </cell>
          <cell r="B974">
            <v>712</v>
          </cell>
          <cell r="C974" t="str">
            <v>C1.DK.12.08</v>
          </cell>
          <cell r="D974" t="str">
            <v>DK</v>
          </cell>
          <cell r="E974" t="str">
            <v>G-164</v>
          </cell>
          <cell r="F974" t="str">
            <v>DK069</v>
          </cell>
          <cell r="G974" t="str">
            <v>N1</v>
          </cell>
          <cell r="H974" t="str">
            <v>b1</v>
          </cell>
          <cell r="I974" t="str">
            <v>N1-b1</v>
          </cell>
          <cell r="J974">
            <v>12</v>
          </cell>
          <cell r="K974" t="str">
            <v>08</v>
          </cell>
        </row>
        <row r="975">
          <cell r="A975" t="str">
            <v>13-53</v>
          </cell>
          <cell r="B975">
            <v>821</v>
          </cell>
          <cell r="C975" t="str">
            <v>C1.DK.13.53</v>
          </cell>
          <cell r="D975" t="str">
            <v>DK</v>
          </cell>
          <cell r="E975" t="str">
            <v>G-164</v>
          </cell>
          <cell r="F975" t="str">
            <v>DK069</v>
          </cell>
          <cell r="G975" t="str">
            <v>N1</v>
          </cell>
          <cell r="H975" t="str">
            <v>b2</v>
          </cell>
          <cell r="I975" t="str">
            <v>N1-b2</v>
          </cell>
          <cell r="J975">
            <v>13</v>
          </cell>
          <cell r="K975" t="str">
            <v>53</v>
          </cell>
        </row>
        <row r="976">
          <cell r="A976" t="str">
            <v>27-69</v>
          </cell>
          <cell r="B976">
            <v>1213</v>
          </cell>
          <cell r="C976" t="str">
            <v>C1.DK.27.69</v>
          </cell>
          <cell r="D976" t="str">
            <v>DK</v>
          </cell>
          <cell r="E976" t="str">
            <v>G-164</v>
          </cell>
          <cell r="F976" t="str">
            <v>DK069</v>
          </cell>
          <cell r="G976" t="str">
            <v>N1</v>
          </cell>
          <cell r="H976" t="str">
            <v>b3</v>
          </cell>
          <cell r="I976" t="str">
            <v>N1-b3</v>
          </cell>
          <cell r="J976">
            <v>27</v>
          </cell>
          <cell r="K976" t="str">
            <v>69</v>
          </cell>
        </row>
        <row r="977">
          <cell r="A977" t="str">
            <v>30-71</v>
          </cell>
          <cell r="B977">
            <v>1293</v>
          </cell>
          <cell r="C977" t="str">
            <v>C1.DK.30.71</v>
          </cell>
          <cell r="D977" t="str">
            <v>DK</v>
          </cell>
          <cell r="E977" t="str">
            <v>G-164</v>
          </cell>
          <cell r="F977" t="str">
            <v>DK069</v>
          </cell>
          <cell r="G977" t="str">
            <v>N2</v>
          </cell>
          <cell r="H977" t="str">
            <v>b3</v>
          </cell>
          <cell r="I977" t="str">
            <v>N2-b3</v>
          </cell>
          <cell r="J977">
            <v>30</v>
          </cell>
          <cell r="K977" t="str">
            <v>71</v>
          </cell>
        </row>
        <row r="978">
          <cell r="A978" t="str">
            <v>10-25</v>
          </cell>
          <cell r="B978">
            <v>601</v>
          </cell>
          <cell r="C978" t="str">
            <v>C1.DK.10.25</v>
          </cell>
          <cell r="D978" t="str">
            <v>DK</v>
          </cell>
          <cell r="E978" t="str">
            <v>G-165</v>
          </cell>
          <cell r="F978" t="str">
            <v>DK071</v>
          </cell>
          <cell r="G978" t="str">
            <v>N2</v>
          </cell>
          <cell r="H978" t="str">
            <v>b1</v>
          </cell>
          <cell r="I978" t="str">
            <v>N2-b1</v>
          </cell>
          <cell r="J978">
            <v>10</v>
          </cell>
          <cell r="K978" t="str">
            <v>25</v>
          </cell>
        </row>
        <row r="979">
          <cell r="A979" t="str">
            <v>10-36</v>
          </cell>
          <cell r="B979">
            <v>612</v>
          </cell>
          <cell r="C979" t="str">
            <v>C1.DK.10.36</v>
          </cell>
          <cell r="D979" t="str">
            <v>DK</v>
          </cell>
          <cell r="E979" t="str">
            <v>G-165</v>
          </cell>
          <cell r="F979" t="str">
            <v>DK071</v>
          </cell>
          <cell r="G979" t="str">
            <v>N2</v>
          </cell>
          <cell r="H979" t="str">
            <v>b2</v>
          </cell>
          <cell r="I979" t="str">
            <v>N2-b2</v>
          </cell>
          <cell r="J979">
            <v>10</v>
          </cell>
          <cell r="K979" t="str">
            <v>36</v>
          </cell>
        </row>
        <row r="980">
          <cell r="A980" t="str">
            <v>12-09</v>
          </cell>
          <cell r="B980">
            <v>713</v>
          </cell>
          <cell r="C980" t="str">
            <v>C1.DK.12.09</v>
          </cell>
          <cell r="D980" t="str">
            <v>DK</v>
          </cell>
          <cell r="E980" t="str">
            <v>G-165</v>
          </cell>
          <cell r="F980" t="str">
            <v>DK071</v>
          </cell>
          <cell r="G980" t="str">
            <v>N1</v>
          </cell>
          <cell r="H980" t="str">
            <v>b1</v>
          </cell>
          <cell r="I980" t="str">
            <v>N1-b1</v>
          </cell>
          <cell r="J980">
            <v>12</v>
          </cell>
          <cell r="K980" t="str">
            <v>09</v>
          </cell>
        </row>
        <row r="981">
          <cell r="A981" t="str">
            <v>14-48</v>
          </cell>
          <cell r="B981">
            <v>880</v>
          </cell>
          <cell r="C981" t="str">
            <v>C1.DK.14.48</v>
          </cell>
          <cell r="D981" t="str">
            <v>DK</v>
          </cell>
          <cell r="E981" t="str">
            <v>G-165</v>
          </cell>
          <cell r="F981" t="str">
            <v>DK071</v>
          </cell>
          <cell r="G981" t="str">
            <v>N1</v>
          </cell>
          <cell r="H981" t="str">
            <v>b2</v>
          </cell>
          <cell r="I981" t="str">
            <v>N1-b2</v>
          </cell>
          <cell r="J981">
            <v>14</v>
          </cell>
          <cell r="K981" t="str">
            <v>48</v>
          </cell>
        </row>
        <row r="982">
          <cell r="A982" t="str">
            <v>25-75</v>
          </cell>
          <cell r="B982">
            <v>1167</v>
          </cell>
          <cell r="C982" t="str">
            <v>C1.DK.25.75</v>
          </cell>
          <cell r="D982" t="str">
            <v>DK</v>
          </cell>
          <cell r="E982" t="str">
            <v>G-165</v>
          </cell>
          <cell r="F982" t="str">
            <v>DK071</v>
          </cell>
          <cell r="G982" t="str">
            <v>N1</v>
          </cell>
          <cell r="H982" t="str">
            <v>b3</v>
          </cell>
          <cell r="I982" t="str">
            <v>N1-b3</v>
          </cell>
          <cell r="J982">
            <v>25</v>
          </cell>
          <cell r="K982" t="str">
            <v>75</v>
          </cell>
        </row>
        <row r="983">
          <cell r="A983" t="str">
            <v>31-67</v>
          </cell>
          <cell r="B983">
            <v>1315</v>
          </cell>
          <cell r="C983" t="str">
            <v>C1.DK.31.67</v>
          </cell>
          <cell r="D983" t="str">
            <v>DK</v>
          </cell>
          <cell r="E983" t="str">
            <v>G-165</v>
          </cell>
          <cell r="F983" t="str">
            <v>DK071</v>
          </cell>
          <cell r="G983" t="str">
            <v>N2</v>
          </cell>
          <cell r="H983" t="str">
            <v>b3</v>
          </cell>
          <cell r="I983" t="str">
            <v>N2-b3</v>
          </cell>
          <cell r="J983">
            <v>31</v>
          </cell>
          <cell r="K983" t="str">
            <v>67</v>
          </cell>
        </row>
        <row r="984">
          <cell r="A984" t="str">
            <v>10-47</v>
          </cell>
          <cell r="B984">
            <v>623</v>
          </cell>
          <cell r="C984" t="str">
            <v>C1.DK.10.47</v>
          </cell>
          <cell r="D984" t="str">
            <v>DK</v>
          </cell>
          <cell r="E984" t="str">
            <v>G-166</v>
          </cell>
          <cell r="F984" t="str">
            <v>DK074</v>
          </cell>
          <cell r="G984" t="str">
            <v>N2</v>
          </cell>
          <cell r="H984" t="str">
            <v>b2</v>
          </cell>
          <cell r="I984" t="str">
            <v>N2-b2</v>
          </cell>
          <cell r="J984">
            <v>10</v>
          </cell>
          <cell r="K984" t="str">
            <v>47</v>
          </cell>
        </row>
        <row r="985">
          <cell r="A985" t="str">
            <v>11-14</v>
          </cell>
          <cell r="B985">
            <v>654</v>
          </cell>
          <cell r="C985" t="str">
            <v>C1.DK.11.14</v>
          </cell>
          <cell r="D985" t="str">
            <v>DK</v>
          </cell>
          <cell r="E985" t="str">
            <v>G-166</v>
          </cell>
          <cell r="F985" t="str">
            <v>DK074</v>
          </cell>
          <cell r="G985" t="str">
            <v>N2</v>
          </cell>
          <cell r="H985" t="str">
            <v>b1</v>
          </cell>
          <cell r="I985" t="str">
            <v>N2-b1</v>
          </cell>
          <cell r="J985">
            <v>11</v>
          </cell>
          <cell r="K985" t="str">
            <v>14</v>
          </cell>
        </row>
        <row r="986">
          <cell r="A986" t="str">
            <v>12-05</v>
          </cell>
          <cell r="B986">
            <v>709</v>
          </cell>
          <cell r="C986" t="str">
            <v>C1.DK.12.05</v>
          </cell>
          <cell r="D986" t="str">
            <v>DK</v>
          </cell>
          <cell r="E986" t="str">
            <v>G-166</v>
          </cell>
          <cell r="F986" t="str">
            <v>DK074</v>
          </cell>
          <cell r="G986" t="str">
            <v>N1</v>
          </cell>
          <cell r="H986" t="str">
            <v>b1</v>
          </cell>
          <cell r="I986" t="str">
            <v>N1-b1</v>
          </cell>
          <cell r="J986">
            <v>12</v>
          </cell>
          <cell r="K986" t="str">
            <v>05</v>
          </cell>
        </row>
        <row r="987">
          <cell r="A987" t="str">
            <v>13-54</v>
          </cell>
          <cell r="B987">
            <v>822</v>
          </cell>
          <cell r="C987" t="str">
            <v>C1.DK.13.54</v>
          </cell>
          <cell r="D987" t="str">
            <v>DK</v>
          </cell>
          <cell r="E987" t="str">
            <v>G-166</v>
          </cell>
          <cell r="F987" t="str">
            <v>DK074</v>
          </cell>
          <cell r="G987" t="str">
            <v>N1</v>
          </cell>
          <cell r="H987" t="str">
            <v>b2</v>
          </cell>
          <cell r="I987" t="str">
            <v>N1-b2</v>
          </cell>
          <cell r="J987">
            <v>13</v>
          </cell>
          <cell r="K987" t="str">
            <v>54</v>
          </cell>
        </row>
        <row r="988">
          <cell r="A988" t="str">
            <v>27-76</v>
          </cell>
          <cell r="B988">
            <v>1220</v>
          </cell>
          <cell r="C988" t="str">
            <v>C1.DK.27.76</v>
          </cell>
          <cell r="D988" t="str">
            <v>DK</v>
          </cell>
          <cell r="E988" t="str">
            <v>G-166</v>
          </cell>
          <cell r="F988" t="str">
            <v>DK074</v>
          </cell>
          <cell r="G988" t="str">
            <v>N1</v>
          </cell>
          <cell r="H988" t="str">
            <v>b3</v>
          </cell>
          <cell r="I988" t="str">
            <v>N1-b3</v>
          </cell>
          <cell r="J988">
            <v>27</v>
          </cell>
          <cell r="K988" t="str">
            <v>76</v>
          </cell>
        </row>
        <row r="989">
          <cell r="A989" t="str">
            <v>30-89</v>
          </cell>
          <cell r="B989">
            <v>1311</v>
          </cell>
          <cell r="C989" t="str">
            <v>C1.DK.30.89</v>
          </cell>
          <cell r="D989" t="str">
            <v>DK</v>
          </cell>
          <cell r="E989" t="str">
            <v>G-166</v>
          </cell>
          <cell r="F989" t="str">
            <v>DK074</v>
          </cell>
          <cell r="G989" t="str">
            <v>N2</v>
          </cell>
          <cell r="H989" t="str">
            <v>b3</v>
          </cell>
          <cell r="I989" t="str">
            <v>N2-b3</v>
          </cell>
          <cell r="J989">
            <v>30</v>
          </cell>
          <cell r="K989" t="str">
            <v>89</v>
          </cell>
        </row>
        <row r="990">
          <cell r="A990" t="str">
            <v>09-19</v>
          </cell>
          <cell r="B990">
            <v>531</v>
          </cell>
          <cell r="C990" t="str">
            <v>C1.DK.09.19</v>
          </cell>
          <cell r="D990" t="str">
            <v>DK</v>
          </cell>
          <cell r="E990" t="str">
            <v>G-167</v>
          </cell>
          <cell r="F990" t="str">
            <v>DK075</v>
          </cell>
          <cell r="G990" t="str">
            <v>N2</v>
          </cell>
          <cell r="H990" t="str">
            <v>b1</v>
          </cell>
          <cell r="I990" t="str">
            <v>N2-b1</v>
          </cell>
          <cell r="J990" t="str">
            <v>09</v>
          </cell>
          <cell r="K990" t="str">
            <v>19</v>
          </cell>
        </row>
        <row r="991">
          <cell r="A991" t="str">
            <v>09-43</v>
          </cell>
          <cell r="B991">
            <v>555</v>
          </cell>
          <cell r="C991" t="str">
            <v>C1.DK.09.43</v>
          </cell>
          <cell r="D991" t="str">
            <v>DK</v>
          </cell>
          <cell r="E991" t="str">
            <v>G-167</v>
          </cell>
          <cell r="F991" t="str">
            <v>DK075</v>
          </cell>
          <cell r="G991" t="str">
            <v>N2</v>
          </cell>
          <cell r="H991" t="str">
            <v>b2</v>
          </cell>
          <cell r="I991" t="str">
            <v>N2-b2</v>
          </cell>
          <cell r="J991" t="str">
            <v>09</v>
          </cell>
          <cell r="K991" t="str">
            <v>43</v>
          </cell>
        </row>
        <row r="992">
          <cell r="A992" t="str">
            <v>12-63</v>
          </cell>
          <cell r="B992">
            <v>767</v>
          </cell>
          <cell r="C992" t="str">
            <v>C1.DK.12.63</v>
          </cell>
          <cell r="D992" t="str">
            <v>DK</v>
          </cell>
          <cell r="E992" t="str">
            <v>G-167</v>
          </cell>
          <cell r="F992" t="str">
            <v>DK075</v>
          </cell>
          <cell r="G992" t="str">
            <v>N1</v>
          </cell>
          <cell r="H992" t="str">
            <v>b2</v>
          </cell>
          <cell r="I992" t="str">
            <v>N1-b2</v>
          </cell>
          <cell r="J992">
            <v>12</v>
          </cell>
          <cell r="K992" t="str">
            <v>63</v>
          </cell>
        </row>
        <row r="993">
          <cell r="A993" t="str">
            <v>14-06</v>
          </cell>
          <cell r="B993">
            <v>838</v>
          </cell>
          <cell r="C993" t="str">
            <v>C1.DK.14.06</v>
          </cell>
          <cell r="D993" t="str">
            <v>DK</v>
          </cell>
          <cell r="E993" t="str">
            <v>G-167</v>
          </cell>
          <cell r="F993" t="str">
            <v>DK075</v>
          </cell>
          <cell r="G993" t="str">
            <v>N1</v>
          </cell>
          <cell r="H993" t="str">
            <v>b1</v>
          </cell>
          <cell r="I993" t="str">
            <v>N1-b1</v>
          </cell>
          <cell r="J993">
            <v>14</v>
          </cell>
          <cell r="K993" t="str">
            <v>06</v>
          </cell>
        </row>
        <row r="994">
          <cell r="A994" t="str">
            <v>25-71</v>
          </cell>
          <cell r="B994">
            <v>1163</v>
          </cell>
          <cell r="C994" t="str">
            <v>C1.DK.25.71</v>
          </cell>
          <cell r="D994" t="str">
            <v>DK</v>
          </cell>
          <cell r="E994" t="str">
            <v>G-167</v>
          </cell>
          <cell r="F994" t="str">
            <v>DK075</v>
          </cell>
          <cell r="G994" t="str">
            <v>N1</v>
          </cell>
          <cell r="H994" t="str">
            <v>b3</v>
          </cell>
          <cell r="I994" t="str">
            <v>N1-b3</v>
          </cell>
          <cell r="J994">
            <v>25</v>
          </cell>
          <cell r="K994" t="str">
            <v>71</v>
          </cell>
        </row>
        <row r="995">
          <cell r="A995" t="str">
            <v>32-83</v>
          </cell>
          <cell r="B995">
            <v>1357</v>
          </cell>
          <cell r="C995" t="str">
            <v>C1.DK.32.83</v>
          </cell>
          <cell r="D995" t="str">
            <v>DK</v>
          </cell>
          <cell r="E995" t="str">
            <v>G-167</v>
          </cell>
          <cell r="F995" t="str">
            <v>DK075</v>
          </cell>
          <cell r="G995" t="str">
            <v>N2</v>
          </cell>
          <cell r="H995" t="str">
            <v>b3</v>
          </cell>
          <cell r="I995" t="str">
            <v>N2-b3</v>
          </cell>
          <cell r="J995">
            <v>32</v>
          </cell>
          <cell r="K995" t="str">
            <v>83</v>
          </cell>
        </row>
        <row r="996">
          <cell r="A996" t="str">
            <v>10-14</v>
          </cell>
          <cell r="B996">
            <v>590</v>
          </cell>
          <cell r="C996" t="str">
            <v>C1.DK.10.14</v>
          </cell>
          <cell r="D996" t="str">
            <v>DK</v>
          </cell>
          <cell r="E996" t="str">
            <v>G-168</v>
          </cell>
          <cell r="F996" t="str">
            <v>DK079</v>
          </cell>
          <cell r="G996" t="str">
            <v>N2</v>
          </cell>
          <cell r="H996" t="str">
            <v>b1</v>
          </cell>
          <cell r="I996" t="str">
            <v>N2-b1</v>
          </cell>
          <cell r="J996">
            <v>10</v>
          </cell>
          <cell r="K996" t="str">
            <v>14</v>
          </cell>
        </row>
        <row r="997">
          <cell r="A997" t="str">
            <v>10-42</v>
          </cell>
          <cell r="B997">
            <v>618</v>
          </cell>
          <cell r="C997" t="str">
            <v>C1.DK.10.42</v>
          </cell>
          <cell r="D997" t="str">
            <v>DK</v>
          </cell>
          <cell r="E997" t="str">
            <v>G-168</v>
          </cell>
          <cell r="F997" t="str">
            <v>DK079</v>
          </cell>
          <cell r="G997" t="str">
            <v>N2</v>
          </cell>
          <cell r="H997" t="str">
            <v>b2</v>
          </cell>
          <cell r="I997" t="str">
            <v>N2-b2</v>
          </cell>
          <cell r="J997">
            <v>10</v>
          </cell>
          <cell r="K997" t="str">
            <v>42</v>
          </cell>
        </row>
        <row r="998">
          <cell r="A998" t="str">
            <v>13-31</v>
          </cell>
          <cell r="B998">
            <v>799</v>
          </cell>
          <cell r="C998" t="str">
            <v>C1.DK.13.31</v>
          </cell>
          <cell r="D998" t="str">
            <v>DK</v>
          </cell>
          <cell r="E998" t="str">
            <v>G-168</v>
          </cell>
          <cell r="F998" t="str">
            <v>DK079</v>
          </cell>
          <cell r="G998" t="str">
            <v>N1</v>
          </cell>
          <cell r="H998" t="str">
            <v>b1</v>
          </cell>
          <cell r="I998" t="str">
            <v>N1-b1</v>
          </cell>
          <cell r="J998">
            <v>13</v>
          </cell>
          <cell r="K998" t="str">
            <v>31</v>
          </cell>
        </row>
        <row r="999">
          <cell r="A999" t="str">
            <v>14-37</v>
          </cell>
          <cell r="B999">
            <v>869</v>
          </cell>
          <cell r="C999" t="str">
            <v>C1.DK.14.37</v>
          </cell>
          <cell r="D999" t="str">
            <v>DK</v>
          </cell>
          <cell r="E999" t="str">
            <v>G-168</v>
          </cell>
          <cell r="F999" t="str">
            <v>DK079</v>
          </cell>
          <cell r="G999" t="str">
            <v>N1</v>
          </cell>
          <cell r="H999" t="str">
            <v>b2</v>
          </cell>
          <cell r="I999" t="str">
            <v>N1-b2</v>
          </cell>
          <cell r="J999">
            <v>14</v>
          </cell>
          <cell r="K999" t="str">
            <v>37</v>
          </cell>
        </row>
        <row r="1000">
          <cell r="A1000" t="str">
            <v>27-83</v>
          </cell>
          <cell r="B1000">
            <v>1227</v>
          </cell>
          <cell r="C1000" t="str">
            <v>C1.DK.27.83</v>
          </cell>
          <cell r="D1000" t="str">
            <v>DK</v>
          </cell>
          <cell r="E1000" t="str">
            <v>G-168</v>
          </cell>
          <cell r="F1000" t="str">
            <v>DK079</v>
          </cell>
          <cell r="G1000" t="str">
            <v>N1</v>
          </cell>
          <cell r="H1000" t="str">
            <v>b3</v>
          </cell>
          <cell r="I1000" t="str">
            <v>N1-b3</v>
          </cell>
          <cell r="J1000">
            <v>27</v>
          </cell>
          <cell r="K1000" t="str">
            <v>83</v>
          </cell>
        </row>
        <row r="1001">
          <cell r="A1001" t="str">
            <v>31-81</v>
          </cell>
          <cell r="B1001">
            <v>1329</v>
          </cell>
          <cell r="C1001" t="str">
            <v>C1.DK.31.81</v>
          </cell>
          <cell r="D1001" t="str">
            <v>DK</v>
          </cell>
          <cell r="E1001" t="str">
            <v>G-168</v>
          </cell>
          <cell r="F1001" t="str">
            <v>DK079</v>
          </cell>
          <cell r="G1001" t="str">
            <v>N2</v>
          </cell>
          <cell r="H1001" t="str">
            <v>b3</v>
          </cell>
          <cell r="I1001" t="str">
            <v>N2-b3</v>
          </cell>
          <cell r="J1001">
            <v>31</v>
          </cell>
          <cell r="K1001" t="str">
            <v>81</v>
          </cell>
        </row>
        <row r="1002">
          <cell r="A1002" t="str">
            <v>09-29</v>
          </cell>
          <cell r="B1002">
            <v>541</v>
          </cell>
          <cell r="C1002" t="str">
            <v>C1.DK.09.29</v>
          </cell>
          <cell r="D1002" t="str">
            <v>DK</v>
          </cell>
          <cell r="E1002" t="str">
            <v>G-169</v>
          </cell>
          <cell r="F1002" t="str">
            <v>DK080</v>
          </cell>
          <cell r="G1002" t="str">
            <v>N2</v>
          </cell>
          <cell r="H1002" t="str">
            <v>b1</v>
          </cell>
          <cell r="I1002" t="str">
            <v>N2-b1</v>
          </cell>
          <cell r="J1002" t="str">
            <v>09</v>
          </cell>
          <cell r="K1002" t="str">
            <v>29</v>
          </cell>
        </row>
        <row r="1003">
          <cell r="A1003" t="str">
            <v>09-63</v>
          </cell>
          <cell r="B1003">
            <v>575</v>
          </cell>
          <cell r="C1003" t="str">
            <v>C1.DK.09.63</v>
          </cell>
          <cell r="D1003" t="str">
            <v>DK</v>
          </cell>
          <cell r="E1003" t="str">
            <v>G-169</v>
          </cell>
          <cell r="F1003" t="str">
            <v>DK080</v>
          </cell>
          <cell r="G1003" t="str">
            <v>N2</v>
          </cell>
          <cell r="H1003" t="str">
            <v>b2</v>
          </cell>
          <cell r="I1003" t="str">
            <v>N2-b2</v>
          </cell>
          <cell r="J1003" t="str">
            <v>09</v>
          </cell>
          <cell r="K1003" t="str">
            <v>63</v>
          </cell>
        </row>
        <row r="1004">
          <cell r="A1004" t="str">
            <v>12-18</v>
          </cell>
          <cell r="B1004">
            <v>722</v>
          </cell>
          <cell r="C1004" t="str">
            <v>C1.DK.12.18</v>
          </cell>
          <cell r="D1004" t="str">
            <v>DK</v>
          </cell>
          <cell r="E1004" t="str">
            <v>G-169</v>
          </cell>
          <cell r="F1004" t="str">
            <v>DK080</v>
          </cell>
          <cell r="G1004" t="str">
            <v>N1</v>
          </cell>
          <cell r="H1004" t="str">
            <v>b1</v>
          </cell>
          <cell r="I1004" t="str">
            <v>N1-b1</v>
          </cell>
          <cell r="J1004">
            <v>12</v>
          </cell>
          <cell r="K1004" t="str">
            <v>18</v>
          </cell>
        </row>
        <row r="1005">
          <cell r="A1005" t="str">
            <v>12-38</v>
          </cell>
          <cell r="B1005">
            <v>742</v>
          </cell>
          <cell r="C1005" t="str">
            <v>C1.DK.12.38</v>
          </cell>
          <cell r="D1005" t="str">
            <v>DK</v>
          </cell>
          <cell r="E1005" t="str">
            <v>G-169</v>
          </cell>
          <cell r="F1005" t="str">
            <v>DK080</v>
          </cell>
          <cell r="G1005" t="str">
            <v>N1</v>
          </cell>
          <cell r="H1005" t="str">
            <v>b2</v>
          </cell>
          <cell r="I1005" t="str">
            <v>N1-b2</v>
          </cell>
          <cell r="J1005">
            <v>12</v>
          </cell>
          <cell r="K1005" t="str">
            <v>38</v>
          </cell>
        </row>
        <row r="1006">
          <cell r="A1006" t="str">
            <v>28-90</v>
          </cell>
          <cell r="B1006">
            <v>1260</v>
          </cell>
          <cell r="C1006" t="str">
            <v>C1.DK.28.90</v>
          </cell>
          <cell r="D1006" t="str">
            <v>DK</v>
          </cell>
          <cell r="E1006" t="str">
            <v>G-169</v>
          </cell>
          <cell r="F1006" t="str">
            <v>DK080</v>
          </cell>
          <cell r="G1006" t="str">
            <v>N1</v>
          </cell>
          <cell r="H1006" t="str">
            <v>b3</v>
          </cell>
          <cell r="I1006" t="str">
            <v>N1-b3</v>
          </cell>
          <cell r="J1006">
            <v>28</v>
          </cell>
          <cell r="K1006" t="str">
            <v>90</v>
          </cell>
        </row>
        <row r="1007">
          <cell r="A1007" t="str">
            <v>31-84</v>
          </cell>
          <cell r="B1007">
            <v>1332</v>
          </cell>
          <cell r="C1007" t="str">
            <v>C1.DK.31.84</v>
          </cell>
          <cell r="D1007" t="str">
            <v>DK</v>
          </cell>
          <cell r="E1007" t="str">
            <v>G-169</v>
          </cell>
          <cell r="F1007" t="str">
            <v>DK080</v>
          </cell>
          <cell r="G1007" t="str">
            <v>N2</v>
          </cell>
          <cell r="H1007" t="str">
            <v>b3</v>
          </cell>
          <cell r="I1007" t="str">
            <v>N2-b3</v>
          </cell>
          <cell r="J1007">
            <v>31</v>
          </cell>
          <cell r="K1007" t="str">
            <v>84</v>
          </cell>
        </row>
        <row r="1008">
          <cell r="A1008" t="str">
            <v>10-33</v>
          </cell>
          <cell r="B1008">
            <v>609</v>
          </cell>
          <cell r="C1008" t="str">
            <v>C1.DK.10.33</v>
          </cell>
          <cell r="D1008" t="str">
            <v>DK</v>
          </cell>
          <cell r="E1008" t="str">
            <v>G-170</v>
          </cell>
          <cell r="F1008" t="str">
            <v>DK081</v>
          </cell>
          <cell r="G1008" t="str">
            <v>N2</v>
          </cell>
          <cell r="H1008" t="str">
            <v>b2</v>
          </cell>
          <cell r="I1008" t="str">
            <v>N2-b2</v>
          </cell>
          <cell r="J1008">
            <v>10</v>
          </cell>
          <cell r="K1008" t="str">
            <v>33</v>
          </cell>
        </row>
        <row r="1009">
          <cell r="A1009" t="str">
            <v>11-24</v>
          </cell>
          <cell r="B1009">
            <v>664</v>
          </cell>
          <cell r="C1009" t="str">
            <v>C1.DK.11.24</v>
          </cell>
          <cell r="D1009" t="str">
            <v>DK</v>
          </cell>
          <cell r="E1009" t="str">
            <v>G-170</v>
          </cell>
          <cell r="F1009" t="str">
            <v>DK081</v>
          </cell>
          <cell r="G1009" t="str">
            <v>N2</v>
          </cell>
          <cell r="H1009" t="str">
            <v>b1</v>
          </cell>
          <cell r="I1009" t="str">
            <v>N2-b1</v>
          </cell>
          <cell r="J1009">
            <v>11</v>
          </cell>
          <cell r="K1009" t="str">
            <v>24</v>
          </cell>
        </row>
        <row r="1010">
          <cell r="A1010" t="str">
            <v>12-16</v>
          </cell>
          <cell r="B1010">
            <v>720</v>
          </cell>
          <cell r="C1010" t="str">
            <v>C1.DK.12.16</v>
          </cell>
          <cell r="D1010" t="str">
            <v>DK</v>
          </cell>
          <cell r="E1010" t="str">
            <v>G-170</v>
          </cell>
          <cell r="F1010" t="str">
            <v>DK081</v>
          </cell>
          <cell r="G1010" t="str">
            <v>N1</v>
          </cell>
          <cell r="H1010" t="str">
            <v>b1</v>
          </cell>
          <cell r="I1010" t="str">
            <v>N1-b1</v>
          </cell>
          <cell r="J1010">
            <v>12</v>
          </cell>
          <cell r="K1010" t="str">
            <v>16</v>
          </cell>
        </row>
        <row r="1011">
          <cell r="A1011" t="str">
            <v>13-40</v>
          </cell>
          <cell r="B1011">
            <v>808</v>
          </cell>
          <cell r="C1011" t="str">
            <v>C1.DK.13.40</v>
          </cell>
          <cell r="D1011" t="str">
            <v>DK</v>
          </cell>
          <cell r="E1011" t="str">
            <v>G-170</v>
          </cell>
          <cell r="F1011" t="str">
            <v>DK081</v>
          </cell>
          <cell r="G1011" t="str">
            <v>N1</v>
          </cell>
          <cell r="H1011" t="str">
            <v>b2</v>
          </cell>
          <cell r="I1011" t="str">
            <v>N1-b2</v>
          </cell>
          <cell r="J1011">
            <v>13</v>
          </cell>
          <cell r="K1011" t="str">
            <v>40</v>
          </cell>
        </row>
        <row r="1012">
          <cell r="A1012" t="str">
            <v>27-77</v>
          </cell>
          <cell r="B1012">
            <v>1221</v>
          </cell>
          <cell r="C1012" t="str">
            <v>C1.DK.27.77</v>
          </cell>
          <cell r="D1012" t="str">
            <v>DK</v>
          </cell>
          <cell r="E1012" t="str">
            <v>G-170</v>
          </cell>
          <cell r="F1012" t="str">
            <v>DK081</v>
          </cell>
          <cell r="G1012" t="str">
            <v>N1</v>
          </cell>
          <cell r="H1012" t="str">
            <v>b3</v>
          </cell>
          <cell r="I1012" t="str">
            <v>N1-b3</v>
          </cell>
          <cell r="J1012">
            <v>27</v>
          </cell>
          <cell r="K1012" t="str">
            <v>77</v>
          </cell>
        </row>
        <row r="1013">
          <cell r="A1013" t="str">
            <v>32-90</v>
          </cell>
          <cell r="B1013">
            <v>1364</v>
          </cell>
          <cell r="C1013" t="str">
            <v>C1.DK.32.90</v>
          </cell>
          <cell r="D1013" t="str">
            <v>DK</v>
          </cell>
          <cell r="E1013" t="str">
            <v>G-170</v>
          </cell>
          <cell r="F1013" t="str">
            <v>DK081</v>
          </cell>
          <cell r="G1013" t="str">
            <v>N2</v>
          </cell>
          <cell r="H1013" t="str">
            <v>b3</v>
          </cell>
          <cell r="I1013" t="str">
            <v>N2-b3</v>
          </cell>
          <cell r="J1013">
            <v>32</v>
          </cell>
          <cell r="K1013" t="str">
            <v>90</v>
          </cell>
        </row>
        <row r="1014">
          <cell r="A1014" t="str">
            <v>10-60</v>
          </cell>
          <cell r="B1014">
            <v>636</v>
          </cell>
          <cell r="C1014" t="str">
            <v>C1.DK.10.60</v>
          </cell>
          <cell r="D1014" t="str">
            <v>DK</v>
          </cell>
          <cell r="E1014" t="str">
            <v>G-171</v>
          </cell>
          <cell r="F1014" t="str">
            <v>DK082</v>
          </cell>
          <cell r="G1014" t="str">
            <v>N2</v>
          </cell>
          <cell r="H1014" t="str">
            <v>b2</v>
          </cell>
          <cell r="I1014" t="str">
            <v>N2-b2</v>
          </cell>
          <cell r="J1014">
            <v>10</v>
          </cell>
          <cell r="K1014" t="str">
            <v>60</v>
          </cell>
        </row>
        <row r="1015">
          <cell r="A1015" t="str">
            <v>11-17</v>
          </cell>
          <cell r="B1015">
            <v>657</v>
          </cell>
          <cell r="C1015" t="str">
            <v>C1.DK.11.17</v>
          </cell>
          <cell r="D1015" t="str">
            <v>DK</v>
          </cell>
          <cell r="E1015" t="str">
            <v>G-171</v>
          </cell>
          <cell r="F1015" t="str">
            <v>DK082</v>
          </cell>
          <cell r="G1015" t="str">
            <v>N2</v>
          </cell>
          <cell r="H1015" t="str">
            <v>b1</v>
          </cell>
          <cell r="I1015" t="str">
            <v>N2-b1</v>
          </cell>
          <cell r="J1015">
            <v>11</v>
          </cell>
          <cell r="K1015" t="str">
            <v>17</v>
          </cell>
        </row>
        <row r="1016">
          <cell r="A1016" t="str">
            <v>12-28</v>
          </cell>
          <cell r="B1016">
            <v>732</v>
          </cell>
          <cell r="C1016" t="str">
            <v>C1.DK.12.28</v>
          </cell>
          <cell r="D1016" t="str">
            <v>DK</v>
          </cell>
          <cell r="E1016" t="str">
            <v>G-171</v>
          </cell>
          <cell r="F1016" t="str">
            <v>DK082</v>
          </cell>
          <cell r="G1016" t="str">
            <v>N1</v>
          </cell>
          <cell r="H1016" t="str">
            <v>b1</v>
          </cell>
          <cell r="I1016" t="str">
            <v>N1-b1</v>
          </cell>
          <cell r="J1016">
            <v>12</v>
          </cell>
          <cell r="K1016" t="str">
            <v>28</v>
          </cell>
        </row>
        <row r="1017">
          <cell r="A1017" t="str">
            <v>12-36</v>
          </cell>
          <cell r="B1017">
            <v>740</v>
          </cell>
          <cell r="C1017" t="str">
            <v>C1.DK.12.36</v>
          </cell>
          <cell r="D1017" t="str">
            <v>DK</v>
          </cell>
          <cell r="E1017" t="str">
            <v>G-171</v>
          </cell>
          <cell r="F1017" t="str">
            <v>DK082</v>
          </cell>
          <cell r="G1017" t="str">
            <v>N1</v>
          </cell>
          <cell r="H1017" t="str">
            <v>b2</v>
          </cell>
          <cell r="I1017" t="str">
            <v>N1-b2</v>
          </cell>
          <cell r="J1017">
            <v>12</v>
          </cell>
          <cell r="K1017" t="str">
            <v>36</v>
          </cell>
        </row>
        <row r="1018">
          <cell r="A1018" t="str">
            <v>28-89</v>
          </cell>
          <cell r="B1018">
            <v>1259</v>
          </cell>
          <cell r="C1018" t="str">
            <v>C1.DK.28.89</v>
          </cell>
          <cell r="D1018" t="str">
            <v>DK</v>
          </cell>
          <cell r="E1018" t="str">
            <v>G-171</v>
          </cell>
          <cell r="F1018" t="str">
            <v>DK082</v>
          </cell>
          <cell r="G1018" t="str">
            <v>N1</v>
          </cell>
          <cell r="H1018" t="str">
            <v>b3</v>
          </cell>
          <cell r="I1018" t="str">
            <v>N1-b3</v>
          </cell>
          <cell r="J1018">
            <v>28</v>
          </cell>
          <cell r="K1018" t="str">
            <v>89</v>
          </cell>
        </row>
        <row r="1019">
          <cell r="A1019" t="str">
            <v>29-78</v>
          </cell>
          <cell r="B1019">
            <v>1274</v>
          </cell>
          <cell r="C1019" t="str">
            <v>C1.DK.29.78</v>
          </cell>
          <cell r="D1019" t="str">
            <v>DK</v>
          </cell>
          <cell r="E1019" t="str">
            <v>G-171</v>
          </cell>
          <cell r="F1019" t="str">
            <v>DK082</v>
          </cell>
          <cell r="G1019" t="str">
            <v>N2</v>
          </cell>
          <cell r="H1019" t="str">
            <v>b3</v>
          </cell>
          <cell r="I1019" t="str">
            <v>N2-b3</v>
          </cell>
          <cell r="J1019">
            <v>29</v>
          </cell>
          <cell r="K1019" t="str">
            <v>78</v>
          </cell>
        </row>
        <row r="1020">
          <cell r="A1020" t="str">
            <v>09-34</v>
          </cell>
          <cell r="B1020">
            <v>546</v>
          </cell>
          <cell r="C1020" t="str">
            <v>C1.DK.09.34</v>
          </cell>
          <cell r="D1020" t="str">
            <v>DK</v>
          </cell>
          <cell r="E1020" t="str">
            <v>G-172</v>
          </cell>
          <cell r="F1020" t="str">
            <v>DK084</v>
          </cell>
          <cell r="G1020" t="str">
            <v>N2</v>
          </cell>
          <cell r="H1020" t="str">
            <v>b2</v>
          </cell>
          <cell r="I1020" t="str">
            <v>N2-b2</v>
          </cell>
          <cell r="J1020" t="str">
            <v>09</v>
          </cell>
          <cell r="K1020" t="str">
            <v>34</v>
          </cell>
        </row>
        <row r="1021">
          <cell r="A1021" t="str">
            <v>10-17</v>
          </cell>
          <cell r="B1021">
            <v>593</v>
          </cell>
          <cell r="C1021" t="str">
            <v>C1.DK.10.17</v>
          </cell>
          <cell r="D1021" t="str">
            <v>DK</v>
          </cell>
          <cell r="E1021" t="str">
            <v>G-172</v>
          </cell>
          <cell r="F1021" t="str">
            <v>DK084</v>
          </cell>
          <cell r="G1021" t="str">
            <v>N2</v>
          </cell>
          <cell r="H1021" t="str">
            <v>b1</v>
          </cell>
          <cell r="I1021" t="str">
            <v>N2-b1</v>
          </cell>
          <cell r="J1021">
            <v>10</v>
          </cell>
          <cell r="K1021" t="str">
            <v>17</v>
          </cell>
        </row>
        <row r="1022">
          <cell r="A1022" t="str">
            <v>12-22</v>
          </cell>
          <cell r="B1022">
            <v>726</v>
          </cell>
          <cell r="C1022" t="str">
            <v>C1.DK.12.22</v>
          </cell>
          <cell r="D1022" t="str">
            <v>DK</v>
          </cell>
          <cell r="E1022" t="str">
            <v>G-172</v>
          </cell>
          <cell r="F1022" t="str">
            <v>DK084</v>
          </cell>
          <cell r="G1022" t="str">
            <v>N1</v>
          </cell>
          <cell r="H1022" t="str">
            <v>b1</v>
          </cell>
          <cell r="I1022" t="str">
            <v>N1-b1</v>
          </cell>
          <cell r="J1022">
            <v>12</v>
          </cell>
          <cell r="K1022" t="str">
            <v>22</v>
          </cell>
        </row>
        <row r="1023">
          <cell r="A1023" t="str">
            <v>14-45</v>
          </cell>
          <cell r="B1023">
            <v>877</v>
          </cell>
          <cell r="C1023" t="str">
            <v>C1.DK.14.45</v>
          </cell>
          <cell r="D1023" t="str">
            <v>DK</v>
          </cell>
          <cell r="E1023" t="str">
            <v>G-172</v>
          </cell>
          <cell r="F1023" t="str">
            <v>DK084</v>
          </cell>
          <cell r="G1023" t="str">
            <v>N1</v>
          </cell>
          <cell r="H1023" t="str">
            <v>b2</v>
          </cell>
          <cell r="I1023" t="str">
            <v>N1-b2</v>
          </cell>
          <cell r="J1023">
            <v>14</v>
          </cell>
          <cell r="K1023" t="str">
            <v>45</v>
          </cell>
        </row>
        <row r="1024">
          <cell r="A1024" t="str">
            <v>25-83</v>
          </cell>
          <cell r="B1024">
            <v>1175</v>
          </cell>
          <cell r="C1024" t="str">
            <v>C1.DK.25.83</v>
          </cell>
          <cell r="D1024" t="str">
            <v>DK</v>
          </cell>
          <cell r="E1024" t="str">
            <v>G-172</v>
          </cell>
          <cell r="F1024" t="str">
            <v>DK084</v>
          </cell>
          <cell r="G1024" t="str">
            <v>N1</v>
          </cell>
          <cell r="H1024" t="str">
            <v>b3</v>
          </cell>
          <cell r="I1024" t="str">
            <v>N1-b3</v>
          </cell>
          <cell r="J1024">
            <v>25</v>
          </cell>
          <cell r="K1024" t="str">
            <v>83</v>
          </cell>
        </row>
        <row r="1025">
          <cell r="A1025" t="str">
            <v>30-73</v>
          </cell>
          <cell r="B1025">
            <v>1295</v>
          </cell>
          <cell r="C1025" t="str">
            <v>C1.DK.30.73</v>
          </cell>
          <cell r="D1025" t="str">
            <v>DK</v>
          </cell>
          <cell r="E1025" t="str">
            <v>G-172</v>
          </cell>
          <cell r="F1025" t="str">
            <v>DK084</v>
          </cell>
          <cell r="G1025" t="str">
            <v>N2</v>
          </cell>
          <cell r="H1025" t="str">
            <v>b3</v>
          </cell>
          <cell r="I1025" t="str">
            <v>N2-b3</v>
          </cell>
          <cell r="J1025">
            <v>30</v>
          </cell>
          <cell r="K1025" t="str">
            <v>73</v>
          </cell>
        </row>
        <row r="1026">
          <cell r="A1026" t="str">
            <v>09-49</v>
          </cell>
          <cell r="B1026">
            <v>561</v>
          </cell>
          <cell r="C1026" t="str">
            <v>C1.DK.09.49</v>
          </cell>
          <cell r="D1026" t="str">
            <v>DK</v>
          </cell>
          <cell r="E1026" t="str">
            <v>G-173</v>
          </cell>
          <cell r="F1026" t="str">
            <v>DK085</v>
          </cell>
          <cell r="G1026" t="str">
            <v>N2</v>
          </cell>
          <cell r="H1026" t="str">
            <v>b2</v>
          </cell>
          <cell r="I1026" t="str">
            <v>N2-b2</v>
          </cell>
          <cell r="J1026" t="str">
            <v>09</v>
          </cell>
          <cell r="K1026" t="str">
            <v>49</v>
          </cell>
        </row>
        <row r="1027">
          <cell r="A1027" t="str">
            <v>10-28</v>
          </cell>
          <cell r="B1027">
            <v>604</v>
          </cell>
          <cell r="C1027" t="str">
            <v>C1.DK.10.28</v>
          </cell>
          <cell r="D1027" t="str">
            <v>DK</v>
          </cell>
          <cell r="E1027" t="str">
            <v>G-173</v>
          </cell>
          <cell r="F1027" t="str">
            <v>DK085</v>
          </cell>
          <cell r="G1027" t="str">
            <v>N2</v>
          </cell>
          <cell r="H1027" t="str">
            <v>b1</v>
          </cell>
          <cell r="I1027" t="str">
            <v>N2-b1</v>
          </cell>
          <cell r="J1027">
            <v>10</v>
          </cell>
          <cell r="K1027" t="str">
            <v>28</v>
          </cell>
        </row>
        <row r="1028">
          <cell r="A1028" t="str">
            <v>12-44</v>
          </cell>
          <cell r="B1028">
            <v>748</v>
          </cell>
          <cell r="C1028" t="str">
            <v>C1.DK.12.44</v>
          </cell>
          <cell r="D1028" t="str">
            <v>DK</v>
          </cell>
          <cell r="E1028" t="str">
            <v>G-173</v>
          </cell>
          <cell r="F1028" t="str">
            <v>DK085</v>
          </cell>
          <cell r="G1028" t="str">
            <v>N1</v>
          </cell>
          <cell r="H1028" t="str">
            <v>b2</v>
          </cell>
          <cell r="I1028" t="str">
            <v>N1-b2</v>
          </cell>
          <cell r="J1028">
            <v>12</v>
          </cell>
          <cell r="K1028" t="str">
            <v>44</v>
          </cell>
        </row>
        <row r="1029">
          <cell r="A1029" t="str">
            <v>14-12</v>
          </cell>
          <cell r="B1029">
            <v>844</v>
          </cell>
          <cell r="C1029" t="str">
            <v>C1.DK.14.12</v>
          </cell>
          <cell r="D1029" t="str">
            <v>DK</v>
          </cell>
          <cell r="E1029" t="str">
            <v>G-173</v>
          </cell>
          <cell r="F1029" t="str">
            <v>DK085</v>
          </cell>
          <cell r="G1029" t="str">
            <v>N1</v>
          </cell>
          <cell r="H1029" t="str">
            <v>b1</v>
          </cell>
          <cell r="I1029" t="str">
            <v>N1-b1</v>
          </cell>
          <cell r="J1029">
            <v>14</v>
          </cell>
          <cell r="K1029" t="str">
            <v>12</v>
          </cell>
        </row>
        <row r="1030">
          <cell r="A1030" t="str">
            <v>28-78</v>
          </cell>
          <cell r="B1030">
            <v>1248</v>
          </cell>
          <cell r="C1030" t="str">
            <v>C1.DK.28.78</v>
          </cell>
          <cell r="D1030" t="str">
            <v>DK</v>
          </cell>
          <cell r="E1030" t="str">
            <v>G-173</v>
          </cell>
          <cell r="F1030" t="str">
            <v>DK085</v>
          </cell>
          <cell r="G1030" t="str">
            <v>N1</v>
          </cell>
          <cell r="H1030" t="str">
            <v>b3</v>
          </cell>
          <cell r="I1030" t="str">
            <v>N1-b3</v>
          </cell>
          <cell r="J1030">
            <v>28</v>
          </cell>
          <cell r="K1030" t="str">
            <v>78</v>
          </cell>
        </row>
        <row r="1031">
          <cell r="A1031" t="str">
            <v>31-82</v>
          </cell>
          <cell r="B1031">
            <v>1330</v>
          </cell>
          <cell r="C1031" t="str">
            <v>C1.DK.31.82</v>
          </cell>
          <cell r="D1031" t="str">
            <v>DK</v>
          </cell>
          <cell r="E1031" t="str">
            <v>G-173</v>
          </cell>
          <cell r="F1031" t="str">
            <v>DK085</v>
          </cell>
          <cell r="G1031" t="str">
            <v>N2</v>
          </cell>
          <cell r="H1031" t="str">
            <v>b3</v>
          </cell>
          <cell r="I1031" t="str">
            <v>N2-b3</v>
          </cell>
          <cell r="J1031">
            <v>31</v>
          </cell>
          <cell r="K1031" t="str">
            <v>82</v>
          </cell>
        </row>
        <row r="1032">
          <cell r="A1032" t="str">
            <v>09-13</v>
          </cell>
          <cell r="B1032">
            <v>525</v>
          </cell>
          <cell r="C1032" t="str">
            <v>C1.DK.09.13</v>
          </cell>
          <cell r="D1032" t="str">
            <v>DK</v>
          </cell>
          <cell r="E1032" t="str">
            <v>G-174</v>
          </cell>
          <cell r="F1032" t="str">
            <v>DK086</v>
          </cell>
          <cell r="G1032" t="str">
            <v>N2</v>
          </cell>
          <cell r="H1032" t="str">
            <v>b1</v>
          </cell>
          <cell r="I1032" t="str">
            <v>N2-b1</v>
          </cell>
          <cell r="J1032" t="str">
            <v>09</v>
          </cell>
          <cell r="K1032" t="str">
            <v>13</v>
          </cell>
        </row>
        <row r="1033">
          <cell r="A1033" t="str">
            <v>09-61</v>
          </cell>
          <cell r="B1033">
            <v>573</v>
          </cell>
          <cell r="C1033" t="str">
            <v>C1.DK.09.61</v>
          </cell>
          <cell r="D1033" t="str">
            <v>DK</v>
          </cell>
          <cell r="E1033" t="str">
            <v>G-174</v>
          </cell>
          <cell r="F1033" t="str">
            <v>DK086</v>
          </cell>
          <cell r="G1033" t="str">
            <v>N2</v>
          </cell>
          <cell r="H1033" t="str">
            <v>b2</v>
          </cell>
          <cell r="I1033" t="str">
            <v>N2-b2</v>
          </cell>
          <cell r="J1033" t="str">
            <v>09</v>
          </cell>
          <cell r="K1033" t="str">
            <v>61</v>
          </cell>
        </row>
        <row r="1034">
          <cell r="A1034" t="str">
            <v>12-13</v>
          </cell>
          <cell r="B1034">
            <v>717</v>
          </cell>
          <cell r="C1034" t="str">
            <v>C1.DK.12.13</v>
          </cell>
          <cell r="D1034" t="str">
            <v>DK</v>
          </cell>
          <cell r="E1034" t="str">
            <v>G-174</v>
          </cell>
          <cell r="F1034" t="str">
            <v>DK086</v>
          </cell>
          <cell r="G1034" t="str">
            <v>N1</v>
          </cell>
          <cell r="H1034" t="str">
            <v>b1</v>
          </cell>
          <cell r="I1034" t="str">
            <v>N1-b1</v>
          </cell>
          <cell r="J1034">
            <v>12</v>
          </cell>
          <cell r="K1034" t="str">
            <v>13</v>
          </cell>
        </row>
        <row r="1035">
          <cell r="A1035" t="str">
            <v>12-50</v>
          </cell>
          <cell r="B1035">
            <v>754</v>
          </cell>
          <cell r="C1035" t="str">
            <v>C1.DK.12.50</v>
          </cell>
          <cell r="D1035" t="str">
            <v>DK</v>
          </cell>
          <cell r="E1035" t="str">
            <v>G-174</v>
          </cell>
          <cell r="F1035" t="str">
            <v>DK086</v>
          </cell>
          <cell r="G1035" t="str">
            <v>N1</v>
          </cell>
          <cell r="H1035" t="str">
            <v>b2</v>
          </cell>
          <cell r="I1035" t="str">
            <v>N1-b2</v>
          </cell>
          <cell r="J1035">
            <v>12</v>
          </cell>
          <cell r="K1035" t="str">
            <v>50</v>
          </cell>
        </row>
        <row r="1036">
          <cell r="A1036" t="str">
            <v>26-80</v>
          </cell>
          <cell r="B1036">
            <v>1198</v>
          </cell>
          <cell r="C1036" t="str">
            <v>C1.DK.26.80</v>
          </cell>
          <cell r="D1036" t="str">
            <v>DK</v>
          </cell>
          <cell r="E1036" t="str">
            <v>G-174</v>
          </cell>
          <cell r="F1036" t="str">
            <v>DK086</v>
          </cell>
          <cell r="G1036" t="str">
            <v>N1</v>
          </cell>
          <cell r="H1036" t="str">
            <v>b3</v>
          </cell>
          <cell r="I1036" t="str">
            <v>N1-b3</v>
          </cell>
          <cell r="J1036" t="str">
            <v>26</v>
          </cell>
          <cell r="K1036" t="str">
            <v>80</v>
          </cell>
        </row>
        <row r="1037">
          <cell r="A1037" t="str">
            <v>31-71</v>
          </cell>
          <cell r="B1037">
            <v>1319</v>
          </cell>
          <cell r="C1037" t="str">
            <v>C1.DK.31.71</v>
          </cell>
          <cell r="D1037" t="str">
            <v>DK</v>
          </cell>
          <cell r="E1037" t="str">
            <v>G-174</v>
          </cell>
          <cell r="F1037" t="str">
            <v>DK086</v>
          </cell>
          <cell r="G1037" t="str">
            <v>N2</v>
          </cell>
          <cell r="H1037" t="str">
            <v>b3</v>
          </cell>
          <cell r="I1037" t="str">
            <v>N2-b3</v>
          </cell>
          <cell r="J1037">
            <v>31</v>
          </cell>
          <cell r="K1037" t="str">
            <v>71</v>
          </cell>
        </row>
        <row r="1038">
          <cell r="A1038" t="str">
            <v>09-42</v>
          </cell>
          <cell r="B1038">
            <v>554</v>
          </cell>
          <cell r="C1038" t="str">
            <v>C1.DK.09.42</v>
          </cell>
          <cell r="D1038" t="str">
            <v>DK</v>
          </cell>
          <cell r="E1038" t="str">
            <v>G-175</v>
          </cell>
          <cell r="F1038" t="str">
            <v>DK091</v>
          </cell>
          <cell r="G1038" t="str">
            <v>N2</v>
          </cell>
          <cell r="H1038" t="str">
            <v>b2</v>
          </cell>
          <cell r="I1038" t="str">
            <v>N2-b2</v>
          </cell>
          <cell r="J1038" t="str">
            <v>09</v>
          </cell>
          <cell r="K1038" t="str">
            <v>42</v>
          </cell>
        </row>
        <row r="1039">
          <cell r="A1039" t="str">
            <v>10-06</v>
          </cell>
          <cell r="B1039">
            <v>582</v>
          </cell>
          <cell r="C1039" t="str">
            <v>C1.DK.10.06</v>
          </cell>
          <cell r="D1039" t="str">
            <v>DK</v>
          </cell>
          <cell r="E1039" t="str">
            <v>G-175</v>
          </cell>
          <cell r="F1039" t="str">
            <v>DK091</v>
          </cell>
          <cell r="G1039" t="str">
            <v>N2</v>
          </cell>
          <cell r="H1039" t="str">
            <v>b1</v>
          </cell>
          <cell r="I1039" t="str">
            <v>N2-b1</v>
          </cell>
          <cell r="J1039">
            <v>10</v>
          </cell>
          <cell r="K1039" t="str">
            <v>06</v>
          </cell>
        </row>
        <row r="1040">
          <cell r="A1040" t="str">
            <v>12-64</v>
          </cell>
          <cell r="B1040">
            <v>768</v>
          </cell>
          <cell r="C1040" t="str">
            <v>C1.DK.12.64</v>
          </cell>
          <cell r="D1040" t="str">
            <v>DK</v>
          </cell>
          <cell r="E1040" t="str">
            <v>G-175</v>
          </cell>
          <cell r="F1040" t="str">
            <v>DK091</v>
          </cell>
          <cell r="G1040" t="str">
            <v>N1</v>
          </cell>
          <cell r="H1040" t="str">
            <v>b2</v>
          </cell>
          <cell r="I1040" t="str">
            <v>N1-b2</v>
          </cell>
          <cell r="J1040">
            <v>12</v>
          </cell>
          <cell r="K1040" t="str">
            <v>64</v>
          </cell>
        </row>
        <row r="1041">
          <cell r="A1041" t="str">
            <v>13-25</v>
          </cell>
          <cell r="B1041">
            <v>793</v>
          </cell>
          <cell r="C1041" t="str">
            <v>C1.DK.13.25</v>
          </cell>
          <cell r="D1041" t="str">
            <v>DK</v>
          </cell>
          <cell r="E1041" t="str">
            <v>G-175</v>
          </cell>
          <cell r="F1041" t="str">
            <v>DK091</v>
          </cell>
          <cell r="G1041" t="str">
            <v>N1</v>
          </cell>
          <cell r="H1041" t="str">
            <v>b1</v>
          </cell>
          <cell r="I1041" t="str">
            <v>N1-b1</v>
          </cell>
          <cell r="J1041">
            <v>13</v>
          </cell>
          <cell r="K1041" t="str">
            <v>25</v>
          </cell>
        </row>
        <row r="1042">
          <cell r="A1042" t="str">
            <v>25-86</v>
          </cell>
          <cell r="B1042">
            <v>1178</v>
          </cell>
          <cell r="C1042" t="str">
            <v>C1.DK.25.86</v>
          </cell>
          <cell r="D1042" t="str">
            <v>DK</v>
          </cell>
          <cell r="E1042" t="str">
            <v>G-175</v>
          </cell>
          <cell r="F1042" t="str">
            <v>DK091</v>
          </cell>
          <cell r="G1042" t="str">
            <v>N1</v>
          </cell>
          <cell r="H1042" t="str">
            <v>b3</v>
          </cell>
          <cell r="I1042" t="str">
            <v>N1-b3</v>
          </cell>
          <cell r="J1042">
            <v>25</v>
          </cell>
          <cell r="K1042" t="str">
            <v>86</v>
          </cell>
        </row>
        <row r="1043">
          <cell r="A1043" t="str">
            <v>31-79</v>
          </cell>
          <cell r="B1043">
            <v>1327</v>
          </cell>
          <cell r="C1043" t="str">
            <v>C1.DK.31.79</v>
          </cell>
          <cell r="D1043" t="str">
            <v>DK</v>
          </cell>
          <cell r="E1043" t="str">
            <v>G-175</v>
          </cell>
          <cell r="F1043" t="str">
            <v>DK091</v>
          </cell>
          <cell r="G1043" t="str">
            <v>N2</v>
          </cell>
          <cell r="H1043" t="str">
            <v>b3</v>
          </cell>
          <cell r="I1043" t="str">
            <v>N2-b3</v>
          </cell>
          <cell r="J1043">
            <v>31</v>
          </cell>
          <cell r="K1043" t="str">
            <v>79</v>
          </cell>
        </row>
        <row r="1044">
          <cell r="A1044" t="str">
            <v>09-23</v>
          </cell>
          <cell r="B1044">
            <v>535</v>
          </cell>
          <cell r="C1044" t="str">
            <v>C1.DK.09.23</v>
          </cell>
          <cell r="D1044" t="str">
            <v>DK</v>
          </cell>
          <cell r="E1044" t="str">
            <v>G-176</v>
          </cell>
          <cell r="F1044" t="str">
            <v>DK093</v>
          </cell>
          <cell r="G1044" t="str">
            <v>N2</v>
          </cell>
          <cell r="H1044" t="str">
            <v>b1</v>
          </cell>
          <cell r="I1044" t="str">
            <v>N2-b1</v>
          </cell>
          <cell r="J1044" t="str">
            <v>09</v>
          </cell>
          <cell r="K1044" t="str">
            <v>23</v>
          </cell>
        </row>
        <row r="1045">
          <cell r="A1045" t="str">
            <v>10-53</v>
          </cell>
          <cell r="B1045">
            <v>629</v>
          </cell>
          <cell r="C1045" t="str">
            <v>C1.DK.10.53</v>
          </cell>
          <cell r="D1045" t="str">
            <v>DK</v>
          </cell>
          <cell r="E1045" t="str">
            <v>G-176</v>
          </cell>
          <cell r="F1045" t="str">
            <v>DK093</v>
          </cell>
          <cell r="G1045" t="str">
            <v>N2</v>
          </cell>
          <cell r="H1045" t="str">
            <v>b2</v>
          </cell>
          <cell r="I1045" t="str">
            <v>N2-b2</v>
          </cell>
          <cell r="J1045">
            <v>10</v>
          </cell>
          <cell r="K1045" t="str">
            <v>53</v>
          </cell>
        </row>
        <row r="1046">
          <cell r="A1046" t="str">
            <v>12-37</v>
          </cell>
          <cell r="B1046">
            <v>741</v>
          </cell>
          <cell r="C1046" t="str">
            <v>C1.DK.12.37</v>
          </cell>
          <cell r="D1046" t="str">
            <v>DK</v>
          </cell>
          <cell r="E1046" t="str">
            <v>G-176</v>
          </cell>
          <cell r="F1046" t="str">
            <v>DK093</v>
          </cell>
          <cell r="G1046" t="str">
            <v>N1</v>
          </cell>
          <cell r="H1046" t="str">
            <v>b2</v>
          </cell>
          <cell r="I1046" t="str">
            <v>N1-b2</v>
          </cell>
          <cell r="J1046">
            <v>12</v>
          </cell>
          <cell r="K1046" t="str">
            <v>37</v>
          </cell>
        </row>
        <row r="1047">
          <cell r="A1047" t="str">
            <v>13-27</v>
          </cell>
          <cell r="B1047">
            <v>795</v>
          </cell>
          <cell r="C1047" t="str">
            <v>C1.DK.13.27</v>
          </cell>
          <cell r="D1047" t="str">
            <v>DK</v>
          </cell>
          <cell r="E1047" t="str">
            <v>G-176</v>
          </cell>
          <cell r="F1047" t="str">
            <v>DK093</v>
          </cell>
          <cell r="G1047" t="str">
            <v>N1</v>
          </cell>
          <cell r="H1047" t="str">
            <v>b1</v>
          </cell>
          <cell r="I1047" t="str">
            <v>N1-b1</v>
          </cell>
          <cell r="J1047">
            <v>13</v>
          </cell>
          <cell r="K1047" t="str">
            <v>27</v>
          </cell>
        </row>
        <row r="1048">
          <cell r="A1048" t="str">
            <v>25-89</v>
          </cell>
          <cell r="B1048">
            <v>1181</v>
          </cell>
          <cell r="C1048" t="str">
            <v>C1.DK.25.89</v>
          </cell>
          <cell r="D1048" t="str">
            <v>DK</v>
          </cell>
          <cell r="E1048" t="str">
            <v>G-176</v>
          </cell>
          <cell r="F1048" t="str">
            <v>DK093</v>
          </cell>
          <cell r="G1048" t="str">
            <v>N1</v>
          </cell>
          <cell r="H1048" t="str">
            <v>b3</v>
          </cell>
          <cell r="I1048" t="str">
            <v>N1-b3</v>
          </cell>
          <cell r="J1048">
            <v>25</v>
          </cell>
          <cell r="K1048" t="str">
            <v>89</v>
          </cell>
        </row>
        <row r="1049">
          <cell r="A1049" t="str">
            <v>32-69</v>
          </cell>
          <cell r="B1049">
            <v>1343</v>
          </cell>
          <cell r="C1049" t="str">
            <v>C1.DK.32.69</v>
          </cell>
          <cell r="D1049" t="str">
            <v>DK</v>
          </cell>
          <cell r="E1049" t="str">
            <v>G-176</v>
          </cell>
          <cell r="F1049" t="str">
            <v>DK093</v>
          </cell>
          <cell r="G1049" t="str">
            <v>N2</v>
          </cell>
          <cell r="H1049" t="str">
            <v>b3</v>
          </cell>
          <cell r="I1049" t="str">
            <v>N2-b3</v>
          </cell>
          <cell r="J1049">
            <v>32</v>
          </cell>
          <cell r="K1049" t="str">
            <v>69</v>
          </cell>
        </row>
        <row r="1050">
          <cell r="A1050" t="str">
            <v>11-12</v>
          </cell>
          <cell r="B1050">
            <v>652</v>
          </cell>
          <cell r="C1050" t="str">
            <v>C1.DK.11.12</v>
          </cell>
          <cell r="D1050" t="str">
            <v>DK</v>
          </cell>
          <cell r="E1050" t="str">
            <v>G-177</v>
          </cell>
          <cell r="F1050" t="str">
            <v>DK094</v>
          </cell>
          <cell r="G1050" t="str">
            <v>N2</v>
          </cell>
          <cell r="H1050" t="str">
            <v>b1</v>
          </cell>
          <cell r="I1050" t="str">
            <v>N2-b1</v>
          </cell>
          <cell r="J1050">
            <v>11</v>
          </cell>
          <cell r="K1050" t="str">
            <v>12</v>
          </cell>
        </row>
        <row r="1051">
          <cell r="A1051" t="str">
            <v>11-48</v>
          </cell>
          <cell r="B1051">
            <v>688</v>
          </cell>
          <cell r="C1051" t="str">
            <v>C1.DK.11.48</v>
          </cell>
          <cell r="D1051" t="str">
            <v>DK</v>
          </cell>
          <cell r="E1051" t="str">
            <v>G-177</v>
          </cell>
          <cell r="F1051" t="str">
            <v>DK094</v>
          </cell>
          <cell r="G1051" t="str">
            <v>N2</v>
          </cell>
          <cell r="H1051" t="str">
            <v>b2</v>
          </cell>
          <cell r="I1051" t="str">
            <v>N2-b2</v>
          </cell>
          <cell r="J1051">
            <v>11</v>
          </cell>
          <cell r="K1051" t="str">
            <v>48</v>
          </cell>
        </row>
        <row r="1052">
          <cell r="A1052" t="str">
            <v>12-20</v>
          </cell>
          <cell r="B1052">
            <v>724</v>
          </cell>
          <cell r="C1052" t="str">
            <v>C1.DK.12.20</v>
          </cell>
          <cell r="D1052" t="str">
            <v>DK</v>
          </cell>
          <cell r="E1052" t="str">
            <v>G-177</v>
          </cell>
          <cell r="F1052" t="str">
            <v>DK094</v>
          </cell>
          <cell r="G1052" t="str">
            <v>N1</v>
          </cell>
          <cell r="H1052" t="str">
            <v>b1</v>
          </cell>
          <cell r="I1052" t="str">
            <v>N1-b1</v>
          </cell>
          <cell r="J1052">
            <v>12</v>
          </cell>
          <cell r="K1052" t="str">
            <v>20</v>
          </cell>
        </row>
        <row r="1053">
          <cell r="A1053" t="str">
            <v>12-57</v>
          </cell>
          <cell r="B1053">
            <v>761</v>
          </cell>
          <cell r="C1053" t="str">
            <v>C1.DK.12.57</v>
          </cell>
          <cell r="D1053" t="str">
            <v>DK</v>
          </cell>
          <cell r="E1053" t="str">
            <v>G-177</v>
          </cell>
          <cell r="F1053" t="str">
            <v>DK094</v>
          </cell>
          <cell r="G1053" t="str">
            <v>N1</v>
          </cell>
          <cell r="H1053" t="str">
            <v>b2</v>
          </cell>
          <cell r="I1053" t="str">
            <v>N1-b2</v>
          </cell>
          <cell r="J1053">
            <v>12</v>
          </cell>
          <cell r="K1053" t="str">
            <v>57</v>
          </cell>
        </row>
        <row r="1054">
          <cell r="A1054" t="str">
            <v>26-89</v>
          </cell>
          <cell r="B1054">
            <v>1207</v>
          </cell>
          <cell r="C1054" t="str">
            <v>C1.DK.26.89</v>
          </cell>
          <cell r="D1054" t="str">
            <v>DK</v>
          </cell>
          <cell r="E1054" t="str">
            <v>G-177</v>
          </cell>
          <cell r="F1054" t="str">
            <v>DK094</v>
          </cell>
          <cell r="G1054" t="str">
            <v>N1</v>
          </cell>
          <cell r="H1054" t="str">
            <v>b3</v>
          </cell>
          <cell r="I1054" t="str">
            <v>N1-b3</v>
          </cell>
          <cell r="J1054" t="str">
            <v>26</v>
          </cell>
          <cell r="K1054" t="str">
            <v>89</v>
          </cell>
        </row>
        <row r="1055">
          <cell r="A1055" t="str">
            <v>29-72</v>
          </cell>
          <cell r="B1055">
            <v>1268</v>
          </cell>
          <cell r="C1055" t="str">
            <v>C1.DK.29.72</v>
          </cell>
          <cell r="D1055" t="str">
            <v>DK</v>
          </cell>
          <cell r="E1055" t="str">
            <v>G-177</v>
          </cell>
          <cell r="F1055" t="str">
            <v>DK094</v>
          </cell>
          <cell r="G1055" t="str">
            <v>N2</v>
          </cell>
          <cell r="H1055" t="str">
            <v>b3</v>
          </cell>
          <cell r="I1055" t="str">
            <v>N2-b3</v>
          </cell>
          <cell r="J1055">
            <v>29</v>
          </cell>
          <cell r="K1055" t="str">
            <v>72</v>
          </cell>
        </row>
        <row r="1056">
          <cell r="A1056" t="str">
            <v>11-23</v>
          </cell>
          <cell r="B1056">
            <v>663</v>
          </cell>
          <cell r="C1056" t="str">
            <v>C1.DK.11.23</v>
          </cell>
          <cell r="D1056" t="str">
            <v>DK</v>
          </cell>
          <cell r="E1056" t="str">
            <v>G-178</v>
          </cell>
          <cell r="F1056" t="str">
            <v>DK095</v>
          </cell>
          <cell r="G1056" t="str">
            <v>N2</v>
          </cell>
          <cell r="H1056" t="str">
            <v>b1</v>
          </cell>
          <cell r="I1056" t="str">
            <v>N2-b1</v>
          </cell>
          <cell r="J1056">
            <v>11</v>
          </cell>
          <cell r="K1056" t="str">
            <v>23</v>
          </cell>
        </row>
        <row r="1057">
          <cell r="A1057" t="str">
            <v>11-42</v>
          </cell>
          <cell r="B1057">
            <v>682</v>
          </cell>
          <cell r="C1057" t="str">
            <v>C1.DK.11.42</v>
          </cell>
          <cell r="D1057" t="str">
            <v>DK</v>
          </cell>
          <cell r="E1057" t="str">
            <v>G-178</v>
          </cell>
          <cell r="F1057" t="str">
            <v>DK095</v>
          </cell>
          <cell r="G1057" t="str">
            <v>N2</v>
          </cell>
          <cell r="H1057" t="str">
            <v>b2</v>
          </cell>
          <cell r="I1057" t="str">
            <v>N2-b2</v>
          </cell>
          <cell r="J1057">
            <v>11</v>
          </cell>
          <cell r="K1057" t="str">
            <v>42</v>
          </cell>
        </row>
        <row r="1058">
          <cell r="A1058" t="str">
            <v>13-23</v>
          </cell>
          <cell r="B1058">
            <v>791</v>
          </cell>
          <cell r="C1058" t="str">
            <v>C1.DK.13.23</v>
          </cell>
          <cell r="D1058" t="str">
            <v>DK</v>
          </cell>
          <cell r="E1058" t="str">
            <v>G-178</v>
          </cell>
          <cell r="F1058" t="str">
            <v>DK095</v>
          </cell>
          <cell r="G1058" t="str">
            <v>N1</v>
          </cell>
          <cell r="H1058" t="str">
            <v>b1</v>
          </cell>
          <cell r="I1058" t="str">
            <v>N1-b1</v>
          </cell>
          <cell r="J1058">
            <v>13</v>
          </cell>
          <cell r="K1058" t="str">
            <v>23</v>
          </cell>
        </row>
        <row r="1059">
          <cell r="A1059" t="str">
            <v>14-36</v>
          </cell>
          <cell r="B1059">
            <v>868</v>
          </cell>
          <cell r="C1059" t="str">
            <v>C1.DK.14.36</v>
          </cell>
          <cell r="D1059" t="str">
            <v>DK</v>
          </cell>
          <cell r="E1059" t="str">
            <v>G-178</v>
          </cell>
          <cell r="F1059" t="str">
            <v>DK095</v>
          </cell>
          <cell r="G1059" t="str">
            <v>N1</v>
          </cell>
          <cell r="H1059" t="str">
            <v>b2</v>
          </cell>
          <cell r="I1059" t="str">
            <v>N1-b2</v>
          </cell>
          <cell r="J1059">
            <v>14</v>
          </cell>
          <cell r="K1059" t="str">
            <v>36</v>
          </cell>
        </row>
        <row r="1060">
          <cell r="A1060" t="str">
            <v>25-78</v>
          </cell>
          <cell r="B1060">
            <v>1170</v>
          </cell>
          <cell r="C1060" t="str">
            <v>C1.DK.25.78</v>
          </cell>
          <cell r="D1060" t="str">
            <v>DK</v>
          </cell>
          <cell r="E1060" t="str">
            <v>G-178</v>
          </cell>
          <cell r="F1060" t="str">
            <v>DK095</v>
          </cell>
          <cell r="G1060" t="str">
            <v>N1</v>
          </cell>
          <cell r="H1060" t="str">
            <v>b3</v>
          </cell>
          <cell r="I1060" t="str">
            <v>N1-b3</v>
          </cell>
          <cell r="J1060">
            <v>25</v>
          </cell>
          <cell r="K1060" t="str">
            <v>78</v>
          </cell>
        </row>
        <row r="1061">
          <cell r="A1061" t="str">
            <v>32-82</v>
          </cell>
          <cell r="B1061">
            <v>1356</v>
          </cell>
          <cell r="C1061" t="str">
            <v>C1.DK.32.82</v>
          </cell>
          <cell r="D1061" t="str">
            <v>DK</v>
          </cell>
          <cell r="E1061" t="str">
            <v>G-178</v>
          </cell>
          <cell r="F1061" t="str">
            <v>DK095</v>
          </cell>
          <cell r="G1061" t="str">
            <v>N2</v>
          </cell>
          <cell r="H1061" t="str">
            <v>b3</v>
          </cell>
          <cell r="I1061" t="str">
            <v>N2-b3</v>
          </cell>
          <cell r="J1061">
            <v>32</v>
          </cell>
          <cell r="K1061" t="str">
            <v>82</v>
          </cell>
        </row>
        <row r="1062">
          <cell r="A1062" t="str">
            <v>11-13</v>
          </cell>
          <cell r="B1062">
            <v>653</v>
          </cell>
          <cell r="C1062" t="str">
            <v>C1.DK.11.13</v>
          </cell>
          <cell r="D1062" t="str">
            <v>DK</v>
          </cell>
          <cell r="E1062" t="str">
            <v>G-179</v>
          </cell>
          <cell r="F1062" t="str">
            <v>DK096</v>
          </cell>
          <cell r="G1062" t="str">
            <v>N2</v>
          </cell>
          <cell r="H1062" t="str">
            <v>b1</v>
          </cell>
          <cell r="I1062" t="str">
            <v>N2-b1</v>
          </cell>
          <cell r="J1062">
            <v>11</v>
          </cell>
          <cell r="K1062" t="str">
            <v>13</v>
          </cell>
        </row>
        <row r="1063">
          <cell r="A1063" t="str">
            <v>11-64</v>
          </cell>
          <cell r="B1063">
            <v>704</v>
          </cell>
          <cell r="C1063" t="str">
            <v>C1.DK.11.64</v>
          </cell>
          <cell r="D1063" t="str">
            <v>DK</v>
          </cell>
          <cell r="E1063" t="str">
            <v>G-179</v>
          </cell>
          <cell r="F1063" t="str">
            <v>DK096</v>
          </cell>
          <cell r="G1063" t="str">
            <v>N2</v>
          </cell>
          <cell r="H1063" t="str">
            <v>b2</v>
          </cell>
          <cell r="I1063" t="str">
            <v>N2-b2</v>
          </cell>
          <cell r="J1063">
            <v>11</v>
          </cell>
          <cell r="K1063" t="str">
            <v>64</v>
          </cell>
        </row>
        <row r="1064">
          <cell r="A1064" t="str">
            <v>12-25</v>
          </cell>
          <cell r="B1064">
            <v>729</v>
          </cell>
          <cell r="C1064" t="str">
            <v>C1.DK.12.25</v>
          </cell>
          <cell r="D1064" t="str">
            <v>DK</v>
          </cell>
          <cell r="E1064" t="str">
            <v>G-179</v>
          </cell>
          <cell r="F1064" t="str">
            <v>DK096</v>
          </cell>
          <cell r="G1064" t="str">
            <v>N1</v>
          </cell>
          <cell r="H1064" t="str">
            <v>b1</v>
          </cell>
          <cell r="I1064" t="str">
            <v>N1-b1</v>
          </cell>
          <cell r="J1064">
            <v>12</v>
          </cell>
          <cell r="K1064" t="str">
            <v>25</v>
          </cell>
        </row>
        <row r="1065">
          <cell r="A1065" t="str">
            <v>12-35</v>
          </cell>
          <cell r="B1065">
            <v>739</v>
          </cell>
          <cell r="C1065" t="str">
            <v>C1.DK.12.35</v>
          </cell>
          <cell r="D1065" t="str">
            <v>DK</v>
          </cell>
          <cell r="E1065" t="str">
            <v>G-179</v>
          </cell>
          <cell r="F1065" t="str">
            <v>DK096</v>
          </cell>
          <cell r="G1065" t="str">
            <v>N1</v>
          </cell>
          <cell r="H1065" t="str">
            <v>b2</v>
          </cell>
          <cell r="I1065" t="str">
            <v>N1-b2</v>
          </cell>
          <cell r="J1065">
            <v>12</v>
          </cell>
          <cell r="K1065" t="str">
            <v>35</v>
          </cell>
        </row>
        <row r="1066">
          <cell r="A1066" t="str">
            <v>28-65</v>
          </cell>
          <cell r="B1066">
            <v>1235</v>
          </cell>
          <cell r="C1066" t="str">
            <v>C1.DK.28.65</v>
          </cell>
          <cell r="D1066" t="str">
            <v>DK</v>
          </cell>
          <cell r="E1066" t="str">
            <v>G-179</v>
          </cell>
          <cell r="F1066" t="str">
            <v>DK096</v>
          </cell>
          <cell r="G1066" t="str">
            <v>N1</v>
          </cell>
          <cell r="H1066" t="str">
            <v>b3</v>
          </cell>
          <cell r="I1066" t="str">
            <v>N1-b3</v>
          </cell>
          <cell r="J1066">
            <v>28</v>
          </cell>
          <cell r="K1066" t="str">
            <v>65</v>
          </cell>
        </row>
        <row r="1067">
          <cell r="A1067" t="str">
            <v>30-78</v>
          </cell>
          <cell r="B1067">
            <v>1300</v>
          </cell>
          <cell r="C1067" t="str">
            <v>C1.DK.30.78</v>
          </cell>
          <cell r="D1067" t="str">
            <v>DK</v>
          </cell>
          <cell r="E1067" t="str">
            <v>G-179</v>
          </cell>
          <cell r="F1067" t="str">
            <v>DK096</v>
          </cell>
          <cell r="G1067" t="str">
            <v>N2</v>
          </cell>
          <cell r="H1067" t="str">
            <v>b3</v>
          </cell>
          <cell r="I1067" t="str">
            <v>N2-b3</v>
          </cell>
          <cell r="J1067">
            <v>30</v>
          </cell>
          <cell r="K1067" t="str">
            <v>78</v>
          </cell>
        </row>
        <row r="1068">
          <cell r="A1068" t="str">
            <v>10-26</v>
          </cell>
          <cell r="B1068">
            <v>602</v>
          </cell>
          <cell r="C1068" t="str">
            <v>C1.DK.10.26</v>
          </cell>
          <cell r="D1068" t="str">
            <v>DK</v>
          </cell>
          <cell r="E1068" t="str">
            <v>G-180</v>
          </cell>
          <cell r="F1068" t="str">
            <v>DK098</v>
          </cell>
          <cell r="G1068" t="str">
            <v>N2</v>
          </cell>
          <cell r="H1068" t="str">
            <v>b1</v>
          </cell>
          <cell r="I1068" t="str">
            <v>N2-b1</v>
          </cell>
          <cell r="J1068">
            <v>10</v>
          </cell>
          <cell r="K1068" t="str">
            <v>26</v>
          </cell>
        </row>
        <row r="1069">
          <cell r="A1069" t="str">
            <v>11-36</v>
          </cell>
          <cell r="B1069">
            <v>676</v>
          </cell>
          <cell r="C1069" t="str">
            <v>C1.DK.11.36</v>
          </cell>
          <cell r="D1069" t="str">
            <v>DK</v>
          </cell>
          <cell r="E1069" t="str">
            <v>G-180</v>
          </cell>
          <cell r="F1069" t="str">
            <v>DK098</v>
          </cell>
          <cell r="G1069" t="str">
            <v>N2</v>
          </cell>
          <cell r="H1069" t="str">
            <v>b2</v>
          </cell>
          <cell r="I1069" t="str">
            <v>N2-b2</v>
          </cell>
          <cell r="J1069">
            <v>11</v>
          </cell>
          <cell r="K1069" t="str">
            <v>36</v>
          </cell>
        </row>
        <row r="1070">
          <cell r="A1070" t="str">
            <v>14-02</v>
          </cell>
          <cell r="B1070">
            <v>834</v>
          </cell>
          <cell r="C1070" t="str">
            <v>C1.DK.14.02</v>
          </cell>
          <cell r="D1070" t="str">
            <v>DK</v>
          </cell>
          <cell r="E1070" t="str">
            <v>G-180</v>
          </cell>
          <cell r="F1070" t="str">
            <v>DK098</v>
          </cell>
          <cell r="G1070" t="str">
            <v>N1</v>
          </cell>
          <cell r="H1070" t="str">
            <v>b1</v>
          </cell>
          <cell r="I1070" t="str">
            <v>N1-b1</v>
          </cell>
          <cell r="J1070">
            <v>14</v>
          </cell>
          <cell r="K1070" t="str">
            <v>02</v>
          </cell>
        </row>
        <row r="1071">
          <cell r="A1071" t="str">
            <v>14-50</v>
          </cell>
          <cell r="B1071">
            <v>882</v>
          </cell>
          <cell r="C1071" t="str">
            <v>C1.DK.14.50</v>
          </cell>
          <cell r="D1071" t="str">
            <v>DK</v>
          </cell>
          <cell r="E1071" t="str">
            <v>G-180</v>
          </cell>
          <cell r="F1071" t="str">
            <v>DK098</v>
          </cell>
          <cell r="G1071" t="str">
            <v>N1</v>
          </cell>
          <cell r="H1071" t="str">
            <v>b2</v>
          </cell>
          <cell r="I1071" t="str">
            <v>N1-b2</v>
          </cell>
          <cell r="J1071">
            <v>14</v>
          </cell>
          <cell r="K1071" t="str">
            <v>50</v>
          </cell>
        </row>
        <row r="1072">
          <cell r="A1072" t="str">
            <v>26-78</v>
          </cell>
          <cell r="B1072">
            <v>1196</v>
          </cell>
          <cell r="C1072" t="str">
            <v>C1.DK.26.78</v>
          </cell>
          <cell r="D1072" t="str">
            <v>DK</v>
          </cell>
          <cell r="E1072" t="str">
            <v>G-180</v>
          </cell>
          <cell r="F1072" t="str">
            <v>DK098</v>
          </cell>
          <cell r="G1072" t="str">
            <v>N1</v>
          </cell>
          <cell r="H1072" t="str">
            <v>b3</v>
          </cell>
          <cell r="I1072" t="str">
            <v>N1-b3</v>
          </cell>
          <cell r="J1072" t="str">
            <v>26</v>
          </cell>
          <cell r="K1072" t="str">
            <v>78</v>
          </cell>
        </row>
        <row r="1073">
          <cell r="A1073" t="str">
            <v>29-76</v>
          </cell>
          <cell r="B1073">
            <v>1272</v>
          </cell>
          <cell r="C1073" t="str">
            <v>C1.DK.29.76</v>
          </cell>
          <cell r="D1073" t="str">
            <v>DK</v>
          </cell>
          <cell r="E1073" t="str">
            <v>G-180</v>
          </cell>
          <cell r="F1073" t="str">
            <v>DK098</v>
          </cell>
          <cell r="G1073" t="str">
            <v>N2</v>
          </cell>
          <cell r="H1073" t="str">
            <v>b3</v>
          </cell>
          <cell r="I1073" t="str">
            <v>N2-b3</v>
          </cell>
          <cell r="J1073">
            <v>29</v>
          </cell>
          <cell r="K1073" t="str">
            <v>76</v>
          </cell>
        </row>
        <row r="1074">
          <cell r="A1074" t="str">
            <v>11-29</v>
          </cell>
          <cell r="B1074">
            <v>669</v>
          </cell>
          <cell r="C1074" t="str">
            <v>C1.DK.11.29</v>
          </cell>
          <cell r="D1074" t="str">
            <v>DK</v>
          </cell>
          <cell r="E1074" t="str">
            <v>G-181</v>
          </cell>
          <cell r="F1074" t="str">
            <v>DK101</v>
          </cell>
          <cell r="G1074" t="str">
            <v>N2</v>
          </cell>
          <cell r="H1074" t="str">
            <v>b1</v>
          </cell>
          <cell r="I1074" t="str">
            <v>N2-b1</v>
          </cell>
          <cell r="J1074">
            <v>11</v>
          </cell>
          <cell r="K1074" t="str">
            <v>29</v>
          </cell>
        </row>
        <row r="1075">
          <cell r="A1075" t="str">
            <v>11-49</v>
          </cell>
          <cell r="B1075">
            <v>689</v>
          </cell>
          <cell r="C1075" t="str">
            <v>C1.DK.11.49</v>
          </cell>
          <cell r="D1075" t="str">
            <v>DK</v>
          </cell>
          <cell r="E1075" t="str">
            <v>G-181</v>
          </cell>
          <cell r="F1075" t="str">
            <v>DK101</v>
          </cell>
          <cell r="G1075" t="str">
            <v>N2</v>
          </cell>
          <cell r="H1075" t="str">
            <v>b2</v>
          </cell>
          <cell r="I1075" t="str">
            <v>N2-b2</v>
          </cell>
          <cell r="J1075">
            <v>11</v>
          </cell>
          <cell r="K1075" t="str">
            <v>49</v>
          </cell>
        </row>
        <row r="1076">
          <cell r="A1076" t="str">
            <v>12-41</v>
          </cell>
          <cell r="B1076">
            <v>745</v>
          </cell>
          <cell r="C1076" t="str">
            <v>C1.DK.12.41</v>
          </cell>
          <cell r="D1076" t="str">
            <v>DK</v>
          </cell>
          <cell r="E1076" t="str">
            <v>G-181</v>
          </cell>
          <cell r="F1076" t="str">
            <v>DK101</v>
          </cell>
          <cell r="G1076" t="str">
            <v>N1</v>
          </cell>
          <cell r="H1076" t="str">
            <v>b2</v>
          </cell>
          <cell r="I1076" t="str">
            <v>N1-b2</v>
          </cell>
          <cell r="J1076">
            <v>12</v>
          </cell>
          <cell r="K1076" t="str">
            <v>41</v>
          </cell>
        </row>
        <row r="1077">
          <cell r="A1077" t="str">
            <v>13-09</v>
          </cell>
          <cell r="B1077">
            <v>777</v>
          </cell>
          <cell r="C1077" t="str">
            <v>C1.DK.13.09</v>
          </cell>
          <cell r="D1077" t="str">
            <v>DK</v>
          </cell>
          <cell r="E1077" t="str">
            <v>G-181</v>
          </cell>
          <cell r="F1077" t="str">
            <v>DK101</v>
          </cell>
          <cell r="G1077" t="str">
            <v>N1</v>
          </cell>
          <cell r="H1077" t="str">
            <v>b1</v>
          </cell>
          <cell r="I1077" t="str">
            <v>N1-b1</v>
          </cell>
          <cell r="J1077">
            <v>13</v>
          </cell>
          <cell r="K1077" t="str">
            <v>09</v>
          </cell>
        </row>
        <row r="1078">
          <cell r="A1078" t="str">
            <v>27-75</v>
          </cell>
          <cell r="B1078">
            <v>1219</v>
          </cell>
          <cell r="C1078" t="str">
            <v>C1.DK.27.75</v>
          </cell>
          <cell r="D1078" t="str">
            <v>DK</v>
          </cell>
          <cell r="E1078" t="str">
            <v>G-181</v>
          </cell>
          <cell r="F1078" t="str">
            <v>DK101</v>
          </cell>
          <cell r="G1078" t="str">
            <v>N1</v>
          </cell>
          <cell r="H1078" t="str">
            <v>b3</v>
          </cell>
          <cell r="I1078" t="str">
            <v>N1-b3</v>
          </cell>
          <cell r="J1078">
            <v>27</v>
          </cell>
          <cell r="K1078" t="str">
            <v>75</v>
          </cell>
        </row>
        <row r="1079">
          <cell r="A1079" t="str">
            <v>32-88</v>
          </cell>
          <cell r="B1079">
            <v>1362</v>
          </cell>
          <cell r="C1079" t="str">
            <v>C1.DK.32.88</v>
          </cell>
          <cell r="D1079" t="str">
            <v>DK</v>
          </cell>
          <cell r="E1079" t="str">
            <v>G-181</v>
          </cell>
          <cell r="F1079" t="str">
            <v>DK101</v>
          </cell>
          <cell r="G1079" t="str">
            <v>N2</v>
          </cell>
          <cell r="H1079" t="str">
            <v>b3</v>
          </cell>
          <cell r="I1079" t="str">
            <v>N2-b3</v>
          </cell>
          <cell r="J1079">
            <v>32</v>
          </cell>
          <cell r="K1079" t="str">
            <v>88</v>
          </cell>
        </row>
        <row r="1080">
          <cell r="A1080" t="str">
            <v>09-37</v>
          </cell>
          <cell r="B1080">
            <v>549</v>
          </cell>
          <cell r="C1080" t="str">
            <v>C1.DK.09.37</v>
          </cell>
          <cell r="D1080" t="str">
            <v>DK</v>
          </cell>
          <cell r="E1080" t="str">
            <v>G-182</v>
          </cell>
          <cell r="F1080" t="str">
            <v>DK103</v>
          </cell>
          <cell r="G1080" t="str">
            <v>N2</v>
          </cell>
          <cell r="H1080" t="str">
            <v>b2</v>
          </cell>
          <cell r="I1080" t="str">
            <v>N2-b2</v>
          </cell>
          <cell r="J1080" t="str">
            <v>09</v>
          </cell>
          <cell r="K1080" t="str">
            <v>37</v>
          </cell>
        </row>
        <row r="1081">
          <cell r="A1081" t="str">
            <v>10-12</v>
          </cell>
          <cell r="B1081">
            <v>588</v>
          </cell>
          <cell r="C1081" t="str">
            <v>C1.DK.10.12</v>
          </cell>
          <cell r="D1081" t="str">
            <v>DK</v>
          </cell>
          <cell r="E1081" t="str">
            <v>G-182</v>
          </cell>
          <cell r="F1081" t="str">
            <v>DK103</v>
          </cell>
          <cell r="G1081" t="str">
            <v>N2</v>
          </cell>
          <cell r="H1081" t="str">
            <v>b1</v>
          </cell>
          <cell r="I1081" t="str">
            <v>N2-b1</v>
          </cell>
          <cell r="J1081">
            <v>10</v>
          </cell>
          <cell r="K1081" t="str">
            <v>12</v>
          </cell>
        </row>
        <row r="1082">
          <cell r="A1082" t="str">
            <v>13-44</v>
          </cell>
          <cell r="B1082">
            <v>812</v>
          </cell>
          <cell r="C1082" t="str">
            <v>C1.DK.13.44</v>
          </cell>
          <cell r="D1082" t="str">
            <v>DK</v>
          </cell>
          <cell r="E1082" t="str">
            <v>G-182</v>
          </cell>
          <cell r="F1082" t="str">
            <v>DK103</v>
          </cell>
          <cell r="G1082" t="str">
            <v>N1</v>
          </cell>
          <cell r="H1082" t="str">
            <v>b2</v>
          </cell>
          <cell r="I1082" t="str">
            <v>N1-b2</v>
          </cell>
          <cell r="J1082">
            <v>13</v>
          </cell>
          <cell r="K1082" t="str">
            <v>44</v>
          </cell>
        </row>
        <row r="1083">
          <cell r="A1083" t="str">
            <v>14-24</v>
          </cell>
          <cell r="B1083">
            <v>856</v>
          </cell>
          <cell r="C1083" t="str">
            <v>C1.DK.14.24</v>
          </cell>
          <cell r="D1083" t="str">
            <v>DK</v>
          </cell>
          <cell r="E1083" t="str">
            <v>G-182</v>
          </cell>
          <cell r="F1083" t="str">
            <v>DK103</v>
          </cell>
          <cell r="G1083" t="str">
            <v>N1</v>
          </cell>
          <cell r="H1083" t="str">
            <v>b1</v>
          </cell>
          <cell r="I1083" t="str">
            <v>N1-b1</v>
          </cell>
          <cell r="J1083">
            <v>14</v>
          </cell>
          <cell r="K1083" t="str">
            <v>24</v>
          </cell>
        </row>
        <row r="1084">
          <cell r="A1084" t="str">
            <v>26-86</v>
          </cell>
          <cell r="B1084">
            <v>1204</v>
          </cell>
          <cell r="C1084" t="str">
            <v>C1.DK.26.86</v>
          </cell>
          <cell r="D1084" t="str">
            <v>DK</v>
          </cell>
          <cell r="E1084" t="str">
            <v>G-182</v>
          </cell>
          <cell r="F1084" t="str">
            <v>DK103</v>
          </cell>
          <cell r="G1084" t="str">
            <v>N1</v>
          </cell>
          <cell r="H1084" t="str">
            <v>b3</v>
          </cell>
          <cell r="I1084" t="str">
            <v>N1-b3</v>
          </cell>
          <cell r="J1084" t="str">
            <v>26</v>
          </cell>
          <cell r="K1084" t="str">
            <v>86</v>
          </cell>
        </row>
        <row r="1085">
          <cell r="A1085" t="str">
            <v>31-76</v>
          </cell>
          <cell r="B1085">
            <v>1324</v>
          </cell>
          <cell r="C1085" t="str">
            <v>C1.DK.31.76</v>
          </cell>
          <cell r="D1085" t="str">
            <v>DK</v>
          </cell>
          <cell r="E1085" t="str">
            <v>G-182</v>
          </cell>
          <cell r="F1085" t="str">
            <v>DK103</v>
          </cell>
          <cell r="G1085" t="str">
            <v>N2</v>
          </cell>
          <cell r="H1085" t="str">
            <v>b3</v>
          </cell>
          <cell r="I1085" t="str">
            <v>N2-b3</v>
          </cell>
          <cell r="J1085">
            <v>31</v>
          </cell>
          <cell r="K1085" t="str">
            <v>76</v>
          </cell>
        </row>
        <row r="1086">
          <cell r="A1086" t="str">
            <v>09-60</v>
          </cell>
          <cell r="B1086">
            <v>572</v>
          </cell>
          <cell r="C1086" t="str">
            <v>C1.DK.09.60</v>
          </cell>
          <cell r="D1086" t="str">
            <v>DK</v>
          </cell>
          <cell r="E1086" t="str">
            <v>G-183</v>
          </cell>
          <cell r="F1086" t="str">
            <v>DK107</v>
          </cell>
          <cell r="G1086" t="str">
            <v>N2</v>
          </cell>
          <cell r="H1086" t="str">
            <v>b2</v>
          </cell>
          <cell r="I1086" t="str">
            <v>N2-b2</v>
          </cell>
          <cell r="J1086" t="str">
            <v>09</v>
          </cell>
          <cell r="K1086" t="str">
            <v>60</v>
          </cell>
        </row>
        <row r="1087">
          <cell r="A1087" t="str">
            <v>11-15</v>
          </cell>
          <cell r="B1087">
            <v>655</v>
          </cell>
          <cell r="C1087" t="str">
            <v>C1.DK.11.15</v>
          </cell>
          <cell r="D1087" t="str">
            <v>DK</v>
          </cell>
          <cell r="E1087" t="str">
            <v>G-183</v>
          </cell>
          <cell r="F1087" t="str">
            <v>DK107</v>
          </cell>
          <cell r="G1087" t="str">
            <v>N2</v>
          </cell>
          <cell r="H1087" t="str">
            <v>b1</v>
          </cell>
          <cell r="I1087" t="str">
            <v>N2-b1</v>
          </cell>
          <cell r="J1087">
            <v>11</v>
          </cell>
          <cell r="K1087" t="str">
            <v>15</v>
          </cell>
        </row>
        <row r="1088">
          <cell r="A1088" t="str">
            <v>12-19</v>
          </cell>
          <cell r="B1088">
            <v>723</v>
          </cell>
          <cell r="C1088" t="str">
            <v>C1.DK.12.19</v>
          </cell>
          <cell r="D1088" t="str">
            <v>DK</v>
          </cell>
          <cell r="E1088" t="str">
            <v>G-183</v>
          </cell>
          <cell r="F1088" t="str">
            <v>DK107</v>
          </cell>
          <cell r="G1088" t="str">
            <v>N1</v>
          </cell>
          <cell r="H1088" t="str">
            <v>b1</v>
          </cell>
          <cell r="I1088" t="str">
            <v>N1-b1</v>
          </cell>
          <cell r="J1088">
            <v>12</v>
          </cell>
          <cell r="K1088" t="str">
            <v>19</v>
          </cell>
        </row>
        <row r="1089">
          <cell r="A1089" t="str">
            <v>14-56</v>
          </cell>
          <cell r="B1089">
            <v>888</v>
          </cell>
          <cell r="C1089" t="str">
            <v>C1.DK.14.56</v>
          </cell>
          <cell r="D1089" t="str">
            <v>DK</v>
          </cell>
          <cell r="E1089" t="str">
            <v>G-183</v>
          </cell>
          <cell r="F1089" t="str">
            <v>DK107</v>
          </cell>
          <cell r="G1089" t="str">
            <v>N1</v>
          </cell>
          <cell r="H1089" t="str">
            <v>b2</v>
          </cell>
          <cell r="I1089" t="str">
            <v>N1-b2</v>
          </cell>
          <cell r="J1089">
            <v>14</v>
          </cell>
          <cell r="K1089" t="str">
            <v>56</v>
          </cell>
        </row>
        <row r="1090">
          <cell r="A1090" t="str">
            <v>26-75</v>
          </cell>
          <cell r="B1090">
            <v>1193</v>
          </cell>
          <cell r="C1090" t="str">
            <v>C1.DK.26.75</v>
          </cell>
          <cell r="D1090" t="str">
            <v>DK</v>
          </cell>
          <cell r="E1090" t="str">
            <v>G-183</v>
          </cell>
          <cell r="F1090" t="str">
            <v>DK107</v>
          </cell>
          <cell r="G1090" t="str">
            <v>N1</v>
          </cell>
          <cell r="H1090" t="str">
            <v>b3</v>
          </cell>
          <cell r="I1090" t="str">
            <v>N1-b3</v>
          </cell>
          <cell r="J1090" t="str">
            <v>26</v>
          </cell>
          <cell r="K1090" t="str">
            <v>75</v>
          </cell>
        </row>
        <row r="1091">
          <cell r="A1091" t="str">
            <v>32-72</v>
          </cell>
          <cell r="B1091">
            <v>1346</v>
          </cell>
          <cell r="C1091" t="str">
            <v>C1.DK.32.72</v>
          </cell>
          <cell r="D1091" t="str">
            <v>DK</v>
          </cell>
          <cell r="E1091" t="str">
            <v>G-183</v>
          </cell>
          <cell r="F1091" t="str">
            <v>DK107</v>
          </cell>
          <cell r="G1091" t="str">
            <v>N2</v>
          </cell>
          <cell r="H1091" t="str">
            <v>b3</v>
          </cell>
          <cell r="I1091" t="str">
            <v>N2-b3</v>
          </cell>
          <cell r="J1091">
            <v>32</v>
          </cell>
          <cell r="K1091" t="str">
            <v>72</v>
          </cell>
        </row>
        <row r="1092">
          <cell r="A1092" t="str">
            <v>09-11</v>
          </cell>
          <cell r="B1092">
            <v>523</v>
          </cell>
          <cell r="C1092" t="str">
            <v>C1.DK.09.11</v>
          </cell>
          <cell r="D1092" t="str">
            <v>DK</v>
          </cell>
          <cell r="E1092" t="str">
            <v>G-184</v>
          </cell>
          <cell r="F1092" t="str">
            <v>DK108</v>
          </cell>
          <cell r="G1092" t="str">
            <v>N2</v>
          </cell>
          <cell r="H1092" t="str">
            <v>b1</v>
          </cell>
          <cell r="I1092" t="str">
            <v>N2-b1</v>
          </cell>
          <cell r="J1092" t="str">
            <v>09</v>
          </cell>
          <cell r="K1092" t="str">
            <v>11</v>
          </cell>
        </row>
        <row r="1093">
          <cell r="A1093" t="str">
            <v>11-54</v>
          </cell>
          <cell r="B1093">
            <v>694</v>
          </cell>
          <cell r="C1093" t="str">
            <v>C1.DK.11.54</v>
          </cell>
          <cell r="D1093" t="str">
            <v>DK</v>
          </cell>
          <cell r="E1093" t="str">
            <v>G-184</v>
          </cell>
          <cell r="F1093" t="str">
            <v>DK108</v>
          </cell>
          <cell r="G1093" t="str">
            <v>N2</v>
          </cell>
          <cell r="H1093" t="str">
            <v>b2</v>
          </cell>
          <cell r="I1093" t="str">
            <v>N2-b2</v>
          </cell>
          <cell r="J1093">
            <v>11</v>
          </cell>
          <cell r="K1093" t="str">
            <v>54</v>
          </cell>
        </row>
        <row r="1094">
          <cell r="A1094" t="str">
            <v>12-03</v>
          </cell>
          <cell r="B1094">
            <v>707</v>
          </cell>
          <cell r="C1094" t="str">
            <v>C1.DK.12.03</v>
          </cell>
          <cell r="D1094" t="str">
            <v>DK</v>
          </cell>
          <cell r="E1094" t="str">
            <v>G-184</v>
          </cell>
          <cell r="F1094" t="str">
            <v>DK108</v>
          </cell>
          <cell r="G1094" t="str">
            <v>N1</v>
          </cell>
          <cell r="H1094" t="str">
            <v>b1</v>
          </cell>
          <cell r="I1094" t="str">
            <v>N1-b1</v>
          </cell>
          <cell r="J1094">
            <v>12</v>
          </cell>
          <cell r="K1094" t="str">
            <v>03</v>
          </cell>
        </row>
        <row r="1095">
          <cell r="A1095" t="str">
            <v>13-38</v>
          </cell>
          <cell r="B1095">
            <v>806</v>
          </cell>
          <cell r="C1095" t="str">
            <v>C1.DK.13.38</v>
          </cell>
          <cell r="D1095" t="str">
            <v>DK</v>
          </cell>
          <cell r="E1095" t="str">
            <v>G-184</v>
          </cell>
          <cell r="F1095" t="str">
            <v>DK108</v>
          </cell>
          <cell r="G1095" t="str">
            <v>N1</v>
          </cell>
          <cell r="H1095" t="str">
            <v>b2</v>
          </cell>
          <cell r="I1095" t="str">
            <v>N1-b2</v>
          </cell>
          <cell r="J1095">
            <v>13</v>
          </cell>
          <cell r="K1095" t="str">
            <v>38</v>
          </cell>
        </row>
        <row r="1096">
          <cell r="A1096" t="str">
            <v>28-73</v>
          </cell>
          <cell r="B1096">
            <v>1243</v>
          </cell>
          <cell r="C1096" t="str">
            <v>C1.DK.28.73</v>
          </cell>
          <cell r="D1096" t="str">
            <v>DK</v>
          </cell>
          <cell r="E1096" t="str">
            <v>G-184</v>
          </cell>
          <cell r="F1096" t="str">
            <v>DK108</v>
          </cell>
          <cell r="G1096" t="str">
            <v>N1</v>
          </cell>
          <cell r="H1096" t="str">
            <v>b3</v>
          </cell>
          <cell r="I1096" t="str">
            <v>N1-b3</v>
          </cell>
          <cell r="J1096">
            <v>28</v>
          </cell>
          <cell r="K1096" t="str">
            <v>73</v>
          </cell>
        </row>
        <row r="1097">
          <cell r="A1097" t="str">
            <v>29-81</v>
          </cell>
          <cell r="B1097">
            <v>1277</v>
          </cell>
          <cell r="C1097" t="str">
            <v>C1.DK.29.81</v>
          </cell>
          <cell r="D1097" t="str">
            <v>DK</v>
          </cell>
          <cell r="E1097" t="str">
            <v>G-184</v>
          </cell>
          <cell r="F1097" t="str">
            <v>DK108</v>
          </cell>
          <cell r="G1097" t="str">
            <v>N2</v>
          </cell>
          <cell r="H1097" t="str">
            <v>b3</v>
          </cell>
          <cell r="I1097" t="str">
            <v>N2-b3</v>
          </cell>
          <cell r="J1097">
            <v>29</v>
          </cell>
          <cell r="K1097" t="str">
            <v>81</v>
          </cell>
        </row>
        <row r="1098">
          <cell r="A1098" t="str">
            <v>09-26</v>
          </cell>
          <cell r="B1098">
            <v>538</v>
          </cell>
          <cell r="C1098" t="str">
            <v>C1.DK.09.26</v>
          </cell>
          <cell r="D1098" t="str">
            <v>DK</v>
          </cell>
          <cell r="E1098" t="str">
            <v>G-185</v>
          </cell>
          <cell r="F1098" t="str">
            <v>DK109</v>
          </cell>
          <cell r="G1098" t="str">
            <v>N2</v>
          </cell>
          <cell r="H1098" t="str">
            <v>b1</v>
          </cell>
          <cell r="I1098" t="str">
            <v>N2-b1</v>
          </cell>
          <cell r="J1098" t="str">
            <v>09</v>
          </cell>
          <cell r="K1098" t="str">
            <v>26</v>
          </cell>
        </row>
        <row r="1099">
          <cell r="A1099" t="str">
            <v>09-56</v>
          </cell>
          <cell r="B1099">
            <v>568</v>
          </cell>
          <cell r="C1099" t="str">
            <v>C1.DK.09.56</v>
          </cell>
          <cell r="D1099" t="str">
            <v>DK</v>
          </cell>
          <cell r="E1099" t="str">
            <v>G-185</v>
          </cell>
          <cell r="F1099" t="str">
            <v>DK109</v>
          </cell>
          <cell r="G1099" t="str">
            <v>N2</v>
          </cell>
          <cell r="H1099" t="str">
            <v>b2</v>
          </cell>
          <cell r="I1099" t="str">
            <v>N2-b2</v>
          </cell>
          <cell r="J1099" t="str">
            <v>09</v>
          </cell>
          <cell r="K1099" t="str">
            <v>56</v>
          </cell>
        </row>
        <row r="1100">
          <cell r="A1100" t="str">
            <v>13-57</v>
          </cell>
          <cell r="B1100">
            <v>825</v>
          </cell>
          <cell r="C1100" t="str">
            <v>C1.DK.13.57</v>
          </cell>
          <cell r="D1100" t="str">
            <v>DK</v>
          </cell>
          <cell r="E1100" t="str">
            <v>G-185</v>
          </cell>
          <cell r="F1100" t="str">
            <v>DK109</v>
          </cell>
          <cell r="G1100" t="str">
            <v>N1</v>
          </cell>
          <cell r="H1100" t="str">
            <v>b2</v>
          </cell>
          <cell r="I1100" t="str">
            <v>N1-b2</v>
          </cell>
          <cell r="J1100">
            <v>13</v>
          </cell>
          <cell r="K1100" t="str">
            <v>57</v>
          </cell>
        </row>
        <row r="1101">
          <cell r="A1101" t="str">
            <v>14-29</v>
          </cell>
          <cell r="B1101">
            <v>861</v>
          </cell>
          <cell r="C1101" t="str">
            <v>C1.DK.14.29</v>
          </cell>
          <cell r="D1101" t="str">
            <v>DK</v>
          </cell>
          <cell r="E1101" t="str">
            <v>G-185</v>
          </cell>
          <cell r="F1101" t="str">
            <v>DK109</v>
          </cell>
          <cell r="G1101" t="str">
            <v>N1</v>
          </cell>
          <cell r="H1101" t="str">
            <v>b1</v>
          </cell>
          <cell r="I1101" t="str">
            <v>N1-b1</v>
          </cell>
          <cell r="J1101">
            <v>14</v>
          </cell>
          <cell r="K1101" t="str">
            <v>29</v>
          </cell>
        </row>
        <row r="1102">
          <cell r="A1102" t="str">
            <v>25-76</v>
          </cell>
          <cell r="B1102">
            <v>1168</v>
          </cell>
          <cell r="C1102" t="str">
            <v>C1.DK.25.76</v>
          </cell>
          <cell r="D1102" t="str">
            <v>DK</v>
          </cell>
          <cell r="E1102" t="str">
            <v>G-185</v>
          </cell>
          <cell r="F1102" t="str">
            <v>DK109</v>
          </cell>
          <cell r="G1102" t="str">
            <v>N1</v>
          </cell>
          <cell r="H1102" t="str">
            <v>b3</v>
          </cell>
          <cell r="I1102" t="str">
            <v>N1-b3</v>
          </cell>
          <cell r="J1102">
            <v>25</v>
          </cell>
          <cell r="K1102" t="str">
            <v>76</v>
          </cell>
        </row>
        <row r="1103">
          <cell r="A1103" t="str">
            <v>32-66</v>
          </cell>
          <cell r="B1103">
            <v>1340</v>
          </cell>
          <cell r="C1103" t="str">
            <v>C1.DK.32.66</v>
          </cell>
          <cell r="D1103" t="str">
            <v>DK</v>
          </cell>
          <cell r="E1103" t="str">
            <v>G-185</v>
          </cell>
          <cell r="F1103" t="str">
            <v>DK109</v>
          </cell>
          <cell r="G1103" t="str">
            <v>N2</v>
          </cell>
          <cell r="H1103" t="str">
            <v>b3</v>
          </cell>
          <cell r="I1103" t="str">
            <v>N2-b3</v>
          </cell>
          <cell r="J1103">
            <v>32</v>
          </cell>
          <cell r="K1103" t="str">
            <v>66</v>
          </cell>
        </row>
        <row r="1104">
          <cell r="A1104" t="str">
            <v>09-14</v>
          </cell>
          <cell r="B1104">
            <v>526</v>
          </cell>
          <cell r="C1104" t="str">
            <v>C1.DK.09.14</v>
          </cell>
          <cell r="D1104" t="str">
            <v>DK</v>
          </cell>
          <cell r="E1104" t="str">
            <v>G-186</v>
          </cell>
          <cell r="F1104" t="str">
            <v>DK110</v>
          </cell>
          <cell r="G1104" t="str">
            <v>N2</v>
          </cell>
          <cell r="H1104" t="str">
            <v>b1</v>
          </cell>
          <cell r="I1104" t="str">
            <v>N2-b1</v>
          </cell>
          <cell r="J1104" t="str">
            <v>09</v>
          </cell>
          <cell r="K1104" t="str">
            <v>14</v>
          </cell>
        </row>
        <row r="1105">
          <cell r="A1105" t="str">
            <v>10-43</v>
          </cell>
          <cell r="B1105">
            <v>619</v>
          </cell>
          <cell r="C1105" t="str">
            <v>C1.DK.10.43</v>
          </cell>
          <cell r="D1105" t="str">
            <v>DK</v>
          </cell>
          <cell r="E1105" t="str">
            <v>G-186</v>
          </cell>
          <cell r="F1105" t="str">
            <v>DK110</v>
          </cell>
          <cell r="G1105" t="str">
            <v>N2</v>
          </cell>
          <cell r="H1105" t="str">
            <v>b2</v>
          </cell>
          <cell r="I1105" t="str">
            <v>N2-b2</v>
          </cell>
          <cell r="J1105">
            <v>10</v>
          </cell>
          <cell r="K1105" t="str">
            <v>43</v>
          </cell>
        </row>
        <row r="1106">
          <cell r="A1106" t="str">
            <v>14-30</v>
          </cell>
          <cell r="B1106">
            <v>862</v>
          </cell>
          <cell r="C1106" t="str">
            <v>C1.DK.14.30</v>
          </cell>
          <cell r="D1106" t="str">
            <v>DK</v>
          </cell>
          <cell r="E1106" t="str">
            <v>G-186</v>
          </cell>
          <cell r="F1106" t="str">
            <v>DK110</v>
          </cell>
          <cell r="G1106" t="str">
            <v>N1</v>
          </cell>
          <cell r="H1106" t="str">
            <v>b1</v>
          </cell>
          <cell r="I1106" t="str">
            <v>N1-b1</v>
          </cell>
          <cell r="J1106">
            <v>14</v>
          </cell>
          <cell r="K1106" t="str">
            <v>30</v>
          </cell>
        </row>
        <row r="1107">
          <cell r="A1107" t="str">
            <v>14-35</v>
          </cell>
          <cell r="B1107">
            <v>867</v>
          </cell>
          <cell r="C1107" t="str">
            <v>C1.DK.14.35</v>
          </cell>
          <cell r="D1107" t="str">
            <v>DK</v>
          </cell>
          <cell r="E1107" t="str">
            <v>G-186</v>
          </cell>
          <cell r="F1107" t="str">
            <v>DK110</v>
          </cell>
          <cell r="G1107" t="str">
            <v>N1</v>
          </cell>
          <cell r="H1107" t="str">
            <v>b2</v>
          </cell>
          <cell r="I1107" t="str">
            <v>N1-b2</v>
          </cell>
          <cell r="J1107">
            <v>14</v>
          </cell>
          <cell r="K1107" t="str">
            <v>35</v>
          </cell>
        </row>
        <row r="1108">
          <cell r="A1108" t="str">
            <v>25-80</v>
          </cell>
          <cell r="B1108">
            <v>1172</v>
          </cell>
          <cell r="C1108" t="str">
            <v>C1.DK.25.80</v>
          </cell>
          <cell r="D1108" t="str">
            <v>DK</v>
          </cell>
          <cell r="E1108" t="str">
            <v>G-186</v>
          </cell>
          <cell r="F1108" t="str">
            <v>DK110</v>
          </cell>
          <cell r="G1108" t="str">
            <v>N1</v>
          </cell>
          <cell r="H1108" t="str">
            <v>b3</v>
          </cell>
          <cell r="I1108" t="str">
            <v>N1-b3</v>
          </cell>
          <cell r="J1108">
            <v>25</v>
          </cell>
          <cell r="K1108" t="str">
            <v>80</v>
          </cell>
        </row>
        <row r="1109">
          <cell r="A1109" t="str">
            <v>29-65</v>
          </cell>
          <cell r="B1109">
            <v>1261</v>
          </cell>
          <cell r="C1109" t="str">
            <v>C1.DK.29.65</v>
          </cell>
          <cell r="D1109" t="str">
            <v>DK</v>
          </cell>
          <cell r="E1109" t="str">
            <v>G-186</v>
          </cell>
          <cell r="F1109" t="str">
            <v>DK110</v>
          </cell>
          <cell r="G1109" t="str">
            <v>N2</v>
          </cell>
          <cell r="H1109" t="str">
            <v>b3</v>
          </cell>
          <cell r="I1109" t="str">
            <v>N2-b3</v>
          </cell>
          <cell r="J1109">
            <v>29</v>
          </cell>
          <cell r="K1109" t="str">
            <v>65</v>
          </cell>
        </row>
        <row r="1110">
          <cell r="A1110" t="str">
            <v>09-18</v>
          </cell>
          <cell r="B1110">
            <v>530</v>
          </cell>
          <cell r="C1110" t="str">
            <v>C1.DK.09.18</v>
          </cell>
          <cell r="D1110" t="str">
            <v>DK</v>
          </cell>
          <cell r="E1110" t="str">
            <v>G-187</v>
          </cell>
          <cell r="F1110" t="str">
            <v>DK112</v>
          </cell>
          <cell r="G1110" t="str">
            <v>N2</v>
          </cell>
          <cell r="H1110" t="str">
            <v>b1</v>
          </cell>
          <cell r="I1110" t="str">
            <v>N2-b1</v>
          </cell>
          <cell r="J1110" t="str">
            <v>09</v>
          </cell>
          <cell r="K1110" t="str">
            <v>18</v>
          </cell>
        </row>
        <row r="1111">
          <cell r="A1111" t="str">
            <v>11-40</v>
          </cell>
          <cell r="B1111">
            <v>680</v>
          </cell>
          <cell r="C1111" t="str">
            <v>C1.DK.11.40</v>
          </cell>
          <cell r="D1111" t="str">
            <v>DK</v>
          </cell>
          <cell r="E1111" t="str">
            <v>G-187</v>
          </cell>
          <cell r="F1111" t="str">
            <v>DK112</v>
          </cell>
          <cell r="G1111" t="str">
            <v>N2</v>
          </cell>
          <cell r="H1111" t="str">
            <v>b2</v>
          </cell>
          <cell r="I1111" t="str">
            <v>N2-b2</v>
          </cell>
          <cell r="J1111">
            <v>11</v>
          </cell>
          <cell r="K1111" t="str">
            <v>40</v>
          </cell>
        </row>
        <row r="1112">
          <cell r="A1112" t="str">
            <v>13-46</v>
          </cell>
          <cell r="B1112">
            <v>814</v>
          </cell>
          <cell r="C1112" t="str">
            <v>C1.DK.13.46</v>
          </cell>
          <cell r="D1112" t="str">
            <v>DK</v>
          </cell>
          <cell r="E1112" t="str">
            <v>G-187</v>
          </cell>
          <cell r="F1112" t="str">
            <v>DK112</v>
          </cell>
          <cell r="G1112" t="str">
            <v>N1</v>
          </cell>
          <cell r="H1112" t="str">
            <v>b2</v>
          </cell>
          <cell r="I1112" t="str">
            <v>N1-b2</v>
          </cell>
          <cell r="J1112">
            <v>13</v>
          </cell>
          <cell r="K1112" t="str">
            <v>46</v>
          </cell>
        </row>
        <row r="1113">
          <cell r="A1113" t="str">
            <v>14-17</v>
          </cell>
          <cell r="B1113">
            <v>849</v>
          </cell>
          <cell r="C1113" t="str">
            <v>C1.DK.14.17</v>
          </cell>
          <cell r="D1113" t="str">
            <v>DK</v>
          </cell>
          <cell r="E1113" t="str">
            <v>G-187</v>
          </cell>
          <cell r="F1113" t="str">
            <v>DK112</v>
          </cell>
          <cell r="G1113" t="str">
            <v>N1</v>
          </cell>
          <cell r="H1113" t="str">
            <v>b1</v>
          </cell>
          <cell r="I1113" t="str">
            <v>N1-b1</v>
          </cell>
          <cell r="J1113">
            <v>14</v>
          </cell>
          <cell r="K1113" t="str">
            <v>17</v>
          </cell>
        </row>
        <row r="1114">
          <cell r="A1114" t="str">
            <v>25-70</v>
          </cell>
          <cell r="B1114">
            <v>1162</v>
          </cell>
          <cell r="C1114" t="str">
            <v>C1.DK.25.70</v>
          </cell>
          <cell r="D1114" t="str">
            <v>DK</v>
          </cell>
          <cell r="E1114" t="str">
            <v>G-187</v>
          </cell>
          <cell r="F1114" t="str">
            <v>DK112</v>
          </cell>
          <cell r="G1114" t="str">
            <v>N1</v>
          </cell>
          <cell r="H1114" t="str">
            <v>b3</v>
          </cell>
          <cell r="I1114" t="str">
            <v>N1-b3</v>
          </cell>
          <cell r="J1114">
            <v>25</v>
          </cell>
          <cell r="K1114" t="str">
            <v>70</v>
          </cell>
        </row>
        <row r="1115">
          <cell r="A1115" t="str">
            <v>32-71</v>
          </cell>
          <cell r="B1115">
            <v>1345</v>
          </cell>
          <cell r="C1115" t="str">
            <v>C1.DK.32.71</v>
          </cell>
          <cell r="D1115" t="str">
            <v>DK</v>
          </cell>
          <cell r="E1115" t="str">
            <v>G-187</v>
          </cell>
          <cell r="F1115" t="str">
            <v>DK112</v>
          </cell>
          <cell r="G1115" t="str">
            <v>N2</v>
          </cell>
          <cell r="H1115" t="str">
            <v>b3</v>
          </cell>
          <cell r="I1115" t="str">
            <v>N2-b3</v>
          </cell>
          <cell r="J1115">
            <v>32</v>
          </cell>
          <cell r="K1115" t="str">
            <v>71</v>
          </cell>
        </row>
        <row r="1116">
          <cell r="A1116" t="str">
            <v>09-24</v>
          </cell>
          <cell r="B1116">
            <v>536</v>
          </cell>
          <cell r="C1116" t="str">
            <v>C1.DK.09.24</v>
          </cell>
          <cell r="D1116" t="str">
            <v>DK</v>
          </cell>
          <cell r="E1116" t="str">
            <v>G-188</v>
          </cell>
          <cell r="F1116" t="str">
            <v>DK113</v>
          </cell>
          <cell r="G1116" t="str">
            <v>N2</v>
          </cell>
          <cell r="H1116" t="str">
            <v>b1</v>
          </cell>
          <cell r="I1116" t="str">
            <v>N2-b1</v>
          </cell>
          <cell r="J1116" t="str">
            <v>09</v>
          </cell>
          <cell r="K1116" t="str">
            <v>24</v>
          </cell>
        </row>
        <row r="1117">
          <cell r="A1117" t="str">
            <v>11-51</v>
          </cell>
          <cell r="B1117">
            <v>691</v>
          </cell>
          <cell r="C1117" t="str">
            <v>C1.DK.11.51</v>
          </cell>
          <cell r="D1117" t="str">
            <v>DK</v>
          </cell>
          <cell r="E1117" t="str">
            <v>G-188</v>
          </cell>
          <cell r="F1117" t="str">
            <v>DK113</v>
          </cell>
          <cell r="G1117" t="str">
            <v>N2</v>
          </cell>
          <cell r="H1117" t="str">
            <v>b2</v>
          </cell>
          <cell r="I1117" t="str">
            <v>N2-b2</v>
          </cell>
          <cell r="J1117">
            <v>11</v>
          </cell>
          <cell r="K1117" t="str">
            <v>51</v>
          </cell>
        </row>
        <row r="1118">
          <cell r="A1118" t="str">
            <v>12-31</v>
          </cell>
          <cell r="B1118">
            <v>735</v>
          </cell>
          <cell r="C1118" t="str">
            <v>C1.DK.12.31</v>
          </cell>
          <cell r="D1118" t="str">
            <v>DK</v>
          </cell>
          <cell r="E1118" t="str">
            <v>G-188</v>
          </cell>
          <cell r="F1118" t="str">
            <v>DK113</v>
          </cell>
          <cell r="G1118" t="str">
            <v>N1</v>
          </cell>
          <cell r="H1118" t="str">
            <v>b1</v>
          </cell>
          <cell r="I1118" t="str">
            <v>N1-b1</v>
          </cell>
          <cell r="J1118">
            <v>12</v>
          </cell>
          <cell r="K1118" t="str">
            <v>31</v>
          </cell>
        </row>
        <row r="1119">
          <cell r="A1119" t="str">
            <v>13-39</v>
          </cell>
          <cell r="B1119">
            <v>807</v>
          </cell>
          <cell r="C1119" t="str">
            <v>C1.DK.13.39</v>
          </cell>
          <cell r="D1119" t="str">
            <v>DK</v>
          </cell>
          <cell r="E1119" t="str">
            <v>G-188</v>
          </cell>
          <cell r="F1119" t="str">
            <v>DK113</v>
          </cell>
          <cell r="G1119" t="str">
            <v>N1</v>
          </cell>
          <cell r="H1119" t="str">
            <v>b2</v>
          </cell>
          <cell r="I1119" t="str">
            <v>N1-b2</v>
          </cell>
          <cell r="J1119">
            <v>13</v>
          </cell>
          <cell r="K1119" t="str">
            <v>39</v>
          </cell>
        </row>
        <row r="1120">
          <cell r="A1120" t="str">
            <v>28-72</v>
          </cell>
          <cell r="B1120">
            <v>1242</v>
          </cell>
          <cell r="C1120" t="str">
            <v>C1.DK.28.72</v>
          </cell>
          <cell r="D1120" t="str">
            <v>DK</v>
          </cell>
          <cell r="E1120" t="str">
            <v>G-188</v>
          </cell>
          <cell r="F1120" t="str">
            <v>DK113</v>
          </cell>
          <cell r="G1120" t="str">
            <v>N1</v>
          </cell>
          <cell r="H1120" t="str">
            <v>b3</v>
          </cell>
          <cell r="I1120" t="str">
            <v>N1-b3</v>
          </cell>
          <cell r="J1120">
            <v>28</v>
          </cell>
          <cell r="K1120" t="str">
            <v>72</v>
          </cell>
        </row>
        <row r="1121">
          <cell r="A1121" t="str">
            <v>29-75</v>
          </cell>
          <cell r="B1121">
            <v>1271</v>
          </cell>
          <cell r="C1121" t="str">
            <v>C1.DK.29.75</v>
          </cell>
          <cell r="D1121" t="str">
            <v>DK</v>
          </cell>
          <cell r="E1121" t="str">
            <v>G-188</v>
          </cell>
          <cell r="F1121" t="str">
            <v>DK113</v>
          </cell>
          <cell r="G1121" t="str">
            <v>N2</v>
          </cell>
          <cell r="H1121" t="str">
            <v>b3</v>
          </cell>
          <cell r="I1121" t="str">
            <v>N2-b3</v>
          </cell>
          <cell r="J1121">
            <v>29</v>
          </cell>
          <cell r="K1121" t="str">
            <v>75</v>
          </cell>
        </row>
        <row r="1122">
          <cell r="A1122" t="str">
            <v>09-47</v>
          </cell>
          <cell r="B1122">
            <v>559</v>
          </cell>
          <cell r="C1122" t="str">
            <v>C1.DK.09.47</v>
          </cell>
          <cell r="D1122" t="str">
            <v>DK</v>
          </cell>
          <cell r="E1122" t="str">
            <v>G-189</v>
          </cell>
          <cell r="F1122" t="str">
            <v>DK116</v>
          </cell>
          <cell r="G1122" t="str">
            <v>N2</v>
          </cell>
          <cell r="H1122" t="str">
            <v>b2</v>
          </cell>
          <cell r="I1122" t="str">
            <v>N2-b2</v>
          </cell>
          <cell r="J1122" t="str">
            <v>09</v>
          </cell>
          <cell r="K1122" t="str">
            <v>47</v>
          </cell>
        </row>
        <row r="1123">
          <cell r="A1123" t="str">
            <v>10-05</v>
          </cell>
          <cell r="B1123">
            <v>581</v>
          </cell>
          <cell r="C1123" t="str">
            <v>C1.DK.10.05</v>
          </cell>
          <cell r="D1123" t="str">
            <v>DK</v>
          </cell>
          <cell r="E1123" t="str">
            <v>G-189</v>
          </cell>
          <cell r="F1123" t="str">
            <v>DK116</v>
          </cell>
          <cell r="G1123" t="str">
            <v>N2</v>
          </cell>
          <cell r="H1123" t="str">
            <v>b1</v>
          </cell>
          <cell r="I1123" t="str">
            <v>N2-b1</v>
          </cell>
          <cell r="J1123">
            <v>10</v>
          </cell>
          <cell r="K1123" t="str">
            <v>05</v>
          </cell>
        </row>
        <row r="1124">
          <cell r="A1124" t="str">
            <v>12-58</v>
          </cell>
          <cell r="B1124">
            <v>762</v>
          </cell>
          <cell r="C1124" t="str">
            <v>C1.DK.12.58</v>
          </cell>
          <cell r="D1124" t="str">
            <v>DK</v>
          </cell>
          <cell r="E1124" t="str">
            <v>G-189</v>
          </cell>
          <cell r="F1124" t="str">
            <v>DK116</v>
          </cell>
          <cell r="G1124" t="str">
            <v>N1</v>
          </cell>
          <cell r="H1124" t="str">
            <v>b2</v>
          </cell>
          <cell r="I1124" t="str">
            <v>N1-b2</v>
          </cell>
          <cell r="J1124">
            <v>12</v>
          </cell>
          <cell r="K1124" t="str">
            <v>58</v>
          </cell>
        </row>
        <row r="1125">
          <cell r="A1125" t="str">
            <v>14-32</v>
          </cell>
          <cell r="B1125">
            <v>864</v>
          </cell>
          <cell r="C1125" t="str">
            <v>C1.DK.14.32</v>
          </cell>
          <cell r="D1125" t="str">
            <v>DK</v>
          </cell>
          <cell r="E1125" t="str">
            <v>G-189</v>
          </cell>
          <cell r="F1125" t="str">
            <v>DK116</v>
          </cell>
          <cell r="G1125" t="str">
            <v>N1</v>
          </cell>
          <cell r="H1125" t="str">
            <v>b1</v>
          </cell>
          <cell r="I1125" t="str">
            <v>N1-b1</v>
          </cell>
          <cell r="J1125">
            <v>14</v>
          </cell>
          <cell r="K1125" t="str">
            <v>32</v>
          </cell>
        </row>
        <row r="1126">
          <cell r="A1126" t="str">
            <v>28-69</v>
          </cell>
          <cell r="B1126">
            <v>1239</v>
          </cell>
          <cell r="C1126" t="str">
            <v>C1.DK.28.69</v>
          </cell>
          <cell r="D1126" t="str">
            <v>DK</v>
          </cell>
          <cell r="E1126" t="str">
            <v>G-189</v>
          </cell>
          <cell r="F1126" t="str">
            <v>DK116</v>
          </cell>
          <cell r="G1126" t="str">
            <v>N1</v>
          </cell>
          <cell r="H1126" t="str">
            <v>b3</v>
          </cell>
          <cell r="I1126" t="str">
            <v>N1-b3</v>
          </cell>
          <cell r="J1126">
            <v>28</v>
          </cell>
          <cell r="K1126" t="str">
            <v>69</v>
          </cell>
        </row>
        <row r="1127">
          <cell r="A1127" t="str">
            <v>32-73</v>
          </cell>
          <cell r="B1127">
            <v>1347</v>
          </cell>
          <cell r="C1127" t="str">
            <v>C1.DK.32.73</v>
          </cell>
          <cell r="D1127" t="str">
            <v>DK</v>
          </cell>
          <cell r="E1127" t="str">
            <v>G-189</v>
          </cell>
          <cell r="F1127" t="str">
            <v>DK116</v>
          </cell>
          <cell r="G1127" t="str">
            <v>N2</v>
          </cell>
          <cell r="H1127" t="str">
            <v>b3</v>
          </cell>
          <cell r="I1127" t="str">
            <v>N2-b3</v>
          </cell>
          <cell r="J1127">
            <v>32</v>
          </cell>
          <cell r="K1127" t="str">
            <v>73</v>
          </cell>
        </row>
        <row r="1128">
          <cell r="A1128" t="str">
            <v>10-09</v>
          </cell>
          <cell r="B1128">
            <v>585</v>
          </cell>
          <cell r="C1128" t="str">
            <v>C1.DK.10.09</v>
          </cell>
          <cell r="D1128" t="str">
            <v>DK</v>
          </cell>
          <cell r="E1128" t="str">
            <v>G-190</v>
          </cell>
          <cell r="F1128" t="str">
            <v>DK117</v>
          </cell>
          <cell r="G1128" t="str">
            <v>N2</v>
          </cell>
          <cell r="H1128" t="str">
            <v>b1</v>
          </cell>
          <cell r="I1128" t="str">
            <v>N2-b1</v>
          </cell>
          <cell r="J1128">
            <v>10</v>
          </cell>
          <cell r="K1128" t="str">
            <v>09</v>
          </cell>
        </row>
        <row r="1129">
          <cell r="A1129" t="str">
            <v>11-38</v>
          </cell>
          <cell r="B1129">
            <v>678</v>
          </cell>
          <cell r="C1129" t="str">
            <v>C1.DK.11.38</v>
          </cell>
          <cell r="D1129" t="str">
            <v>DK</v>
          </cell>
          <cell r="E1129" t="str">
            <v>G-190</v>
          </cell>
          <cell r="F1129" t="str">
            <v>DK117</v>
          </cell>
          <cell r="G1129" t="str">
            <v>N2</v>
          </cell>
          <cell r="H1129" t="str">
            <v>b2</v>
          </cell>
          <cell r="I1129" t="str">
            <v>N2-b2</v>
          </cell>
          <cell r="J1129">
            <v>11</v>
          </cell>
          <cell r="K1129" t="str">
            <v>38</v>
          </cell>
        </row>
        <row r="1130">
          <cell r="A1130" t="str">
            <v>12-45</v>
          </cell>
          <cell r="B1130">
            <v>749</v>
          </cell>
          <cell r="C1130" t="str">
            <v>C1.DK.12.45</v>
          </cell>
          <cell r="D1130" t="str">
            <v>DK</v>
          </cell>
          <cell r="E1130" t="str">
            <v>G-190</v>
          </cell>
          <cell r="F1130" t="str">
            <v>DK117</v>
          </cell>
          <cell r="G1130" t="str">
            <v>N1</v>
          </cell>
          <cell r="H1130" t="str">
            <v>b2</v>
          </cell>
          <cell r="I1130" t="str">
            <v>N1-b2</v>
          </cell>
          <cell r="J1130">
            <v>12</v>
          </cell>
          <cell r="K1130" t="str">
            <v>45</v>
          </cell>
        </row>
        <row r="1131">
          <cell r="A1131" t="str">
            <v>14-20</v>
          </cell>
          <cell r="B1131">
            <v>852</v>
          </cell>
          <cell r="C1131" t="str">
            <v>C1.DK.14.20</v>
          </cell>
          <cell r="D1131" t="str">
            <v>DK</v>
          </cell>
          <cell r="E1131" t="str">
            <v>G-190</v>
          </cell>
          <cell r="F1131" t="str">
            <v>DK117</v>
          </cell>
          <cell r="G1131" t="str">
            <v>N1</v>
          </cell>
          <cell r="H1131" t="str">
            <v>b1</v>
          </cell>
          <cell r="I1131" t="str">
            <v>N1-b1</v>
          </cell>
          <cell r="J1131">
            <v>14</v>
          </cell>
          <cell r="K1131" t="str">
            <v>20</v>
          </cell>
        </row>
        <row r="1132">
          <cell r="A1132" t="str">
            <v>28-70</v>
          </cell>
          <cell r="B1132">
            <v>1240</v>
          </cell>
          <cell r="C1132" t="str">
            <v>C1.DK.28.70</v>
          </cell>
          <cell r="D1132" t="str">
            <v>DK</v>
          </cell>
          <cell r="E1132" t="str">
            <v>G-190</v>
          </cell>
          <cell r="F1132" t="str">
            <v>DK117</v>
          </cell>
          <cell r="G1132" t="str">
            <v>N1</v>
          </cell>
          <cell r="H1132" t="str">
            <v>b3</v>
          </cell>
          <cell r="I1132" t="str">
            <v>N1-b3</v>
          </cell>
          <cell r="J1132">
            <v>28</v>
          </cell>
          <cell r="K1132" t="str">
            <v>70</v>
          </cell>
        </row>
        <row r="1133">
          <cell r="A1133" t="str">
            <v>32-77</v>
          </cell>
          <cell r="B1133">
            <v>1351</v>
          </cell>
          <cell r="C1133" t="str">
            <v>C1.DK.32.77</v>
          </cell>
          <cell r="D1133" t="str">
            <v>DK</v>
          </cell>
          <cell r="E1133" t="str">
            <v>G-190</v>
          </cell>
          <cell r="F1133" t="str">
            <v>DK117</v>
          </cell>
          <cell r="G1133" t="str">
            <v>N2</v>
          </cell>
          <cell r="H1133" t="str">
            <v>b3</v>
          </cell>
          <cell r="I1133" t="str">
            <v>N2-b3</v>
          </cell>
          <cell r="J1133">
            <v>32</v>
          </cell>
          <cell r="K1133" t="str">
            <v>77</v>
          </cell>
        </row>
        <row r="1134">
          <cell r="A1134" t="str">
            <v>10-15</v>
          </cell>
          <cell r="B1134">
            <v>591</v>
          </cell>
          <cell r="C1134" t="str">
            <v>C1.DK.10.15</v>
          </cell>
          <cell r="D1134" t="str">
            <v>DK</v>
          </cell>
          <cell r="E1134" t="str">
            <v>G-191</v>
          </cell>
          <cell r="F1134" t="str">
            <v>DK119</v>
          </cell>
          <cell r="G1134" t="str">
            <v>N2</v>
          </cell>
          <cell r="H1134" t="str">
            <v>b1</v>
          </cell>
          <cell r="I1134" t="str">
            <v>N2-b1</v>
          </cell>
          <cell r="J1134">
            <v>10</v>
          </cell>
          <cell r="K1134" t="str">
            <v>15</v>
          </cell>
        </row>
        <row r="1135">
          <cell r="A1135" t="str">
            <v>10-40</v>
          </cell>
          <cell r="B1135">
            <v>616</v>
          </cell>
          <cell r="C1135" t="str">
            <v>C1.DK.10.40</v>
          </cell>
          <cell r="D1135" t="str">
            <v>DK</v>
          </cell>
          <cell r="E1135" t="str">
            <v>G-191</v>
          </cell>
          <cell r="F1135" t="str">
            <v>DK119</v>
          </cell>
          <cell r="G1135" t="str">
            <v>N2</v>
          </cell>
          <cell r="H1135" t="str">
            <v>b2</v>
          </cell>
          <cell r="I1135" t="str">
            <v>N2-b2</v>
          </cell>
          <cell r="J1135">
            <v>10</v>
          </cell>
          <cell r="K1135" t="str">
            <v>40</v>
          </cell>
        </row>
        <row r="1136">
          <cell r="A1136" t="str">
            <v>13-43</v>
          </cell>
          <cell r="B1136">
            <v>811</v>
          </cell>
          <cell r="C1136" t="str">
            <v>C1.DK.13.43</v>
          </cell>
          <cell r="D1136" t="str">
            <v>DK</v>
          </cell>
          <cell r="E1136" t="str">
            <v>G-191</v>
          </cell>
          <cell r="F1136" t="str">
            <v>DK119</v>
          </cell>
          <cell r="G1136" t="str">
            <v>N1</v>
          </cell>
          <cell r="H1136" t="str">
            <v>b2</v>
          </cell>
          <cell r="I1136" t="str">
            <v>N1-b2</v>
          </cell>
          <cell r="J1136">
            <v>13</v>
          </cell>
          <cell r="K1136" t="str">
            <v>43</v>
          </cell>
        </row>
        <row r="1137">
          <cell r="A1137" t="str">
            <v>14-18</v>
          </cell>
          <cell r="B1137">
            <v>850</v>
          </cell>
          <cell r="C1137" t="str">
            <v>C1.DK.14.18</v>
          </cell>
          <cell r="D1137" t="str">
            <v>DK</v>
          </cell>
          <cell r="E1137" t="str">
            <v>G-191</v>
          </cell>
          <cell r="F1137" t="str">
            <v>DK119</v>
          </cell>
          <cell r="G1137" t="str">
            <v>N1</v>
          </cell>
          <cell r="H1137" t="str">
            <v>b1</v>
          </cell>
          <cell r="I1137" t="str">
            <v>N1-b1</v>
          </cell>
          <cell r="J1137">
            <v>14</v>
          </cell>
          <cell r="K1137" t="str">
            <v>18</v>
          </cell>
        </row>
        <row r="1138">
          <cell r="A1138" t="str">
            <v>27-74</v>
          </cell>
          <cell r="B1138">
            <v>1218</v>
          </cell>
          <cell r="C1138" t="str">
            <v>C1.DK.27.74</v>
          </cell>
          <cell r="D1138" t="str">
            <v>DK</v>
          </cell>
          <cell r="E1138" t="str">
            <v>G-191</v>
          </cell>
          <cell r="F1138" t="str">
            <v>DK119</v>
          </cell>
          <cell r="G1138" t="str">
            <v>N1</v>
          </cell>
          <cell r="H1138" t="str">
            <v>b3</v>
          </cell>
          <cell r="I1138" t="str">
            <v>N1-b3</v>
          </cell>
          <cell r="J1138">
            <v>27</v>
          </cell>
          <cell r="K1138" t="str">
            <v>74</v>
          </cell>
        </row>
        <row r="1139">
          <cell r="A1139" t="str">
            <v>30-81</v>
          </cell>
          <cell r="B1139">
            <v>1303</v>
          </cell>
          <cell r="C1139" t="str">
            <v>C1.DK.30.81</v>
          </cell>
          <cell r="D1139" t="str">
            <v>DK</v>
          </cell>
          <cell r="E1139" t="str">
            <v>G-191</v>
          </cell>
          <cell r="F1139" t="str">
            <v>DK119</v>
          </cell>
          <cell r="G1139" t="str">
            <v>N2</v>
          </cell>
          <cell r="H1139" t="str">
            <v>b3</v>
          </cell>
          <cell r="I1139" t="str">
            <v>N2-b3</v>
          </cell>
          <cell r="J1139">
            <v>30</v>
          </cell>
          <cell r="K1139" t="str">
            <v>81</v>
          </cell>
        </row>
        <row r="1140">
          <cell r="A1140" t="str">
            <v>10-30</v>
          </cell>
          <cell r="B1140">
            <v>606</v>
          </cell>
          <cell r="C1140" t="str">
            <v>C1.DK.10.30</v>
          </cell>
          <cell r="D1140" t="str">
            <v>DK</v>
          </cell>
          <cell r="E1140" t="str">
            <v>G-192</v>
          </cell>
          <cell r="F1140" t="str">
            <v>DK121</v>
          </cell>
          <cell r="G1140" t="str">
            <v>N2</v>
          </cell>
          <cell r="H1140" t="str">
            <v>b1</v>
          </cell>
          <cell r="I1140" t="str">
            <v>N2-b1</v>
          </cell>
          <cell r="J1140">
            <v>10</v>
          </cell>
          <cell r="K1140" t="str">
            <v>30</v>
          </cell>
        </row>
        <row r="1141">
          <cell r="A1141" t="str">
            <v>11-63</v>
          </cell>
          <cell r="B1141">
            <v>703</v>
          </cell>
          <cell r="C1141" t="str">
            <v>C1.DK.11.63</v>
          </cell>
          <cell r="D1141" t="str">
            <v>DK</v>
          </cell>
          <cell r="E1141" t="str">
            <v>G-192</v>
          </cell>
          <cell r="F1141" t="str">
            <v>DK121</v>
          </cell>
          <cell r="G1141" t="str">
            <v>N2</v>
          </cell>
          <cell r="H1141" t="str">
            <v>b2</v>
          </cell>
          <cell r="I1141" t="str">
            <v>N2-b2</v>
          </cell>
          <cell r="J1141">
            <v>11</v>
          </cell>
          <cell r="K1141" t="str">
            <v>63</v>
          </cell>
        </row>
        <row r="1142">
          <cell r="A1142" t="str">
            <v>12-40</v>
          </cell>
          <cell r="B1142">
            <v>744</v>
          </cell>
          <cell r="C1142" t="str">
            <v>C1.DK.12.40</v>
          </cell>
          <cell r="D1142" t="str">
            <v>DK</v>
          </cell>
          <cell r="E1142" t="str">
            <v>G-192</v>
          </cell>
          <cell r="F1142" t="str">
            <v>DK121</v>
          </cell>
          <cell r="G1142" t="str">
            <v>N1</v>
          </cell>
          <cell r="H1142" t="str">
            <v>b2</v>
          </cell>
          <cell r="I1142" t="str">
            <v>N1-b2</v>
          </cell>
          <cell r="J1142">
            <v>12</v>
          </cell>
          <cell r="K1142" t="str">
            <v>40</v>
          </cell>
        </row>
        <row r="1143">
          <cell r="A1143" t="str">
            <v>13-02</v>
          </cell>
          <cell r="B1143">
            <v>770</v>
          </cell>
          <cell r="C1143" t="str">
            <v>C1.DK.13.02</v>
          </cell>
          <cell r="D1143" t="str">
            <v>DK</v>
          </cell>
          <cell r="E1143" t="str">
            <v>G-192</v>
          </cell>
          <cell r="F1143" t="str">
            <v>DK121</v>
          </cell>
          <cell r="G1143" t="str">
            <v>N1</v>
          </cell>
          <cell r="H1143" t="str">
            <v>b1</v>
          </cell>
          <cell r="I1143" t="str">
            <v>N1-b1</v>
          </cell>
          <cell r="J1143">
            <v>13</v>
          </cell>
          <cell r="K1143" t="str">
            <v>02</v>
          </cell>
        </row>
        <row r="1144">
          <cell r="A1144" t="str">
            <v>26-68</v>
          </cell>
          <cell r="B1144">
            <v>1186</v>
          </cell>
          <cell r="C1144" t="str">
            <v>C1.DK.26.68</v>
          </cell>
          <cell r="D1144" t="str">
            <v>DK</v>
          </cell>
          <cell r="E1144" t="str">
            <v>G-192</v>
          </cell>
          <cell r="F1144" t="str">
            <v>DK121</v>
          </cell>
          <cell r="G1144" t="str">
            <v>N1</v>
          </cell>
          <cell r="H1144" t="str">
            <v>b3</v>
          </cell>
          <cell r="I1144" t="str">
            <v>N1-b3</v>
          </cell>
          <cell r="J1144" t="str">
            <v>26</v>
          </cell>
          <cell r="K1144" t="str">
            <v>68</v>
          </cell>
        </row>
        <row r="1145">
          <cell r="A1145" t="str">
            <v>32-87</v>
          </cell>
          <cell r="B1145">
            <v>1361</v>
          </cell>
          <cell r="C1145" t="str">
            <v>C1.DK.32.87</v>
          </cell>
          <cell r="D1145" t="str">
            <v>DK</v>
          </cell>
          <cell r="E1145" t="str">
            <v>G-192</v>
          </cell>
          <cell r="F1145" t="str">
            <v>DK121</v>
          </cell>
          <cell r="G1145" t="str">
            <v>N2</v>
          </cell>
          <cell r="H1145" t="str">
            <v>b3</v>
          </cell>
          <cell r="I1145" t="str">
            <v>N2-b3</v>
          </cell>
          <cell r="J1145">
            <v>32</v>
          </cell>
          <cell r="K1145" t="str">
            <v>87</v>
          </cell>
        </row>
        <row r="1146">
          <cell r="A1146" t="str">
            <v>09-39</v>
          </cell>
          <cell r="B1146">
            <v>551</v>
          </cell>
          <cell r="C1146" t="str">
            <v>C1.DK.09.39</v>
          </cell>
          <cell r="D1146" t="str">
            <v>DK</v>
          </cell>
          <cell r="E1146" t="str">
            <v>G-193</v>
          </cell>
          <cell r="F1146" t="str">
            <v>DK124</v>
          </cell>
          <cell r="G1146" t="str">
            <v>N2</v>
          </cell>
          <cell r="H1146" t="str">
            <v>b2</v>
          </cell>
          <cell r="I1146" t="str">
            <v>N2-b2</v>
          </cell>
          <cell r="J1146" t="str">
            <v>09</v>
          </cell>
          <cell r="K1146" t="str">
            <v>39</v>
          </cell>
        </row>
        <row r="1147">
          <cell r="A1147" t="str">
            <v>11-16</v>
          </cell>
          <cell r="B1147">
            <v>656</v>
          </cell>
          <cell r="C1147" t="str">
            <v>C1.DK.11.16</v>
          </cell>
          <cell r="D1147" t="str">
            <v>DK</v>
          </cell>
          <cell r="E1147" t="str">
            <v>G-193</v>
          </cell>
          <cell r="F1147" t="str">
            <v>DK124</v>
          </cell>
          <cell r="G1147" t="str">
            <v>N2</v>
          </cell>
          <cell r="H1147" t="str">
            <v>b1</v>
          </cell>
          <cell r="I1147" t="str">
            <v>N2-b1</v>
          </cell>
          <cell r="J1147">
            <v>11</v>
          </cell>
          <cell r="K1147" t="str">
            <v>16</v>
          </cell>
        </row>
        <row r="1148">
          <cell r="A1148" t="str">
            <v>13-37</v>
          </cell>
          <cell r="B1148">
            <v>805</v>
          </cell>
          <cell r="C1148" t="str">
            <v>C1.DK.13.37</v>
          </cell>
          <cell r="D1148" t="str">
            <v>DK</v>
          </cell>
          <cell r="E1148" t="str">
            <v>G-193</v>
          </cell>
          <cell r="F1148" t="str">
            <v>DK124</v>
          </cell>
          <cell r="G1148" t="str">
            <v>N1</v>
          </cell>
          <cell r="H1148" t="str">
            <v>b2</v>
          </cell>
          <cell r="I1148" t="str">
            <v>N1-b2</v>
          </cell>
          <cell r="J1148">
            <v>13</v>
          </cell>
          <cell r="K1148" t="str">
            <v>37</v>
          </cell>
        </row>
        <row r="1149">
          <cell r="A1149" t="str">
            <v>14-01</v>
          </cell>
          <cell r="B1149">
            <v>833</v>
          </cell>
          <cell r="C1149" t="str">
            <v>C1.DK.14.01</v>
          </cell>
          <cell r="D1149" t="str">
            <v>DK</v>
          </cell>
          <cell r="E1149" t="str">
            <v>G-193</v>
          </cell>
          <cell r="F1149" t="str">
            <v>DK124</v>
          </cell>
          <cell r="G1149" t="str">
            <v>N1</v>
          </cell>
          <cell r="H1149" t="str">
            <v>b1</v>
          </cell>
          <cell r="I1149" t="str">
            <v>N1-b1</v>
          </cell>
          <cell r="J1149">
            <v>14</v>
          </cell>
          <cell r="K1149" t="str">
            <v>01</v>
          </cell>
        </row>
        <row r="1150">
          <cell r="A1150" t="str">
            <v>25-73</v>
          </cell>
          <cell r="B1150">
            <v>1165</v>
          </cell>
          <cell r="C1150" t="str">
            <v>C1.DK.25.73</v>
          </cell>
          <cell r="D1150" t="str">
            <v>DK</v>
          </cell>
          <cell r="E1150" t="str">
            <v>G-193</v>
          </cell>
          <cell r="F1150" t="str">
            <v>DK124</v>
          </cell>
          <cell r="G1150" t="str">
            <v>N1</v>
          </cell>
          <cell r="H1150" t="str">
            <v>b3</v>
          </cell>
          <cell r="I1150" t="str">
            <v>N1-b3</v>
          </cell>
          <cell r="J1150">
            <v>25</v>
          </cell>
          <cell r="K1150" t="str">
            <v>73</v>
          </cell>
        </row>
        <row r="1151">
          <cell r="A1151" t="str">
            <v>31-70</v>
          </cell>
          <cell r="B1151">
            <v>1318</v>
          </cell>
          <cell r="C1151" t="str">
            <v>C1.DK.31.70</v>
          </cell>
          <cell r="D1151" t="str">
            <v>DK</v>
          </cell>
          <cell r="E1151" t="str">
            <v>G-193</v>
          </cell>
          <cell r="F1151" t="str">
            <v>DK124</v>
          </cell>
          <cell r="G1151" t="str">
            <v>N2</v>
          </cell>
          <cell r="H1151" t="str">
            <v>b3</v>
          </cell>
          <cell r="I1151" t="str">
            <v>N2-b3</v>
          </cell>
          <cell r="J1151">
            <v>31</v>
          </cell>
          <cell r="K1151" t="str">
            <v>70</v>
          </cell>
        </row>
        <row r="1152">
          <cell r="A1152" t="str">
            <v>09-22</v>
          </cell>
          <cell r="B1152">
            <v>534</v>
          </cell>
          <cell r="C1152" t="str">
            <v>C1.DK.09.22</v>
          </cell>
          <cell r="D1152" t="str">
            <v>DK</v>
          </cell>
          <cell r="E1152" t="str">
            <v>G-194</v>
          </cell>
          <cell r="F1152" t="str">
            <v>DK128</v>
          </cell>
          <cell r="G1152" t="str">
            <v>N2</v>
          </cell>
          <cell r="H1152" t="str">
            <v>b1</v>
          </cell>
          <cell r="I1152" t="str">
            <v>N2-b1</v>
          </cell>
          <cell r="J1152" t="str">
            <v>09</v>
          </cell>
          <cell r="K1152" t="str">
            <v>22</v>
          </cell>
        </row>
        <row r="1153">
          <cell r="A1153" t="str">
            <v>09-51</v>
          </cell>
          <cell r="B1153">
            <v>563</v>
          </cell>
          <cell r="C1153" t="str">
            <v>C1.DK.09.51</v>
          </cell>
          <cell r="D1153" t="str">
            <v>DK</v>
          </cell>
          <cell r="E1153" t="str">
            <v>G-194</v>
          </cell>
          <cell r="F1153" t="str">
            <v>DK128</v>
          </cell>
          <cell r="G1153" t="str">
            <v>N2</v>
          </cell>
          <cell r="H1153" t="str">
            <v>b2</v>
          </cell>
          <cell r="I1153" t="str">
            <v>N2-b2</v>
          </cell>
          <cell r="J1153" t="str">
            <v>09</v>
          </cell>
          <cell r="K1153" t="str">
            <v>51</v>
          </cell>
        </row>
        <row r="1154">
          <cell r="A1154" t="str">
            <v>12-04</v>
          </cell>
          <cell r="B1154">
            <v>708</v>
          </cell>
          <cell r="C1154" t="str">
            <v>C1.DK.12.04</v>
          </cell>
          <cell r="D1154" t="str">
            <v>DK</v>
          </cell>
          <cell r="E1154" t="str">
            <v>G-194</v>
          </cell>
          <cell r="F1154" t="str">
            <v>DK128</v>
          </cell>
          <cell r="G1154" t="str">
            <v>N1</v>
          </cell>
          <cell r="H1154" t="str">
            <v>b1</v>
          </cell>
          <cell r="I1154" t="str">
            <v>N1-b1</v>
          </cell>
          <cell r="J1154">
            <v>12</v>
          </cell>
          <cell r="K1154" t="str">
            <v>04</v>
          </cell>
        </row>
        <row r="1155">
          <cell r="A1155" t="str">
            <v>12-33</v>
          </cell>
          <cell r="B1155">
            <v>737</v>
          </cell>
          <cell r="C1155" t="str">
            <v>C1.DK.12.33</v>
          </cell>
          <cell r="D1155" t="str">
            <v>DK</v>
          </cell>
          <cell r="E1155" t="str">
            <v>G-194</v>
          </cell>
          <cell r="F1155" t="str">
            <v>DK128</v>
          </cell>
          <cell r="G1155" t="str">
            <v>N1</v>
          </cell>
          <cell r="H1155" t="str">
            <v>b2</v>
          </cell>
          <cell r="I1155" t="str">
            <v>N1-b2</v>
          </cell>
          <cell r="J1155">
            <v>12</v>
          </cell>
          <cell r="K1155" t="str">
            <v>33</v>
          </cell>
        </row>
        <row r="1156">
          <cell r="A1156" t="str">
            <v>27-85</v>
          </cell>
          <cell r="B1156">
            <v>1229</v>
          </cell>
          <cell r="C1156" t="str">
            <v>C1.DK.27.85</v>
          </cell>
          <cell r="D1156" t="str">
            <v>DK</v>
          </cell>
          <cell r="E1156" t="str">
            <v>G-194</v>
          </cell>
          <cell r="F1156" t="str">
            <v>DK128</v>
          </cell>
          <cell r="G1156" t="str">
            <v>N1</v>
          </cell>
          <cell r="H1156" t="str">
            <v>b3</v>
          </cell>
          <cell r="I1156" t="str">
            <v>N1-b3</v>
          </cell>
          <cell r="J1156">
            <v>27</v>
          </cell>
          <cell r="K1156" t="str">
            <v>85</v>
          </cell>
        </row>
        <row r="1157">
          <cell r="A1157" t="str">
            <v>32-84</v>
          </cell>
          <cell r="B1157">
            <v>1358</v>
          </cell>
          <cell r="C1157" t="str">
            <v>C1.DK.32.84</v>
          </cell>
          <cell r="D1157" t="str">
            <v>DK</v>
          </cell>
          <cell r="E1157" t="str">
            <v>G-194</v>
          </cell>
          <cell r="F1157" t="str">
            <v>DK128</v>
          </cell>
          <cell r="G1157" t="str">
            <v>N2</v>
          </cell>
          <cell r="H1157" t="str">
            <v>b3</v>
          </cell>
          <cell r="I1157" t="str">
            <v>N2-b3</v>
          </cell>
          <cell r="J1157">
            <v>32</v>
          </cell>
          <cell r="K1157" t="str">
            <v>84</v>
          </cell>
        </row>
        <row r="1158">
          <cell r="A1158" t="str">
            <v>09-53</v>
          </cell>
          <cell r="B1158">
            <v>565</v>
          </cell>
          <cell r="C1158" t="str">
            <v>C1.DK.09.53</v>
          </cell>
          <cell r="D1158" t="str">
            <v>DK</v>
          </cell>
          <cell r="E1158" t="str">
            <v>G-195</v>
          </cell>
          <cell r="F1158" t="str">
            <v>DK133</v>
          </cell>
          <cell r="G1158" t="str">
            <v>N2</v>
          </cell>
          <cell r="H1158" t="str">
            <v>b2</v>
          </cell>
          <cell r="I1158" t="str">
            <v>N2-b2</v>
          </cell>
          <cell r="J1158" t="str">
            <v>09</v>
          </cell>
          <cell r="K1158" t="str">
            <v>53</v>
          </cell>
        </row>
        <row r="1159">
          <cell r="A1159" t="str">
            <v>11-08</v>
          </cell>
          <cell r="B1159">
            <v>648</v>
          </cell>
          <cell r="C1159" t="str">
            <v>C1.DK.11.08</v>
          </cell>
          <cell r="D1159" t="str">
            <v>DK</v>
          </cell>
          <cell r="E1159" t="str">
            <v>G-195</v>
          </cell>
          <cell r="F1159" t="str">
            <v>DK133</v>
          </cell>
          <cell r="G1159" t="str">
            <v>N2</v>
          </cell>
          <cell r="H1159" t="str">
            <v>b1</v>
          </cell>
          <cell r="I1159" t="str">
            <v>N2-b1</v>
          </cell>
          <cell r="J1159">
            <v>11</v>
          </cell>
          <cell r="K1159" t="str">
            <v>08</v>
          </cell>
        </row>
        <row r="1160">
          <cell r="A1160" t="str">
            <v>13-19</v>
          </cell>
          <cell r="B1160">
            <v>787</v>
          </cell>
          <cell r="C1160" t="str">
            <v>C1.DK.13.19</v>
          </cell>
          <cell r="D1160" t="str">
            <v>DK</v>
          </cell>
          <cell r="E1160" t="str">
            <v>G-195</v>
          </cell>
          <cell r="F1160" t="str">
            <v>DK133</v>
          </cell>
          <cell r="G1160" t="str">
            <v>N1</v>
          </cell>
          <cell r="H1160" t="str">
            <v>b1</v>
          </cell>
          <cell r="I1160" t="str">
            <v>N1-b1</v>
          </cell>
          <cell r="J1160">
            <v>13</v>
          </cell>
          <cell r="K1160" t="str">
            <v>19</v>
          </cell>
        </row>
        <row r="1161">
          <cell r="A1161" t="str">
            <v>13-51</v>
          </cell>
          <cell r="B1161">
            <v>819</v>
          </cell>
          <cell r="C1161" t="str">
            <v>C1.DK.13.51</v>
          </cell>
          <cell r="D1161" t="str">
            <v>DK</v>
          </cell>
          <cell r="E1161" t="str">
            <v>G-195</v>
          </cell>
          <cell r="F1161" t="str">
            <v>DK133</v>
          </cell>
          <cell r="G1161" t="str">
            <v>N1</v>
          </cell>
          <cell r="H1161" t="str">
            <v>b2</v>
          </cell>
          <cell r="I1161" t="str">
            <v>N1-b2</v>
          </cell>
          <cell r="J1161">
            <v>13</v>
          </cell>
          <cell r="K1161" t="str">
            <v>51</v>
          </cell>
        </row>
        <row r="1162">
          <cell r="A1162" t="str">
            <v>26-65</v>
          </cell>
          <cell r="B1162">
            <v>1183</v>
          </cell>
          <cell r="C1162" t="str">
            <v>C1.DK.26.65</v>
          </cell>
          <cell r="D1162" t="str">
            <v>DK</v>
          </cell>
          <cell r="E1162" t="str">
            <v>G-195</v>
          </cell>
          <cell r="F1162" t="str">
            <v>DK133</v>
          </cell>
          <cell r="G1162" t="str">
            <v>N1</v>
          </cell>
          <cell r="H1162" t="str">
            <v>b3</v>
          </cell>
          <cell r="I1162" t="str">
            <v>N1-b3</v>
          </cell>
          <cell r="J1162" t="str">
            <v>26</v>
          </cell>
          <cell r="K1162" t="str">
            <v>65</v>
          </cell>
        </row>
        <row r="1163">
          <cell r="A1163" t="str">
            <v>30-83</v>
          </cell>
          <cell r="B1163">
            <v>1305</v>
          </cell>
          <cell r="C1163" t="str">
            <v>C1.DK.30.83</v>
          </cell>
          <cell r="D1163" t="str">
            <v>DK</v>
          </cell>
          <cell r="E1163" t="str">
            <v>G-195</v>
          </cell>
          <cell r="F1163" t="str">
            <v>DK133</v>
          </cell>
          <cell r="G1163" t="str">
            <v>N2</v>
          </cell>
          <cell r="H1163" t="str">
            <v>b3</v>
          </cell>
          <cell r="I1163" t="str">
            <v>N2-b3</v>
          </cell>
          <cell r="J1163">
            <v>30</v>
          </cell>
          <cell r="K1163" t="str">
            <v>83</v>
          </cell>
        </row>
        <row r="1164">
          <cell r="A1164" t="str">
            <v>09-45</v>
          </cell>
          <cell r="B1164">
            <v>557</v>
          </cell>
          <cell r="C1164" t="str">
            <v>C1.DK.09.45</v>
          </cell>
          <cell r="D1164" t="str">
            <v>DK</v>
          </cell>
          <cell r="E1164" t="str">
            <v>G-196</v>
          </cell>
          <cell r="F1164" t="str">
            <v>DK135</v>
          </cell>
          <cell r="G1164" t="str">
            <v>N2</v>
          </cell>
          <cell r="H1164" t="str">
            <v>b2</v>
          </cell>
          <cell r="I1164" t="str">
            <v>N2-b2</v>
          </cell>
          <cell r="J1164" t="str">
            <v>09</v>
          </cell>
          <cell r="K1164" t="str">
            <v>45</v>
          </cell>
        </row>
        <row r="1165">
          <cell r="A1165" t="str">
            <v>10-03</v>
          </cell>
          <cell r="B1165">
            <v>579</v>
          </cell>
          <cell r="C1165" t="str">
            <v>C1.DK.10.03</v>
          </cell>
          <cell r="D1165" t="str">
            <v>DK</v>
          </cell>
          <cell r="E1165" t="str">
            <v>G-196</v>
          </cell>
          <cell r="F1165" t="str">
            <v>DK135</v>
          </cell>
          <cell r="G1165" t="str">
            <v>N2</v>
          </cell>
          <cell r="H1165" t="str">
            <v>b1</v>
          </cell>
          <cell r="I1165" t="str">
            <v>N2-b1</v>
          </cell>
          <cell r="J1165">
            <v>10</v>
          </cell>
          <cell r="K1165" t="str">
            <v>03</v>
          </cell>
        </row>
        <row r="1166">
          <cell r="A1166" t="str">
            <v>13-03</v>
          </cell>
          <cell r="B1166">
            <v>771</v>
          </cell>
          <cell r="C1166" t="str">
            <v>C1.DK.13.03</v>
          </cell>
          <cell r="D1166" t="str">
            <v>DK</v>
          </cell>
          <cell r="E1166" t="str">
            <v>G-196</v>
          </cell>
          <cell r="F1166" t="str">
            <v>DK135</v>
          </cell>
          <cell r="G1166" t="str">
            <v>N1</v>
          </cell>
          <cell r="H1166" t="str">
            <v>b1</v>
          </cell>
          <cell r="I1166" t="str">
            <v>N1-b1</v>
          </cell>
          <cell r="J1166">
            <v>13</v>
          </cell>
          <cell r="K1166" t="str">
            <v>03</v>
          </cell>
        </row>
        <row r="1167">
          <cell r="A1167" t="str">
            <v>14-64</v>
          </cell>
          <cell r="B1167">
            <v>896</v>
          </cell>
          <cell r="C1167" t="str">
            <v>C1.DK.14.64</v>
          </cell>
          <cell r="D1167" t="str">
            <v>DK</v>
          </cell>
          <cell r="E1167" t="str">
            <v>G-196</v>
          </cell>
          <cell r="F1167" t="str">
            <v>DK135</v>
          </cell>
          <cell r="G1167" t="str">
            <v>N1</v>
          </cell>
          <cell r="H1167" t="str">
            <v>b2</v>
          </cell>
          <cell r="I1167" t="str">
            <v>N1-b2</v>
          </cell>
          <cell r="J1167">
            <v>14</v>
          </cell>
          <cell r="K1167" t="str">
            <v>64</v>
          </cell>
        </row>
        <row r="1168">
          <cell r="A1168" t="str">
            <v>26-69</v>
          </cell>
          <cell r="B1168">
            <v>1187</v>
          </cell>
          <cell r="C1168" t="str">
            <v>C1.DK.26.69</v>
          </cell>
          <cell r="D1168" t="str">
            <v>DK</v>
          </cell>
          <cell r="E1168" t="str">
            <v>G-196</v>
          </cell>
          <cell r="F1168" t="str">
            <v>DK135</v>
          </cell>
          <cell r="G1168" t="str">
            <v>N1</v>
          </cell>
          <cell r="H1168" t="str">
            <v>b3</v>
          </cell>
          <cell r="I1168" t="str">
            <v>N1-b3</v>
          </cell>
          <cell r="J1168" t="str">
            <v>26</v>
          </cell>
          <cell r="K1168" t="str">
            <v>69</v>
          </cell>
        </row>
        <row r="1169">
          <cell r="A1169" t="str">
            <v>31-68</v>
          </cell>
          <cell r="B1169">
            <v>1316</v>
          </cell>
          <cell r="C1169" t="str">
            <v>C1.DK.31.68</v>
          </cell>
          <cell r="D1169" t="str">
            <v>DK</v>
          </cell>
          <cell r="E1169" t="str">
            <v>G-196</v>
          </cell>
          <cell r="F1169" t="str">
            <v>DK135</v>
          </cell>
          <cell r="G1169" t="str">
            <v>N2</v>
          </cell>
          <cell r="H1169" t="str">
            <v>b3</v>
          </cell>
          <cell r="I1169" t="str">
            <v>N2-b3</v>
          </cell>
          <cell r="J1169">
            <v>31</v>
          </cell>
          <cell r="K1169" t="str">
            <v>68</v>
          </cell>
        </row>
        <row r="1170">
          <cell r="A1170" t="str">
            <v>10-45</v>
          </cell>
          <cell r="B1170">
            <v>621</v>
          </cell>
          <cell r="C1170" t="str">
            <v>C1.DK.10.45</v>
          </cell>
          <cell r="D1170" t="str">
            <v>DK</v>
          </cell>
          <cell r="E1170" t="str">
            <v>G-197</v>
          </cell>
          <cell r="F1170" t="str">
            <v>DK137</v>
          </cell>
          <cell r="G1170" t="str">
            <v>N2</v>
          </cell>
          <cell r="H1170" t="str">
            <v>b2</v>
          </cell>
          <cell r="I1170" t="str">
            <v>N2-b2</v>
          </cell>
          <cell r="J1170">
            <v>10</v>
          </cell>
          <cell r="K1170" t="str">
            <v>45</v>
          </cell>
        </row>
        <row r="1171">
          <cell r="A1171" t="str">
            <v>11-25</v>
          </cell>
          <cell r="B1171">
            <v>665</v>
          </cell>
          <cell r="C1171" t="str">
            <v>C1.DK.11.25</v>
          </cell>
          <cell r="D1171" t="str">
            <v>DK</v>
          </cell>
          <cell r="E1171" t="str">
            <v>G-197</v>
          </cell>
          <cell r="F1171" t="str">
            <v>DK137</v>
          </cell>
          <cell r="G1171" t="str">
            <v>N2</v>
          </cell>
          <cell r="H1171" t="str">
            <v>b1</v>
          </cell>
          <cell r="I1171" t="str">
            <v>N2-b1</v>
          </cell>
          <cell r="J1171">
            <v>11</v>
          </cell>
          <cell r="K1171" t="str">
            <v>25</v>
          </cell>
        </row>
        <row r="1172">
          <cell r="A1172" t="str">
            <v>13-13</v>
          </cell>
          <cell r="B1172">
            <v>781</v>
          </cell>
          <cell r="C1172" t="str">
            <v>C1.DK.13.13</v>
          </cell>
          <cell r="D1172" t="str">
            <v>DK</v>
          </cell>
          <cell r="E1172" t="str">
            <v>G-197</v>
          </cell>
          <cell r="F1172" t="str">
            <v>DK137</v>
          </cell>
          <cell r="G1172" t="str">
            <v>N1</v>
          </cell>
          <cell r="H1172" t="str">
            <v>b1</v>
          </cell>
          <cell r="I1172" t="str">
            <v>N1-b1</v>
          </cell>
          <cell r="J1172">
            <v>13</v>
          </cell>
          <cell r="K1172" t="str">
            <v>13</v>
          </cell>
        </row>
        <row r="1173">
          <cell r="A1173" t="str">
            <v>14-49</v>
          </cell>
          <cell r="B1173">
            <v>881</v>
          </cell>
          <cell r="C1173" t="str">
            <v>C1.DK.14.49</v>
          </cell>
          <cell r="D1173" t="str">
            <v>DK</v>
          </cell>
          <cell r="E1173" t="str">
            <v>G-197</v>
          </cell>
          <cell r="F1173" t="str">
            <v>DK137</v>
          </cell>
          <cell r="G1173" t="str">
            <v>N1</v>
          </cell>
          <cell r="H1173" t="str">
            <v>b2</v>
          </cell>
          <cell r="I1173" t="str">
            <v>N1-b2</v>
          </cell>
          <cell r="J1173">
            <v>14</v>
          </cell>
          <cell r="K1173" t="str">
            <v>49</v>
          </cell>
        </row>
        <row r="1174">
          <cell r="A1174" t="str">
            <v>27-82</v>
          </cell>
          <cell r="B1174">
            <v>1226</v>
          </cell>
          <cell r="C1174" t="str">
            <v>C1.DK.27.82</v>
          </cell>
          <cell r="D1174" t="str">
            <v>DK</v>
          </cell>
          <cell r="E1174" t="str">
            <v>G-197</v>
          </cell>
          <cell r="F1174" t="str">
            <v>DK137</v>
          </cell>
          <cell r="G1174" t="str">
            <v>N1</v>
          </cell>
          <cell r="H1174" t="str">
            <v>b3</v>
          </cell>
          <cell r="I1174" t="str">
            <v>N1-b3</v>
          </cell>
          <cell r="J1174">
            <v>27</v>
          </cell>
          <cell r="K1174" t="str">
            <v>82</v>
          </cell>
        </row>
        <row r="1175">
          <cell r="A1175" t="str">
            <v>29-74</v>
          </cell>
          <cell r="B1175">
            <v>1270</v>
          </cell>
          <cell r="C1175" t="str">
            <v>C1.DK.29.74</v>
          </cell>
          <cell r="D1175" t="str">
            <v>DK</v>
          </cell>
          <cell r="E1175" t="str">
            <v>G-197</v>
          </cell>
          <cell r="F1175" t="str">
            <v>DK137</v>
          </cell>
          <cell r="G1175" t="str">
            <v>N2</v>
          </cell>
          <cell r="H1175" t="str">
            <v>b3</v>
          </cell>
          <cell r="I1175" t="str">
            <v>N2-b3</v>
          </cell>
          <cell r="J1175">
            <v>29</v>
          </cell>
          <cell r="K1175" t="str">
            <v>74</v>
          </cell>
        </row>
        <row r="1176">
          <cell r="A1176" t="str">
            <v>09-12</v>
          </cell>
          <cell r="B1176">
            <v>524</v>
          </cell>
          <cell r="C1176" t="str">
            <v>C1.DK.09.12</v>
          </cell>
          <cell r="D1176" t="str">
            <v>DK</v>
          </cell>
          <cell r="E1176" t="str">
            <v>G-198</v>
          </cell>
          <cell r="F1176" t="str">
            <v>DK138</v>
          </cell>
          <cell r="G1176" t="str">
            <v>N2</v>
          </cell>
          <cell r="H1176" t="str">
            <v>b1</v>
          </cell>
          <cell r="I1176" t="str">
            <v>N2-b1</v>
          </cell>
          <cell r="J1176" t="str">
            <v>09</v>
          </cell>
          <cell r="K1176" t="str">
            <v>12</v>
          </cell>
        </row>
        <row r="1177">
          <cell r="A1177" t="str">
            <v>11-57</v>
          </cell>
          <cell r="B1177">
            <v>697</v>
          </cell>
          <cell r="C1177" t="str">
            <v>C1.DK.11.57</v>
          </cell>
          <cell r="D1177" t="str">
            <v>DK</v>
          </cell>
          <cell r="E1177" t="str">
            <v>G-198</v>
          </cell>
          <cell r="F1177" t="str">
            <v>DK138</v>
          </cell>
          <cell r="G1177" t="str">
            <v>N2</v>
          </cell>
          <cell r="H1177" t="str">
            <v>b2</v>
          </cell>
          <cell r="I1177" t="str">
            <v>N2-b2</v>
          </cell>
          <cell r="J1177">
            <v>11</v>
          </cell>
          <cell r="K1177" t="str">
            <v>57</v>
          </cell>
        </row>
        <row r="1178">
          <cell r="A1178" t="str">
            <v>13-58</v>
          </cell>
          <cell r="B1178">
            <v>826</v>
          </cell>
          <cell r="C1178" t="str">
            <v>C1.DK.13.58</v>
          </cell>
          <cell r="D1178" t="str">
            <v>DK</v>
          </cell>
          <cell r="E1178" t="str">
            <v>G-198</v>
          </cell>
          <cell r="F1178" t="str">
            <v>DK138</v>
          </cell>
          <cell r="G1178" t="str">
            <v>N1</v>
          </cell>
          <cell r="H1178" t="str">
            <v>b2</v>
          </cell>
          <cell r="I1178" t="str">
            <v>N1-b2</v>
          </cell>
          <cell r="J1178">
            <v>13</v>
          </cell>
          <cell r="K1178" t="str">
            <v>58</v>
          </cell>
        </row>
        <row r="1179">
          <cell r="A1179" t="str">
            <v>14-14</v>
          </cell>
          <cell r="B1179">
            <v>846</v>
          </cell>
          <cell r="C1179" t="str">
            <v>C1.DK.14.14</v>
          </cell>
          <cell r="D1179" t="str">
            <v>DK</v>
          </cell>
          <cell r="E1179" t="str">
            <v>G-198</v>
          </cell>
          <cell r="F1179" t="str">
            <v>DK138</v>
          </cell>
          <cell r="G1179" t="str">
            <v>N1</v>
          </cell>
          <cell r="H1179" t="str">
            <v>b1</v>
          </cell>
          <cell r="I1179" t="str">
            <v>N1-b1</v>
          </cell>
          <cell r="J1179">
            <v>14</v>
          </cell>
          <cell r="K1179" t="str">
            <v>14</v>
          </cell>
        </row>
        <row r="1180">
          <cell r="A1180" t="str">
            <v>28-83</v>
          </cell>
          <cell r="B1180">
            <v>1253</v>
          </cell>
          <cell r="C1180" t="str">
            <v>C1.DK.28.83</v>
          </cell>
          <cell r="D1180" t="str">
            <v>DK</v>
          </cell>
          <cell r="E1180" t="str">
            <v>G-198</v>
          </cell>
          <cell r="F1180" t="str">
            <v>DK138</v>
          </cell>
          <cell r="G1180" t="str">
            <v>N1</v>
          </cell>
          <cell r="H1180" t="str">
            <v>b3</v>
          </cell>
          <cell r="I1180" t="str">
            <v>N1-b3</v>
          </cell>
          <cell r="J1180">
            <v>28</v>
          </cell>
          <cell r="K1180" t="str">
            <v>83</v>
          </cell>
        </row>
        <row r="1181">
          <cell r="A1181" t="str">
            <v>29-83</v>
          </cell>
          <cell r="B1181">
            <v>1279</v>
          </cell>
          <cell r="C1181" t="str">
            <v>C1.DK.29.83</v>
          </cell>
          <cell r="D1181" t="str">
            <v>DK</v>
          </cell>
          <cell r="E1181" t="str">
            <v>G-198</v>
          </cell>
          <cell r="F1181" t="str">
            <v>DK138</v>
          </cell>
          <cell r="G1181" t="str">
            <v>N2</v>
          </cell>
          <cell r="H1181" t="str">
            <v>b3</v>
          </cell>
          <cell r="I1181" t="str">
            <v>N2-b3</v>
          </cell>
          <cell r="J1181">
            <v>29</v>
          </cell>
          <cell r="K1181" t="str">
            <v>83</v>
          </cell>
        </row>
        <row r="1182">
          <cell r="A1182" t="str">
            <v>10-34</v>
          </cell>
          <cell r="B1182">
            <v>610</v>
          </cell>
          <cell r="C1182" t="str">
            <v>C1.DK.10.34</v>
          </cell>
          <cell r="D1182" t="str">
            <v>DK</v>
          </cell>
          <cell r="E1182" t="str">
            <v>G-199</v>
          </cell>
          <cell r="F1182" t="str">
            <v>DK140</v>
          </cell>
          <cell r="G1182" t="str">
            <v>N2</v>
          </cell>
          <cell r="H1182" t="str">
            <v>b2</v>
          </cell>
          <cell r="I1182" t="str">
            <v>N2-b2</v>
          </cell>
          <cell r="J1182">
            <v>10</v>
          </cell>
          <cell r="K1182" t="str">
            <v>34</v>
          </cell>
        </row>
        <row r="1183">
          <cell r="A1183" t="str">
            <v>11-04</v>
          </cell>
          <cell r="B1183">
            <v>644</v>
          </cell>
          <cell r="C1183" t="str">
            <v>C1.DK.11.04</v>
          </cell>
          <cell r="D1183" t="str">
            <v>DK</v>
          </cell>
          <cell r="E1183" t="str">
            <v>G-199</v>
          </cell>
          <cell r="F1183" t="str">
            <v>DK140</v>
          </cell>
          <cell r="G1183" t="str">
            <v>N2</v>
          </cell>
          <cell r="H1183" t="str">
            <v>b1</v>
          </cell>
          <cell r="I1183" t="str">
            <v>N2-b1</v>
          </cell>
          <cell r="J1183">
            <v>11</v>
          </cell>
          <cell r="K1183" t="str">
            <v>04</v>
          </cell>
        </row>
        <row r="1184">
          <cell r="A1184" t="str">
            <v>12-11</v>
          </cell>
          <cell r="B1184">
            <v>715</v>
          </cell>
          <cell r="C1184" t="str">
            <v>C1.DK.12.11</v>
          </cell>
          <cell r="D1184" t="str">
            <v>DK</v>
          </cell>
          <cell r="E1184" t="str">
            <v>G-199</v>
          </cell>
          <cell r="F1184" t="str">
            <v>DK140</v>
          </cell>
          <cell r="G1184" t="str">
            <v>N1</v>
          </cell>
          <cell r="H1184" t="str">
            <v>b1</v>
          </cell>
          <cell r="I1184" t="str">
            <v>N1-b1</v>
          </cell>
          <cell r="J1184">
            <v>12</v>
          </cell>
          <cell r="K1184" t="str">
            <v>11</v>
          </cell>
        </row>
        <row r="1185">
          <cell r="A1185" t="str">
            <v>14-58</v>
          </cell>
          <cell r="B1185">
            <v>890</v>
          </cell>
          <cell r="C1185" t="str">
            <v>C1.DK.14.58</v>
          </cell>
          <cell r="D1185" t="str">
            <v>DK</v>
          </cell>
          <cell r="E1185" t="str">
            <v>G-199</v>
          </cell>
          <cell r="F1185" t="str">
            <v>DK140</v>
          </cell>
          <cell r="G1185" t="str">
            <v>N1</v>
          </cell>
          <cell r="H1185" t="str">
            <v>b2</v>
          </cell>
          <cell r="I1185" t="str">
            <v>N1-b2</v>
          </cell>
          <cell r="J1185">
            <v>14</v>
          </cell>
          <cell r="K1185" t="str">
            <v>58</v>
          </cell>
        </row>
        <row r="1186">
          <cell r="A1186" t="str">
            <v>28-71</v>
          </cell>
          <cell r="B1186">
            <v>1241</v>
          </cell>
          <cell r="C1186" t="str">
            <v>C1.DK.28.71</v>
          </cell>
          <cell r="D1186" t="str">
            <v>DK</v>
          </cell>
          <cell r="E1186" t="str">
            <v>G-199</v>
          </cell>
          <cell r="F1186" t="str">
            <v>DK140</v>
          </cell>
          <cell r="G1186" t="str">
            <v>N1</v>
          </cell>
          <cell r="H1186" t="str">
            <v>b3</v>
          </cell>
          <cell r="I1186" t="str">
            <v>N1-b3</v>
          </cell>
          <cell r="J1186">
            <v>28</v>
          </cell>
          <cell r="K1186" t="str">
            <v>71</v>
          </cell>
        </row>
        <row r="1187">
          <cell r="A1187" t="str">
            <v>30-67</v>
          </cell>
          <cell r="B1187">
            <v>1289</v>
          </cell>
          <cell r="C1187" t="str">
            <v>C1.DK.30.67</v>
          </cell>
          <cell r="D1187" t="str">
            <v>DK</v>
          </cell>
          <cell r="E1187" t="str">
            <v>G-199</v>
          </cell>
          <cell r="F1187" t="str">
            <v>DK140</v>
          </cell>
          <cell r="G1187" t="str">
            <v>N2</v>
          </cell>
          <cell r="H1187" t="str">
            <v>b3</v>
          </cell>
          <cell r="I1187" t="str">
            <v>N2-b3</v>
          </cell>
          <cell r="J1187">
            <v>30</v>
          </cell>
          <cell r="K1187" t="str">
            <v>67</v>
          </cell>
        </row>
        <row r="1188">
          <cell r="A1188" t="str">
            <v>10-04</v>
          </cell>
          <cell r="B1188">
            <v>580</v>
          </cell>
          <cell r="C1188" t="str">
            <v>C1.DK.10.04</v>
          </cell>
          <cell r="D1188" t="str">
            <v>DK</v>
          </cell>
          <cell r="E1188" t="str">
            <v>G-200</v>
          </cell>
          <cell r="F1188" t="str">
            <v>DK142</v>
          </cell>
          <cell r="G1188" t="str">
            <v>N2</v>
          </cell>
          <cell r="H1188" t="str">
            <v>b1</v>
          </cell>
          <cell r="I1188" t="str">
            <v>N2-b1</v>
          </cell>
          <cell r="J1188">
            <v>10</v>
          </cell>
          <cell r="K1188" t="str">
            <v>04</v>
          </cell>
        </row>
        <row r="1189">
          <cell r="A1189" t="str">
            <v>11-58</v>
          </cell>
          <cell r="B1189">
            <v>698</v>
          </cell>
          <cell r="C1189" t="str">
            <v>C1.DK.11.58</v>
          </cell>
          <cell r="D1189" t="str">
            <v>DK</v>
          </cell>
          <cell r="E1189" t="str">
            <v>G-200</v>
          </cell>
          <cell r="F1189" t="str">
            <v>DK142</v>
          </cell>
          <cell r="G1189" t="str">
            <v>N2</v>
          </cell>
          <cell r="H1189" t="str">
            <v>b2</v>
          </cell>
          <cell r="I1189" t="str">
            <v>N2-b2</v>
          </cell>
          <cell r="J1189">
            <v>11</v>
          </cell>
          <cell r="K1189" t="str">
            <v>58</v>
          </cell>
        </row>
        <row r="1190">
          <cell r="A1190" t="str">
            <v>12-12</v>
          </cell>
          <cell r="B1190">
            <v>716</v>
          </cell>
          <cell r="C1190" t="str">
            <v>C1.DK.12.12</v>
          </cell>
          <cell r="D1190" t="str">
            <v>DK</v>
          </cell>
          <cell r="E1190" t="str">
            <v>G-200</v>
          </cell>
          <cell r="F1190" t="str">
            <v>DK142</v>
          </cell>
          <cell r="G1190" t="str">
            <v>N1</v>
          </cell>
          <cell r="H1190" t="str">
            <v>b1</v>
          </cell>
          <cell r="I1190" t="str">
            <v>N1-b1</v>
          </cell>
          <cell r="J1190">
            <v>12</v>
          </cell>
          <cell r="K1190" t="str">
            <v>12</v>
          </cell>
        </row>
        <row r="1191">
          <cell r="A1191" t="str">
            <v>13-33</v>
          </cell>
          <cell r="B1191">
            <v>801</v>
          </cell>
          <cell r="C1191" t="str">
            <v>C1.DK.13.33</v>
          </cell>
          <cell r="D1191" t="str">
            <v>DK</v>
          </cell>
          <cell r="E1191" t="str">
            <v>G-200</v>
          </cell>
          <cell r="F1191" t="str">
            <v>DK142</v>
          </cell>
          <cell r="G1191" t="str">
            <v>N1</v>
          </cell>
          <cell r="H1191" t="str">
            <v>b2</v>
          </cell>
          <cell r="I1191" t="str">
            <v>N1-b2</v>
          </cell>
          <cell r="J1191">
            <v>13</v>
          </cell>
          <cell r="K1191" t="str">
            <v>33</v>
          </cell>
        </row>
        <row r="1192">
          <cell r="A1192" t="str">
            <v>26-66</v>
          </cell>
          <cell r="B1192">
            <v>1184</v>
          </cell>
          <cell r="C1192" t="str">
            <v>C1.DK.26.66</v>
          </cell>
          <cell r="D1192" t="str">
            <v>DK</v>
          </cell>
          <cell r="E1192" t="str">
            <v>G-200</v>
          </cell>
          <cell r="F1192" t="str">
            <v>DK142</v>
          </cell>
          <cell r="G1192" t="str">
            <v>N1</v>
          </cell>
          <cell r="H1192" t="str">
            <v>b3</v>
          </cell>
          <cell r="I1192" t="str">
            <v>N1-b3</v>
          </cell>
          <cell r="J1192" t="str">
            <v>26</v>
          </cell>
          <cell r="K1192" t="str">
            <v>66</v>
          </cell>
        </row>
        <row r="1193">
          <cell r="A1193" t="str">
            <v>30-65</v>
          </cell>
          <cell r="B1193">
            <v>1287</v>
          </cell>
          <cell r="C1193" t="str">
            <v>C1.DK.30.65</v>
          </cell>
          <cell r="D1193" t="str">
            <v>DK</v>
          </cell>
          <cell r="E1193" t="str">
            <v>G-200</v>
          </cell>
          <cell r="F1193" t="str">
            <v>DK142</v>
          </cell>
          <cell r="G1193" t="str">
            <v>N2</v>
          </cell>
          <cell r="H1193" t="str">
            <v>b3</v>
          </cell>
          <cell r="I1193" t="str">
            <v>N2-b3</v>
          </cell>
          <cell r="J1193">
            <v>30</v>
          </cell>
          <cell r="K1193" t="str">
            <v>65</v>
          </cell>
        </row>
        <row r="1194">
          <cell r="A1194" t="str">
            <v>09-33</v>
          </cell>
          <cell r="B1194">
            <v>545</v>
          </cell>
          <cell r="C1194" t="str">
            <v>C1.DK.09.33</v>
          </cell>
          <cell r="D1194" t="str">
            <v>DK</v>
          </cell>
          <cell r="E1194" t="str">
            <v>G-201</v>
          </cell>
          <cell r="F1194" t="str">
            <v>DK143</v>
          </cell>
          <cell r="G1194" t="str">
            <v>N2</v>
          </cell>
          <cell r="H1194" t="str">
            <v>b2</v>
          </cell>
          <cell r="I1194" t="str">
            <v>N2-b2</v>
          </cell>
          <cell r="J1194" t="str">
            <v>09</v>
          </cell>
          <cell r="K1194" t="str">
            <v>33</v>
          </cell>
        </row>
        <row r="1195">
          <cell r="A1195" t="str">
            <v>10-27</v>
          </cell>
          <cell r="B1195">
            <v>603</v>
          </cell>
          <cell r="C1195" t="str">
            <v>C1.DK.10.27</v>
          </cell>
          <cell r="D1195" t="str">
            <v>DK</v>
          </cell>
          <cell r="E1195" t="str">
            <v>G-201</v>
          </cell>
          <cell r="F1195" t="str">
            <v>DK143</v>
          </cell>
          <cell r="G1195" t="str">
            <v>N2</v>
          </cell>
          <cell r="H1195" t="str">
            <v>b1</v>
          </cell>
          <cell r="I1195" t="str">
            <v>N2-b1</v>
          </cell>
          <cell r="J1195">
            <v>10</v>
          </cell>
          <cell r="K1195" t="str">
            <v>27</v>
          </cell>
        </row>
        <row r="1196">
          <cell r="A1196" t="str">
            <v>12-17</v>
          </cell>
          <cell r="B1196">
            <v>721</v>
          </cell>
          <cell r="C1196" t="str">
            <v>C1.DK.12.17</v>
          </cell>
          <cell r="D1196" t="str">
            <v>DK</v>
          </cell>
          <cell r="E1196" t="str">
            <v>G-201</v>
          </cell>
          <cell r="F1196" t="str">
            <v>DK143</v>
          </cell>
          <cell r="G1196" t="str">
            <v>N1</v>
          </cell>
          <cell r="H1196" t="str">
            <v>b1</v>
          </cell>
          <cell r="I1196" t="str">
            <v>N1-b1</v>
          </cell>
          <cell r="J1196">
            <v>12</v>
          </cell>
          <cell r="K1196" t="str">
            <v>17</v>
          </cell>
        </row>
        <row r="1197">
          <cell r="A1197" t="str">
            <v>13-52</v>
          </cell>
          <cell r="B1197">
            <v>820</v>
          </cell>
          <cell r="C1197" t="str">
            <v>C1.DK.13.52</v>
          </cell>
          <cell r="D1197" t="str">
            <v>DK</v>
          </cell>
          <cell r="E1197" t="str">
            <v>G-201</v>
          </cell>
          <cell r="F1197" t="str">
            <v>DK143</v>
          </cell>
          <cell r="G1197" t="str">
            <v>N1</v>
          </cell>
          <cell r="H1197" t="str">
            <v>b2</v>
          </cell>
          <cell r="I1197" t="str">
            <v>N1-b2</v>
          </cell>
          <cell r="J1197">
            <v>13</v>
          </cell>
          <cell r="K1197" t="str">
            <v>52</v>
          </cell>
        </row>
        <row r="1198">
          <cell r="A1198" t="str">
            <v>27-78</v>
          </cell>
          <cell r="B1198">
            <v>1222</v>
          </cell>
          <cell r="C1198" t="str">
            <v>C1.DK.27.78</v>
          </cell>
          <cell r="D1198" t="str">
            <v>DK</v>
          </cell>
          <cell r="E1198" t="str">
            <v>G-201</v>
          </cell>
          <cell r="F1198" t="str">
            <v>DK143</v>
          </cell>
          <cell r="G1198" t="str">
            <v>N1</v>
          </cell>
          <cell r="H1198" t="str">
            <v>b3</v>
          </cell>
          <cell r="I1198" t="str">
            <v>N1-b3</v>
          </cell>
          <cell r="J1198">
            <v>27</v>
          </cell>
          <cell r="K1198" t="str">
            <v>78</v>
          </cell>
        </row>
        <row r="1199">
          <cell r="A1199" t="str">
            <v>31-77</v>
          </cell>
          <cell r="B1199">
            <v>1325</v>
          </cell>
          <cell r="C1199" t="str">
            <v>C1.DK.31.77</v>
          </cell>
          <cell r="D1199" t="str">
            <v>DK</v>
          </cell>
          <cell r="E1199" t="str">
            <v>G-201</v>
          </cell>
          <cell r="F1199" t="str">
            <v>DK143</v>
          </cell>
          <cell r="G1199" t="str">
            <v>N2</v>
          </cell>
          <cell r="H1199" t="str">
            <v>b3</v>
          </cell>
          <cell r="I1199" t="str">
            <v>N2-b3</v>
          </cell>
          <cell r="J1199">
            <v>31</v>
          </cell>
          <cell r="K1199" t="str">
            <v>77</v>
          </cell>
        </row>
        <row r="1200">
          <cell r="A1200" t="str">
            <v>10-10</v>
          </cell>
          <cell r="B1200">
            <v>586</v>
          </cell>
          <cell r="C1200" t="str">
            <v>C1.DK.10.10</v>
          </cell>
          <cell r="D1200" t="str">
            <v>DK</v>
          </cell>
          <cell r="E1200" t="str">
            <v>G-202</v>
          </cell>
          <cell r="F1200" t="str">
            <v>DK144</v>
          </cell>
          <cell r="G1200" t="str">
            <v>N2</v>
          </cell>
          <cell r="H1200" t="str">
            <v>b1</v>
          </cell>
          <cell r="I1200" t="str">
            <v>N2-b1</v>
          </cell>
          <cell r="J1200">
            <v>10</v>
          </cell>
          <cell r="K1200" t="str">
            <v>10</v>
          </cell>
        </row>
        <row r="1201">
          <cell r="A1201" t="str">
            <v>11-59</v>
          </cell>
          <cell r="B1201">
            <v>699</v>
          </cell>
          <cell r="C1201" t="str">
            <v>C1.DK.11.59</v>
          </cell>
          <cell r="D1201" t="str">
            <v>DK</v>
          </cell>
          <cell r="E1201" t="str">
            <v>G-202</v>
          </cell>
          <cell r="F1201" t="str">
            <v>DK144</v>
          </cell>
          <cell r="G1201" t="str">
            <v>N2</v>
          </cell>
          <cell r="H1201" t="str">
            <v>b2</v>
          </cell>
          <cell r="I1201" t="str">
            <v>N2-b2</v>
          </cell>
          <cell r="J1201">
            <v>11</v>
          </cell>
          <cell r="K1201" t="str">
            <v>59</v>
          </cell>
        </row>
        <row r="1202">
          <cell r="A1202" t="str">
            <v>12-14</v>
          </cell>
          <cell r="B1202">
            <v>718</v>
          </cell>
          <cell r="C1202" t="str">
            <v>C1.DK.12.14</v>
          </cell>
          <cell r="D1202" t="str">
            <v>DK</v>
          </cell>
          <cell r="E1202" t="str">
            <v>G-202</v>
          </cell>
          <cell r="F1202" t="str">
            <v>DK144</v>
          </cell>
          <cell r="G1202" t="str">
            <v>N1</v>
          </cell>
          <cell r="H1202" t="str">
            <v>b1</v>
          </cell>
          <cell r="I1202" t="str">
            <v>N1-b1</v>
          </cell>
          <cell r="J1202">
            <v>12</v>
          </cell>
          <cell r="K1202" t="str">
            <v>14</v>
          </cell>
        </row>
        <row r="1203">
          <cell r="A1203" t="str">
            <v>13-64</v>
          </cell>
          <cell r="B1203">
            <v>832</v>
          </cell>
          <cell r="C1203" t="str">
            <v>C1.DK.13.64</v>
          </cell>
          <cell r="D1203" t="str">
            <v>DK</v>
          </cell>
          <cell r="E1203" t="str">
            <v>G-202</v>
          </cell>
          <cell r="F1203" t="str">
            <v>DK144</v>
          </cell>
          <cell r="G1203" t="str">
            <v>N1</v>
          </cell>
          <cell r="H1203" t="str">
            <v>b2</v>
          </cell>
          <cell r="I1203" t="str">
            <v>N1-b2</v>
          </cell>
          <cell r="J1203">
            <v>13</v>
          </cell>
          <cell r="K1203" t="str">
            <v>64</v>
          </cell>
        </row>
        <row r="1204">
          <cell r="A1204" t="str">
            <v>27-79</v>
          </cell>
          <cell r="B1204">
            <v>1223</v>
          </cell>
          <cell r="C1204" t="str">
            <v>C1.DK.27.79</v>
          </cell>
          <cell r="D1204" t="str">
            <v>DK</v>
          </cell>
          <cell r="E1204" t="str">
            <v>G-202</v>
          </cell>
          <cell r="F1204" t="str">
            <v>DK144</v>
          </cell>
          <cell r="G1204" t="str">
            <v>N1</v>
          </cell>
          <cell r="H1204" t="str">
            <v>b3</v>
          </cell>
          <cell r="I1204" t="str">
            <v>N1-b3</v>
          </cell>
          <cell r="J1204">
            <v>27</v>
          </cell>
          <cell r="K1204" t="str">
            <v>79</v>
          </cell>
        </row>
        <row r="1205">
          <cell r="A1205" t="str">
            <v>32-78</v>
          </cell>
          <cell r="B1205">
            <v>1352</v>
          </cell>
          <cell r="C1205" t="str">
            <v>C1.DK.32.78</v>
          </cell>
          <cell r="D1205" t="str">
            <v>DK</v>
          </cell>
          <cell r="E1205" t="str">
            <v>G-202</v>
          </cell>
          <cell r="F1205" t="str">
            <v>DK144</v>
          </cell>
          <cell r="G1205" t="str">
            <v>N2</v>
          </cell>
          <cell r="H1205" t="str">
            <v>b3</v>
          </cell>
          <cell r="I1205" t="str">
            <v>N2-b3</v>
          </cell>
          <cell r="J1205">
            <v>32</v>
          </cell>
          <cell r="K1205" t="str">
            <v>78</v>
          </cell>
        </row>
        <row r="1206">
          <cell r="A1206" t="str">
            <v>10-49</v>
          </cell>
          <cell r="B1206">
            <v>625</v>
          </cell>
          <cell r="C1206" t="str">
            <v>C1.DK.10.49</v>
          </cell>
          <cell r="D1206" t="str">
            <v>DK</v>
          </cell>
          <cell r="E1206" t="str">
            <v>G-203</v>
          </cell>
          <cell r="F1206" t="str">
            <v>DK145</v>
          </cell>
          <cell r="G1206" t="str">
            <v>N2</v>
          </cell>
          <cell r="H1206" t="str">
            <v>b2</v>
          </cell>
          <cell r="I1206" t="str">
            <v>N2-b2</v>
          </cell>
          <cell r="J1206">
            <v>10</v>
          </cell>
          <cell r="K1206" t="str">
            <v>49</v>
          </cell>
        </row>
        <row r="1207">
          <cell r="A1207" t="str">
            <v>11-01</v>
          </cell>
          <cell r="B1207">
            <v>641</v>
          </cell>
          <cell r="C1207" t="str">
            <v>C1.DK.11.01</v>
          </cell>
          <cell r="D1207" t="str">
            <v>DK</v>
          </cell>
          <cell r="E1207" t="str">
            <v>G-203</v>
          </cell>
          <cell r="F1207" t="str">
            <v>DK145</v>
          </cell>
          <cell r="G1207" t="str">
            <v>N2</v>
          </cell>
          <cell r="H1207" t="str">
            <v>b1</v>
          </cell>
          <cell r="I1207" t="str">
            <v>N2-b1</v>
          </cell>
          <cell r="J1207">
            <v>11</v>
          </cell>
          <cell r="K1207" t="str">
            <v>01</v>
          </cell>
        </row>
        <row r="1208">
          <cell r="A1208" t="str">
            <v>12-52</v>
          </cell>
          <cell r="B1208">
            <v>756</v>
          </cell>
          <cell r="C1208" t="str">
            <v>C1.DK.12.52</v>
          </cell>
          <cell r="D1208" t="str">
            <v>DK</v>
          </cell>
          <cell r="E1208" t="str">
            <v>G-203</v>
          </cell>
          <cell r="F1208" t="str">
            <v>DK145</v>
          </cell>
          <cell r="G1208" t="str">
            <v>N1</v>
          </cell>
          <cell r="H1208" t="str">
            <v>b2</v>
          </cell>
          <cell r="I1208" t="str">
            <v>N1-b2</v>
          </cell>
          <cell r="J1208">
            <v>12</v>
          </cell>
          <cell r="K1208" t="str">
            <v>52</v>
          </cell>
        </row>
        <row r="1209">
          <cell r="A1209" t="str">
            <v>13-29</v>
          </cell>
          <cell r="B1209">
            <v>797</v>
          </cell>
          <cell r="C1209" t="str">
            <v>C1.DK.13.29</v>
          </cell>
          <cell r="D1209" t="str">
            <v>DK</v>
          </cell>
          <cell r="E1209" t="str">
            <v>G-203</v>
          </cell>
          <cell r="F1209" t="str">
            <v>DK145</v>
          </cell>
          <cell r="G1209" t="str">
            <v>N1</v>
          </cell>
          <cell r="H1209" t="str">
            <v>b1</v>
          </cell>
          <cell r="I1209" t="str">
            <v>N1-b1</v>
          </cell>
          <cell r="J1209">
            <v>13</v>
          </cell>
          <cell r="K1209" t="str">
            <v>29</v>
          </cell>
        </row>
        <row r="1210">
          <cell r="A1210" t="str">
            <v>26-74</v>
          </cell>
          <cell r="B1210">
            <v>1192</v>
          </cell>
          <cell r="C1210" t="str">
            <v>C1.DK.26.74</v>
          </cell>
          <cell r="D1210" t="str">
            <v>DK</v>
          </cell>
          <cell r="E1210" t="str">
            <v>G-203</v>
          </cell>
          <cell r="F1210" t="str">
            <v>DK145</v>
          </cell>
          <cell r="G1210" t="str">
            <v>N1</v>
          </cell>
          <cell r="H1210" t="str">
            <v>b3</v>
          </cell>
          <cell r="I1210" t="str">
            <v>N1-b3</v>
          </cell>
          <cell r="J1210" t="str">
            <v>26</v>
          </cell>
          <cell r="K1210" t="str">
            <v>74</v>
          </cell>
        </row>
        <row r="1211">
          <cell r="A1211" t="str">
            <v>29-67</v>
          </cell>
          <cell r="B1211">
            <v>1263</v>
          </cell>
          <cell r="C1211" t="str">
            <v>C1.DK.29.67</v>
          </cell>
          <cell r="D1211" t="str">
            <v>DK</v>
          </cell>
          <cell r="E1211" t="str">
            <v>G-203</v>
          </cell>
          <cell r="F1211" t="str">
            <v>DK145</v>
          </cell>
          <cell r="G1211" t="str">
            <v>N2</v>
          </cell>
          <cell r="H1211" t="str">
            <v>b3</v>
          </cell>
          <cell r="I1211" t="str">
            <v>N2-b3</v>
          </cell>
          <cell r="J1211">
            <v>29</v>
          </cell>
          <cell r="K1211" t="str">
            <v>67</v>
          </cell>
        </row>
        <row r="1212">
          <cell r="A1212" t="str">
            <v>10-54</v>
          </cell>
          <cell r="B1212">
            <v>630</v>
          </cell>
          <cell r="C1212" t="str">
            <v>C1.DK.10.54</v>
          </cell>
          <cell r="D1212" t="str">
            <v>DK</v>
          </cell>
          <cell r="E1212" t="str">
            <v>G-204</v>
          </cell>
          <cell r="F1212" t="str">
            <v>DK146</v>
          </cell>
          <cell r="G1212" t="str">
            <v>N2</v>
          </cell>
          <cell r="H1212" t="str">
            <v>b2</v>
          </cell>
          <cell r="I1212" t="str">
            <v>N2-b2</v>
          </cell>
          <cell r="J1212">
            <v>10</v>
          </cell>
          <cell r="K1212" t="str">
            <v>54</v>
          </cell>
        </row>
        <row r="1213">
          <cell r="A1213" t="str">
            <v>11-19</v>
          </cell>
          <cell r="B1213">
            <v>659</v>
          </cell>
          <cell r="C1213" t="str">
            <v>C1.DK.11.19</v>
          </cell>
          <cell r="D1213" t="str">
            <v>DK</v>
          </cell>
          <cell r="E1213" t="str">
            <v>G-204</v>
          </cell>
          <cell r="F1213" t="str">
            <v>DK146</v>
          </cell>
          <cell r="G1213" t="str">
            <v>N2</v>
          </cell>
          <cell r="H1213" t="str">
            <v>b1</v>
          </cell>
          <cell r="I1213" t="str">
            <v>N2-b1</v>
          </cell>
          <cell r="J1213">
            <v>11</v>
          </cell>
          <cell r="K1213" t="str">
            <v>19</v>
          </cell>
        </row>
        <row r="1214">
          <cell r="A1214" t="str">
            <v>13-04</v>
          </cell>
          <cell r="B1214">
            <v>772</v>
          </cell>
          <cell r="C1214" t="str">
            <v>C1.DK.13.04</v>
          </cell>
          <cell r="D1214" t="str">
            <v>DK</v>
          </cell>
          <cell r="E1214" t="str">
            <v>G-204</v>
          </cell>
          <cell r="F1214" t="str">
            <v>DK146</v>
          </cell>
          <cell r="G1214" t="str">
            <v>N1</v>
          </cell>
          <cell r="H1214" t="str">
            <v>b1</v>
          </cell>
          <cell r="I1214" t="str">
            <v>N1-b1</v>
          </cell>
          <cell r="J1214">
            <v>13</v>
          </cell>
          <cell r="K1214" t="str">
            <v>04</v>
          </cell>
        </row>
        <row r="1215">
          <cell r="A1215" t="str">
            <v>13-56</v>
          </cell>
          <cell r="B1215">
            <v>824</v>
          </cell>
          <cell r="C1215" t="str">
            <v>C1.DK.13.56</v>
          </cell>
          <cell r="D1215" t="str">
            <v>DK</v>
          </cell>
          <cell r="E1215" t="str">
            <v>G-204</v>
          </cell>
          <cell r="F1215" t="str">
            <v>DK146</v>
          </cell>
          <cell r="G1215" t="str">
            <v>N1</v>
          </cell>
          <cell r="H1215" t="str">
            <v>b2</v>
          </cell>
          <cell r="I1215" t="str">
            <v>N1-b2</v>
          </cell>
          <cell r="J1215">
            <v>13</v>
          </cell>
          <cell r="K1215" t="str">
            <v>56</v>
          </cell>
        </row>
        <row r="1216">
          <cell r="A1216" t="str">
            <v>25-65</v>
          </cell>
          <cell r="B1216">
            <v>1157</v>
          </cell>
          <cell r="C1216" t="str">
            <v>C1.DK.25.65</v>
          </cell>
          <cell r="D1216" t="str">
            <v>DK</v>
          </cell>
          <cell r="E1216" t="str">
            <v>G-204</v>
          </cell>
          <cell r="F1216" t="str">
            <v>DK146</v>
          </cell>
          <cell r="G1216" t="str">
            <v>N1</v>
          </cell>
          <cell r="H1216" t="str">
            <v>b3</v>
          </cell>
          <cell r="I1216" t="str">
            <v>N1-b3</v>
          </cell>
          <cell r="J1216">
            <v>25</v>
          </cell>
          <cell r="K1216" t="str">
            <v>65</v>
          </cell>
        </row>
        <row r="1217">
          <cell r="A1217" t="str">
            <v>29-70</v>
          </cell>
          <cell r="B1217">
            <v>1266</v>
          </cell>
          <cell r="C1217" t="str">
            <v>C1.DK.29.70</v>
          </cell>
          <cell r="D1217" t="str">
            <v>DK</v>
          </cell>
          <cell r="E1217" t="str">
            <v>G-204</v>
          </cell>
          <cell r="F1217" t="str">
            <v>DK146</v>
          </cell>
          <cell r="G1217" t="str">
            <v>N2</v>
          </cell>
          <cell r="H1217" t="str">
            <v>b3</v>
          </cell>
          <cell r="I1217" t="str">
            <v>N2-b3</v>
          </cell>
          <cell r="J1217">
            <v>29</v>
          </cell>
          <cell r="K1217" t="str">
            <v>70</v>
          </cell>
        </row>
        <row r="1218">
          <cell r="A1218" t="str">
            <v>10-59</v>
          </cell>
          <cell r="B1218">
            <v>635</v>
          </cell>
          <cell r="C1218" t="str">
            <v>C1.DK.10.59</v>
          </cell>
          <cell r="D1218" t="str">
            <v>DK</v>
          </cell>
          <cell r="E1218" t="str">
            <v>G-205</v>
          </cell>
          <cell r="F1218" t="str">
            <v>DK147</v>
          </cell>
          <cell r="G1218" t="str">
            <v>N2</v>
          </cell>
          <cell r="H1218" t="str">
            <v>b2</v>
          </cell>
          <cell r="I1218" t="str">
            <v>N2-b2</v>
          </cell>
          <cell r="J1218">
            <v>10</v>
          </cell>
          <cell r="K1218" t="str">
            <v>59</v>
          </cell>
        </row>
        <row r="1219">
          <cell r="A1219" t="str">
            <v>11-10</v>
          </cell>
          <cell r="B1219">
            <v>650</v>
          </cell>
          <cell r="C1219" t="str">
            <v>C1.DK.11.10</v>
          </cell>
          <cell r="D1219" t="str">
            <v>DK</v>
          </cell>
          <cell r="E1219" t="str">
            <v>G-205</v>
          </cell>
          <cell r="F1219" t="str">
            <v>DK147</v>
          </cell>
          <cell r="G1219" t="str">
            <v>N2</v>
          </cell>
          <cell r="H1219" t="str">
            <v>b1</v>
          </cell>
          <cell r="I1219" t="str">
            <v>N2-b1</v>
          </cell>
          <cell r="J1219">
            <v>11</v>
          </cell>
          <cell r="K1219" t="str">
            <v>10</v>
          </cell>
        </row>
        <row r="1220">
          <cell r="A1220" t="str">
            <v>13-21</v>
          </cell>
          <cell r="B1220">
            <v>789</v>
          </cell>
          <cell r="C1220" t="str">
            <v>C1.DK.13.21</v>
          </cell>
          <cell r="D1220" t="str">
            <v>DK</v>
          </cell>
          <cell r="E1220" t="str">
            <v>G-205</v>
          </cell>
          <cell r="F1220" t="str">
            <v>DK147</v>
          </cell>
          <cell r="G1220" t="str">
            <v>N1</v>
          </cell>
          <cell r="H1220" t="str">
            <v>b1</v>
          </cell>
          <cell r="I1220" t="str">
            <v>N1-b1</v>
          </cell>
          <cell r="J1220">
            <v>13</v>
          </cell>
          <cell r="K1220" t="str">
            <v>21</v>
          </cell>
        </row>
        <row r="1221">
          <cell r="A1221" t="str">
            <v>13-49</v>
          </cell>
          <cell r="B1221">
            <v>817</v>
          </cell>
          <cell r="C1221" t="str">
            <v>C1.DK.13.49</v>
          </cell>
          <cell r="D1221" t="str">
            <v>DK</v>
          </cell>
          <cell r="E1221" t="str">
            <v>G-205</v>
          </cell>
          <cell r="F1221" t="str">
            <v>DK147</v>
          </cell>
          <cell r="G1221" t="str">
            <v>N1</v>
          </cell>
          <cell r="H1221" t="str">
            <v>b2</v>
          </cell>
          <cell r="I1221" t="str">
            <v>N1-b2</v>
          </cell>
          <cell r="J1221">
            <v>13</v>
          </cell>
          <cell r="K1221" t="str">
            <v>49</v>
          </cell>
        </row>
        <row r="1222">
          <cell r="A1222" t="str">
            <v>28-75</v>
          </cell>
          <cell r="B1222">
            <v>1245</v>
          </cell>
          <cell r="C1222" t="str">
            <v>C1.DK.28.75</v>
          </cell>
          <cell r="D1222" t="str">
            <v>DK</v>
          </cell>
          <cell r="E1222" t="str">
            <v>G-205</v>
          </cell>
          <cell r="F1222" t="str">
            <v>DK147</v>
          </cell>
          <cell r="G1222" t="str">
            <v>N1</v>
          </cell>
          <cell r="H1222" t="str">
            <v>b3</v>
          </cell>
          <cell r="I1222" t="str">
            <v>N1-b3</v>
          </cell>
          <cell r="J1222">
            <v>28</v>
          </cell>
          <cell r="K1222" t="str">
            <v>75</v>
          </cell>
        </row>
        <row r="1223">
          <cell r="A1223" t="str">
            <v>31-87</v>
          </cell>
          <cell r="B1223">
            <v>1335</v>
          </cell>
          <cell r="C1223" t="str">
            <v>C1.DK.31.87</v>
          </cell>
          <cell r="D1223" t="str">
            <v>DK</v>
          </cell>
          <cell r="E1223" t="str">
            <v>G-205</v>
          </cell>
          <cell r="F1223" t="str">
            <v>DK147</v>
          </cell>
          <cell r="G1223" t="str">
            <v>N2</v>
          </cell>
          <cell r="H1223" t="str">
            <v>b3</v>
          </cell>
          <cell r="I1223" t="str">
            <v>N2-b3</v>
          </cell>
          <cell r="J1223">
            <v>31</v>
          </cell>
          <cell r="K1223" t="str">
            <v>87</v>
          </cell>
        </row>
        <row r="1224">
          <cell r="A1224" t="str">
            <v>10-29</v>
          </cell>
          <cell r="B1224">
            <v>605</v>
          </cell>
          <cell r="C1224" t="str">
            <v>C1.DK.10.29</v>
          </cell>
          <cell r="D1224" t="str">
            <v>DK</v>
          </cell>
          <cell r="E1224" t="str">
            <v>G-206</v>
          </cell>
          <cell r="F1224" t="str">
            <v>DK148</v>
          </cell>
          <cell r="G1224" t="str">
            <v>N2</v>
          </cell>
          <cell r="H1224" t="str">
            <v>b1</v>
          </cell>
          <cell r="I1224" t="str">
            <v>N2-b1</v>
          </cell>
          <cell r="J1224">
            <v>10</v>
          </cell>
          <cell r="K1224" t="str">
            <v>29</v>
          </cell>
        </row>
        <row r="1225">
          <cell r="A1225" t="str">
            <v>10-41</v>
          </cell>
          <cell r="B1225">
            <v>617</v>
          </cell>
          <cell r="C1225" t="str">
            <v>C1.DK.10.41</v>
          </cell>
          <cell r="D1225" t="str">
            <v>DK</v>
          </cell>
          <cell r="E1225" t="str">
            <v>G-206</v>
          </cell>
          <cell r="F1225" t="str">
            <v>DK148</v>
          </cell>
          <cell r="G1225" t="str">
            <v>N2</v>
          </cell>
          <cell r="H1225" t="str">
            <v>b2</v>
          </cell>
          <cell r="I1225" t="str">
            <v>N2-b2</v>
          </cell>
          <cell r="J1225">
            <v>10</v>
          </cell>
          <cell r="K1225" t="str">
            <v>41</v>
          </cell>
        </row>
        <row r="1226">
          <cell r="A1226" t="str">
            <v>13-60</v>
          </cell>
          <cell r="B1226">
            <v>828</v>
          </cell>
          <cell r="C1226" t="str">
            <v>C1.DK.13.60</v>
          </cell>
          <cell r="D1226" t="str">
            <v>DK</v>
          </cell>
          <cell r="E1226" t="str">
            <v>G-206</v>
          </cell>
          <cell r="F1226" t="str">
            <v>DK148</v>
          </cell>
          <cell r="G1226" t="str">
            <v>N1</v>
          </cell>
          <cell r="H1226" t="str">
            <v>b2</v>
          </cell>
          <cell r="I1226" t="str">
            <v>N1-b2</v>
          </cell>
          <cell r="J1226">
            <v>13</v>
          </cell>
          <cell r="K1226" t="str">
            <v>60</v>
          </cell>
        </row>
        <row r="1227">
          <cell r="A1227" t="str">
            <v>14-26</v>
          </cell>
          <cell r="B1227">
            <v>858</v>
          </cell>
          <cell r="C1227" t="str">
            <v>C1.DK.14.26</v>
          </cell>
          <cell r="D1227" t="str">
            <v>DK</v>
          </cell>
          <cell r="E1227" t="str">
            <v>G-206</v>
          </cell>
          <cell r="F1227" t="str">
            <v>DK148</v>
          </cell>
          <cell r="G1227" t="str">
            <v>N1</v>
          </cell>
          <cell r="H1227" t="str">
            <v>b1</v>
          </cell>
          <cell r="I1227" t="str">
            <v>N1-b1</v>
          </cell>
          <cell r="J1227">
            <v>14</v>
          </cell>
          <cell r="K1227" t="str">
            <v>26</v>
          </cell>
        </row>
        <row r="1228">
          <cell r="A1228" t="str">
            <v>25-81</v>
          </cell>
          <cell r="B1228">
            <v>1173</v>
          </cell>
          <cell r="C1228" t="str">
            <v>C1.DK.25.81</v>
          </cell>
          <cell r="D1228" t="str">
            <v>DK</v>
          </cell>
          <cell r="E1228" t="str">
            <v>G-206</v>
          </cell>
          <cell r="F1228" t="str">
            <v>DK148</v>
          </cell>
          <cell r="G1228" t="str">
            <v>N1</v>
          </cell>
          <cell r="H1228" t="str">
            <v>b3</v>
          </cell>
          <cell r="I1228" t="str">
            <v>N1-b3</v>
          </cell>
          <cell r="J1228">
            <v>25</v>
          </cell>
          <cell r="K1228" t="str">
            <v>81</v>
          </cell>
        </row>
        <row r="1229">
          <cell r="A1229" t="str">
            <v>30-87</v>
          </cell>
          <cell r="B1229">
            <v>1309</v>
          </cell>
          <cell r="C1229" t="str">
            <v>C1.DK.30.87</v>
          </cell>
          <cell r="D1229" t="str">
            <v>DK</v>
          </cell>
          <cell r="E1229" t="str">
            <v>G-206</v>
          </cell>
          <cell r="F1229" t="str">
            <v>DK148</v>
          </cell>
          <cell r="G1229" t="str">
            <v>N2</v>
          </cell>
          <cell r="H1229" t="str">
            <v>b3</v>
          </cell>
          <cell r="I1229" t="str">
            <v>N2-b3</v>
          </cell>
          <cell r="J1229">
            <v>30</v>
          </cell>
          <cell r="K1229" t="str">
            <v>87</v>
          </cell>
        </row>
        <row r="1230">
          <cell r="A1230" t="str">
            <v>10-57</v>
          </cell>
          <cell r="B1230">
            <v>633</v>
          </cell>
          <cell r="C1230" t="str">
            <v>C1.DK.10.57</v>
          </cell>
          <cell r="D1230" t="str">
            <v>DK</v>
          </cell>
          <cell r="E1230" t="str">
            <v>G-207</v>
          </cell>
          <cell r="F1230" t="str">
            <v>DK149</v>
          </cell>
          <cell r="G1230" t="str">
            <v>N2</v>
          </cell>
          <cell r="H1230" t="str">
            <v>b2</v>
          </cell>
          <cell r="I1230" t="str">
            <v>N2-b2</v>
          </cell>
          <cell r="J1230">
            <v>10</v>
          </cell>
          <cell r="K1230" t="str">
            <v>57</v>
          </cell>
        </row>
        <row r="1231">
          <cell r="A1231" t="str">
            <v>11-05</v>
          </cell>
          <cell r="B1231">
            <v>645</v>
          </cell>
          <cell r="C1231" t="str">
            <v>C1.DK.11.05</v>
          </cell>
          <cell r="D1231" t="str">
            <v>DK</v>
          </cell>
          <cell r="E1231" t="str">
            <v>G-207</v>
          </cell>
          <cell r="F1231" t="str">
            <v>DK149</v>
          </cell>
          <cell r="G1231" t="str">
            <v>N2</v>
          </cell>
          <cell r="H1231" t="str">
            <v>b1</v>
          </cell>
          <cell r="I1231" t="str">
            <v>N2-b1</v>
          </cell>
          <cell r="J1231">
            <v>11</v>
          </cell>
          <cell r="K1231" t="str">
            <v>05</v>
          </cell>
        </row>
        <row r="1232">
          <cell r="A1232" t="str">
            <v>12-60</v>
          </cell>
          <cell r="B1232">
            <v>764</v>
          </cell>
          <cell r="C1232" t="str">
            <v>C1.DK.12.60</v>
          </cell>
          <cell r="D1232" t="str">
            <v>DK</v>
          </cell>
          <cell r="E1232" t="str">
            <v>G-207</v>
          </cell>
          <cell r="F1232" t="str">
            <v>DK149</v>
          </cell>
          <cell r="G1232" t="str">
            <v>N1</v>
          </cell>
          <cell r="H1232" t="str">
            <v>b2</v>
          </cell>
          <cell r="I1232" t="str">
            <v>N1-b2</v>
          </cell>
          <cell r="J1232">
            <v>12</v>
          </cell>
          <cell r="K1232" t="str">
            <v>60</v>
          </cell>
        </row>
        <row r="1233">
          <cell r="A1233" t="str">
            <v>13-10</v>
          </cell>
          <cell r="B1233">
            <v>778</v>
          </cell>
          <cell r="C1233" t="str">
            <v>C1.DK.13.10</v>
          </cell>
          <cell r="D1233" t="str">
            <v>DK</v>
          </cell>
          <cell r="E1233" t="str">
            <v>G-207</v>
          </cell>
          <cell r="F1233" t="str">
            <v>DK149</v>
          </cell>
          <cell r="G1233" t="str">
            <v>N1</v>
          </cell>
          <cell r="H1233" t="str">
            <v>b1</v>
          </cell>
          <cell r="I1233" t="str">
            <v>N1-b1</v>
          </cell>
          <cell r="J1233">
            <v>13</v>
          </cell>
          <cell r="K1233" t="str">
            <v>10</v>
          </cell>
        </row>
        <row r="1234">
          <cell r="A1234" t="str">
            <v>27-73</v>
          </cell>
          <cell r="B1234">
            <v>1217</v>
          </cell>
          <cell r="C1234" t="str">
            <v>C1.DK.27.73</v>
          </cell>
          <cell r="D1234" t="str">
            <v>DK</v>
          </cell>
          <cell r="E1234" t="str">
            <v>G-207</v>
          </cell>
          <cell r="F1234" t="str">
            <v>DK149</v>
          </cell>
          <cell r="G1234" t="str">
            <v>N1</v>
          </cell>
          <cell r="H1234" t="str">
            <v>b3</v>
          </cell>
          <cell r="I1234" t="str">
            <v>N1-b3</v>
          </cell>
          <cell r="J1234">
            <v>27</v>
          </cell>
          <cell r="K1234" t="str">
            <v>73</v>
          </cell>
        </row>
        <row r="1235">
          <cell r="A1235" t="str">
            <v>30-75</v>
          </cell>
          <cell r="B1235">
            <v>1297</v>
          </cell>
          <cell r="C1235" t="str">
            <v>C1.DK.30.75</v>
          </cell>
          <cell r="D1235" t="str">
            <v>DK</v>
          </cell>
          <cell r="E1235" t="str">
            <v>G-207</v>
          </cell>
          <cell r="F1235" t="str">
            <v>DK149</v>
          </cell>
          <cell r="G1235" t="str">
            <v>N2</v>
          </cell>
          <cell r="H1235" t="str">
            <v>b3</v>
          </cell>
          <cell r="I1235" t="str">
            <v>N2-b3</v>
          </cell>
          <cell r="J1235">
            <v>30</v>
          </cell>
          <cell r="K1235" t="str">
            <v>75</v>
          </cell>
        </row>
        <row r="1236">
          <cell r="A1236" t="str">
            <v>09-03</v>
          </cell>
          <cell r="B1236">
            <v>515</v>
          </cell>
          <cell r="C1236" t="str">
            <v>C1.DK.09.03</v>
          </cell>
          <cell r="D1236" t="str">
            <v>DK</v>
          </cell>
          <cell r="E1236" t="str">
            <v>G-208</v>
          </cell>
          <cell r="F1236" t="str">
            <v>DK152</v>
          </cell>
          <cell r="G1236" t="str">
            <v>N2</v>
          </cell>
          <cell r="H1236" t="str">
            <v>b1</v>
          </cell>
          <cell r="I1236" t="str">
            <v>N2-b1</v>
          </cell>
          <cell r="J1236" t="str">
            <v>09</v>
          </cell>
          <cell r="K1236" t="str">
            <v>03</v>
          </cell>
        </row>
        <row r="1237">
          <cell r="A1237" t="str">
            <v>11-46</v>
          </cell>
          <cell r="B1237">
            <v>686</v>
          </cell>
          <cell r="C1237" t="str">
            <v>C1.DK.11.46</v>
          </cell>
          <cell r="D1237" t="str">
            <v>DK</v>
          </cell>
          <cell r="E1237" t="str">
            <v>G-208</v>
          </cell>
          <cell r="F1237" t="str">
            <v>DK152</v>
          </cell>
          <cell r="G1237" t="str">
            <v>N2</v>
          </cell>
          <cell r="H1237" t="str">
            <v>b2</v>
          </cell>
          <cell r="I1237" t="str">
            <v>N2-b2</v>
          </cell>
          <cell r="J1237">
            <v>11</v>
          </cell>
          <cell r="K1237" t="str">
            <v>46</v>
          </cell>
        </row>
        <row r="1238">
          <cell r="A1238" t="str">
            <v>13-24</v>
          </cell>
          <cell r="B1238">
            <v>792</v>
          </cell>
          <cell r="C1238" t="str">
            <v>C1.DK.13.24</v>
          </cell>
          <cell r="D1238" t="str">
            <v>DK</v>
          </cell>
          <cell r="E1238" t="str">
            <v>G-208</v>
          </cell>
          <cell r="F1238" t="str">
            <v>DK152</v>
          </cell>
          <cell r="G1238" t="str">
            <v>N1</v>
          </cell>
          <cell r="H1238" t="str">
            <v>b1</v>
          </cell>
          <cell r="I1238" t="str">
            <v>N1-b1</v>
          </cell>
          <cell r="J1238">
            <v>13</v>
          </cell>
          <cell r="K1238" t="str">
            <v>24</v>
          </cell>
        </row>
        <row r="1239">
          <cell r="A1239" t="str">
            <v>13-62</v>
          </cell>
          <cell r="B1239">
            <v>830</v>
          </cell>
          <cell r="C1239" t="str">
            <v>C1.DK.13.62</v>
          </cell>
          <cell r="D1239" t="str">
            <v>DK</v>
          </cell>
          <cell r="E1239" t="str">
            <v>G-208</v>
          </cell>
          <cell r="F1239" t="str">
            <v>DK152</v>
          </cell>
          <cell r="G1239" t="str">
            <v>N1</v>
          </cell>
          <cell r="H1239" t="str">
            <v>b2</v>
          </cell>
          <cell r="I1239" t="str">
            <v>N1-b2</v>
          </cell>
          <cell r="J1239">
            <v>13</v>
          </cell>
          <cell r="K1239" t="str">
            <v>62</v>
          </cell>
        </row>
        <row r="1240">
          <cell r="A1240" t="str">
            <v>25-68</v>
          </cell>
          <cell r="B1240">
            <v>1160</v>
          </cell>
          <cell r="C1240" t="str">
            <v>C1.DK.25.68</v>
          </cell>
          <cell r="D1240" t="str">
            <v>DK</v>
          </cell>
          <cell r="E1240" t="str">
            <v>G-208</v>
          </cell>
          <cell r="F1240" t="str">
            <v>DK152</v>
          </cell>
          <cell r="G1240" t="str">
            <v>N1</v>
          </cell>
          <cell r="H1240" t="str">
            <v>b3</v>
          </cell>
          <cell r="I1240" t="str">
            <v>N1-b3</v>
          </cell>
          <cell r="J1240">
            <v>25</v>
          </cell>
          <cell r="K1240" t="str">
            <v>68</v>
          </cell>
        </row>
        <row r="1241">
          <cell r="A1241" t="str">
            <v>30-85</v>
          </cell>
          <cell r="B1241">
            <v>1307</v>
          </cell>
          <cell r="C1241" t="str">
            <v>C1.DK.30.85</v>
          </cell>
          <cell r="D1241" t="str">
            <v>DK</v>
          </cell>
          <cell r="E1241" t="str">
            <v>G-208</v>
          </cell>
          <cell r="F1241" t="str">
            <v>DK152</v>
          </cell>
          <cell r="G1241" t="str">
            <v>N2</v>
          </cell>
          <cell r="H1241" t="str">
            <v>b3</v>
          </cell>
          <cell r="I1241" t="str">
            <v>N2-b3</v>
          </cell>
          <cell r="J1241">
            <v>30</v>
          </cell>
          <cell r="K1241" t="str">
            <v>85</v>
          </cell>
        </row>
        <row r="1242">
          <cell r="A1242" t="str">
            <v>10-02</v>
          </cell>
          <cell r="B1242">
            <v>578</v>
          </cell>
          <cell r="C1242" t="str">
            <v>C1.DK.10.02</v>
          </cell>
          <cell r="D1242" t="str">
            <v>DK</v>
          </cell>
          <cell r="E1242" t="str">
            <v>G-209</v>
          </cell>
          <cell r="F1242" t="str">
            <v>DK153</v>
          </cell>
          <cell r="G1242" t="str">
            <v>N2</v>
          </cell>
          <cell r="H1242" t="str">
            <v>b1</v>
          </cell>
          <cell r="I1242" t="str">
            <v>N2-b1</v>
          </cell>
          <cell r="J1242">
            <v>10</v>
          </cell>
          <cell r="K1242" t="str">
            <v>02</v>
          </cell>
        </row>
        <row r="1243">
          <cell r="A1243" t="str">
            <v>11-61</v>
          </cell>
          <cell r="B1243">
            <v>701</v>
          </cell>
          <cell r="C1243" t="str">
            <v>C1.DK.11.61</v>
          </cell>
          <cell r="D1243" t="str">
            <v>DK</v>
          </cell>
          <cell r="E1243" t="str">
            <v>G-209</v>
          </cell>
          <cell r="F1243" t="str">
            <v>DK153</v>
          </cell>
          <cell r="G1243" t="str">
            <v>N2</v>
          </cell>
          <cell r="H1243" t="str">
            <v>b2</v>
          </cell>
          <cell r="I1243" t="str">
            <v>N2-b2</v>
          </cell>
          <cell r="J1243">
            <v>11</v>
          </cell>
          <cell r="K1243" t="str">
            <v>61</v>
          </cell>
        </row>
        <row r="1244">
          <cell r="A1244" t="str">
            <v>13-01</v>
          </cell>
          <cell r="B1244">
            <v>769</v>
          </cell>
          <cell r="C1244" t="str">
            <v>C1.DK.13.01</v>
          </cell>
          <cell r="D1244" t="str">
            <v>DK</v>
          </cell>
          <cell r="E1244" t="str">
            <v>G-209</v>
          </cell>
          <cell r="F1244" t="str">
            <v>DK153</v>
          </cell>
          <cell r="G1244" t="str">
            <v>N1</v>
          </cell>
          <cell r="H1244" t="str">
            <v>b1</v>
          </cell>
          <cell r="I1244" t="str">
            <v>N1-b1</v>
          </cell>
          <cell r="J1244">
            <v>13</v>
          </cell>
          <cell r="K1244" t="str">
            <v>01</v>
          </cell>
        </row>
        <row r="1245">
          <cell r="A1245" t="str">
            <v>13-35</v>
          </cell>
          <cell r="B1245">
            <v>803</v>
          </cell>
          <cell r="C1245" t="str">
            <v>C1.DK.13.35</v>
          </cell>
          <cell r="D1245" t="str">
            <v>DK</v>
          </cell>
          <cell r="E1245" t="str">
            <v>G-209</v>
          </cell>
          <cell r="F1245" t="str">
            <v>DK153</v>
          </cell>
          <cell r="G1245" t="str">
            <v>N1</v>
          </cell>
          <cell r="H1245" t="str">
            <v>b2</v>
          </cell>
          <cell r="I1245" t="str">
            <v>N1-b2</v>
          </cell>
          <cell r="J1245">
            <v>13</v>
          </cell>
          <cell r="K1245" t="str">
            <v>35</v>
          </cell>
        </row>
        <row r="1246">
          <cell r="A1246" t="str">
            <v>25-67</v>
          </cell>
          <cell r="B1246">
            <v>1159</v>
          </cell>
          <cell r="C1246" t="str">
            <v>C1.DK.25.67</v>
          </cell>
          <cell r="D1246" t="str">
            <v>DK</v>
          </cell>
          <cell r="E1246" t="str">
            <v>G-209</v>
          </cell>
          <cell r="F1246" t="str">
            <v>DK153</v>
          </cell>
          <cell r="G1246" t="str">
            <v>N1</v>
          </cell>
          <cell r="H1246" t="str">
            <v>b3</v>
          </cell>
          <cell r="I1246" t="str">
            <v>N1-b3</v>
          </cell>
          <cell r="J1246">
            <v>25</v>
          </cell>
          <cell r="K1246" t="str">
            <v>67</v>
          </cell>
        </row>
        <row r="1247">
          <cell r="A1247" t="str">
            <v>30-68</v>
          </cell>
          <cell r="B1247">
            <v>1290</v>
          </cell>
          <cell r="C1247" t="str">
            <v>C1.DK.30.68</v>
          </cell>
          <cell r="D1247" t="str">
            <v>DK</v>
          </cell>
          <cell r="E1247" t="str">
            <v>G-209</v>
          </cell>
          <cell r="F1247" t="str">
            <v>DK153</v>
          </cell>
          <cell r="G1247" t="str">
            <v>N2</v>
          </cell>
          <cell r="H1247" t="str">
            <v>b3</v>
          </cell>
          <cell r="I1247" t="str">
            <v>N2-b3</v>
          </cell>
          <cell r="J1247">
            <v>30</v>
          </cell>
          <cell r="K1247" t="str">
            <v>68</v>
          </cell>
        </row>
        <row r="1248">
          <cell r="A1248" t="str">
            <v>09-30</v>
          </cell>
          <cell r="B1248">
            <v>542</v>
          </cell>
          <cell r="C1248" t="str">
            <v>C1.DK.09.30</v>
          </cell>
          <cell r="D1248" t="str">
            <v>DK</v>
          </cell>
          <cell r="E1248" t="str">
            <v>G-210</v>
          </cell>
          <cell r="F1248" t="str">
            <v>DK154</v>
          </cell>
          <cell r="G1248" t="str">
            <v>N2</v>
          </cell>
          <cell r="H1248" t="str">
            <v>b1</v>
          </cell>
          <cell r="I1248" t="str">
            <v>N2-b1</v>
          </cell>
          <cell r="J1248" t="str">
            <v>09</v>
          </cell>
          <cell r="K1248" t="str">
            <v>30</v>
          </cell>
        </row>
        <row r="1249">
          <cell r="A1249" t="str">
            <v>09-58</v>
          </cell>
          <cell r="B1249">
            <v>570</v>
          </cell>
          <cell r="C1249" t="str">
            <v>C1.DK.09.58</v>
          </cell>
          <cell r="D1249" t="str">
            <v>DK</v>
          </cell>
          <cell r="E1249" t="str">
            <v>G-210</v>
          </cell>
          <cell r="F1249" t="str">
            <v>DK154</v>
          </cell>
          <cell r="G1249" t="str">
            <v>N2</v>
          </cell>
          <cell r="H1249" t="str">
            <v>b2</v>
          </cell>
          <cell r="I1249" t="str">
            <v>N2-b2</v>
          </cell>
          <cell r="J1249" t="str">
            <v>09</v>
          </cell>
          <cell r="K1249" t="str">
            <v>58</v>
          </cell>
        </row>
        <row r="1250">
          <cell r="A1250" t="str">
            <v>13-11</v>
          </cell>
          <cell r="B1250">
            <v>779</v>
          </cell>
          <cell r="C1250" t="str">
            <v>C1.DK.13.11</v>
          </cell>
          <cell r="D1250" t="str">
            <v>DK</v>
          </cell>
          <cell r="E1250" t="str">
            <v>G-210</v>
          </cell>
          <cell r="F1250" t="str">
            <v>DK154</v>
          </cell>
          <cell r="G1250" t="str">
            <v>N1</v>
          </cell>
          <cell r="H1250" t="str">
            <v>b1</v>
          </cell>
          <cell r="I1250" t="str">
            <v>N1-b1</v>
          </cell>
          <cell r="J1250">
            <v>13</v>
          </cell>
          <cell r="K1250" t="str">
            <v>11</v>
          </cell>
        </row>
        <row r="1251">
          <cell r="A1251" t="str">
            <v>13-55</v>
          </cell>
          <cell r="B1251">
            <v>823</v>
          </cell>
          <cell r="C1251" t="str">
            <v>C1.DK.13.55</v>
          </cell>
          <cell r="D1251" t="str">
            <v>DK</v>
          </cell>
          <cell r="E1251" t="str">
            <v>G-210</v>
          </cell>
          <cell r="F1251" t="str">
            <v>DK154</v>
          </cell>
          <cell r="G1251" t="str">
            <v>N1</v>
          </cell>
          <cell r="H1251" t="str">
            <v>b2</v>
          </cell>
          <cell r="I1251" t="str">
            <v>N1-b2</v>
          </cell>
          <cell r="J1251">
            <v>13</v>
          </cell>
          <cell r="K1251" t="str">
            <v>55</v>
          </cell>
        </row>
        <row r="1252">
          <cell r="A1252" t="str">
            <v>27-66</v>
          </cell>
          <cell r="B1252">
            <v>1210</v>
          </cell>
          <cell r="C1252" t="str">
            <v>C1.DK.27.66</v>
          </cell>
          <cell r="D1252" t="str">
            <v>DK</v>
          </cell>
          <cell r="E1252" t="str">
            <v>G-210</v>
          </cell>
          <cell r="F1252" t="str">
            <v>DK154</v>
          </cell>
          <cell r="G1252" t="str">
            <v>N1</v>
          </cell>
          <cell r="H1252" t="str">
            <v>b3</v>
          </cell>
          <cell r="I1252" t="str">
            <v>N1-b3</v>
          </cell>
          <cell r="J1252">
            <v>27</v>
          </cell>
          <cell r="K1252" t="str">
            <v>66</v>
          </cell>
        </row>
        <row r="1253">
          <cell r="A1253" t="str">
            <v>29-85</v>
          </cell>
          <cell r="B1253">
            <v>1281</v>
          </cell>
          <cell r="C1253" t="str">
            <v>C1.DK.29.85</v>
          </cell>
          <cell r="D1253" t="str">
            <v>DK</v>
          </cell>
          <cell r="E1253" t="str">
            <v>G-210</v>
          </cell>
          <cell r="F1253" t="str">
            <v>DK154</v>
          </cell>
          <cell r="G1253" t="str">
            <v>N2</v>
          </cell>
          <cell r="H1253" t="str">
            <v>b3</v>
          </cell>
          <cell r="I1253" t="str">
            <v>N2-b3</v>
          </cell>
          <cell r="J1253">
            <v>29</v>
          </cell>
          <cell r="K1253" t="str">
            <v>85</v>
          </cell>
        </row>
        <row r="1254">
          <cell r="A1254" t="str">
            <v>09-01</v>
          </cell>
          <cell r="B1254">
            <v>513</v>
          </cell>
          <cell r="C1254" t="str">
            <v>C1.DK.09.01</v>
          </cell>
          <cell r="D1254" t="str">
            <v>DK</v>
          </cell>
          <cell r="E1254" t="str">
            <v>G-126</v>
          </cell>
          <cell r="F1254" t="str">
            <v>Express</v>
          </cell>
          <cell r="G1254" t="str">
            <v>N2</v>
          </cell>
          <cell r="H1254" t="str">
            <v>b1</v>
          </cell>
          <cell r="I1254" t="str">
            <v>N2-b1</v>
          </cell>
          <cell r="J1254" t="str">
            <v>09</v>
          </cell>
          <cell r="K1254" t="str">
            <v>01</v>
          </cell>
        </row>
        <row r="1255">
          <cell r="A1255" t="str">
            <v>09-16</v>
          </cell>
          <cell r="B1255">
            <v>528</v>
          </cell>
          <cell r="C1255" t="str">
            <v>C1.DK.09.16</v>
          </cell>
          <cell r="D1255" t="str">
            <v>DK</v>
          </cell>
          <cell r="E1255" t="str">
            <v>G-126</v>
          </cell>
          <cell r="F1255" t="str">
            <v>Express</v>
          </cell>
          <cell r="G1255" t="str">
            <v>N2</v>
          </cell>
          <cell r="H1255" t="str">
            <v>b1</v>
          </cell>
          <cell r="I1255" t="str">
            <v>N2-b1</v>
          </cell>
          <cell r="J1255" t="str">
            <v>09</v>
          </cell>
          <cell r="K1255" t="str">
            <v>16</v>
          </cell>
        </row>
        <row r="1256">
          <cell r="A1256" t="str">
            <v>10-11</v>
          </cell>
          <cell r="B1256">
            <v>587</v>
          </cell>
          <cell r="C1256" t="str">
            <v>C1.DK.10.11</v>
          </cell>
          <cell r="D1256" t="str">
            <v>DK</v>
          </cell>
          <cell r="E1256" t="str">
            <v>G-126</v>
          </cell>
          <cell r="F1256" t="str">
            <v>Express</v>
          </cell>
          <cell r="G1256" t="str">
            <v>N2</v>
          </cell>
          <cell r="H1256" t="str">
            <v>b1</v>
          </cell>
          <cell r="I1256" t="str">
            <v>N2-b1</v>
          </cell>
          <cell r="J1256">
            <v>10</v>
          </cell>
          <cell r="K1256" t="str">
            <v>11</v>
          </cell>
        </row>
        <row r="1257">
          <cell r="A1257" t="str">
            <v>10-48</v>
          </cell>
          <cell r="B1257">
            <v>624</v>
          </cell>
          <cell r="C1257" t="str">
            <v>C1.DK.10.48</v>
          </cell>
          <cell r="D1257" t="str">
            <v>DK</v>
          </cell>
          <cell r="E1257" t="str">
            <v>G-126</v>
          </cell>
          <cell r="F1257" t="str">
            <v>Express</v>
          </cell>
          <cell r="G1257" t="str">
            <v>N2</v>
          </cell>
          <cell r="H1257" t="str">
            <v>b2</v>
          </cell>
          <cell r="I1257" t="str">
            <v>N2-b2</v>
          </cell>
          <cell r="J1257">
            <v>10</v>
          </cell>
          <cell r="K1257" t="str">
            <v>48</v>
          </cell>
        </row>
        <row r="1258">
          <cell r="A1258" t="str">
            <v>10-50</v>
          </cell>
          <cell r="B1258">
            <v>626</v>
          </cell>
          <cell r="C1258" t="str">
            <v>C1.DK.10.50</v>
          </cell>
          <cell r="D1258" t="str">
            <v>DK</v>
          </cell>
          <cell r="E1258" t="str">
            <v>G-126</v>
          </cell>
          <cell r="F1258" t="str">
            <v>Express</v>
          </cell>
          <cell r="G1258" t="str">
            <v>N2</v>
          </cell>
          <cell r="H1258" t="str">
            <v>b2</v>
          </cell>
          <cell r="I1258" t="str">
            <v>N2-b2</v>
          </cell>
          <cell r="J1258">
            <v>10</v>
          </cell>
          <cell r="K1258" t="str">
            <v>50</v>
          </cell>
        </row>
        <row r="1259">
          <cell r="A1259" t="str">
            <v>10-63</v>
          </cell>
          <cell r="B1259">
            <v>639</v>
          </cell>
          <cell r="C1259" t="str">
            <v>C1.DK.10.63</v>
          </cell>
          <cell r="D1259" t="str">
            <v>DK</v>
          </cell>
          <cell r="E1259" t="str">
            <v>G-126</v>
          </cell>
          <cell r="F1259" t="str">
            <v>Express</v>
          </cell>
          <cell r="G1259" t="str">
            <v>N2</v>
          </cell>
          <cell r="H1259" t="str">
            <v>b2</v>
          </cell>
          <cell r="I1259" t="str">
            <v>N2-b2</v>
          </cell>
          <cell r="J1259">
            <v>10</v>
          </cell>
          <cell r="K1259" t="str">
            <v>63</v>
          </cell>
        </row>
        <row r="1260">
          <cell r="A1260" t="str">
            <v>12-02</v>
          </cell>
          <cell r="B1260">
            <v>706</v>
          </cell>
          <cell r="C1260" t="str">
            <v>C1.DK.12.02</v>
          </cell>
          <cell r="D1260" t="str">
            <v>DK</v>
          </cell>
          <cell r="E1260" t="str">
            <v>G-126</v>
          </cell>
          <cell r="F1260" t="str">
            <v>Express</v>
          </cell>
          <cell r="G1260" t="str">
            <v>N1</v>
          </cell>
          <cell r="H1260" t="str">
            <v>b1</v>
          </cell>
          <cell r="I1260" t="str">
            <v>N1-b1</v>
          </cell>
          <cell r="J1260">
            <v>12</v>
          </cell>
          <cell r="K1260" t="str">
            <v>02</v>
          </cell>
        </row>
        <row r="1261">
          <cell r="A1261" t="str">
            <v>12-61</v>
          </cell>
          <cell r="B1261">
            <v>765</v>
          </cell>
          <cell r="C1261" t="str">
            <v>C1.DK.12.61</v>
          </cell>
          <cell r="D1261" t="str">
            <v>DK</v>
          </cell>
          <cell r="E1261" t="str">
            <v>G-126</v>
          </cell>
          <cell r="F1261" t="str">
            <v>Express</v>
          </cell>
          <cell r="G1261" t="str">
            <v>N1</v>
          </cell>
          <cell r="H1261" t="str">
            <v>b2</v>
          </cell>
          <cell r="I1261" t="str">
            <v>N1-b2</v>
          </cell>
          <cell r="J1261">
            <v>12</v>
          </cell>
          <cell r="K1261" t="str">
            <v>61</v>
          </cell>
        </row>
        <row r="1262">
          <cell r="A1262" t="str">
            <v>13-34</v>
          </cell>
          <cell r="B1262">
            <v>802</v>
          </cell>
          <cell r="C1262" t="str">
            <v>C1.DK.13.34</v>
          </cell>
          <cell r="D1262" t="str">
            <v>DK</v>
          </cell>
          <cell r="E1262" t="str">
            <v>G-126</v>
          </cell>
          <cell r="F1262" t="str">
            <v>Express</v>
          </cell>
          <cell r="G1262" t="str">
            <v>N1</v>
          </cell>
          <cell r="H1262" t="str">
            <v>b2</v>
          </cell>
          <cell r="I1262" t="str">
            <v>N1-b2</v>
          </cell>
          <cell r="J1262">
            <v>13</v>
          </cell>
          <cell r="K1262" t="str">
            <v>34</v>
          </cell>
        </row>
        <row r="1263">
          <cell r="A1263" t="str">
            <v>13-42</v>
          </cell>
          <cell r="B1263">
            <v>810</v>
          </cell>
          <cell r="C1263" t="str">
            <v>C1.DK.13.42</v>
          </cell>
          <cell r="D1263" t="str">
            <v>DK</v>
          </cell>
          <cell r="E1263" t="str">
            <v>G-126</v>
          </cell>
          <cell r="F1263" t="str">
            <v>Express</v>
          </cell>
          <cell r="G1263" t="str">
            <v>N1</v>
          </cell>
          <cell r="H1263" t="str">
            <v>b2</v>
          </cell>
          <cell r="I1263" t="str">
            <v>N1-b2</v>
          </cell>
          <cell r="J1263">
            <v>13</v>
          </cell>
          <cell r="K1263" t="str">
            <v>42</v>
          </cell>
        </row>
        <row r="1264">
          <cell r="A1264" t="str">
            <v>14-11</v>
          </cell>
          <cell r="B1264">
            <v>843</v>
          </cell>
          <cell r="C1264" t="str">
            <v>C1.DK.14.11</v>
          </cell>
          <cell r="D1264" t="str">
            <v>DK</v>
          </cell>
          <cell r="E1264" t="str">
            <v>G-126</v>
          </cell>
          <cell r="F1264" t="str">
            <v>Express</v>
          </cell>
          <cell r="G1264" t="str">
            <v>N1</v>
          </cell>
          <cell r="H1264" t="str">
            <v>b1</v>
          </cell>
          <cell r="I1264" t="str">
            <v>N1-b1</v>
          </cell>
          <cell r="J1264">
            <v>14</v>
          </cell>
          <cell r="K1264" t="str">
            <v>11</v>
          </cell>
        </row>
        <row r="1265">
          <cell r="A1265" t="str">
            <v>14-13</v>
          </cell>
          <cell r="B1265">
            <v>845</v>
          </cell>
          <cell r="C1265" t="str">
            <v>C1.DK.14.13</v>
          </cell>
          <cell r="D1265" t="str">
            <v>DK</v>
          </cell>
          <cell r="E1265" t="str">
            <v>G-126</v>
          </cell>
          <cell r="F1265" t="str">
            <v>Express</v>
          </cell>
          <cell r="G1265" t="str">
            <v>N1</v>
          </cell>
          <cell r="H1265" t="str">
            <v>b1</v>
          </cell>
          <cell r="I1265" t="str">
            <v>N1-b1</v>
          </cell>
          <cell r="J1265">
            <v>14</v>
          </cell>
          <cell r="K1265" t="str">
            <v>13</v>
          </cell>
        </row>
        <row r="1266">
          <cell r="A1266" t="str">
            <v>25-74</v>
          </cell>
          <cell r="B1266">
            <v>1166</v>
          </cell>
          <cell r="C1266" t="str">
            <v>C1.DK.25.74</v>
          </cell>
          <cell r="D1266" t="str">
            <v>DK</v>
          </cell>
          <cell r="E1266" t="str">
            <v>G-126</v>
          </cell>
          <cell r="F1266" t="str">
            <v>Express</v>
          </cell>
          <cell r="G1266" t="str">
            <v>N1</v>
          </cell>
          <cell r="H1266" t="str">
            <v>b3</v>
          </cell>
          <cell r="I1266" t="str">
            <v>N1-b3</v>
          </cell>
          <cell r="J1266">
            <v>25</v>
          </cell>
          <cell r="K1266" t="str">
            <v>74</v>
          </cell>
        </row>
        <row r="1267">
          <cell r="A1267" t="str">
            <v>26-82</v>
          </cell>
          <cell r="B1267">
            <v>1200</v>
          </cell>
          <cell r="C1267" t="str">
            <v>C1.DK.26.82</v>
          </cell>
          <cell r="D1267" t="str">
            <v>DK</v>
          </cell>
          <cell r="E1267" t="str">
            <v>G-126</v>
          </cell>
          <cell r="F1267" t="str">
            <v>Express</v>
          </cell>
          <cell r="G1267" t="str">
            <v>N1</v>
          </cell>
          <cell r="H1267" t="str">
            <v>b3</v>
          </cell>
          <cell r="I1267" t="str">
            <v>N1-b3</v>
          </cell>
          <cell r="J1267" t="str">
            <v>26</v>
          </cell>
          <cell r="K1267" t="str">
            <v>82</v>
          </cell>
        </row>
        <row r="1268">
          <cell r="A1268" t="str">
            <v>26-88</v>
          </cell>
          <cell r="B1268">
            <v>1206</v>
          </cell>
          <cell r="C1268" t="str">
            <v>C1.DK.26.88</v>
          </cell>
          <cell r="D1268" t="str">
            <v>DK</v>
          </cell>
          <cell r="E1268" t="str">
            <v>G-126</v>
          </cell>
          <cell r="F1268" t="str">
            <v>Express</v>
          </cell>
          <cell r="G1268" t="str">
            <v>N1</v>
          </cell>
          <cell r="H1268" t="str">
            <v>b3</v>
          </cell>
          <cell r="I1268" t="str">
            <v>N1-b3</v>
          </cell>
          <cell r="J1268" t="str">
            <v>26</v>
          </cell>
          <cell r="K1268" t="str">
            <v>88</v>
          </cell>
        </row>
        <row r="1269">
          <cell r="A1269" t="str">
            <v>27-86</v>
          </cell>
          <cell r="B1269">
            <v>1230</v>
          </cell>
          <cell r="C1269" t="str">
            <v>C1.DK.27.86</v>
          </cell>
          <cell r="D1269" t="str">
            <v>DK</v>
          </cell>
          <cell r="E1269" t="str">
            <v>G-126</v>
          </cell>
          <cell r="F1269" t="str">
            <v>Express</v>
          </cell>
          <cell r="G1269" t="str">
            <v>N1</v>
          </cell>
          <cell r="H1269" t="str">
            <v>b3</v>
          </cell>
          <cell r="I1269" t="str">
            <v>N1-b3</v>
          </cell>
          <cell r="J1269">
            <v>27</v>
          </cell>
          <cell r="K1269" t="str">
            <v>86</v>
          </cell>
        </row>
        <row r="1270">
          <cell r="A1270" t="str">
            <v>28-66</v>
          </cell>
          <cell r="B1270">
            <v>1236</v>
          </cell>
          <cell r="C1270" t="str">
            <v>C1.DK.28.66</v>
          </cell>
          <cell r="D1270" t="str">
            <v>DK</v>
          </cell>
          <cell r="E1270" t="str">
            <v>G-126</v>
          </cell>
          <cell r="F1270" t="str">
            <v>Express</v>
          </cell>
          <cell r="G1270" t="str">
            <v>N1</v>
          </cell>
          <cell r="H1270" t="str">
            <v>b3</v>
          </cell>
          <cell r="I1270" t="str">
            <v>N1-b3</v>
          </cell>
          <cell r="J1270">
            <v>28</v>
          </cell>
          <cell r="K1270" t="str">
            <v>66</v>
          </cell>
        </row>
        <row r="1271">
          <cell r="A1271" t="str">
            <v>29-68</v>
          </cell>
          <cell r="B1271">
            <v>1264</v>
          </cell>
          <cell r="C1271" t="str">
            <v>C1.DK.29.68</v>
          </cell>
          <cell r="D1271" t="str">
            <v>DK</v>
          </cell>
          <cell r="E1271" t="str">
            <v>G-126</v>
          </cell>
          <cell r="F1271" t="str">
            <v>Express</v>
          </cell>
          <cell r="G1271" t="str">
            <v>N2</v>
          </cell>
          <cell r="H1271" t="str">
            <v>b3</v>
          </cell>
          <cell r="I1271" t="str">
            <v>N2-b3</v>
          </cell>
          <cell r="J1271">
            <v>29</v>
          </cell>
          <cell r="K1271" t="str">
            <v>68</v>
          </cell>
        </row>
        <row r="1272">
          <cell r="A1272" t="str">
            <v>29-89</v>
          </cell>
          <cell r="B1272">
            <v>1285</v>
          </cell>
          <cell r="C1272" t="str">
            <v>C1.DK.29.89</v>
          </cell>
          <cell r="D1272" t="str">
            <v>DK</v>
          </cell>
          <cell r="E1272" t="str">
            <v>G-126</v>
          </cell>
          <cell r="F1272" t="str">
            <v>Express</v>
          </cell>
          <cell r="G1272" t="str">
            <v>N2</v>
          </cell>
          <cell r="H1272" t="str">
            <v>b3</v>
          </cell>
          <cell r="I1272" t="str">
            <v>N2-b3</v>
          </cell>
          <cell r="J1272">
            <v>29</v>
          </cell>
          <cell r="K1272" t="str">
            <v>89</v>
          </cell>
        </row>
        <row r="1273">
          <cell r="A1273" t="str">
            <v>30-70</v>
          </cell>
          <cell r="B1273">
            <v>1292</v>
          </cell>
          <cell r="C1273" t="str">
            <v>C1.DK.30.70</v>
          </cell>
          <cell r="D1273" t="str">
            <v>DK</v>
          </cell>
          <cell r="E1273" t="str">
            <v>G-126</v>
          </cell>
          <cell r="F1273" t="str">
            <v>Express</v>
          </cell>
          <cell r="G1273" t="str">
            <v>N2</v>
          </cell>
          <cell r="H1273" t="str">
            <v>b3</v>
          </cell>
          <cell r="I1273" t="str">
            <v>N2-b3</v>
          </cell>
          <cell r="J1273">
            <v>30</v>
          </cell>
          <cell r="K1273" t="str">
            <v>70</v>
          </cell>
        </row>
        <row r="1274">
          <cell r="A1274" t="str">
            <v>31-88</v>
          </cell>
          <cell r="B1274">
            <v>1336</v>
          </cell>
          <cell r="C1274" t="str">
            <v>C1.DK.31.88</v>
          </cell>
          <cell r="D1274" t="str">
            <v>DK</v>
          </cell>
          <cell r="E1274" t="str">
            <v>G-126</v>
          </cell>
          <cell r="F1274" t="str">
            <v>Express</v>
          </cell>
          <cell r="G1274" t="str">
            <v>N2</v>
          </cell>
          <cell r="H1274" t="str">
            <v>b3</v>
          </cell>
          <cell r="I1274" t="str">
            <v>N2-b3</v>
          </cell>
          <cell r="J1274">
            <v>31</v>
          </cell>
          <cell r="K1274" t="str">
            <v>88</v>
          </cell>
        </row>
        <row r="1275">
          <cell r="A1275" t="str">
            <v>32-79</v>
          </cell>
          <cell r="B1275">
            <v>1353</v>
          </cell>
          <cell r="C1275" t="str">
            <v>C1.DK.32.79</v>
          </cell>
          <cell r="D1275" t="str">
            <v>DK</v>
          </cell>
          <cell r="E1275" t="str">
            <v>G-126</v>
          </cell>
          <cell r="F1275" t="str">
            <v>Express</v>
          </cell>
          <cell r="G1275" t="str">
            <v>N2</v>
          </cell>
          <cell r="H1275" t="str">
            <v>b3</v>
          </cell>
          <cell r="I1275" t="str">
            <v>N2-b3</v>
          </cell>
          <cell r="J1275">
            <v>32</v>
          </cell>
          <cell r="K1275" t="str">
            <v>79</v>
          </cell>
        </row>
        <row r="1276">
          <cell r="A1276" t="str">
            <v>01-25</v>
          </cell>
          <cell r="B1276">
            <v>25</v>
          </cell>
          <cell r="C1276" t="str">
            <v>C1.AM.01.25</v>
          </cell>
          <cell r="D1276" t="str">
            <v>AM</v>
          </cell>
          <cell r="E1276" t="str">
            <v>G-119</v>
          </cell>
          <cell r="F1276" t="str">
            <v>Kurander</v>
          </cell>
          <cell r="G1276" t="str">
            <v>N1</v>
          </cell>
          <cell r="H1276" t="str">
            <v>b1</v>
          </cell>
          <cell r="I1276" t="str">
            <v>N1-b1</v>
          </cell>
          <cell r="J1276" t="str">
            <v>01</v>
          </cell>
          <cell r="K1276" t="str">
            <v>25</v>
          </cell>
        </row>
        <row r="1277">
          <cell r="A1277" t="str">
            <v>01-57</v>
          </cell>
          <cell r="B1277">
            <v>57</v>
          </cell>
          <cell r="C1277" t="str">
            <v>C1.AM.01.57</v>
          </cell>
          <cell r="D1277" t="str">
            <v>AM</v>
          </cell>
          <cell r="E1277" t="str">
            <v>G-119</v>
          </cell>
          <cell r="F1277" t="str">
            <v>Kurander</v>
          </cell>
          <cell r="G1277" t="str">
            <v>N2</v>
          </cell>
          <cell r="H1277" t="str">
            <v>b2</v>
          </cell>
          <cell r="I1277" t="str">
            <v>N2-b2</v>
          </cell>
          <cell r="J1277" t="str">
            <v>01</v>
          </cell>
          <cell r="K1277" t="str">
            <v>57</v>
          </cell>
        </row>
        <row r="1278">
          <cell r="A1278" t="str">
            <v>05-10</v>
          </cell>
          <cell r="B1278">
            <v>266</v>
          </cell>
          <cell r="C1278" t="str">
            <v>C1.AM.05.10</v>
          </cell>
          <cell r="D1278" t="str">
            <v>AM</v>
          </cell>
          <cell r="E1278" t="str">
            <v>G-119</v>
          </cell>
          <cell r="F1278" t="str">
            <v>Kurander</v>
          </cell>
          <cell r="G1278" t="str">
            <v>N2</v>
          </cell>
          <cell r="H1278" t="str">
            <v>b1</v>
          </cell>
          <cell r="I1278" t="str">
            <v>N2-b1</v>
          </cell>
          <cell r="J1278" t="str">
            <v>05</v>
          </cell>
          <cell r="K1278" t="str">
            <v>10</v>
          </cell>
        </row>
        <row r="1279">
          <cell r="A1279" t="str">
            <v>08-52</v>
          </cell>
          <cell r="B1279">
            <v>500</v>
          </cell>
          <cell r="C1279" t="str">
            <v>C1.AM.08.52</v>
          </cell>
          <cell r="D1279" t="str">
            <v>AM</v>
          </cell>
          <cell r="E1279" t="str">
            <v>G-119</v>
          </cell>
          <cell r="F1279" t="str">
            <v>Kurander</v>
          </cell>
          <cell r="G1279" t="str">
            <v>N1</v>
          </cell>
          <cell r="H1279" t="str">
            <v>b2</v>
          </cell>
          <cell r="I1279" t="str">
            <v>N1-b2</v>
          </cell>
          <cell r="J1279" t="str">
            <v>08</v>
          </cell>
          <cell r="K1279" t="str">
            <v>52</v>
          </cell>
        </row>
        <row r="1280">
          <cell r="A1280" t="str">
            <v>19-89</v>
          </cell>
          <cell r="B1280">
            <v>1025</v>
          </cell>
          <cell r="C1280" t="str">
            <v>C1.AM.19.89</v>
          </cell>
          <cell r="D1280" t="str">
            <v>AM</v>
          </cell>
          <cell r="E1280" t="str">
            <v>G-119</v>
          </cell>
          <cell r="F1280" t="str">
            <v>Kurander</v>
          </cell>
          <cell r="G1280" t="str">
            <v>N1</v>
          </cell>
          <cell r="H1280" t="str">
            <v>b3</v>
          </cell>
          <cell r="I1280" t="str">
            <v>N1-b3</v>
          </cell>
          <cell r="J1280">
            <v>19</v>
          </cell>
          <cell r="K1280" t="str">
            <v>89</v>
          </cell>
        </row>
        <row r="1281">
          <cell r="A1281" t="str">
            <v>24-66</v>
          </cell>
          <cell r="B1281">
            <v>1132</v>
          </cell>
          <cell r="C1281" t="str">
            <v>C1.AM.24.66</v>
          </cell>
          <cell r="D1281" t="str">
            <v>AM</v>
          </cell>
          <cell r="E1281" t="str">
            <v>G-119</v>
          </cell>
          <cell r="F1281" t="str">
            <v>Kurander</v>
          </cell>
          <cell r="G1281" t="str">
            <v>N2</v>
          </cell>
          <cell r="H1281" t="str">
            <v>b3</v>
          </cell>
          <cell r="I1281" t="str">
            <v>N2-b3</v>
          </cell>
          <cell r="J1281">
            <v>24</v>
          </cell>
          <cell r="K1281" t="str">
            <v>66</v>
          </cell>
        </row>
        <row r="1282">
          <cell r="A1282" t="str">
            <v>11-27</v>
          </cell>
          <cell r="B1282">
            <v>667</v>
          </cell>
          <cell r="C1282" t="str">
            <v>C1.DK.11.27</v>
          </cell>
          <cell r="D1282" t="str">
            <v>DK</v>
          </cell>
          <cell r="E1282" t="str">
            <v>G-212</v>
          </cell>
          <cell r="F1282" t="str">
            <v>Kurander2</v>
          </cell>
          <cell r="G1282" t="str">
            <v>N2</v>
          </cell>
          <cell r="H1282" t="str">
            <v>b1</v>
          </cell>
          <cell r="I1282" t="str">
            <v>N2-b1</v>
          </cell>
          <cell r="J1282">
            <v>11</v>
          </cell>
          <cell r="K1282" t="str">
            <v>27</v>
          </cell>
        </row>
        <row r="1283">
          <cell r="A1283" t="str">
            <v>11-43</v>
          </cell>
          <cell r="B1283">
            <v>683</v>
          </cell>
          <cell r="C1283" t="str">
            <v>C1.DK.11.43</v>
          </cell>
          <cell r="D1283" t="str">
            <v>DK</v>
          </cell>
          <cell r="E1283" t="str">
            <v>G-212</v>
          </cell>
          <cell r="F1283" t="str">
            <v>Kurander2</v>
          </cell>
          <cell r="G1283" t="str">
            <v>N2</v>
          </cell>
          <cell r="H1283" t="str">
            <v>b2</v>
          </cell>
          <cell r="I1283" t="str">
            <v>N2-b2</v>
          </cell>
          <cell r="J1283">
            <v>11</v>
          </cell>
          <cell r="K1283" t="str">
            <v>43</v>
          </cell>
        </row>
        <row r="1284">
          <cell r="A1284" t="str">
            <v>12-06</v>
          </cell>
          <cell r="B1284">
            <v>710</v>
          </cell>
          <cell r="C1284" t="str">
            <v>C1.DK.12.06</v>
          </cell>
          <cell r="D1284" t="str">
            <v>DK</v>
          </cell>
          <cell r="E1284" t="str">
            <v>G-212</v>
          </cell>
          <cell r="F1284" t="str">
            <v>Kurander2</v>
          </cell>
          <cell r="G1284" t="str">
            <v>N1</v>
          </cell>
          <cell r="H1284" t="str">
            <v>b1</v>
          </cell>
          <cell r="I1284" t="str">
            <v>N1-b1</v>
          </cell>
          <cell r="J1284">
            <v>12</v>
          </cell>
          <cell r="K1284" t="str">
            <v>06</v>
          </cell>
        </row>
        <row r="1285">
          <cell r="A1285" t="str">
            <v>14-51</v>
          </cell>
          <cell r="B1285">
            <v>883</v>
          </cell>
          <cell r="C1285" t="str">
            <v>C1.DK.14.51</v>
          </cell>
          <cell r="D1285" t="str">
            <v>DK</v>
          </cell>
          <cell r="E1285" t="str">
            <v>G-212</v>
          </cell>
          <cell r="F1285" t="str">
            <v>Kurander2</v>
          </cell>
          <cell r="G1285" t="str">
            <v>N1</v>
          </cell>
          <cell r="H1285" t="str">
            <v>b2</v>
          </cell>
          <cell r="I1285" t="str">
            <v>N1-b2</v>
          </cell>
          <cell r="J1285">
            <v>14</v>
          </cell>
          <cell r="K1285" t="str">
            <v>51</v>
          </cell>
        </row>
        <row r="1286">
          <cell r="A1286" t="str">
            <v>28-88</v>
          </cell>
          <cell r="B1286">
            <v>1258</v>
          </cell>
          <cell r="C1286" t="str">
            <v>C1.DK.28.88</v>
          </cell>
          <cell r="D1286" t="str">
            <v>DK</v>
          </cell>
          <cell r="E1286" t="str">
            <v>G-212</v>
          </cell>
          <cell r="F1286" t="str">
            <v>Kurander2</v>
          </cell>
          <cell r="G1286" t="str">
            <v>N1</v>
          </cell>
          <cell r="H1286" t="str">
            <v>b3</v>
          </cell>
          <cell r="I1286" t="str">
            <v>N1-b3</v>
          </cell>
          <cell r="J1286">
            <v>28</v>
          </cell>
          <cell r="K1286" t="str">
            <v>88</v>
          </cell>
        </row>
        <row r="1287">
          <cell r="A1287" t="str">
            <v>29-73</v>
          </cell>
          <cell r="B1287">
            <v>1269</v>
          </cell>
          <cell r="C1287" t="str">
            <v>C1.DK.29.73</v>
          </cell>
          <cell r="D1287" t="str">
            <v>DK</v>
          </cell>
          <cell r="E1287" t="str">
            <v>G-212</v>
          </cell>
          <cell r="F1287" t="str">
            <v>Kurander2</v>
          </cell>
          <cell r="G1287" t="str">
            <v>N2</v>
          </cell>
          <cell r="H1287" t="str">
            <v>b3</v>
          </cell>
          <cell r="I1287" t="str">
            <v>N2-b3</v>
          </cell>
          <cell r="J1287">
            <v>29</v>
          </cell>
          <cell r="K1287" t="str">
            <v>73</v>
          </cell>
        </row>
        <row r="1288">
          <cell r="A1288" t="str">
            <v>01-02</v>
          </cell>
          <cell r="B1288">
            <v>2</v>
          </cell>
          <cell r="C1288" t="str">
            <v>C1.AM.01.02</v>
          </cell>
          <cell r="D1288" t="str">
            <v>AM</v>
          </cell>
          <cell r="E1288" t="str">
            <v>G-122</v>
          </cell>
          <cell r="F1288" t="str">
            <v>L-Liones</v>
          </cell>
          <cell r="G1288" t="str">
            <v>N1</v>
          </cell>
          <cell r="H1288" t="str">
            <v>b1</v>
          </cell>
          <cell r="I1288" t="str">
            <v>N1-b1</v>
          </cell>
          <cell r="J1288" t="str">
            <v>01</v>
          </cell>
          <cell r="K1288" t="str">
            <v>02</v>
          </cell>
        </row>
        <row r="1289">
          <cell r="A1289" t="str">
            <v>01-33</v>
          </cell>
          <cell r="B1289">
            <v>33</v>
          </cell>
          <cell r="C1289" t="str">
            <v>C1.AM.01.33</v>
          </cell>
          <cell r="D1289" t="str">
            <v>AM</v>
          </cell>
          <cell r="E1289" t="str">
            <v>G-122</v>
          </cell>
          <cell r="F1289" t="str">
            <v>L-Liones</v>
          </cell>
          <cell r="G1289" t="str">
            <v>N2</v>
          </cell>
          <cell r="H1289" t="str">
            <v>b2</v>
          </cell>
          <cell r="I1289" t="str">
            <v>N2-b2</v>
          </cell>
          <cell r="J1289" t="str">
            <v>01</v>
          </cell>
          <cell r="K1289" t="str">
            <v>33</v>
          </cell>
        </row>
        <row r="1290">
          <cell r="A1290" t="str">
            <v>05-08</v>
          </cell>
          <cell r="B1290">
            <v>264</v>
          </cell>
          <cell r="C1290" t="str">
            <v>C1.AM.05.08</v>
          </cell>
          <cell r="D1290" t="str">
            <v>AM</v>
          </cell>
          <cell r="E1290" t="str">
            <v>G-122</v>
          </cell>
          <cell r="F1290" t="str">
            <v>L-Liones</v>
          </cell>
          <cell r="G1290" t="str">
            <v>N2</v>
          </cell>
          <cell r="H1290" t="str">
            <v>b1</v>
          </cell>
          <cell r="I1290" t="str">
            <v>N2-b1</v>
          </cell>
          <cell r="J1290" t="str">
            <v>05</v>
          </cell>
          <cell r="K1290" t="str">
            <v>08</v>
          </cell>
        </row>
        <row r="1291">
          <cell r="A1291" t="str">
            <v>06-40</v>
          </cell>
          <cell r="B1291">
            <v>360</v>
          </cell>
          <cell r="C1291" t="str">
            <v>C1.AM.06.40</v>
          </cell>
          <cell r="D1291" t="str">
            <v>AM</v>
          </cell>
          <cell r="E1291" t="str">
            <v>G-122</v>
          </cell>
          <cell r="F1291" t="str">
            <v>L-Liones</v>
          </cell>
          <cell r="G1291" t="str">
            <v>N1</v>
          </cell>
          <cell r="H1291" t="str">
            <v>b2</v>
          </cell>
          <cell r="I1291" t="str">
            <v>N1-b2</v>
          </cell>
          <cell r="J1291" t="str">
            <v>06</v>
          </cell>
          <cell r="K1291" t="str">
            <v>40</v>
          </cell>
        </row>
        <row r="1292">
          <cell r="A1292" t="str">
            <v>17-73</v>
          </cell>
          <cell r="B1292">
            <v>957</v>
          </cell>
          <cell r="C1292" t="str">
            <v>C1.AM.17.73</v>
          </cell>
          <cell r="D1292" t="str">
            <v>AM</v>
          </cell>
          <cell r="E1292" t="str">
            <v>G-122</v>
          </cell>
          <cell r="F1292" t="str">
            <v>L-Liones</v>
          </cell>
          <cell r="G1292" t="str">
            <v>N1</v>
          </cell>
          <cell r="H1292" t="str">
            <v>b3</v>
          </cell>
          <cell r="I1292" t="str">
            <v>N1-b3</v>
          </cell>
          <cell r="J1292">
            <v>17</v>
          </cell>
          <cell r="K1292" t="str">
            <v>73</v>
          </cell>
        </row>
        <row r="1293">
          <cell r="A1293" t="str">
            <v>21-80</v>
          </cell>
          <cell r="B1293">
            <v>1068</v>
          </cell>
          <cell r="C1293" t="str">
            <v>C1.AM.21.80</v>
          </cell>
          <cell r="D1293" t="str">
            <v>AM</v>
          </cell>
          <cell r="E1293" t="str">
            <v>G-122</v>
          </cell>
          <cell r="F1293" t="str">
            <v>L-Liones</v>
          </cell>
          <cell r="G1293" t="str">
            <v>N2</v>
          </cell>
          <cell r="H1293" t="str">
            <v>b3</v>
          </cell>
          <cell r="I1293" t="str">
            <v>N2-b3</v>
          </cell>
          <cell r="J1293">
            <v>21</v>
          </cell>
          <cell r="K1293" t="str">
            <v>80</v>
          </cell>
        </row>
        <row r="1294">
          <cell r="A1294" t="str">
            <v>09-15</v>
          </cell>
          <cell r="B1294">
            <v>527</v>
          </cell>
          <cell r="C1294" t="str">
            <v>C1.DK.09.15</v>
          </cell>
          <cell r="D1294" t="str">
            <v>DK</v>
          </cell>
          <cell r="E1294" t="str">
            <v>G-215</v>
          </cell>
          <cell r="F1294" t="str">
            <v>L-Liones2</v>
          </cell>
          <cell r="G1294" t="str">
            <v>N2</v>
          </cell>
          <cell r="H1294" t="str">
            <v>b1</v>
          </cell>
          <cell r="I1294" t="str">
            <v>N2-b1</v>
          </cell>
          <cell r="J1294" t="str">
            <v>09</v>
          </cell>
          <cell r="K1294" t="str">
            <v>15</v>
          </cell>
        </row>
        <row r="1295">
          <cell r="A1295" t="str">
            <v>09-41</v>
          </cell>
          <cell r="B1295">
            <v>553</v>
          </cell>
          <cell r="C1295" t="str">
            <v>C1.DK.09.41</v>
          </cell>
          <cell r="D1295" t="str">
            <v>DK</v>
          </cell>
          <cell r="E1295" t="str">
            <v>G-215</v>
          </cell>
          <cell r="F1295" t="str">
            <v>L-Liones2</v>
          </cell>
          <cell r="G1295" t="str">
            <v>N2</v>
          </cell>
          <cell r="H1295" t="str">
            <v>b2</v>
          </cell>
          <cell r="I1295" t="str">
            <v>N2-b2</v>
          </cell>
          <cell r="J1295" t="str">
            <v>09</v>
          </cell>
          <cell r="K1295" t="str">
            <v>41</v>
          </cell>
        </row>
        <row r="1296">
          <cell r="A1296" t="str">
            <v>13-20</v>
          </cell>
          <cell r="B1296">
            <v>788</v>
          </cell>
          <cell r="C1296" t="str">
            <v>C1.DK.13.20</v>
          </cell>
          <cell r="D1296" t="str">
            <v>DK</v>
          </cell>
          <cell r="E1296" t="str">
            <v>G-215</v>
          </cell>
          <cell r="F1296" t="str">
            <v>L-Liones2</v>
          </cell>
          <cell r="G1296" t="str">
            <v>N1</v>
          </cell>
          <cell r="H1296" t="str">
            <v>b1</v>
          </cell>
          <cell r="I1296" t="str">
            <v>N1-b1</v>
          </cell>
          <cell r="J1296">
            <v>13</v>
          </cell>
          <cell r="K1296" t="str">
            <v>20</v>
          </cell>
        </row>
        <row r="1297">
          <cell r="A1297" t="str">
            <v>13-36</v>
          </cell>
          <cell r="B1297">
            <v>804</v>
          </cell>
          <cell r="C1297" t="str">
            <v>C1.DK.13.36</v>
          </cell>
          <cell r="D1297" t="str">
            <v>DK</v>
          </cell>
          <cell r="E1297" t="str">
            <v>G-215</v>
          </cell>
          <cell r="F1297" t="str">
            <v>L-Liones2</v>
          </cell>
          <cell r="G1297" t="str">
            <v>N1</v>
          </cell>
          <cell r="H1297" t="str">
            <v>b2</v>
          </cell>
          <cell r="I1297" t="str">
            <v>N1-b2</v>
          </cell>
          <cell r="J1297">
            <v>13</v>
          </cell>
          <cell r="K1297" t="str">
            <v>36</v>
          </cell>
        </row>
        <row r="1298">
          <cell r="A1298" t="str">
            <v>28-85</v>
          </cell>
          <cell r="B1298">
            <v>1255</v>
          </cell>
          <cell r="C1298" t="str">
            <v>C1.DK.28.85</v>
          </cell>
          <cell r="D1298" t="str">
            <v>DK</v>
          </cell>
          <cell r="E1298" t="str">
            <v>G-215</v>
          </cell>
          <cell r="F1298" t="str">
            <v>L-Liones2</v>
          </cell>
          <cell r="G1298" t="str">
            <v>N1</v>
          </cell>
          <cell r="H1298" t="str">
            <v>b3</v>
          </cell>
          <cell r="I1298" t="str">
            <v>N1-b3</v>
          </cell>
          <cell r="J1298">
            <v>28</v>
          </cell>
          <cell r="K1298" t="str">
            <v>85</v>
          </cell>
        </row>
        <row r="1299">
          <cell r="A1299" t="str">
            <v>31-72</v>
          </cell>
          <cell r="B1299">
            <v>1320</v>
          </cell>
          <cell r="C1299" t="str">
            <v>C1.DK.31.72</v>
          </cell>
          <cell r="D1299" t="str">
            <v>DK</v>
          </cell>
          <cell r="E1299" t="str">
            <v>G-215</v>
          </cell>
          <cell r="F1299" t="str">
            <v>L-Liones2</v>
          </cell>
          <cell r="G1299" t="str">
            <v>N2</v>
          </cell>
          <cell r="H1299" t="str">
            <v>b3</v>
          </cell>
          <cell r="I1299" t="str">
            <v>N2-b3</v>
          </cell>
          <cell r="J1299">
            <v>31</v>
          </cell>
          <cell r="K1299" t="str">
            <v>72</v>
          </cell>
        </row>
        <row r="1300">
          <cell r="A1300" t="str">
            <v>01-43</v>
          </cell>
          <cell r="B1300">
            <v>43</v>
          </cell>
          <cell r="C1300" t="str">
            <v>C1.AM.01.43</v>
          </cell>
          <cell r="D1300" t="str">
            <v>AM</v>
          </cell>
          <cell r="E1300" t="str">
            <v>G-002</v>
          </cell>
          <cell r="F1300" t="str">
            <v>Montego</v>
          </cell>
          <cell r="G1300" t="str">
            <v>N2</v>
          </cell>
          <cell r="H1300" t="str">
            <v>b2</v>
          </cell>
          <cell r="I1300" t="str">
            <v>N2-b2</v>
          </cell>
          <cell r="J1300" t="str">
            <v>01</v>
          </cell>
          <cell r="K1300" t="str">
            <v>43</v>
          </cell>
        </row>
        <row r="1301">
          <cell r="A1301" t="str">
            <v>03-11</v>
          </cell>
          <cell r="B1301">
            <v>139</v>
          </cell>
          <cell r="C1301" t="str">
            <v>C1.AM.03.11</v>
          </cell>
          <cell r="D1301" t="str">
            <v>AM</v>
          </cell>
          <cell r="E1301" t="str">
            <v>G-002</v>
          </cell>
          <cell r="F1301" t="str">
            <v>Montego</v>
          </cell>
          <cell r="G1301" t="str">
            <v>N1</v>
          </cell>
          <cell r="H1301" t="str">
            <v>b1</v>
          </cell>
          <cell r="I1301" t="str">
            <v>N1-b1</v>
          </cell>
          <cell r="J1301" t="str">
            <v>03</v>
          </cell>
          <cell r="K1301" t="str">
            <v>11</v>
          </cell>
        </row>
        <row r="1302">
          <cell r="A1302" t="str">
            <v>03-21</v>
          </cell>
          <cell r="B1302">
            <v>149</v>
          </cell>
          <cell r="C1302" t="str">
            <v>C1.AM.03.21</v>
          </cell>
          <cell r="D1302" t="str">
            <v>AM</v>
          </cell>
          <cell r="E1302" t="str">
            <v>G-002</v>
          </cell>
          <cell r="F1302" t="str">
            <v>Montego</v>
          </cell>
          <cell r="G1302" t="str">
            <v>N1</v>
          </cell>
          <cell r="H1302" t="str">
            <v>b1</v>
          </cell>
          <cell r="I1302" t="str">
            <v>N1-b1</v>
          </cell>
          <cell r="J1302" t="str">
            <v>03</v>
          </cell>
          <cell r="K1302" t="str">
            <v>21</v>
          </cell>
        </row>
        <row r="1303">
          <cell r="A1303" t="str">
            <v>03-29</v>
          </cell>
          <cell r="B1303">
            <v>157</v>
          </cell>
          <cell r="C1303" t="str">
            <v>C1.AM.03.29</v>
          </cell>
          <cell r="D1303" t="str">
            <v>AM</v>
          </cell>
          <cell r="E1303" t="str">
            <v>G-002</v>
          </cell>
          <cell r="F1303" t="str">
            <v>Montego</v>
          </cell>
          <cell r="G1303" t="str">
            <v>N1</v>
          </cell>
          <cell r="H1303" t="str">
            <v>b1</v>
          </cell>
          <cell r="I1303" t="str">
            <v>N1-b1</v>
          </cell>
          <cell r="J1303" t="str">
            <v>03</v>
          </cell>
          <cell r="K1303" t="str">
            <v>29</v>
          </cell>
        </row>
        <row r="1304">
          <cell r="A1304" t="str">
            <v>03-53</v>
          </cell>
          <cell r="B1304">
            <v>181</v>
          </cell>
          <cell r="C1304" t="str">
            <v>C1.AM.03.53</v>
          </cell>
          <cell r="D1304" t="str">
            <v>AM</v>
          </cell>
          <cell r="E1304" t="str">
            <v>G-002</v>
          </cell>
          <cell r="F1304" t="str">
            <v>Montego</v>
          </cell>
          <cell r="G1304" t="str">
            <v>N2</v>
          </cell>
          <cell r="H1304" t="str">
            <v>b2</v>
          </cell>
          <cell r="I1304" t="str">
            <v>N2-b2</v>
          </cell>
          <cell r="J1304" t="str">
            <v>03</v>
          </cell>
          <cell r="K1304" t="str">
            <v>53</v>
          </cell>
        </row>
        <row r="1305">
          <cell r="A1305" t="str">
            <v>04-35</v>
          </cell>
          <cell r="B1305">
            <v>227</v>
          </cell>
          <cell r="C1305" t="str">
            <v>C1.AM.04.35</v>
          </cell>
          <cell r="D1305" t="str">
            <v>AM</v>
          </cell>
          <cell r="E1305" t="str">
            <v>G-002</v>
          </cell>
          <cell r="F1305" t="str">
            <v>Montego</v>
          </cell>
          <cell r="G1305" t="str">
            <v>N2</v>
          </cell>
          <cell r="H1305" t="str">
            <v>b2</v>
          </cell>
          <cell r="I1305" t="str">
            <v>N2-b2</v>
          </cell>
          <cell r="J1305" t="str">
            <v>04</v>
          </cell>
          <cell r="K1305" t="str">
            <v>35</v>
          </cell>
        </row>
        <row r="1306">
          <cell r="A1306" t="str">
            <v>05-22</v>
          </cell>
          <cell r="B1306">
            <v>278</v>
          </cell>
          <cell r="C1306" t="str">
            <v>C1.AM.05.22</v>
          </cell>
          <cell r="D1306" t="str">
            <v>AM</v>
          </cell>
          <cell r="E1306" t="str">
            <v>G-002</v>
          </cell>
          <cell r="F1306" t="str">
            <v>Montego</v>
          </cell>
          <cell r="G1306" t="str">
            <v>N2</v>
          </cell>
          <cell r="H1306" t="str">
            <v>b1</v>
          </cell>
          <cell r="I1306" t="str">
            <v>N2-b1</v>
          </cell>
          <cell r="J1306" t="str">
            <v>05</v>
          </cell>
          <cell r="K1306" t="str">
            <v>22</v>
          </cell>
        </row>
        <row r="1307">
          <cell r="A1307" t="str">
            <v>05-62</v>
          </cell>
          <cell r="B1307">
            <v>318</v>
          </cell>
          <cell r="C1307" t="str">
            <v>C1.AM.05.62</v>
          </cell>
          <cell r="D1307" t="str">
            <v>AM</v>
          </cell>
          <cell r="E1307" t="str">
            <v>G-002</v>
          </cell>
          <cell r="F1307" t="str">
            <v>Montego</v>
          </cell>
          <cell r="G1307" t="str">
            <v>N1</v>
          </cell>
          <cell r="H1307" t="str">
            <v>b2</v>
          </cell>
          <cell r="I1307" t="str">
            <v>N1-b2</v>
          </cell>
          <cell r="J1307" t="str">
            <v>05</v>
          </cell>
          <cell r="K1307" t="str">
            <v>62</v>
          </cell>
        </row>
        <row r="1308">
          <cell r="A1308" t="str">
            <v>07-51</v>
          </cell>
          <cell r="B1308">
            <v>435</v>
          </cell>
          <cell r="C1308" t="str">
            <v>C1.AM.07.51</v>
          </cell>
          <cell r="D1308" t="str">
            <v>AM</v>
          </cell>
          <cell r="E1308" t="str">
            <v>G-002</v>
          </cell>
          <cell r="F1308" t="str">
            <v>Montego</v>
          </cell>
          <cell r="G1308" t="str">
            <v>N1</v>
          </cell>
          <cell r="H1308" t="str">
            <v>b2</v>
          </cell>
          <cell r="I1308" t="str">
            <v>N1-b2</v>
          </cell>
          <cell r="J1308" t="str">
            <v>07</v>
          </cell>
          <cell r="K1308" t="str">
            <v>51</v>
          </cell>
        </row>
        <row r="1309">
          <cell r="A1309" t="str">
            <v>08-11</v>
          </cell>
          <cell r="B1309">
            <v>459</v>
          </cell>
          <cell r="C1309" t="str">
            <v>C1.AM.08.11</v>
          </cell>
          <cell r="D1309" t="str">
            <v>AM</v>
          </cell>
          <cell r="E1309" t="str">
            <v>G-002</v>
          </cell>
          <cell r="F1309" t="str">
            <v>Montego</v>
          </cell>
          <cell r="G1309" t="str">
            <v>N2</v>
          </cell>
          <cell r="H1309" t="str">
            <v>b1</v>
          </cell>
          <cell r="I1309" t="str">
            <v>N2-b1</v>
          </cell>
          <cell r="J1309" t="str">
            <v>08</v>
          </cell>
          <cell r="K1309" t="str">
            <v>11</v>
          </cell>
        </row>
        <row r="1310">
          <cell r="A1310" t="str">
            <v>08-31</v>
          </cell>
          <cell r="B1310">
            <v>479</v>
          </cell>
          <cell r="C1310" t="str">
            <v>C1.AM.08.31</v>
          </cell>
          <cell r="D1310" t="str">
            <v>AM</v>
          </cell>
          <cell r="E1310" t="str">
            <v>G-002</v>
          </cell>
          <cell r="F1310" t="str">
            <v>Montego</v>
          </cell>
          <cell r="G1310" t="str">
            <v>N2</v>
          </cell>
          <cell r="H1310" t="str">
            <v>b1</v>
          </cell>
          <cell r="I1310" t="str">
            <v>N2-b1</v>
          </cell>
          <cell r="J1310" t="str">
            <v>08</v>
          </cell>
          <cell r="K1310" t="str">
            <v>31</v>
          </cell>
        </row>
        <row r="1311">
          <cell r="A1311" t="str">
            <v>08-49</v>
          </cell>
          <cell r="B1311">
            <v>497</v>
          </cell>
          <cell r="C1311" t="str">
            <v>C1.AM.08.49</v>
          </cell>
          <cell r="D1311" t="str">
            <v>AM</v>
          </cell>
          <cell r="E1311" t="str">
            <v>G-002</v>
          </cell>
          <cell r="F1311" t="str">
            <v>Montego</v>
          </cell>
          <cell r="G1311" t="str">
            <v>N1</v>
          </cell>
          <cell r="H1311" t="str">
            <v>b2</v>
          </cell>
          <cell r="I1311" t="str">
            <v>N1-b2</v>
          </cell>
          <cell r="J1311" t="str">
            <v>08</v>
          </cell>
          <cell r="K1311" t="str">
            <v>49</v>
          </cell>
        </row>
        <row r="1312">
          <cell r="A1312" t="str">
            <v>15-66</v>
          </cell>
          <cell r="B1312">
            <v>898</v>
          </cell>
          <cell r="C1312" t="str">
            <v>C1.AM.15.66</v>
          </cell>
          <cell r="D1312" t="str">
            <v>AM</v>
          </cell>
          <cell r="E1312" t="str">
            <v>G-002</v>
          </cell>
          <cell r="F1312" t="str">
            <v>Montego</v>
          </cell>
          <cell r="G1312" t="str">
            <v>N1</v>
          </cell>
          <cell r="H1312" t="str">
            <v>b3</v>
          </cell>
          <cell r="I1312" t="str">
            <v>N1-b3</v>
          </cell>
          <cell r="J1312">
            <v>15</v>
          </cell>
          <cell r="K1312" t="str">
            <v>66</v>
          </cell>
        </row>
        <row r="1313">
          <cell r="A1313" t="str">
            <v>15-80</v>
          </cell>
          <cell r="B1313">
            <v>912</v>
          </cell>
          <cell r="C1313" t="str">
            <v>C1.AM.15.80</v>
          </cell>
          <cell r="D1313" t="str">
            <v>AM</v>
          </cell>
          <cell r="E1313" t="str">
            <v>G-002</v>
          </cell>
          <cell r="F1313" t="str">
            <v>Montego</v>
          </cell>
          <cell r="G1313" t="str">
            <v>N1</v>
          </cell>
          <cell r="H1313" t="str">
            <v>b3</v>
          </cell>
          <cell r="I1313" t="str">
            <v>N1-b3</v>
          </cell>
          <cell r="J1313">
            <v>15</v>
          </cell>
          <cell r="K1313" t="str">
            <v>80</v>
          </cell>
        </row>
        <row r="1314">
          <cell r="A1314" t="str">
            <v>15-83</v>
          </cell>
          <cell r="B1314">
            <v>915</v>
          </cell>
          <cell r="C1314" t="str">
            <v>C1.AM.15.83</v>
          </cell>
          <cell r="D1314" t="str">
            <v>AM</v>
          </cell>
          <cell r="E1314" t="str">
            <v>G-002</v>
          </cell>
          <cell r="F1314" t="str">
            <v>Montego</v>
          </cell>
          <cell r="G1314" t="str">
            <v>N1</v>
          </cell>
          <cell r="H1314" t="str">
            <v>b3</v>
          </cell>
          <cell r="I1314" t="str">
            <v>N1-b3</v>
          </cell>
          <cell r="J1314">
            <v>15</v>
          </cell>
          <cell r="K1314" t="str">
            <v>83</v>
          </cell>
        </row>
        <row r="1315">
          <cell r="A1315" t="str">
            <v>19-65</v>
          </cell>
          <cell r="B1315">
            <v>1001</v>
          </cell>
          <cell r="C1315" t="str">
            <v>C1.AM.19.65</v>
          </cell>
          <cell r="D1315" t="str">
            <v>AM</v>
          </cell>
          <cell r="E1315" t="str">
            <v>G-002</v>
          </cell>
          <cell r="F1315" t="str">
            <v>Montego</v>
          </cell>
          <cell r="G1315" t="str">
            <v>N1</v>
          </cell>
          <cell r="H1315" t="str">
            <v>b3</v>
          </cell>
          <cell r="I1315" t="str">
            <v>N1-b3</v>
          </cell>
          <cell r="J1315">
            <v>19</v>
          </cell>
          <cell r="K1315" t="str">
            <v>65</v>
          </cell>
        </row>
        <row r="1316">
          <cell r="A1316" t="str">
            <v>20-77</v>
          </cell>
          <cell r="B1316">
            <v>1039</v>
          </cell>
          <cell r="C1316" t="str">
            <v>C1.AM.20.77</v>
          </cell>
          <cell r="D1316" t="str">
            <v>AM</v>
          </cell>
          <cell r="E1316" t="str">
            <v>G-002</v>
          </cell>
          <cell r="F1316" t="str">
            <v>Montego</v>
          </cell>
          <cell r="G1316" t="str">
            <v>N2</v>
          </cell>
          <cell r="H1316" t="str">
            <v>b3</v>
          </cell>
          <cell r="I1316" t="str">
            <v>N2-b3</v>
          </cell>
          <cell r="J1316">
            <v>20</v>
          </cell>
          <cell r="K1316" t="str">
            <v>77</v>
          </cell>
        </row>
        <row r="1317">
          <cell r="A1317" t="str">
            <v>21-65</v>
          </cell>
          <cell r="B1317">
            <v>1053</v>
          </cell>
          <cell r="C1317" t="str">
            <v>C1.AM.21.65</v>
          </cell>
          <cell r="D1317" t="str">
            <v>AM</v>
          </cell>
          <cell r="E1317" t="str">
            <v>G-002</v>
          </cell>
          <cell r="F1317" t="str">
            <v>Montego</v>
          </cell>
          <cell r="G1317" t="str">
            <v>N2</v>
          </cell>
          <cell r="H1317" t="str">
            <v>b3</v>
          </cell>
          <cell r="I1317" t="str">
            <v>N2-b3</v>
          </cell>
          <cell r="J1317">
            <v>21</v>
          </cell>
          <cell r="K1317" t="str">
            <v>65</v>
          </cell>
        </row>
        <row r="1318">
          <cell r="A1318" t="str">
            <v>21-90</v>
          </cell>
          <cell r="B1318">
            <v>1078</v>
          </cell>
          <cell r="C1318" t="str">
            <v>C1.AM.21.90</v>
          </cell>
          <cell r="D1318" t="str">
            <v>AM</v>
          </cell>
          <cell r="E1318" t="str">
            <v>G-002</v>
          </cell>
          <cell r="F1318" t="str">
            <v>Montego</v>
          </cell>
          <cell r="G1318" t="str">
            <v>N2</v>
          </cell>
          <cell r="H1318" t="str">
            <v>b3</v>
          </cell>
          <cell r="I1318" t="str">
            <v>N2-b3</v>
          </cell>
          <cell r="J1318">
            <v>21</v>
          </cell>
          <cell r="K1318" t="str">
            <v>90</v>
          </cell>
        </row>
        <row r="1319">
          <cell r="A1319" t="str">
            <v>22-78</v>
          </cell>
          <cell r="B1319">
            <v>1092</v>
          </cell>
          <cell r="C1319" t="str">
            <v>C1.AM.22.78</v>
          </cell>
          <cell r="D1319" t="str">
            <v>AM</v>
          </cell>
          <cell r="E1319" t="str">
            <v>G-002</v>
          </cell>
          <cell r="F1319" t="str">
            <v>Montego</v>
          </cell>
          <cell r="G1319" t="str">
            <v>N2</v>
          </cell>
          <cell r="H1319" t="str">
            <v>b3</v>
          </cell>
          <cell r="I1319" t="str">
            <v>N2-b3</v>
          </cell>
          <cell r="J1319">
            <v>22</v>
          </cell>
          <cell r="K1319" t="str">
            <v>78</v>
          </cell>
        </row>
        <row r="1320">
          <cell r="A1320" t="str">
            <v>01-40</v>
          </cell>
          <cell r="B1320">
            <v>40</v>
          </cell>
          <cell r="C1320" t="str">
            <v>C1.AM.01.40</v>
          </cell>
          <cell r="D1320" t="str">
            <v>AM</v>
          </cell>
          <cell r="E1320" t="str">
            <v>G-124</v>
          </cell>
          <cell r="F1320" t="str">
            <v>S-Oase</v>
          </cell>
          <cell r="G1320" t="str">
            <v>N2</v>
          </cell>
          <cell r="H1320" t="str">
            <v>b2</v>
          </cell>
          <cell r="I1320" t="str">
            <v>N2-b2</v>
          </cell>
          <cell r="J1320" t="str">
            <v>01</v>
          </cell>
          <cell r="K1320" t="str">
            <v>40</v>
          </cell>
        </row>
        <row r="1321">
          <cell r="A1321" t="str">
            <v>02-31</v>
          </cell>
          <cell r="B1321">
            <v>95</v>
          </cell>
          <cell r="C1321" t="str">
            <v>C1.AM.02.31</v>
          </cell>
          <cell r="D1321" t="str">
            <v>AM</v>
          </cell>
          <cell r="E1321" t="str">
            <v>G-124</v>
          </cell>
          <cell r="F1321" t="str">
            <v>S-Oase</v>
          </cell>
          <cell r="G1321" t="str">
            <v>N1</v>
          </cell>
          <cell r="H1321" t="str">
            <v>b1</v>
          </cell>
          <cell r="I1321" t="str">
            <v>N1-b1</v>
          </cell>
          <cell r="J1321" t="str">
            <v>02</v>
          </cell>
          <cell r="K1321" t="str">
            <v>31</v>
          </cell>
        </row>
        <row r="1322">
          <cell r="A1322" t="str">
            <v>05-38</v>
          </cell>
          <cell r="B1322">
            <v>294</v>
          </cell>
          <cell r="C1322" t="str">
            <v>C1.AM.05.38</v>
          </cell>
          <cell r="D1322" t="str">
            <v>AM</v>
          </cell>
          <cell r="E1322" t="str">
            <v>G-124</v>
          </cell>
          <cell r="F1322" t="str">
            <v>S-Oase</v>
          </cell>
          <cell r="G1322" t="str">
            <v>N1</v>
          </cell>
          <cell r="H1322" t="str">
            <v>b2</v>
          </cell>
          <cell r="I1322" t="str">
            <v>N1-b2</v>
          </cell>
          <cell r="J1322" t="str">
            <v>05</v>
          </cell>
          <cell r="K1322" t="str">
            <v>38</v>
          </cell>
        </row>
        <row r="1323">
          <cell r="A1323" t="str">
            <v>08-22</v>
          </cell>
          <cell r="B1323">
            <v>470</v>
          </cell>
          <cell r="C1323" t="str">
            <v>C1.AM.08.22</v>
          </cell>
          <cell r="D1323" t="str">
            <v>AM</v>
          </cell>
          <cell r="E1323" t="str">
            <v>G-124</v>
          </cell>
          <cell r="F1323" t="str">
            <v>S-Oase</v>
          </cell>
          <cell r="G1323" t="str">
            <v>N2</v>
          </cell>
          <cell r="H1323" t="str">
            <v>b1</v>
          </cell>
          <cell r="I1323" t="str">
            <v>N2-b1</v>
          </cell>
          <cell r="J1323" t="str">
            <v>08</v>
          </cell>
          <cell r="K1323" t="str">
            <v>22</v>
          </cell>
        </row>
        <row r="1324">
          <cell r="A1324" t="str">
            <v>16-65</v>
          </cell>
          <cell r="B1324">
            <v>923</v>
          </cell>
          <cell r="C1324" t="str">
            <v>C1.AM.16.65</v>
          </cell>
          <cell r="D1324" t="str">
            <v>AM</v>
          </cell>
          <cell r="E1324" t="str">
            <v>G-124</v>
          </cell>
          <cell r="F1324" t="str">
            <v>S-Oase</v>
          </cell>
          <cell r="G1324" t="str">
            <v>N1</v>
          </cell>
          <cell r="H1324" t="str">
            <v>b3</v>
          </cell>
          <cell r="I1324" t="str">
            <v>N1-b3</v>
          </cell>
          <cell r="J1324" t="str">
            <v>16</v>
          </cell>
          <cell r="K1324" t="str">
            <v>65</v>
          </cell>
        </row>
        <row r="1325">
          <cell r="A1325" t="str">
            <v>24-78</v>
          </cell>
          <cell r="B1325">
            <v>1144</v>
          </cell>
          <cell r="C1325" t="str">
            <v>C1.AM.24.78</v>
          </cell>
          <cell r="D1325" t="str">
            <v>AM</v>
          </cell>
          <cell r="E1325" t="str">
            <v>G-124</v>
          </cell>
          <cell r="F1325" t="str">
            <v>S-Oase</v>
          </cell>
          <cell r="G1325" t="str">
            <v>N2</v>
          </cell>
          <cell r="H1325" t="str">
            <v>b3</v>
          </cell>
          <cell r="I1325" t="str">
            <v>N2-b3</v>
          </cell>
          <cell r="J1325">
            <v>24</v>
          </cell>
          <cell r="K1325" t="str">
            <v>78</v>
          </cell>
        </row>
        <row r="1326">
          <cell r="A1326" t="str">
            <v>25-69</v>
          </cell>
          <cell r="B1326">
            <v>1161</v>
          </cell>
          <cell r="C1326" t="str">
            <v>C1.DK.25.69</v>
          </cell>
          <cell r="D1326" t="str">
            <v>DK</v>
          </cell>
          <cell r="E1326" t="str">
            <v>G-217</v>
          </cell>
          <cell r="F1326" t="str">
            <v>S-Oase2</v>
          </cell>
          <cell r="G1326" t="str">
            <v>N1</v>
          </cell>
          <cell r="H1326" t="str">
            <v>b3</v>
          </cell>
          <cell r="I1326" t="str">
            <v>N1-b3</v>
          </cell>
          <cell r="J1326">
            <v>25</v>
          </cell>
          <cell r="K1326" t="str">
            <v>69</v>
          </cell>
        </row>
        <row r="1327">
          <cell r="A1327" t="str">
            <v>25-87</v>
          </cell>
          <cell r="B1327">
            <v>1179</v>
          </cell>
          <cell r="C1327" t="str">
            <v>C1.DK.25.87</v>
          </cell>
          <cell r="D1327" t="str">
            <v>DK</v>
          </cell>
          <cell r="E1327" t="str">
            <v>G-217</v>
          </cell>
          <cell r="F1327" t="str">
            <v>S-Oase2</v>
          </cell>
          <cell r="G1327" t="str">
            <v>N1</v>
          </cell>
          <cell r="H1327" t="str">
            <v>b3</v>
          </cell>
          <cell r="I1327" t="str">
            <v>N1-b3</v>
          </cell>
          <cell r="J1327">
            <v>25</v>
          </cell>
          <cell r="K1327" t="str">
            <v>87</v>
          </cell>
        </row>
        <row r="1328">
          <cell r="A1328" t="str">
            <v>26-73</v>
          </cell>
          <cell r="B1328">
            <v>1191</v>
          </cell>
          <cell r="C1328" t="str">
            <v>C1.DK.26.73</v>
          </cell>
          <cell r="D1328" t="str">
            <v>DK</v>
          </cell>
          <cell r="E1328" t="str">
            <v>G-217</v>
          </cell>
          <cell r="F1328" t="str">
            <v>S-Oase2</v>
          </cell>
          <cell r="G1328" t="str">
            <v>N1</v>
          </cell>
          <cell r="H1328" t="str">
            <v>b3</v>
          </cell>
          <cell r="I1328" t="str">
            <v>N1-b3</v>
          </cell>
          <cell r="J1328" t="str">
            <v>26</v>
          </cell>
          <cell r="K1328" t="str">
            <v>73</v>
          </cell>
        </row>
        <row r="1329">
          <cell r="A1329" t="str">
            <v>28-81</v>
          </cell>
          <cell r="B1329">
            <v>1251</v>
          </cell>
          <cell r="C1329" t="str">
            <v>C1.DK.28.81</v>
          </cell>
          <cell r="D1329" t="str">
            <v>DK</v>
          </cell>
          <cell r="E1329" t="str">
            <v>G-217</v>
          </cell>
          <cell r="F1329" t="str">
            <v>S-Oase2</v>
          </cell>
          <cell r="G1329" t="str">
            <v>N1</v>
          </cell>
          <cell r="H1329" t="str">
            <v>b3</v>
          </cell>
          <cell r="I1329" t="str">
            <v>N1-b3</v>
          </cell>
          <cell r="J1329">
            <v>28</v>
          </cell>
          <cell r="K1329" t="str">
            <v>81</v>
          </cell>
        </row>
        <row r="1330">
          <cell r="A1330" t="str">
            <v>31-83</v>
          </cell>
          <cell r="B1330">
            <v>1331</v>
          </cell>
          <cell r="C1330" t="str">
            <v>C1.DK.31.83</v>
          </cell>
          <cell r="D1330" t="str">
            <v>DK</v>
          </cell>
          <cell r="E1330" t="str">
            <v>G-217</v>
          </cell>
          <cell r="F1330" t="str">
            <v>S-Oase2</v>
          </cell>
          <cell r="G1330" t="str">
            <v>N2</v>
          </cell>
          <cell r="H1330" t="str">
            <v>b3</v>
          </cell>
          <cell r="I1330" t="str">
            <v>N2-b3</v>
          </cell>
          <cell r="J1330">
            <v>31</v>
          </cell>
          <cell r="K1330" t="str">
            <v>83</v>
          </cell>
        </row>
        <row r="1331">
          <cell r="A1331" t="str">
            <v>31-85</v>
          </cell>
          <cell r="B1331">
            <v>1333</v>
          </cell>
          <cell r="C1331" t="str">
            <v>C1.DK.31.85</v>
          </cell>
          <cell r="D1331" t="str">
            <v>DK</v>
          </cell>
          <cell r="E1331" t="str">
            <v>G-217</v>
          </cell>
          <cell r="F1331" t="str">
            <v>S-Oase2</v>
          </cell>
          <cell r="G1331" t="str">
            <v>N2</v>
          </cell>
          <cell r="H1331" t="str">
            <v>b3</v>
          </cell>
          <cell r="I1331" t="str">
            <v>N2-b3</v>
          </cell>
          <cell r="J1331">
            <v>31</v>
          </cell>
          <cell r="K1331" t="str">
            <v>85</v>
          </cell>
        </row>
        <row r="1332">
          <cell r="A1332" t="str">
            <v>31-89</v>
          </cell>
          <cell r="B1332">
            <v>1337</v>
          </cell>
          <cell r="C1332" t="str">
            <v>C1.DK.31.89</v>
          </cell>
          <cell r="D1332" t="str">
            <v>DK</v>
          </cell>
          <cell r="E1332" t="str">
            <v>G-217</v>
          </cell>
          <cell r="F1332" t="str">
            <v>S-Oase2</v>
          </cell>
          <cell r="G1332" t="str">
            <v>N2</v>
          </cell>
          <cell r="H1332" t="str">
            <v>b3</v>
          </cell>
          <cell r="I1332" t="str">
            <v>N2-b3</v>
          </cell>
          <cell r="J1332">
            <v>31</v>
          </cell>
          <cell r="K1332" t="str">
            <v>89</v>
          </cell>
        </row>
        <row r="1333">
          <cell r="A1333" t="str">
            <v>32-75</v>
          </cell>
          <cell r="B1333">
            <v>1349</v>
          </cell>
          <cell r="C1333" t="str">
            <v>C1.DK.32.75</v>
          </cell>
          <cell r="D1333" t="str">
            <v>DK</v>
          </cell>
          <cell r="E1333" t="str">
            <v>G-217</v>
          </cell>
          <cell r="F1333" t="str">
            <v>S-Oase2</v>
          </cell>
          <cell r="G1333" t="str">
            <v>N2</v>
          </cell>
          <cell r="H1333" t="str">
            <v>b3</v>
          </cell>
          <cell r="I1333" t="str">
            <v>N2-b3</v>
          </cell>
          <cell r="J1333">
            <v>32</v>
          </cell>
          <cell r="K1333" t="str">
            <v>75</v>
          </cell>
        </row>
        <row r="1334">
          <cell r="A1334" t="str">
            <v>09-09</v>
          </cell>
          <cell r="B1334">
            <v>521</v>
          </cell>
          <cell r="C1334" t="str">
            <v>C1.DK.09.09</v>
          </cell>
          <cell r="D1334" t="str">
            <v>DK</v>
          </cell>
          <cell r="E1334" t="str">
            <v>G-125</v>
          </cell>
          <cell r="F1334" t="str">
            <v>Tenor</v>
          </cell>
          <cell r="G1334" t="str">
            <v>N2</v>
          </cell>
          <cell r="H1334" t="str">
            <v>b1</v>
          </cell>
          <cell r="I1334" t="str">
            <v>N2-b1</v>
          </cell>
          <cell r="J1334" t="str">
            <v>09</v>
          </cell>
          <cell r="K1334" t="str">
            <v>09</v>
          </cell>
        </row>
        <row r="1335">
          <cell r="A1335" t="str">
            <v>09-25</v>
          </cell>
          <cell r="B1335">
            <v>537</v>
          </cell>
          <cell r="C1335" t="str">
            <v>C1.DK.09.25</v>
          </cell>
          <cell r="D1335" t="str">
            <v>DK</v>
          </cell>
          <cell r="E1335" t="str">
            <v>G-125</v>
          </cell>
          <cell r="F1335" t="str">
            <v>Tenor</v>
          </cell>
          <cell r="G1335" t="str">
            <v>N2</v>
          </cell>
          <cell r="H1335" t="str">
            <v>b1</v>
          </cell>
          <cell r="I1335" t="str">
            <v>N2-b1</v>
          </cell>
          <cell r="J1335" t="str">
            <v>09</v>
          </cell>
          <cell r="K1335" t="str">
            <v>25</v>
          </cell>
        </row>
        <row r="1336">
          <cell r="A1336" t="str">
            <v>09-31</v>
          </cell>
          <cell r="B1336">
            <v>543</v>
          </cell>
          <cell r="C1336" t="str">
            <v>C1.DK.09.31</v>
          </cell>
          <cell r="D1336" t="str">
            <v>DK</v>
          </cell>
          <cell r="E1336" t="str">
            <v>G-125</v>
          </cell>
          <cell r="F1336" t="str">
            <v>Tenor</v>
          </cell>
          <cell r="G1336" t="str">
            <v>N2</v>
          </cell>
          <cell r="H1336" t="str">
            <v>b1</v>
          </cell>
          <cell r="I1336" t="str">
            <v>N2-b1</v>
          </cell>
          <cell r="J1336" t="str">
            <v>09</v>
          </cell>
          <cell r="K1336" t="str">
            <v>31</v>
          </cell>
        </row>
        <row r="1337">
          <cell r="A1337" t="str">
            <v>09-48</v>
          </cell>
          <cell r="B1337">
            <v>560</v>
          </cell>
          <cell r="C1337" t="str">
            <v>C1.DK.09.48</v>
          </cell>
          <cell r="D1337" t="str">
            <v>DK</v>
          </cell>
          <cell r="E1337" t="str">
            <v>G-125</v>
          </cell>
          <cell r="F1337" t="str">
            <v>Tenor</v>
          </cell>
          <cell r="G1337" t="str">
            <v>N2</v>
          </cell>
          <cell r="H1337" t="str">
            <v>b2</v>
          </cell>
          <cell r="I1337" t="str">
            <v>N2-b2</v>
          </cell>
          <cell r="J1337" t="str">
            <v>09</v>
          </cell>
          <cell r="K1337" t="str">
            <v>48</v>
          </cell>
        </row>
        <row r="1338">
          <cell r="A1338" t="str">
            <v>10-56</v>
          </cell>
          <cell r="B1338">
            <v>632</v>
          </cell>
          <cell r="C1338" t="str">
            <v>C1.DK.10.56</v>
          </cell>
          <cell r="D1338" t="str">
            <v>DK</v>
          </cell>
          <cell r="E1338" t="str">
            <v>G-125</v>
          </cell>
          <cell r="F1338" t="str">
            <v>Tenor</v>
          </cell>
          <cell r="G1338" t="str">
            <v>N2</v>
          </cell>
          <cell r="H1338" t="str">
            <v>b2</v>
          </cell>
          <cell r="I1338" t="str">
            <v>N2-b2</v>
          </cell>
          <cell r="J1338">
            <v>10</v>
          </cell>
          <cell r="K1338" t="str">
            <v>56</v>
          </cell>
        </row>
        <row r="1339">
          <cell r="A1339" t="str">
            <v>11-56</v>
          </cell>
          <cell r="B1339">
            <v>696</v>
          </cell>
          <cell r="C1339" t="str">
            <v>C1.DK.11.56</v>
          </cell>
          <cell r="D1339" t="str">
            <v>DK</v>
          </cell>
          <cell r="E1339" t="str">
            <v>G-125</v>
          </cell>
          <cell r="F1339" t="str">
            <v>Tenor</v>
          </cell>
          <cell r="G1339" t="str">
            <v>N2</v>
          </cell>
          <cell r="H1339" t="str">
            <v>b2</v>
          </cell>
          <cell r="I1339" t="str">
            <v>N2-b2</v>
          </cell>
          <cell r="J1339">
            <v>11</v>
          </cell>
          <cell r="K1339" t="str">
            <v>56</v>
          </cell>
        </row>
        <row r="1340">
          <cell r="A1340" t="str">
            <v>12-54</v>
          </cell>
          <cell r="B1340">
            <v>758</v>
          </cell>
          <cell r="C1340" t="str">
            <v>C1.DK.12.54</v>
          </cell>
          <cell r="D1340" t="str">
            <v>DK</v>
          </cell>
          <cell r="E1340" t="str">
            <v>G-125</v>
          </cell>
          <cell r="F1340" t="str">
            <v>Tenor</v>
          </cell>
          <cell r="G1340" t="str">
            <v>N1</v>
          </cell>
          <cell r="H1340" t="str">
            <v>b2</v>
          </cell>
          <cell r="I1340" t="str">
            <v>N1-b2</v>
          </cell>
          <cell r="J1340">
            <v>12</v>
          </cell>
          <cell r="K1340" t="str">
            <v>54</v>
          </cell>
        </row>
        <row r="1341">
          <cell r="A1341" t="str">
            <v>13-05</v>
          </cell>
          <cell r="B1341">
            <v>773</v>
          </cell>
          <cell r="C1341" t="str">
            <v>C1.DK.13.05</v>
          </cell>
          <cell r="D1341" t="str">
            <v>DK</v>
          </cell>
          <cell r="E1341" t="str">
            <v>G-125</v>
          </cell>
          <cell r="F1341" t="str">
            <v>Tenor</v>
          </cell>
          <cell r="G1341" t="str">
            <v>N1</v>
          </cell>
          <cell r="H1341" t="str">
            <v>b1</v>
          </cell>
          <cell r="I1341" t="str">
            <v>N1-b1</v>
          </cell>
          <cell r="J1341">
            <v>13</v>
          </cell>
          <cell r="K1341" t="str">
            <v>05</v>
          </cell>
        </row>
        <row r="1342">
          <cell r="A1342" t="str">
            <v>13-08</v>
          </cell>
          <cell r="B1342">
            <v>776</v>
          </cell>
          <cell r="C1342" t="str">
            <v>C1.DK.13.08</v>
          </cell>
          <cell r="D1342" t="str">
            <v>DK</v>
          </cell>
          <cell r="E1342" t="str">
            <v>G-125</v>
          </cell>
          <cell r="F1342" t="str">
            <v>Tenor</v>
          </cell>
          <cell r="G1342" t="str">
            <v>N1</v>
          </cell>
          <cell r="H1342" t="str">
            <v>b1</v>
          </cell>
          <cell r="I1342" t="str">
            <v>N1-b1</v>
          </cell>
          <cell r="J1342">
            <v>13</v>
          </cell>
          <cell r="K1342" t="str">
            <v>08</v>
          </cell>
        </row>
        <row r="1343">
          <cell r="A1343" t="str">
            <v>13-17</v>
          </cell>
          <cell r="B1343">
            <v>785</v>
          </cell>
          <cell r="C1343" t="str">
            <v>C1.DK.13.17</v>
          </cell>
          <cell r="D1343" t="str">
            <v>DK</v>
          </cell>
          <cell r="E1343" t="str">
            <v>G-125</v>
          </cell>
          <cell r="F1343" t="str">
            <v>Tenor</v>
          </cell>
          <cell r="G1343" t="str">
            <v>N1</v>
          </cell>
          <cell r="H1343" t="str">
            <v>b1</v>
          </cell>
          <cell r="I1343" t="str">
            <v>N1-b1</v>
          </cell>
          <cell r="J1343">
            <v>13</v>
          </cell>
          <cell r="K1343" t="str">
            <v>17</v>
          </cell>
        </row>
        <row r="1344">
          <cell r="A1344" t="str">
            <v>13-61</v>
          </cell>
          <cell r="B1344">
            <v>829</v>
          </cell>
          <cell r="C1344" t="str">
            <v>C1.DK.13.61</v>
          </cell>
          <cell r="D1344" t="str">
            <v>DK</v>
          </cell>
          <cell r="E1344" t="str">
            <v>G-125</v>
          </cell>
          <cell r="F1344" t="str">
            <v>Tenor</v>
          </cell>
          <cell r="G1344" t="str">
            <v>N1</v>
          </cell>
          <cell r="H1344" t="str">
            <v>b2</v>
          </cell>
          <cell r="I1344" t="str">
            <v>N1-b2</v>
          </cell>
          <cell r="J1344">
            <v>13</v>
          </cell>
          <cell r="K1344" t="str">
            <v>61</v>
          </cell>
        </row>
        <row r="1345">
          <cell r="A1345" t="str">
            <v>14-46</v>
          </cell>
          <cell r="B1345">
            <v>878</v>
          </cell>
          <cell r="C1345" t="str">
            <v>C1.DK.14.46</v>
          </cell>
          <cell r="D1345" t="str">
            <v>DK</v>
          </cell>
          <cell r="E1345" t="str">
            <v>G-125</v>
          </cell>
          <cell r="F1345" t="str">
            <v>Tenor</v>
          </cell>
          <cell r="G1345" t="str">
            <v>N1</v>
          </cell>
          <cell r="H1345" t="str">
            <v>b2</v>
          </cell>
          <cell r="I1345" t="str">
            <v>N1-b2</v>
          </cell>
          <cell r="J1345">
            <v>14</v>
          </cell>
          <cell r="K1345" t="str">
            <v>46</v>
          </cell>
        </row>
        <row r="1346">
          <cell r="A1346" t="str">
            <v>25-79</v>
          </cell>
          <cell r="B1346">
            <v>1171</v>
          </cell>
          <cell r="C1346" t="str">
            <v>C1.DK.25.79</v>
          </cell>
          <cell r="D1346" t="str">
            <v>DK</v>
          </cell>
          <cell r="E1346" t="str">
            <v>G-125</v>
          </cell>
          <cell r="F1346" t="str">
            <v>Tenor</v>
          </cell>
          <cell r="G1346" t="str">
            <v>N1</v>
          </cell>
          <cell r="H1346" t="str">
            <v>b3</v>
          </cell>
          <cell r="I1346" t="str">
            <v>N1-b3</v>
          </cell>
          <cell r="J1346">
            <v>25</v>
          </cell>
          <cell r="K1346" t="str">
            <v>79</v>
          </cell>
        </row>
        <row r="1347">
          <cell r="A1347" t="str">
            <v>26-67</v>
          </cell>
          <cell r="B1347">
            <v>1185</v>
          </cell>
          <cell r="C1347" t="str">
            <v>C1.DK.26.67</v>
          </cell>
          <cell r="D1347" t="str">
            <v>DK</v>
          </cell>
          <cell r="E1347" t="str">
            <v>G-125</v>
          </cell>
          <cell r="F1347" t="str">
            <v>Tenor</v>
          </cell>
          <cell r="G1347" t="str">
            <v>N1</v>
          </cell>
          <cell r="H1347" t="str">
            <v>b3</v>
          </cell>
          <cell r="I1347" t="str">
            <v>N1-b3</v>
          </cell>
          <cell r="J1347" t="str">
            <v>26</v>
          </cell>
          <cell r="K1347" t="str">
            <v>67</v>
          </cell>
        </row>
        <row r="1348">
          <cell r="A1348" t="str">
            <v>26-79</v>
          </cell>
          <cell r="B1348">
            <v>1197</v>
          </cell>
          <cell r="C1348" t="str">
            <v>C1.DK.26.79</v>
          </cell>
          <cell r="D1348" t="str">
            <v>DK</v>
          </cell>
          <cell r="E1348" t="str">
            <v>G-125</v>
          </cell>
          <cell r="F1348" t="str">
            <v>Tenor</v>
          </cell>
          <cell r="G1348" t="str">
            <v>N1</v>
          </cell>
          <cell r="H1348" t="str">
            <v>b3</v>
          </cell>
          <cell r="I1348" t="str">
            <v>N1-b3</v>
          </cell>
          <cell r="J1348" t="str">
            <v>26</v>
          </cell>
          <cell r="K1348" t="str">
            <v>79</v>
          </cell>
        </row>
        <row r="1349">
          <cell r="A1349" t="str">
            <v>27-72</v>
          </cell>
          <cell r="B1349">
            <v>1216</v>
          </cell>
          <cell r="C1349" t="str">
            <v>C1.DK.27.72</v>
          </cell>
          <cell r="D1349" t="str">
            <v>DK</v>
          </cell>
          <cell r="E1349" t="str">
            <v>G-125</v>
          </cell>
          <cell r="F1349" t="str">
            <v>Tenor</v>
          </cell>
          <cell r="G1349" t="str">
            <v>N1</v>
          </cell>
          <cell r="H1349" t="str">
            <v>b3</v>
          </cell>
          <cell r="I1349" t="str">
            <v>N1-b3</v>
          </cell>
          <cell r="J1349">
            <v>27</v>
          </cell>
          <cell r="K1349" t="str">
            <v>72</v>
          </cell>
        </row>
        <row r="1350">
          <cell r="A1350" t="str">
            <v>28-80</v>
          </cell>
          <cell r="B1350">
            <v>1250</v>
          </cell>
          <cell r="C1350" t="str">
            <v>C1.DK.28.80</v>
          </cell>
          <cell r="D1350" t="str">
            <v>DK</v>
          </cell>
          <cell r="E1350" t="str">
            <v>G-125</v>
          </cell>
          <cell r="F1350" t="str">
            <v>Tenor</v>
          </cell>
          <cell r="G1350" t="str">
            <v>N1</v>
          </cell>
          <cell r="H1350" t="str">
            <v>b3</v>
          </cell>
          <cell r="I1350" t="str">
            <v>N1-b3</v>
          </cell>
          <cell r="J1350">
            <v>28</v>
          </cell>
          <cell r="K1350" t="str">
            <v>80</v>
          </cell>
        </row>
        <row r="1351">
          <cell r="A1351" t="str">
            <v>29-88</v>
          </cell>
          <cell r="B1351">
            <v>1284</v>
          </cell>
          <cell r="C1351" t="str">
            <v>C1.DK.29.88</v>
          </cell>
          <cell r="D1351" t="str">
            <v>DK</v>
          </cell>
          <cell r="E1351" t="str">
            <v>G-125</v>
          </cell>
          <cell r="F1351" t="str">
            <v>Tenor</v>
          </cell>
          <cell r="G1351" t="str">
            <v>N2</v>
          </cell>
          <cell r="H1351" t="str">
            <v>b3</v>
          </cell>
          <cell r="I1351" t="str">
            <v>N2-b3</v>
          </cell>
          <cell r="J1351">
            <v>29</v>
          </cell>
          <cell r="K1351" t="str">
            <v>88</v>
          </cell>
        </row>
        <row r="1352">
          <cell r="A1352" t="str">
            <v>30-79</v>
          </cell>
          <cell r="B1352">
            <v>1301</v>
          </cell>
          <cell r="C1352" t="str">
            <v>C1.DK.30.79</v>
          </cell>
          <cell r="D1352" t="str">
            <v>DK</v>
          </cell>
          <cell r="E1352" t="str">
            <v>G-125</v>
          </cell>
          <cell r="F1352" t="str">
            <v>Tenor</v>
          </cell>
          <cell r="G1352" t="str">
            <v>N2</v>
          </cell>
          <cell r="H1352" t="str">
            <v>b3</v>
          </cell>
          <cell r="I1352" t="str">
            <v>N2-b3</v>
          </cell>
          <cell r="J1352">
            <v>30</v>
          </cell>
          <cell r="K1352" t="str">
            <v>79</v>
          </cell>
        </row>
        <row r="1353">
          <cell r="A1353" t="str">
            <v>30-84</v>
          </cell>
          <cell r="B1353">
            <v>1306</v>
          </cell>
          <cell r="C1353" t="str">
            <v>C1.DK.30.84</v>
          </cell>
          <cell r="D1353" t="str">
            <v>DK</v>
          </cell>
          <cell r="E1353" t="str">
            <v>G-125</v>
          </cell>
          <cell r="F1353" t="str">
            <v>Tenor</v>
          </cell>
          <cell r="G1353" t="str">
            <v>N2</v>
          </cell>
          <cell r="H1353" t="str">
            <v>b3</v>
          </cell>
          <cell r="I1353" t="str">
            <v>N2-b3</v>
          </cell>
          <cell r="J1353">
            <v>30</v>
          </cell>
          <cell r="K1353" t="str">
            <v>84</v>
          </cell>
        </row>
        <row r="1354">
          <cell r="A1354" t="str">
            <v>31-65</v>
          </cell>
          <cell r="B1354">
            <v>1313</v>
          </cell>
          <cell r="C1354" t="str">
            <v>C1.DK.31.65</v>
          </cell>
          <cell r="D1354" t="str">
            <v>DK</v>
          </cell>
          <cell r="E1354" t="str">
            <v>G-125</v>
          </cell>
          <cell r="F1354" t="str">
            <v>Tenor</v>
          </cell>
          <cell r="G1354" t="str">
            <v>N2</v>
          </cell>
          <cell r="H1354" t="str">
            <v>b3</v>
          </cell>
          <cell r="I1354" t="str">
            <v>N2-b3</v>
          </cell>
          <cell r="J1354">
            <v>31</v>
          </cell>
          <cell r="K1354" t="str">
            <v>65</v>
          </cell>
        </row>
        <row r="1355">
          <cell r="A1355" t="str">
            <v>32-89</v>
          </cell>
          <cell r="B1355">
            <v>1363</v>
          </cell>
          <cell r="C1355" t="str">
            <v>C1.DK.32.89</v>
          </cell>
          <cell r="D1355" t="str">
            <v>DK</v>
          </cell>
          <cell r="E1355" t="str">
            <v>G-125</v>
          </cell>
          <cell r="F1355" t="str">
            <v>Tenor</v>
          </cell>
          <cell r="G1355" t="str">
            <v>N2</v>
          </cell>
          <cell r="H1355" t="str">
            <v>b3</v>
          </cell>
          <cell r="I1355" t="str">
            <v>N2-b3</v>
          </cell>
          <cell r="J1355">
            <v>32</v>
          </cell>
          <cell r="K1355" t="str">
            <v>89</v>
          </cell>
        </row>
        <row r="1356">
          <cell r="A1356" t="str">
            <v>03-07</v>
          </cell>
          <cell r="B1356">
            <v>135</v>
          </cell>
          <cell r="C1356" t="str">
            <v>C1.AM.03.07</v>
          </cell>
          <cell r="D1356" t="str">
            <v>AM</v>
          </cell>
          <cell r="E1356" t="str">
            <v>G-120</v>
          </cell>
          <cell r="F1356" t="str">
            <v>Twister</v>
          </cell>
          <cell r="G1356" t="str">
            <v>N1</v>
          </cell>
          <cell r="H1356" t="str">
            <v>b1</v>
          </cell>
          <cell r="I1356" t="str">
            <v>N1-b1</v>
          </cell>
          <cell r="J1356" t="str">
            <v>03</v>
          </cell>
          <cell r="K1356" t="str">
            <v>07</v>
          </cell>
        </row>
        <row r="1357">
          <cell r="A1357" t="str">
            <v>04-33</v>
          </cell>
          <cell r="B1357">
            <v>225</v>
          </cell>
          <cell r="C1357" t="str">
            <v>C1.AM.04.33</v>
          </cell>
          <cell r="D1357" t="str">
            <v>AM</v>
          </cell>
          <cell r="E1357" t="str">
            <v>G-120</v>
          </cell>
          <cell r="F1357" t="str">
            <v>Twister</v>
          </cell>
          <cell r="G1357" t="str">
            <v>N2</v>
          </cell>
          <cell r="H1357" t="str">
            <v>b2</v>
          </cell>
          <cell r="I1357" t="str">
            <v>N2-b2</v>
          </cell>
          <cell r="J1357" t="str">
            <v>04</v>
          </cell>
          <cell r="K1357" t="str">
            <v>33</v>
          </cell>
        </row>
        <row r="1358">
          <cell r="A1358" t="str">
            <v>05-05</v>
          </cell>
          <cell r="B1358">
            <v>261</v>
          </cell>
          <cell r="C1358" t="str">
            <v>C1.AM.05.05</v>
          </cell>
          <cell r="D1358" t="str">
            <v>AM</v>
          </cell>
          <cell r="E1358" t="str">
            <v>G-120</v>
          </cell>
          <cell r="F1358" t="str">
            <v>Twister</v>
          </cell>
          <cell r="G1358" t="str">
            <v>N2</v>
          </cell>
          <cell r="H1358" t="str">
            <v>b1</v>
          </cell>
          <cell r="I1358" t="str">
            <v>N2-b1</v>
          </cell>
          <cell r="J1358" t="str">
            <v>05</v>
          </cell>
          <cell r="K1358" t="str">
            <v>05</v>
          </cell>
        </row>
        <row r="1359">
          <cell r="A1359" t="str">
            <v>05-37</v>
          </cell>
          <cell r="B1359">
            <v>293</v>
          </cell>
          <cell r="C1359" t="str">
            <v>C1.AM.05.37</v>
          </cell>
          <cell r="D1359" t="str">
            <v>AM</v>
          </cell>
          <cell r="E1359" t="str">
            <v>G-120</v>
          </cell>
          <cell r="F1359" t="str">
            <v>Twister</v>
          </cell>
          <cell r="G1359" t="str">
            <v>N1</v>
          </cell>
          <cell r="H1359" t="str">
            <v>b2</v>
          </cell>
          <cell r="I1359" t="str">
            <v>N1-b2</v>
          </cell>
          <cell r="J1359" t="str">
            <v>05</v>
          </cell>
          <cell r="K1359" t="str">
            <v>37</v>
          </cell>
        </row>
        <row r="1360">
          <cell r="A1360" t="str">
            <v>16-71</v>
          </cell>
          <cell r="B1360">
            <v>929</v>
          </cell>
          <cell r="C1360" t="str">
            <v>C1.AM.16.71</v>
          </cell>
          <cell r="D1360" t="str">
            <v>AM</v>
          </cell>
          <cell r="E1360" t="str">
            <v>G-120</v>
          </cell>
          <cell r="F1360" t="str">
            <v>Twister</v>
          </cell>
          <cell r="G1360" t="str">
            <v>N1</v>
          </cell>
          <cell r="H1360" t="str">
            <v>b3</v>
          </cell>
          <cell r="I1360" t="str">
            <v>N1-b3</v>
          </cell>
          <cell r="J1360" t="str">
            <v>16</v>
          </cell>
          <cell r="K1360" t="str">
            <v>71</v>
          </cell>
        </row>
        <row r="1361">
          <cell r="A1361" t="str">
            <v>23-87</v>
          </cell>
          <cell r="B1361">
            <v>1127</v>
          </cell>
          <cell r="C1361" t="str">
            <v>C1.AM.23.87</v>
          </cell>
          <cell r="D1361" t="str">
            <v>AM</v>
          </cell>
          <cell r="E1361" t="str">
            <v>G-120</v>
          </cell>
          <cell r="F1361" t="str">
            <v>Twister</v>
          </cell>
          <cell r="G1361" t="str">
            <v>N2</v>
          </cell>
          <cell r="H1361" t="str">
            <v>b3</v>
          </cell>
          <cell r="I1361" t="str">
            <v>N2-b3</v>
          </cell>
          <cell r="J1361">
            <v>23</v>
          </cell>
          <cell r="K1361" t="str">
            <v>87</v>
          </cell>
        </row>
        <row r="1362">
          <cell r="A1362" t="str">
            <v>09-44</v>
          </cell>
          <cell r="B1362">
            <v>556</v>
          </cell>
          <cell r="C1362" t="str">
            <v>C1.DK.09.44</v>
          </cell>
          <cell r="D1362" t="str">
            <v>DK</v>
          </cell>
          <cell r="E1362" t="str">
            <v>G-213</v>
          </cell>
          <cell r="F1362" t="str">
            <v>Twister2</v>
          </cell>
          <cell r="G1362" t="str">
            <v>N2</v>
          </cell>
          <cell r="H1362" t="str">
            <v>b2</v>
          </cell>
          <cell r="I1362" t="str">
            <v>N2-b2</v>
          </cell>
          <cell r="J1362" t="str">
            <v>09</v>
          </cell>
          <cell r="K1362" t="str">
            <v>44</v>
          </cell>
        </row>
        <row r="1363">
          <cell r="A1363" t="str">
            <v>11-02</v>
          </cell>
          <cell r="B1363">
            <v>642</v>
          </cell>
          <cell r="C1363" t="str">
            <v>C1.DK.11.02</v>
          </cell>
          <cell r="D1363" t="str">
            <v>DK</v>
          </cell>
          <cell r="E1363" t="str">
            <v>G-213</v>
          </cell>
          <cell r="F1363" t="str">
            <v>Twister2</v>
          </cell>
          <cell r="G1363" t="str">
            <v>N2</v>
          </cell>
          <cell r="H1363" t="str">
            <v>b1</v>
          </cell>
          <cell r="I1363" t="str">
            <v>N2-b1</v>
          </cell>
          <cell r="J1363">
            <v>11</v>
          </cell>
          <cell r="K1363" t="str">
            <v>02</v>
          </cell>
        </row>
        <row r="1364">
          <cell r="A1364" t="str">
            <v>12-27</v>
          </cell>
          <cell r="B1364">
            <v>731</v>
          </cell>
          <cell r="C1364" t="str">
            <v>C1.DK.12.27</v>
          </cell>
          <cell r="D1364" t="str">
            <v>DK</v>
          </cell>
          <cell r="E1364" t="str">
            <v>G-213</v>
          </cell>
          <cell r="F1364" t="str">
            <v>Twister2</v>
          </cell>
          <cell r="G1364" t="str">
            <v>N1</v>
          </cell>
          <cell r="H1364" t="str">
            <v>b1</v>
          </cell>
          <cell r="I1364" t="str">
            <v>N1-b1</v>
          </cell>
          <cell r="J1364">
            <v>12</v>
          </cell>
          <cell r="K1364" t="str">
            <v>27</v>
          </cell>
        </row>
        <row r="1365">
          <cell r="A1365" t="str">
            <v>12-55</v>
          </cell>
          <cell r="B1365">
            <v>759</v>
          </cell>
          <cell r="C1365" t="str">
            <v>C1.DK.12.55</v>
          </cell>
          <cell r="D1365" t="str">
            <v>DK</v>
          </cell>
          <cell r="E1365" t="str">
            <v>G-213</v>
          </cell>
          <cell r="F1365" t="str">
            <v>Twister2</v>
          </cell>
          <cell r="G1365" t="str">
            <v>N1</v>
          </cell>
          <cell r="H1365" t="str">
            <v>b2</v>
          </cell>
          <cell r="I1365" t="str">
            <v>N1-b2</v>
          </cell>
          <cell r="J1365">
            <v>12</v>
          </cell>
          <cell r="K1365" t="str">
            <v>55</v>
          </cell>
        </row>
        <row r="1366">
          <cell r="A1366" t="str">
            <v>27-67</v>
          </cell>
          <cell r="B1366">
            <v>1211</v>
          </cell>
          <cell r="C1366" t="str">
            <v>C1.DK.27.67</v>
          </cell>
          <cell r="D1366" t="str">
            <v>DK</v>
          </cell>
          <cell r="E1366" t="str">
            <v>G-213</v>
          </cell>
          <cell r="F1366" t="str">
            <v>Twister2</v>
          </cell>
          <cell r="G1366" t="str">
            <v>N1</v>
          </cell>
          <cell r="H1366" t="str">
            <v>b3</v>
          </cell>
          <cell r="I1366" t="str">
            <v>N1-b3</v>
          </cell>
          <cell r="J1366">
            <v>27</v>
          </cell>
          <cell r="K1366" t="str">
            <v>67</v>
          </cell>
        </row>
        <row r="1367">
          <cell r="A1367" t="str">
            <v>32-67</v>
          </cell>
          <cell r="B1367">
            <v>1341</v>
          </cell>
          <cell r="C1367" t="str">
            <v>C1.DK.32.67</v>
          </cell>
          <cell r="D1367" t="str">
            <v>DK</v>
          </cell>
          <cell r="E1367" t="str">
            <v>G-213</v>
          </cell>
          <cell r="F1367" t="str">
            <v>Twister2</v>
          </cell>
          <cell r="G1367" t="str">
            <v>N2</v>
          </cell>
          <cell r="H1367" t="str">
            <v>b3</v>
          </cell>
          <cell r="I1367" t="str">
            <v>N2-b3</v>
          </cell>
          <cell r="J1367">
            <v>32</v>
          </cell>
          <cell r="K1367" t="str">
            <v>67</v>
          </cell>
        </row>
      </sheetData>
      <sheetData sheetId="12"/>
      <sheetData sheetId="13">
        <row r="4">
          <cell r="A4" t="str">
            <v>Aviso</v>
          </cell>
          <cell r="B4" t="str">
            <v>G-001</v>
          </cell>
        </row>
        <row r="5">
          <cell r="A5" t="str">
            <v>Montego</v>
          </cell>
          <cell r="B5" t="str">
            <v>G-002</v>
          </cell>
        </row>
        <row r="6">
          <cell r="A6" t="str">
            <v>AM014</v>
          </cell>
          <cell r="B6" t="str">
            <v>G-003</v>
          </cell>
        </row>
        <row r="7">
          <cell r="A7" t="str">
            <v>AM015</v>
          </cell>
          <cell r="B7" t="str">
            <v>G-004</v>
          </cell>
        </row>
        <row r="8">
          <cell r="A8" t="str">
            <v>AM016</v>
          </cell>
          <cell r="B8" t="str">
            <v>G-005</v>
          </cell>
        </row>
        <row r="9">
          <cell r="A9" t="str">
            <v>AM017</v>
          </cell>
          <cell r="B9" t="str">
            <v>G-006</v>
          </cell>
        </row>
        <row r="10">
          <cell r="A10" t="str">
            <v>AM018</v>
          </cell>
          <cell r="B10" t="str">
            <v>G-007</v>
          </cell>
        </row>
        <row r="11">
          <cell r="A11" t="str">
            <v>AM019</v>
          </cell>
          <cell r="B11" t="str">
            <v>G-008</v>
          </cell>
        </row>
        <row r="12">
          <cell r="A12" t="str">
            <v>AM020</v>
          </cell>
          <cell r="B12" t="str">
            <v>G-009</v>
          </cell>
        </row>
        <row r="13">
          <cell r="A13" t="str">
            <v>AM022</v>
          </cell>
          <cell r="B13" t="str">
            <v>G-010</v>
          </cell>
        </row>
        <row r="14">
          <cell r="A14" t="str">
            <v>AM027</v>
          </cell>
          <cell r="B14" t="str">
            <v>G-011</v>
          </cell>
        </row>
        <row r="15">
          <cell r="A15" t="str">
            <v>AM028</v>
          </cell>
          <cell r="B15" t="str">
            <v>G-012</v>
          </cell>
        </row>
        <row r="16">
          <cell r="A16" t="str">
            <v>AM030</v>
          </cell>
          <cell r="B16" t="str">
            <v>G-013</v>
          </cell>
        </row>
        <row r="17">
          <cell r="A17" t="str">
            <v>AM031</v>
          </cell>
          <cell r="B17" t="str">
            <v>G-014</v>
          </cell>
        </row>
        <row r="18">
          <cell r="A18" t="str">
            <v>AM032</v>
          </cell>
          <cell r="B18" t="str">
            <v>G-015</v>
          </cell>
        </row>
        <row r="19">
          <cell r="A19" t="str">
            <v>AM033</v>
          </cell>
          <cell r="B19" t="str">
            <v>G-016</v>
          </cell>
        </row>
        <row r="20">
          <cell r="A20" t="str">
            <v>AM034</v>
          </cell>
          <cell r="B20" t="str">
            <v>G-017</v>
          </cell>
        </row>
        <row r="21">
          <cell r="A21" t="str">
            <v>AM035</v>
          </cell>
          <cell r="B21" t="str">
            <v>G-018</v>
          </cell>
        </row>
        <row r="22">
          <cell r="A22" t="str">
            <v>AM036</v>
          </cell>
          <cell r="B22" t="str">
            <v>G-019</v>
          </cell>
        </row>
        <row r="23">
          <cell r="A23" t="str">
            <v>AM037</v>
          </cell>
          <cell r="B23" t="str">
            <v>G-020</v>
          </cell>
        </row>
        <row r="24">
          <cell r="A24" t="str">
            <v>AM038</v>
          </cell>
          <cell r="B24" t="str">
            <v>G-021</v>
          </cell>
        </row>
        <row r="25">
          <cell r="A25" t="str">
            <v>AM039</v>
          </cell>
          <cell r="B25" t="str">
            <v>G-022</v>
          </cell>
        </row>
        <row r="26">
          <cell r="A26" t="str">
            <v>AM040</v>
          </cell>
          <cell r="B26" t="str">
            <v>G-023</v>
          </cell>
        </row>
        <row r="27">
          <cell r="A27" t="str">
            <v>AM042</v>
          </cell>
          <cell r="B27" t="str">
            <v>G-024</v>
          </cell>
        </row>
        <row r="28">
          <cell r="A28" t="str">
            <v>AM045</v>
          </cell>
          <cell r="B28" t="str">
            <v>G-025</v>
          </cell>
        </row>
        <row r="29">
          <cell r="A29" t="str">
            <v>AM046</v>
          </cell>
          <cell r="B29" t="str">
            <v>G-026</v>
          </cell>
        </row>
        <row r="30">
          <cell r="A30" t="str">
            <v>AM048</v>
          </cell>
          <cell r="B30" t="str">
            <v>G-027</v>
          </cell>
        </row>
        <row r="31">
          <cell r="A31" t="str">
            <v>AM049</v>
          </cell>
          <cell r="B31" t="str">
            <v>G-028</v>
          </cell>
        </row>
        <row r="32">
          <cell r="A32" t="str">
            <v>AM050</v>
          </cell>
          <cell r="B32" t="str">
            <v>G-029</v>
          </cell>
        </row>
        <row r="33">
          <cell r="A33" t="str">
            <v>AM052</v>
          </cell>
          <cell r="B33" t="str">
            <v>G-030</v>
          </cell>
        </row>
        <row r="34">
          <cell r="A34" t="str">
            <v>AM053</v>
          </cell>
          <cell r="B34" t="str">
            <v>G-031</v>
          </cell>
        </row>
        <row r="35">
          <cell r="A35" t="str">
            <v>AM055</v>
          </cell>
          <cell r="B35" t="str">
            <v>G-032</v>
          </cell>
        </row>
        <row r="36">
          <cell r="A36" t="str">
            <v>AM056</v>
          </cell>
          <cell r="B36" t="str">
            <v>G-033</v>
          </cell>
        </row>
        <row r="37">
          <cell r="A37" t="str">
            <v>AM057</v>
          </cell>
          <cell r="B37" t="str">
            <v>G-034</v>
          </cell>
        </row>
        <row r="38">
          <cell r="A38" t="str">
            <v>AM058</v>
          </cell>
          <cell r="B38" t="str">
            <v>G-035</v>
          </cell>
        </row>
        <row r="39">
          <cell r="A39" t="str">
            <v>AM059</v>
          </cell>
          <cell r="B39" t="str">
            <v>G-036</v>
          </cell>
        </row>
        <row r="40">
          <cell r="A40" t="str">
            <v>AM060</v>
          </cell>
          <cell r="B40" t="str">
            <v>G-037</v>
          </cell>
        </row>
        <row r="41">
          <cell r="A41" t="str">
            <v>AM061</v>
          </cell>
          <cell r="B41" t="str">
            <v>G-038</v>
          </cell>
        </row>
        <row r="42">
          <cell r="A42" t="str">
            <v>AM062</v>
          </cell>
          <cell r="B42" t="str">
            <v>G-039</v>
          </cell>
        </row>
        <row r="43">
          <cell r="A43" t="str">
            <v>AM063</v>
          </cell>
          <cell r="B43" t="str">
            <v>G-040</v>
          </cell>
        </row>
        <row r="44">
          <cell r="A44" t="str">
            <v>AM064</v>
          </cell>
          <cell r="B44" t="str">
            <v>G-041</v>
          </cell>
        </row>
        <row r="45">
          <cell r="A45" t="str">
            <v>AM066</v>
          </cell>
          <cell r="B45" t="str">
            <v>G-042</v>
          </cell>
        </row>
        <row r="46">
          <cell r="A46" t="str">
            <v>AM067</v>
          </cell>
          <cell r="B46" t="str">
            <v>G-043</v>
          </cell>
        </row>
        <row r="47">
          <cell r="A47" t="str">
            <v>AM068</v>
          </cell>
          <cell r="B47" t="str">
            <v>G-044</v>
          </cell>
        </row>
        <row r="48">
          <cell r="A48" t="str">
            <v>AM069</v>
          </cell>
          <cell r="B48" t="str">
            <v>G-045</v>
          </cell>
        </row>
        <row r="49">
          <cell r="A49" t="str">
            <v>AM070</v>
          </cell>
          <cell r="B49" t="str">
            <v>G-046</v>
          </cell>
        </row>
        <row r="50">
          <cell r="A50" t="str">
            <v>AM071</v>
          </cell>
          <cell r="B50" t="str">
            <v>G-047</v>
          </cell>
        </row>
        <row r="51">
          <cell r="A51" t="str">
            <v>AM073</v>
          </cell>
          <cell r="B51" t="str">
            <v>G-048</v>
          </cell>
        </row>
        <row r="52">
          <cell r="A52" t="str">
            <v>AM074</v>
          </cell>
          <cell r="B52" t="str">
            <v>G-049</v>
          </cell>
        </row>
        <row r="53">
          <cell r="A53" t="str">
            <v>AM076</v>
          </cell>
          <cell r="B53" t="str">
            <v>G-050</v>
          </cell>
        </row>
        <row r="54">
          <cell r="A54" t="str">
            <v>AM078</v>
          </cell>
          <cell r="B54" t="str">
            <v>G-051</v>
          </cell>
        </row>
        <row r="55">
          <cell r="A55" t="str">
            <v>AM080</v>
          </cell>
          <cell r="B55" t="str">
            <v>G-052</v>
          </cell>
        </row>
        <row r="56">
          <cell r="A56" t="str">
            <v>AM082</v>
          </cell>
          <cell r="B56" t="str">
            <v>G-053</v>
          </cell>
        </row>
        <row r="57">
          <cell r="A57" t="str">
            <v>AM083</v>
          </cell>
          <cell r="B57" t="str">
            <v>G-054</v>
          </cell>
        </row>
        <row r="58">
          <cell r="A58" t="str">
            <v>AM084</v>
          </cell>
          <cell r="B58" t="str">
            <v>G-055</v>
          </cell>
        </row>
        <row r="59">
          <cell r="A59" t="str">
            <v>AM085</v>
          </cell>
          <cell r="B59" t="str">
            <v>G-056</v>
          </cell>
        </row>
        <row r="60">
          <cell r="A60" t="str">
            <v>AM086</v>
          </cell>
          <cell r="B60" t="str">
            <v>G-057</v>
          </cell>
        </row>
        <row r="61">
          <cell r="A61" t="str">
            <v>AM087</v>
          </cell>
          <cell r="B61" t="str">
            <v>G-058</v>
          </cell>
        </row>
        <row r="62">
          <cell r="A62" t="str">
            <v>AM088</v>
          </cell>
          <cell r="B62" t="str">
            <v>G-059</v>
          </cell>
        </row>
        <row r="63">
          <cell r="A63" t="str">
            <v>AM089</v>
          </cell>
          <cell r="B63" t="str">
            <v>G-060</v>
          </cell>
        </row>
        <row r="64">
          <cell r="A64" t="str">
            <v>AM090</v>
          </cell>
          <cell r="B64" t="str">
            <v>G-061</v>
          </cell>
        </row>
        <row r="65">
          <cell r="A65" t="str">
            <v>AM091</v>
          </cell>
          <cell r="B65" t="str">
            <v>G-062</v>
          </cell>
        </row>
        <row r="66">
          <cell r="A66" t="str">
            <v>AM092</v>
          </cell>
          <cell r="B66" t="str">
            <v>G-063</v>
          </cell>
        </row>
        <row r="67">
          <cell r="A67" t="str">
            <v>AM093</v>
          </cell>
          <cell r="B67" t="str">
            <v>G-064</v>
          </cell>
        </row>
        <row r="68">
          <cell r="A68" t="str">
            <v>AM094</v>
          </cell>
          <cell r="B68" t="str">
            <v>G-065</v>
          </cell>
        </row>
        <row r="69">
          <cell r="A69" t="str">
            <v>AM096</v>
          </cell>
          <cell r="B69" t="str">
            <v>G-066</v>
          </cell>
        </row>
        <row r="70">
          <cell r="A70" t="str">
            <v>AM098</v>
          </cell>
          <cell r="B70" t="str">
            <v>G-067</v>
          </cell>
        </row>
        <row r="71">
          <cell r="A71" t="str">
            <v>AM100</v>
          </cell>
          <cell r="B71" t="str">
            <v>G-068</v>
          </cell>
        </row>
        <row r="72">
          <cell r="A72" t="str">
            <v>AM101</v>
          </cell>
          <cell r="B72" t="str">
            <v>G-069</v>
          </cell>
        </row>
        <row r="73">
          <cell r="A73" t="str">
            <v>AM106</v>
          </cell>
          <cell r="B73" t="str">
            <v>G-070</v>
          </cell>
        </row>
        <row r="74">
          <cell r="A74" t="str">
            <v>AM107</v>
          </cell>
          <cell r="B74" t="str">
            <v>G-071</v>
          </cell>
        </row>
        <row r="75">
          <cell r="A75" t="str">
            <v>AM109</v>
          </cell>
          <cell r="B75" t="str">
            <v>G-072</v>
          </cell>
        </row>
        <row r="76">
          <cell r="A76" t="str">
            <v>AM111</v>
          </cell>
          <cell r="B76" t="str">
            <v>G-073</v>
          </cell>
        </row>
        <row r="77">
          <cell r="A77" t="str">
            <v>AM120</v>
          </cell>
          <cell r="B77" t="str">
            <v>G-074</v>
          </cell>
        </row>
        <row r="78">
          <cell r="A78" t="str">
            <v>AM123</v>
          </cell>
          <cell r="B78" t="str">
            <v>G-075</v>
          </cell>
        </row>
        <row r="79">
          <cell r="A79" t="str">
            <v>AM124</v>
          </cell>
          <cell r="B79" t="str">
            <v>G-076</v>
          </cell>
        </row>
        <row r="80">
          <cell r="A80" t="str">
            <v>AM125</v>
          </cell>
          <cell r="B80" t="str">
            <v>G-077</v>
          </cell>
        </row>
        <row r="81">
          <cell r="A81" t="str">
            <v>AM127</v>
          </cell>
          <cell r="B81" t="str">
            <v>G-078</v>
          </cell>
        </row>
        <row r="82">
          <cell r="A82" t="str">
            <v>AM129</v>
          </cell>
          <cell r="B82" t="str">
            <v>G-079</v>
          </cell>
        </row>
        <row r="83">
          <cell r="A83" t="str">
            <v>AM130</v>
          </cell>
          <cell r="B83" t="str">
            <v>G-080</v>
          </cell>
        </row>
        <row r="84">
          <cell r="A84" t="str">
            <v>AM131</v>
          </cell>
          <cell r="B84" t="str">
            <v>G-081</v>
          </cell>
        </row>
        <row r="85">
          <cell r="A85" t="str">
            <v>AM133</v>
          </cell>
          <cell r="B85" t="str">
            <v>G-082</v>
          </cell>
        </row>
        <row r="86">
          <cell r="A86" t="str">
            <v>AM137</v>
          </cell>
          <cell r="B86" t="str">
            <v>G-083</v>
          </cell>
        </row>
        <row r="87">
          <cell r="A87" t="str">
            <v>AM138</v>
          </cell>
          <cell r="B87" t="str">
            <v>G-084</v>
          </cell>
        </row>
        <row r="88">
          <cell r="A88" t="str">
            <v>AM139</v>
          </cell>
          <cell r="B88" t="str">
            <v>G-085</v>
          </cell>
        </row>
        <row r="89">
          <cell r="A89" t="str">
            <v>AM140</v>
          </cell>
          <cell r="B89" t="str">
            <v>G-086</v>
          </cell>
        </row>
        <row r="90">
          <cell r="A90" t="str">
            <v>AM141</v>
          </cell>
          <cell r="B90" t="str">
            <v>G-087</v>
          </cell>
        </row>
        <row r="91">
          <cell r="A91" t="str">
            <v>AM143</v>
          </cell>
          <cell r="B91" t="str">
            <v>G-088</v>
          </cell>
        </row>
        <row r="92">
          <cell r="A92" t="str">
            <v>AM144</v>
          </cell>
          <cell r="B92" t="str">
            <v>G-089</v>
          </cell>
        </row>
        <row r="93">
          <cell r="A93" t="str">
            <v>AM145</v>
          </cell>
          <cell r="B93" t="str">
            <v>G-090</v>
          </cell>
        </row>
        <row r="94">
          <cell r="A94" t="str">
            <v>AM146</v>
          </cell>
          <cell r="B94" t="str">
            <v>G-091</v>
          </cell>
        </row>
        <row r="95">
          <cell r="A95" t="str">
            <v>AM147</v>
          </cell>
          <cell r="B95" t="str">
            <v>G-092</v>
          </cell>
        </row>
        <row r="96">
          <cell r="A96" t="str">
            <v>AM148</v>
          </cell>
          <cell r="B96" t="str">
            <v>G-093</v>
          </cell>
        </row>
        <row r="97">
          <cell r="A97" t="str">
            <v>AM149</v>
          </cell>
          <cell r="B97" t="str">
            <v>G-094</v>
          </cell>
        </row>
        <row r="98">
          <cell r="A98" t="str">
            <v>AM156</v>
          </cell>
          <cell r="B98" t="str">
            <v>G-095</v>
          </cell>
        </row>
        <row r="99">
          <cell r="A99" t="str">
            <v>AM158</v>
          </cell>
          <cell r="B99" t="str">
            <v>G-096</v>
          </cell>
        </row>
        <row r="100">
          <cell r="A100" t="str">
            <v>AM161</v>
          </cell>
          <cell r="B100" t="str">
            <v>G-097</v>
          </cell>
        </row>
        <row r="101">
          <cell r="A101" t="str">
            <v>AM164</v>
          </cell>
          <cell r="B101" t="str">
            <v>G-098</v>
          </cell>
        </row>
        <row r="102">
          <cell r="A102" t="str">
            <v>AM165</v>
          </cell>
          <cell r="B102" t="str">
            <v>G-099</v>
          </cell>
        </row>
        <row r="103">
          <cell r="A103" t="str">
            <v>AM166</v>
          </cell>
          <cell r="B103" t="str">
            <v>G-100</v>
          </cell>
        </row>
        <row r="104">
          <cell r="A104" t="str">
            <v>AM167</v>
          </cell>
          <cell r="B104" t="str">
            <v>G-101</v>
          </cell>
        </row>
        <row r="105">
          <cell r="A105" t="str">
            <v>AM168</v>
          </cell>
          <cell r="B105" t="str">
            <v>G-102</v>
          </cell>
        </row>
        <row r="106">
          <cell r="A106" t="str">
            <v>AM169</v>
          </cell>
          <cell r="B106" t="str">
            <v>G-103</v>
          </cell>
        </row>
        <row r="107">
          <cell r="A107" t="str">
            <v>AM170</v>
          </cell>
          <cell r="B107" t="str">
            <v>G-104</v>
          </cell>
        </row>
        <row r="108">
          <cell r="A108" t="str">
            <v>AM171</v>
          </cell>
          <cell r="B108" t="str">
            <v>G-105</v>
          </cell>
        </row>
        <row r="109">
          <cell r="A109" t="str">
            <v>AM172</v>
          </cell>
          <cell r="B109" t="str">
            <v>G-106</v>
          </cell>
        </row>
        <row r="110">
          <cell r="A110" t="str">
            <v>AM173</v>
          </cell>
          <cell r="B110" t="str">
            <v>G-107</v>
          </cell>
        </row>
        <row r="111">
          <cell r="A111" t="str">
            <v>AM174</v>
          </cell>
          <cell r="B111" t="str">
            <v>G-108</v>
          </cell>
        </row>
        <row r="112">
          <cell r="A112" t="str">
            <v>AM183</v>
          </cell>
          <cell r="B112" t="str">
            <v>G-109</v>
          </cell>
        </row>
        <row r="113">
          <cell r="A113" t="str">
            <v>AM185</v>
          </cell>
          <cell r="B113" t="str">
            <v>G-110</v>
          </cell>
        </row>
        <row r="114">
          <cell r="A114" t="str">
            <v>AM186</v>
          </cell>
          <cell r="B114" t="str">
            <v>G-111</v>
          </cell>
        </row>
        <row r="115">
          <cell r="A115" t="str">
            <v>AM188</v>
          </cell>
          <cell r="B115" t="str">
            <v>G-112</v>
          </cell>
        </row>
        <row r="116">
          <cell r="A116" t="str">
            <v>AM189</v>
          </cell>
          <cell r="B116" t="str">
            <v>G-113</v>
          </cell>
        </row>
        <row r="117">
          <cell r="A117" t="str">
            <v>AM193</v>
          </cell>
          <cell r="B117" t="str">
            <v>G-114</v>
          </cell>
        </row>
        <row r="118">
          <cell r="A118" t="str">
            <v>AM195</v>
          </cell>
          <cell r="B118" t="str">
            <v>G-115</v>
          </cell>
        </row>
        <row r="119">
          <cell r="A119" t="str">
            <v>AM197</v>
          </cell>
          <cell r="B119" t="str">
            <v>G-116</v>
          </cell>
        </row>
        <row r="120">
          <cell r="A120" t="str">
            <v>AM198</v>
          </cell>
          <cell r="B120" t="str">
            <v>G-117</v>
          </cell>
        </row>
        <row r="121">
          <cell r="A121" t="str">
            <v>Colvert</v>
          </cell>
          <cell r="B121" t="str">
            <v>G-118</v>
          </cell>
        </row>
        <row r="122">
          <cell r="A122" t="str">
            <v>Kurander</v>
          </cell>
          <cell r="B122" t="str">
            <v>G-119</v>
          </cell>
        </row>
        <row r="123">
          <cell r="A123" t="str">
            <v>Twister</v>
          </cell>
          <cell r="B123" t="str">
            <v>G-120</v>
          </cell>
        </row>
        <row r="124">
          <cell r="A124" t="str">
            <v>Darmor</v>
          </cell>
          <cell r="B124" t="str">
            <v>G-121</v>
          </cell>
        </row>
        <row r="125">
          <cell r="A125" t="str">
            <v>L-Liones</v>
          </cell>
          <cell r="B125" t="str">
            <v>G-122</v>
          </cell>
        </row>
        <row r="126">
          <cell r="A126" t="str">
            <v>C-California</v>
          </cell>
          <cell r="B126" t="str">
            <v>G-123</v>
          </cell>
        </row>
        <row r="127">
          <cell r="A127" t="str">
            <v>S-Oase</v>
          </cell>
          <cell r="B127" t="str">
            <v>G-124</v>
          </cell>
        </row>
        <row r="128">
          <cell r="A128" t="str">
            <v>Tenor</v>
          </cell>
          <cell r="B128" t="str">
            <v>G-125</v>
          </cell>
        </row>
        <row r="129">
          <cell r="A129" t="str">
            <v>Express</v>
          </cell>
          <cell r="B129" t="str">
            <v>G-126</v>
          </cell>
        </row>
        <row r="130">
          <cell r="A130" t="str">
            <v>DK001</v>
          </cell>
          <cell r="B130" t="str">
            <v>G-127</v>
          </cell>
        </row>
        <row r="131">
          <cell r="A131" t="str">
            <v>DK007</v>
          </cell>
          <cell r="B131" t="str">
            <v>G-128</v>
          </cell>
        </row>
        <row r="132">
          <cell r="A132" t="str">
            <v>DK008</v>
          </cell>
          <cell r="B132" t="str">
            <v>G-129</v>
          </cell>
        </row>
        <row r="133">
          <cell r="A133" t="str">
            <v>DK011</v>
          </cell>
          <cell r="B133" t="str">
            <v>G-130</v>
          </cell>
        </row>
        <row r="134">
          <cell r="A134" t="str">
            <v>DK012</v>
          </cell>
          <cell r="B134" t="str">
            <v>G-131</v>
          </cell>
        </row>
        <row r="135">
          <cell r="A135" t="str">
            <v>DK013</v>
          </cell>
          <cell r="B135" t="str">
            <v>G-132</v>
          </cell>
        </row>
        <row r="136">
          <cell r="A136" t="str">
            <v>DK016</v>
          </cell>
          <cell r="B136" t="str">
            <v>G-133</v>
          </cell>
        </row>
        <row r="137">
          <cell r="A137" t="str">
            <v>DK017</v>
          </cell>
          <cell r="B137" t="str">
            <v>G-134</v>
          </cell>
        </row>
        <row r="138">
          <cell r="A138" t="str">
            <v>DK018</v>
          </cell>
          <cell r="B138" t="str">
            <v>G-135</v>
          </cell>
        </row>
        <row r="139">
          <cell r="A139" t="str">
            <v>DK020</v>
          </cell>
          <cell r="B139" t="str">
            <v>G-136</v>
          </cell>
        </row>
        <row r="140">
          <cell r="A140" t="str">
            <v>DK021</v>
          </cell>
          <cell r="B140" t="str">
            <v>G-137</v>
          </cell>
        </row>
        <row r="141">
          <cell r="A141" t="str">
            <v>DK023</v>
          </cell>
          <cell r="B141" t="str">
            <v>G-138</v>
          </cell>
        </row>
        <row r="142">
          <cell r="A142" t="str">
            <v>DK024</v>
          </cell>
          <cell r="B142" t="str">
            <v>G-139</v>
          </cell>
        </row>
        <row r="143">
          <cell r="A143" t="str">
            <v>DK029</v>
          </cell>
          <cell r="B143" t="str">
            <v>G-140</v>
          </cell>
        </row>
        <row r="144">
          <cell r="A144" t="str">
            <v>DK030</v>
          </cell>
          <cell r="B144" t="str">
            <v>G-141</v>
          </cell>
        </row>
        <row r="145">
          <cell r="A145" t="str">
            <v>DK031</v>
          </cell>
          <cell r="B145" t="str">
            <v>G-142</v>
          </cell>
        </row>
        <row r="146">
          <cell r="A146" t="str">
            <v>DK035</v>
          </cell>
          <cell r="B146" t="str">
            <v>G-143</v>
          </cell>
        </row>
        <row r="147">
          <cell r="A147" t="str">
            <v>DK036</v>
          </cell>
          <cell r="B147" t="str">
            <v>G-144</v>
          </cell>
        </row>
        <row r="148">
          <cell r="A148" t="str">
            <v>DK037</v>
          </cell>
          <cell r="B148" t="str">
            <v>G-145</v>
          </cell>
        </row>
        <row r="149">
          <cell r="A149" t="str">
            <v>DK038</v>
          </cell>
          <cell r="B149" t="str">
            <v>G-146</v>
          </cell>
        </row>
        <row r="150">
          <cell r="A150" t="str">
            <v>DK039</v>
          </cell>
          <cell r="B150" t="str">
            <v>G-147</v>
          </cell>
        </row>
        <row r="151">
          <cell r="A151" t="str">
            <v>DK041</v>
          </cell>
          <cell r="B151" t="str">
            <v>G-148</v>
          </cell>
        </row>
        <row r="152">
          <cell r="A152" t="str">
            <v>DK042</v>
          </cell>
          <cell r="B152" t="str">
            <v>G-149</v>
          </cell>
        </row>
        <row r="153">
          <cell r="A153" t="str">
            <v>DK044</v>
          </cell>
          <cell r="B153" t="str">
            <v>G-150</v>
          </cell>
        </row>
        <row r="154">
          <cell r="A154" t="str">
            <v>DK045</v>
          </cell>
          <cell r="B154" t="str">
            <v>G-151</v>
          </cell>
        </row>
        <row r="155">
          <cell r="A155" t="str">
            <v>DK046</v>
          </cell>
          <cell r="B155" t="str">
            <v>G-152</v>
          </cell>
        </row>
        <row r="156">
          <cell r="A156" t="str">
            <v>DK049</v>
          </cell>
          <cell r="B156" t="str">
            <v>G-153</v>
          </cell>
        </row>
        <row r="157">
          <cell r="A157" t="str">
            <v>DK052</v>
          </cell>
          <cell r="B157" t="str">
            <v>G-154</v>
          </cell>
        </row>
        <row r="158">
          <cell r="A158" t="str">
            <v>DK053</v>
          </cell>
          <cell r="B158" t="str">
            <v>G-155</v>
          </cell>
        </row>
        <row r="159">
          <cell r="A159" t="str">
            <v>DK055</v>
          </cell>
          <cell r="B159" t="str">
            <v>G-156</v>
          </cell>
        </row>
        <row r="160">
          <cell r="A160" t="str">
            <v>DK057</v>
          </cell>
          <cell r="B160" t="str">
            <v>G-157</v>
          </cell>
        </row>
        <row r="161">
          <cell r="A161" t="str">
            <v>DK058</v>
          </cell>
          <cell r="B161" t="str">
            <v>G-158</v>
          </cell>
        </row>
        <row r="162">
          <cell r="A162" t="str">
            <v>DK061</v>
          </cell>
          <cell r="B162" t="str">
            <v>G-159</v>
          </cell>
        </row>
        <row r="163">
          <cell r="A163" t="str">
            <v>DK063</v>
          </cell>
          <cell r="B163" t="str">
            <v>G-160</v>
          </cell>
        </row>
        <row r="164">
          <cell r="A164" t="str">
            <v>DK064</v>
          </cell>
          <cell r="B164" t="str">
            <v>G-161</v>
          </cell>
        </row>
        <row r="165">
          <cell r="A165" t="str">
            <v>DK066</v>
          </cell>
          <cell r="B165" t="str">
            <v>G-162</v>
          </cell>
        </row>
        <row r="166">
          <cell r="A166" t="str">
            <v>DK068</v>
          </cell>
          <cell r="B166" t="str">
            <v>G-163</v>
          </cell>
        </row>
        <row r="167">
          <cell r="A167" t="str">
            <v>DK069</v>
          </cell>
          <cell r="B167" t="str">
            <v>G-164</v>
          </cell>
        </row>
        <row r="168">
          <cell r="A168" t="str">
            <v>DK071</v>
          </cell>
          <cell r="B168" t="str">
            <v>G-165</v>
          </cell>
        </row>
        <row r="169">
          <cell r="A169" t="str">
            <v>DK074</v>
          </cell>
          <cell r="B169" t="str">
            <v>G-166</v>
          </cell>
        </row>
        <row r="170">
          <cell r="A170" t="str">
            <v>DK075</v>
          </cell>
          <cell r="B170" t="str">
            <v>G-167</v>
          </cell>
        </row>
        <row r="171">
          <cell r="A171" t="str">
            <v>DK079</v>
          </cell>
          <cell r="B171" t="str">
            <v>G-168</v>
          </cell>
        </row>
        <row r="172">
          <cell r="A172" t="str">
            <v>DK080</v>
          </cell>
          <cell r="B172" t="str">
            <v>G-169</v>
          </cell>
        </row>
        <row r="173">
          <cell r="A173" t="str">
            <v>DK081</v>
          </cell>
          <cell r="B173" t="str">
            <v>G-170</v>
          </cell>
        </row>
        <row r="174">
          <cell r="A174" t="str">
            <v>DK082</v>
          </cell>
          <cell r="B174" t="str">
            <v>G-171</v>
          </cell>
        </row>
        <row r="175">
          <cell r="A175" t="str">
            <v>DK084</v>
          </cell>
          <cell r="B175" t="str">
            <v>G-172</v>
          </cell>
        </row>
        <row r="176">
          <cell r="A176" t="str">
            <v>DK085</v>
          </cell>
          <cell r="B176" t="str">
            <v>G-173</v>
          </cell>
        </row>
        <row r="177">
          <cell r="A177" t="str">
            <v>DK086</v>
          </cell>
          <cell r="B177" t="str">
            <v>G-174</v>
          </cell>
        </row>
        <row r="178">
          <cell r="A178" t="str">
            <v>DK091</v>
          </cell>
          <cell r="B178" t="str">
            <v>G-175</v>
          </cell>
        </row>
        <row r="179">
          <cell r="A179" t="str">
            <v>DK093</v>
          </cell>
          <cell r="B179" t="str">
            <v>G-176</v>
          </cell>
        </row>
        <row r="180">
          <cell r="A180" t="str">
            <v>DK094</v>
          </cell>
          <cell r="B180" t="str">
            <v>G-177</v>
          </cell>
        </row>
        <row r="181">
          <cell r="A181" t="str">
            <v>DK095</v>
          </cell>
          <cell r="B181" t="str">
            <v>G-178</v>
          </cell>
        </row>
        <row r="182">
          <cell r="A182" t="str">
            <v>DK096</v>
          </cell>
          <cell r="B182" t="str">
            <v>G-179</v>
          </cell>
        </row>
        <row r="183">
          <cell r="A183" t="str">
            <v>DK098</v>
          </cell>
          <cell r="B183" t="str">
            <v>G-180</v>
          </cell>
        </row>
        <row r="184">
          <cell r="A184" t="str">
            <v>DK101</v>
          </cell>
          <cell r="B184" t="str">
            <v>G-181</v>
          </cell>
        </row>
        <row r="185">
          <cell r="A185" t="str">
            <v>DK103</v>
          </cell>
          <cell r="B185" t="str">
            <v>G-182</v>
          </cell>
        </row>
        <row r="186">
          <cell r="A186" t="str">
            <v>DK107</v>
          </cell>
          <cell r="B186" t="str">
            <v>G-183</v>
          </cell>
        </row>
        <row r="187">
          <cell r="A187" t="str">
            <v>DK108</v>
          </cell>
          <cell r="B187" t="str">
            <v>G-184</v>
          </cell>
        </row>
        <row r="188">
          <cell r="A188" t="str">
            <v>DK109</v>
          </cell>
          <cell r="B188" t="str">
            <v>G-185</v>
          </cell>
        </row>
        <row r="189">
          <cell r="A189" t="str">
            <v>DK110</v>
          </cell>
          <cell r="B189" t="str">
            <v>G-186</v>
          </cell>
        </row>
        <row r="190">
          <cell r="A190" t="str">
            <v>DK112</v>
          </cell>
          <cell r="B190" t="str">
            <v>G-187</v>
          </cell>
        </row>
        <row r="191">
          <cell r="A191" t="str">
            <v>DK113</v>
          </cell>
          <cell r="B191" t="str">
            <v>G-188</v>
          </cell>
        </row>
        <row r="192">
          <cell r="A192" t="str">
            <v>DK116</v>
          </cell>
          <cell r="B192" t="str">
            <v>G-189</v>
          </cell>
        </row>
        <row r="193">
          <cell r="A193" t="str">
            <v>DK117</v>
          </cell>
          <cell r="B193" t="str">
            <v>G-190</v>
          </cell>
        </row>
        <row r="194">
          <cell r="A194" t="str">
            <v>DK119</v>
          </cell>
          <cell r="B194" t="str">
            <v>G-191</v>
          </cell>
        </row>
        <row r="195">
          <cell r="A195" t="str">
            <v>DK121</v>
          </cell>
          <cell r="B195" t="str">
            <v>G-192</v>
          </cell>
        </row>
        <row r="196">
          <cell r="A196" t="str">
            <v>DK124</v>
          </cell>
          <cell r="B196" t="str">
            <v>G-193</v>
          </cell>
        </row>
        <row r="197">
          <cell r="A197" t="str">
            <v>DK128</v>
          </cell>
          <cell r="B197" t="str">
            <v>G-194</v>
          </cell>
        </row>
        <row r="198">
          <cell r="A198" t="str">
            <v>DK133</v>
          </cell>
          <cell r="B198" t="str">
            <v>G-195</v>
          </cell>
        </row>
        <row r="199">
          <cell r="A199" t="str">
            <v>DK135</v>
          </cell>
          <cell r="B199" t="str">
            <v>G-196</v>
          </cell>
        </row>
        <row r="200">
          <cell r="A200" t="str">
            <v>DK137</v>
          </cell>
          <cell r="B200" t="str">
            <v>G-197</v>
          </cell>
        </row>
        <row r="201">
          <cell r="A201" t="str">
            <v>DK138</v>
          </cell>
          <cell r="B201" t="str">
            <v>G-198</v>
          </cell>
        </row>
        <row r="202">
          <cell r="A202" t="str">
            <v>DK140</v>
          </cell>
          <cell r="B202" t="str">
            <v>G-199</v>
          </cell>
        </row>
        <row r="203">
          <cell r="A203" t="str">
            <v>DK142</v>
          </cell>
          <cell r="B203" t="str">
            <v>G-200</v>
          </cell>
        </row>
        <row r="204">
          <cell r="A204" t="str">
            <v>DK143</v>
          </cell>
          <cell r="B204" t="str">
            <v>G-201</v>
          </cell>
        </row>
        <row r="205">
          <cell r="A205" t="str">
            <v>DK144</v>
          </cell>
          <cell r="B205" t="str">
            <v>G-202</v>
          </cell>
        </row>
        <row r="206">
          <cell r="A206" t="str">
            <v>DK145</v>
          </cell>
          <cell r="B206" t="str">
            <v>G-203</v>
          </cell>
        </row>
        <row r="207">
          <cell r="A207" t="str">
            <v>DK146</v>
          </cell>
          <cell r="B207" t="str">
            <v>G-204</v>
          </cell>
        </row>
        <row r="208">
          <cell r="A208" t="str">
            <v>DK147</v>
          </cell>
          <cell r="B208" t="str">
            <v>G-205</v>
          </cell>
        </row>
        <row r="209">
          <cell r="A209" t="str">
            <v>DK148</v>
          </cell>
          <cell r="B209" t="str">
            <v>G-206</v>
          </cell>
        </row>
        <row r="210">
          <cell r="A210" t="str">
            <v>DK149</v>
          </cell>
          <cell r="B210" t="str">
            <v>G-207</v>
          </cell>
        </row>
        <row r="211">
          <cell r="A211" t="str">
            <v>DK152</v>
          </cell>
          <cell r="B211" t="str">
            <v>G-208</v>
          </cell>
        </row>
        <row r="212">
          <cell r="A212" t="str">
            <v>DK153</v>
          </cell>
          <cell r="B212" t="str">
            <v>G-209</v>
          </cell>
        </row>
        <row r="213">
          <cell r="A213" t="str">
            <v>DK154</v>
          </cell>
          <cell r="B213" t="str">
            <v>G-210</v>
          </cell>
        </row>
        <row r="214">
          <cell r="A214" t="str">
            <v>Colvert2</v>
          </cell>
          <cell r="B214" t="str">
            <v>G-211</v>
          </cell>
        </row>
        <row r="215">
          <cell r="A215" t="str">
            <v>Kurander2</v>
          </cell>
          <cell r="B215" t="str">
            <v>G-212</v>
          </cell>
        </row>
        <row r="216">
          <cell r="A216" t="str">
            <v>Twister2</v>
          </cell>
          <cell r="B216" t="str">
            <v>G-213</v>
          </cell>
        </row>
        <row r="217">
          <cell r="A217" t="str">
            <v>Darmor2</v>
          </cell>
          <cell r="B217" t="str">
            <v>G-214</v>
          </cell>
        </row>
        <row r="218">
          <cell r="A218" t="str">
            <v>L-Liones2</v>
          </cell>
          <cell r="B218" t="str">
            <v>G-215</v>
          </cell>
        </row>
        <row r="219">
          <cell r="A219" t="str">
            <v>C-California2</v>
          </cell>
          <cell r="B219" t="str">
            <v>G-216</v>
          </cell>
        </row>
        <row r="220">
          <cell r="A220" t="str">
            <v>S-Oase2</v>
          </cell>
          <cell r="B220" t="str">
            <v>G-217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scénarios"/>
      <sheetName val="sachets graines"/>
      <sheetName val="liste-dispositif  "/>
      <sheetName val="plan expe"/>
      <sheetName val="plan detail"/>
      <sheetName val="plan tensio"/>
      <sheetName val="liste complet essai"/>
      <sheetName val="LISTING N0"/>
      <sheetName val="Correspondance Geno"/>
      <sheetName val="Envoi Toulouse"/>
    </sheetNames>
    <sheetDataSet>
      <sheetData sheetId="0"/>
      <sheetData sheetId="1"/>
      <sheetData sheetId="2"/>
      <sheetData sheetId="3"/>
      <sheetData sheetId="4"/>
      <sheetData sheetId="5"/>
      <sheetData sheetId="6">
        <row r="4">
          <cell r="A4" t="str">
            <v>01-01</v>
          </cell>
          <cell r="B4">
            <v>1</v>
          </cell>
          <cell r="C4" t="str">
            <v>C1.AM.01.01</v>
          </cell>
          <cell r="D4" t="str">
            <v>AM</v>
          </cell>
          <cell r="E4" t="str">
            <v>G-102</v>
          </cell>
          <cell r="F4" t="str">
            <v>AM168</v>
          </cell>
          <cell r="G4" t="str">
            <v>N1</v>
          </cell>
          <cell r="H4" t="str">
            <v>b1</v>
          </cell>
          <cell r="I4" t="str">
            <v>N1-b1</v>
          </cell>
          <cell r="J4" t="str">
            <v>01</v>
          </cell>
          <cell r="K4" t="str">
            <v>01</v>
          </cell>
        </row>
        <row r="5">
          <cell r="A5" t="str">
            <v>01-02</v>
          </cell>
          <cell r="B5">
            <v>2</v>
          </cell>
          <cell r="C5" t="str">
            <v>C1.AM.01.02</v>
          </cell>
          <cell r="D5" t="str">
            <v>AM</v>
          </cell>
          <cell r="E5" t="str">
            <v>G-122</v>
          </cell>
          <cell r="F5" t="str">
            <v>L-Liones</v>
          </cell>
          <cell r="G5" t="str">
            <v>N1</v>
          </cell>
          <cell r="H5" t="str">
            <v>b1</v>
          </cell>
          <cell r="I5" t="str">
            <v>N1-b1</v>
          </cell>
          <cell r="J5" t="str">
            <v>01</v>
          </cell>
          <cell r="K5" t="str">
            <v>02</v>
          </cell>
        </row>
        <row r="6">
          <cell r="A6" t="str">
            <v>01-03</v>
          </cell>
          <cell r="B6">
            <v>3</v>
          </cell>
          <cell r="C6" t="str">
            <v>C1.AM.01.03</v>
          </cell>
          <cell r="D6" t="str">
            <v>AM</v>
          </cell>
          <cell r="E6" t="str">
            <v>G-034</v>
          </cell>
          <cell r="F6" t="str">
            <v>AM057</v>
          </cell>
          <cell r="G6" t="str">
            <v>N1</v>
          </cell>
          <cell r="H6" t="str">
            <v>b1</v>
          </cell>
          <cell r="I6" t="str">
            <v>N1-b1</v>
          </cell>
          <cell r="J6" t="str">
            <v>01</v>
          </cell>
          <cell r="K6" t="str">
            <v>03</v>
          </cell>
        </row>
        <row r="7">
          <cell r="A7" t="str">
            <v>01-04</v>
          </cell>
          <cell r="B7">
            <v>4</v>
          </cell>
          <cell r="C7" t="str">
            <v>C1.AM.01.04</v>
          </cell>
          <cell r="D7" t="str">
            <v>AM</v>
          </cell>
          <cell r="E7" t="str">
            <v>G-089</v>
          </cell>
          <cell r="F7" t="str">
            <v>AM144</v>
          </cell>
          <cell r="G7" t="str">
            <v>N1</v>
          </cell>
          <cell r="H7" t="str">
            <v>b1</v>
          </cell>
          <cell r="I7" t="str">
            <v>N1-b1</v>
          </cell>
          <cell r="J7" t="str">
            <v>01</v>
          </cell>
          <cell r="K7" t="str">
            <v>04</v>
          </cell>
        </row>
        <row r="8">
          <cell r="A8" t="str">
            <v>01-05</v>
          </cell>
          <cell r="B8">
            <v>5</v>
          </cell>
          <cell r="C8" t="str">
            <v>C1.AM.01.05</v>
          </cell>
          <cell r="D8" t="str">
            <v>AM</v>
          </cell>
          <cell r="E8" t="str">
            <v>G-037</v>
          </cell>
          <cell r="F8" t="str">
            <v>AM060</v>
          </cell>
          <cell r="G8" t="str">
            <v>N1</v>
          </cell>
          <cell r="H8" t="str">
            <v>b1</v>
          </cell>
          <cell r="I8" t="str">
            <v>N1-b1</v>
          </cell>
          <cell r="J8" t="str">
            <v>01</v>
          </cell>
          <cell r="K8" t="str">
            <v>05</v>
          </cell>
        </row>
        <row r="9">
          <cell r="A9" t="str">
            <v>01-06</v>
          </cell>
          <cell r="B9">
            <v>6</v>
          </cell>
          <cell r="C9" t="str">
            <v>C1.AM.01.06</v>
          </cell>
          <cell r="D9" t="str">
            <v>AM</v>
          </cell>
          <cell r="E9" t="str">
            <v>G-123</v>
          </cell>
          <cell r="F9" t="str">
            <v>C-California</v>
          </cell>
          <cell r="G9" t="str">
            <v>N1</v>
          </cell>
          <cell r="H9" t="str">
            <v>b1</v>
          </cell>
          <cell r="I9" t="str">
            <v>N1-b1</v>
          </cell>
          <cell r="J9" t="str">
            <v>01</v>
          </cell>
          <cell r="K9" t="str">
            <v>06</v>
          </cell>
        </row>
        <row r="10">
          <cell r="A10" t="str">
            <v>01-07</v>
          </cell>
          <cell r="B10">
            <v>7</v>
          </cell>
          <cell r="C10" t="str">
            <v>C1.AM.01.07</v>
          </cell>
          <cell r="D10" t="str">
            <v>AM</v>
          </cell>
          <cell r="E10" t="str">
            <v>G-046</v>
          </cell>
          <cell r="F10" t="str">
            <v>AM070</v>
          </cell>
          <cell r="G10" t="str">
            <v>N1</v>
          </cell>
          <cell r="H10" t="str">
            <v>b1</v>
          </cell>
          <cell r="I10" t="str">
            <v>N1-b1</v>
          </cell>
          <cell r="J10" t="str">
            <v>01</v>
          </cell>
          <cell r="K10" t="str">
            <v>07</v>
          </cell>
        </row>
        <row r="11">
          <cell r="A11" t="str">
            <v>01-08</v>
          </cell>
          <cell r="B11">
            <v>8</v>
          </cell>
          <cell r="C11" t="str">
            <v>C1.AM.01.08</v>
          </cell>
          <cell r="D11" t="str">
            <v>AM</v>
          </cell>
          <cell r="E11" t="str">
            <v>G-023</v>
          </cell>
          <cell r="F11" t="str">
            <v>AM040</v>
          </cell>
          <cell r="G11" t="str">
            <v>N1</v>
          </cell>
          <cell r="H11" t="str">
            <v>b1</v>
          </cell>
          <cell r="I11" t="str">
            <v>N1-b1</v>
          </cell>
          <cell r="J11" t="str">
            <v>01</v>
          </cell>
          <cell r="K11" t="str">
            <v>08</v>
          </cell>
        </row>
        <row r="12">
          <cell r="A12" t="str">
            <v>01-09</v>
          </cell>
          <cell r="B12">
            <v>9</v>
          </cell>
          <cell r="C12" t="str">
            <v>C1.AM.01.09</v>
          </cell>
          <cell r="D12" t="str">
            <v>AM</v>
          </cell>
          <cell r="E12" t="str">
            <v>G-110</v>
          </cell>
          <cell r="F12" t="str">
            <v>AM185</v>
          </cell>
          <cell r="G12" t="str">
            <v>N1</v>
          </cell>
          <cell r="H12" t="str">
            <v>b1</v>
          </cell>
          <cell r="I12" t="str">
            <v>N1-b1</v>
          </cell>
          <cell r="J12" t="str">
            <v>01</v>
          </cell>
          <cell r="K12" t="str">
            <v>09</v>
          </cell>
        </row>
        <row r="13">
          <cell r="A13" t="str">
            <v>01-10</v>
          </cell>
          <cell r="B13">
            <v>10</v>
          </cell>
          <cell r="C13" t="str">
            <v>C1.AM.01.10</v>
          </cell>
          <cell r="D13" t="str">
            <v>AM</v>
          </cell>
          <cell r="E13" t="str">
            <v>G-042</v>
          </cell>
          <cell r="F13" t="str">
            <v>AM066</v>
          </cell>
          <cell r="G13" t="str">
            <v>N1</v>
          </cell>
          <cell r="H13" t="str">
            <v>b1</v>
          </cell>
          <cell r="I13" t="str">
            <v>N1-b1</v>
          </cell>
          <cell r="J13" t="str">
            <v>01</v>
          </cell>
          <cell r="K13" t="str">
            <v>10</v>
          </cell>
        </row>
        <row r="14">
          <cell r="A14" t="str">
            <v>01-11</v>
          </cell>
          <cell r="B14">
            <v>11</v>
          </cell>
          <cell r="C14" t="str">
            <v>C1.AM.01.11</v>
          </cell>
          <cell r="D14" t="str">
            <v>AM</v>
          </cell>
          <cell r="E14" t="str">
            <v>G-088</v>
          </cell>
          <cell r="F14" t="str">
            <v>AM143</v>
          </cell>
          <cell r="G14" t="str">
            <v>N1</v>
          </cell>
          <cell r="H14" t="str">
            <v>b1</v>
          </cell>
          <cell r="I14" t="str">
            <v>N1-b1</v>
          </cell>
          <cell r="J14" t="str">
            <v>01</v>
          </cell>
          <cell r="K14" t="str">
            <v>11</v>
          </cell>
        </row>
        <row r="15">
          <cell r="A15" t="str">
            <v>01-12</v>
          </cell>
          <cell r="B15">
            <v>12</v>
          </cell>
          <cell r="C15" t="str">
            <v>C1.AM.01.12</v>
          </cell>
          <cell r="D15" t="str">
            <v>AM</v>
          </cell>
          <cell r="E15" t="str">
            <v>G-053</v>
          </cell>
          <cell r="F15" t="str">
            <v>AM082</v>
          </cell>
          <cell r="G15" t="str">
            <v>N1</v>
          </cell>
          <cell r="H15" t="str">
            <v>b1</v>
          </cell>
          <cell r="I15" t="str">
            <v>N1-b1</v>
          </cell>
          <cell r="J15" t="str">
            <v>01</v>
          </cell>
          <cell r="K15" t="str">
            <v>12</v>
          </cell>
        </row>
        <row r="16">
          <cell r="A16" t="str">
            <v>01-13</v>
          </cell>
          <cell r="B16">
            <v>13</v>
          </cell>
          <cell r="C16" t="str">
            <v>C1.AM.01.13</v>
          </cell>
          <cell r="D16" t="str">
            <v>AM</v>
          </cell>
          <cell r="E16" t="str">
            <v>G-072</v>
          </cell>
          <cell r="F16" t="str">
            <v>AM109</v>
          </cell>
          <cell r="G16" t="str">
            <v>N1</v>
          </cell>
          <cell r="H16" t="str">
            <v>b1</v>
          </cell>
          <cell r="I16" t="str">
            <v>N1-b1</v>
          </cell>
          <cell r="J16" t="str">
            <v>01</v>
          </cell>
          <cell r="K16" t="str">
            <v>13</v>
          </cell>
        </row>
        <row r="17">
          <cell r="A17" t="str">
            <v>01-14</v>
          </cell>
          <cell r="B17">
            <v>14</v>
          </cell>
          <cell r="C17" t="str">
            <v>C1.AM.01.14</v>
          </cell>
          <cell r="D17" t="str">
            <v>AM</v>
          </cell>
          <cell r="E17" t="str">
            <v>G-075</v>
          </cell>
          <cell r="F17" t="str">
            <v>AM123</v>
          </cell>
          <cell r="G17" t="str">
            <v>N1</v>
          </cell>
          <cell r="H17" t="str">
            <v>b1</v>
          </cell>
          <cell r="I17" t="str">
            <v>N1-b1</v>
          </cell>
          <cell r="J17" t="str">
            <v>01</v>
          </cell>
          <cell r="K17" t="str">
            <v>14</v>
          </cell>
        </row>
        <row r="18">
          <cell r="A18" t="str">
            <v>01-15</v>
          </cell>
          <cell r="B18">
            <v>15</v>
          </cell>
          <cell r="C18" t="str">
            <v>C1.AM.01.15</v>
          </cell>
          <cell r="D18" t="str">
            <v>AM</v>
          </cell>
          <cell r="E18" t="str">
            <v>G-009</v>
          </cell>
          <cell r="F18" t="str">
            <v>AM020</v>
          </cell>
          <cell r="G18" t="str">
            <v>N1</v>
          </cell>
          <cell r="H18" t="str">
            <v>b1</v>
          </cell>
          <cell r="I18" t="str">
            <v>N1-b1</v>
          </cell>
          <cell r="J18" t="str">
            <v>01</v>
          </cell>
          <cell r="K18" t="str">
            <v>15</v>
          </cell>
        </row>
        <row r="19">
          <cell r="A19" t="str">
            <v>01-16</v>
          </cell>
          <cell r="B19">
            <v>16</v>
          </cell>
          <cell r="C19" t="str">
            <v>C1.AM.01.16</v>
          </cell>
          <cell r="D19" t="str">
            <v>AM</v>
          </cell>
          <cell r="E19" t="str">
            <v>G-026</v>
          </cell>
          <cell r="F19" t="str">
            <v>AM046</v>
          </cell>
          <cell r="G19" t="str">
            <v>N1</v>
          </cell>
          <cell r="H19" t="str">
            <v>b1</v>
          </cell>
          <cell r="I19" t="str">
            <v>N1-b1</v>
          </cell>
          <cell r="J19" t="str">
            <v>01</v>
          </cell>
          <cell r="K19" t="str">
            <v>16</v>
          </cell>
        </row>
        <row r="20">
          <cell r="A20" t="str">
            <v>01-17</v>
          </cell>
          <cell r="B20">
            <v>17</v>
          </cell>
          <cell r="C20" t="str">
            <v>C1.AM.01.17</v>
          </cell>
          <cell r="D20" t="str">
            <v>AM</v>
          </cell>
          <cell r="E20" t="str">
            <v>G-062</v>
          </cell>
          <cell r="F20" t="str">
            <v>AM091</v>
          </cell>
          <cell r="G20" t="str">
            <v>N1</v>
          </cell>
          <cell r="H20" t="str">
            <v>b1</v>
          </cell>
          <cell r="I20" t="str">
            <v>N1-b1</v>
          </cell>
          <cell r="J20" t="str">
            <v>01</v>
          </cell>
          <cell r="K20" t="str">
            <v>17</v>
          </cell>
        </row>
        <row r="21">
          <cell r="A21" t="str">
            <v>01-18</v>
          </cell>
          <cell r="B21">
            <v>18</v>
          </cell>
          <cell r="C21" t="str">
            <v>C1.AM.01.18</v>
          </cell>
          <cell r="D21" t="str">
            <v>AM</v>
          </cell>
          <cell r="E21" t="str">
            <v>G-040</v>
          </cell>
          <cell r="F21" t="str">
            <v>AM063</v>
          </cell>
          <cell r="G21" t="str">
            <v>N1</v>
          </cell>
          <cell r="H21" t="str">
            <v>b1</v>
          </cell>
          <cell r="I21" t="str">
            <v>N1-b1</v>
          </cell>
          <cell r="J21" t="str">
            <v>01</v>
          </cell>
          <cell r="K21" t="str">
            <v>18</v>
          </cell>
        </row>
        <row r="22">
          <cell r="A22" t="str">
            <v>01-19</v>
          </cell>
          <cell r="B22">
            <v>19</v>
          </cell>
          <cell r="C22" t="str">
            <v>C1.AM.01.19</v>
          </cell>
          <cell r="D22" t="str">
            <v>AM</v>
          </cell>
          <cell r="E22" t="str">
            <v>G-067</v>
          </cell>
          <cell r="F22" t="str">
            <v>AM098</v>
          </cell>
          <cell r="G22" t="str">
            <v>N1</v>
          </cell>
          <cell r="H22" t="str">
            <v>b1</v>
          </cell>
          <cell r="I22" t="str">
            <v>N1-b1</v>
          </cell>
          <cell r="J22" t="str">
            <v>01</v>
          </cell>
          <cell r="K22" t="str">
            <v>19</v>
          </cell>
        </row>
        <row r="23">
          <cell r="A23" t="str">
            <v>01-20</v>
          </cell>
          <cell r="B23">
            <v>20</v>
          </cell>
          <cell r="C23" t="str">
            <v>C1.AM.01.20</v>
          </cell>
          <cell r="D23" t="str">
            <v>AM</v>
          </cell>
          <cell r="E23" t="str">
            <v>G-101</v>
          </cell>
          <cell r="F23" t="str">
            <v>AM167</v>
          </cell>
          <cell r="G23" t="str">
            <v>N1</v>
          </cell>
          <cell r="H23" t="str">
            <v>b1</v>
          </cell>
          <cell r="I23" t="str">
            <v>N1-b1</v>
          </cell>
          <cell r="J23" t="str">
            <v>01</v>
          </cell>
          <cell r="K23" t="str">
            <v>20</v>
          </cell>
        </row>
        <row r="24">
          <cell r="A24" t="str">
            <v>01-21</v>
          </cell>
          <cell r="B24">
            <v>21</v>
          </cell>
          <cell r="C24" t="str">
            <v>C1.AM.01.21</v>
          </cell>
          <cell r="D24" t="str">
            <v>AM</v>
          </cell>
          <cell r="E24" t="str">
            <v>G-083</v>
          </cell>
          <cell r="F24" t="str">
            <v>AM137</v>
          </cell>
          <cell r="G24" t="str">
            <v>N1</v>
          </cell>
          <cell r="H24" t="str">
            <v>b1</v>
          </cell>
          <cell r="I24" t="str">
            <v>N1-b1</v>
          </cell>
          <cell r="J24" t="str">
            <v>01</v>
          </cell>
          <cell r="K24" t="str">
            <v>21</v>
          </cell>
        </row>
        <row r="25">
          <cell r="A25" t="str">
            <v>01-22</v>
          </cell>
          <cell r="B25">
            <v>22</v>
          </cell>
          <cell r="C25" t="str">
            <v>C1.AM.01.22</v>
          </cell>
          <cell r="D25" t="str">
            <v>AM</v>
          </cell>
          <cell r="E25" t="str">
            <v>G-032</v>
          </cell>
          <cell r="F25" t="str">
            <v>AM055</v>
          </cell>
          <cell r="G25" t="str">
            <v>N1</v>
          </cell>
          <cell r="H25" t="str">
            <v>b1</v>
          </cell>
          <cell r="I25" t="str">
            <v>N1-b1</v>
          </cell>
          <cell r="J25" t="str">
            <v>01</v>
          </cell>
          <cell r="K25" t="str">
            <v>22</v>
          </cell>
        </row>
        <row r="26">
          <cell r="A26" t="str">
            <v>01-23</v>
          </cell>
          <cell r="B26">
            <v>23</v>
          </cell>
          <cell r="C26" t="str">
            <v>C1.AM.01.23</v>
          </cell>
          <cell r="D26" t="str">
            <v>AM</v>
          </cell>
          <cell r="E26" t="str">
            <v>G-093</v>
          </cell>
          <cell r="F26" t="str">
            <v>AM148</v>
          </cell>
          <cell r="G26" t="str">
            <v>N1</v>
          </cell>
          <cell r="H26" t="str">
            <v>b1</v>
          </cell>
          <cell r="I26" t="str">
            <v>N1-b1</v>
          </cell>
          <cell r="J26" t="str">
            <v>01</v>
          </cell>
          <cell r="K26" t="str">
            <v>23</v>
          </cell>
        </row>
        <row r="27">
          <cell r="A27" t="str">
            <v>01-24</v>
          </cell>
          <cell r="B27">
            <v>24</v>
          </cell>
          <cell r="C27" t="str">
            <v>C1.AM.01.24</v>
          </cell>
          <cell r="D27" t="str">
            <v>AM</v>
          </cell>
          <cell r="E27" t="str">
            <v>G-036</v>
          </cell>
          <cell r="F27" t="str">
            <v>AM059</v>
          </cell>
          <cell r="G27" t="str">
            <v>N1</v>
          </cell>
          <cell r="H27" t="str">
            <v>b1</v>
          </cell>
          <cell r="I27" t="str">
            <v>N1-b1</v>
          </cell>
          <cell r="J27" t="str">
            <v>01</v>
          </cell>
          <cell r="K27" t="str">
            <v>24</v>
          </cell>
        </row>
        <row r="28">
          <cell r="A28" t="str">
            <v>01-25</v>
          </cell>
          <cell r="B28">
            <v>25</v>
          </cell>
          <cell r="C28" t="str">
            <v>C1.AM.01.25</v>
          </cell>
          <cell r="D28" t="str">
            <v>AM</v>
          </cell>
          <cell r="E28" t="str">
            <v>G-119</v>
          </cell>
          <cell r="F28" t="str">
            <v>Kurander</v>
          </cell>
          <cell r="G28" t="str">
            <v>N1</v>
          </cell>
          <cell r="H28" t="str">
            <v>b1</v>
          </cell>
          <cell r="I28" t="str">
            <v>N1-b1</v>
          </cell>
          <cell r="J28" t="str">
            <v>01</v>
          </cell>
          <cell r="K28" t="str">
            <v>25</v>
          </cell>
        </row>
        <row r="29">
          <cell r="A29" t="str">
            <v>01-26</v>
          </cell>
          <cell r="B29">
            <v>26</v>
          </cell>
          <cell r="C29" t="str">
            <v>C1.AM.01.26</v>
          </cell>
          <cell r="D29" t="str">
            <v>AM</v>
          </cell>
          <cell r="E29" t="str">
            <v>G-006</v>
          </cell>
          <cell r="F29" t="str">
            <v>AM017</v>
          </cell>
          <cell r="G29" t="str">
            <v>N1</v>
          </cell>
          <cell r="H29" t="str">
            <v>b1</v>
          </cell>
          <cell r="I29" t="str">
            <v>N1-b1</v>
          </cell>
          <cell r="J29" t="str">
            <v>01</v>
          </cell>
          <cell r="K29" t="str">
            <v>26</v>
          </cell>
        </row>
        <row r="30">
          <cell r="A30" t="str">
            <v>01-27</v>
          </cell>
          <cell r="B30">
            <v>27</v>
          </cell>
          <cell r="C30" t="str">
            <v>C1.AM.01.27</v>
          </cell>
          <cell r="D30" t="str">
            <v>AM</v>
          </cell>
          <cell r="E30" t="str">
            <v>G-063</v>
          </cell>
          <cell r="F30" t="str">
            <v>AM092</v>
          </cell>
          <cell r="G30" t="str">
            <v>N1</v>
          </cell>
          <cell r="H30" t="str">
            <v>b1</v>
          </cell>
          <cell r="I30" t="str">
            <v>N1-b1</v>
          </cell>
          <cell r="J30" t="str">
            <v>01</v>
          </cell>
          <cell r="K30" t="str">
            <v>27</v>
          </cell>
        </row>
        <row r="31">
          <cell r="A31" t="str">
            <v>01-28</v>
          </cell>
          <cell r="B31">
            <v>28</v>
          </cell>
          <cell r="C31" t="str">
            <v>C1.AM.01.28</v>
          </cell>
          <cell r="D31" t="str">
            <v>AM</v>
          </cell>
          <cell r="E31" t="str">
            <v>G-081</v>
          </cell>
          <cell r="F31" t="str">
            <v>AM131</v>
          </cell>
          <cell r="G31" t="str">
            <v>N1</v>
          </cell>
          <cell r="H31" t="str">
            <v>b1</v>
          </cell>
          <cell r="I31" t="str">
            <v>N1-b1</v>
          </cell>
          <cell r="J31" t="str">
            <v>01</v>
          </cell>
          <cell r="K31" t="str">
            <v>28</v>
          </cell>
        </row>
        <row r="32">
          <cell r="A32" t="str">
            <v>01-29</v>
          </cell>
          <cell r="B32">
            <v>29</v>
          </cell>
          <cell r="C32" t="str">
            <v>C1.AM.01.29</v>
          </cell>
          <cell r="D32" t="str">
            <v>AM</v>
          </cell>
          <cell r="E32" t="str">
            <v>G-082</v>
          </cell>
          <cell r="F32" t="str">
            <v>AM133</v>
          </cell>
          <cell r="G32" t="str">
            <v>N1</v>
          </cell>
          <cell r="H32" t="str">
            <v>b1</v>
          </cell>
          <cell r="I32" t="str">
            <v>N1-b1</v>
          </cell>
          <cell r="J32" t="str">
            <v>01</v>
          </cell>
          <cell r="K32" t="str">
            <v>29</v>
          </cell>
        </row>
        <row r="33">
          <cell r="A33" t="str">
            <v>01-30</v>
          </cell>
          <cell r="B33">
            <v>30</v>
          </cell>
          <cell r="C33" t="str">
            <v>C1.AM.01.30</v>
          </cell>
          <cell r="D33" t="str">
            <v>AM</v>
          </cell>
          <cell r="E33" t="str">
            <v>G-070</v>
          </cell>
          <cell r="F33" t="str">
            <v>AM106</v>
          </cell>
          <cell r="G33" t="str">
            <v>N1</v>
          </cell>
          <cell r="H33" t="str">
            <v>b1</v>
          </cell>
          <cell r="I33" t="str">
            <v>N1-b1</v>
          </cell>
          <cell r="J33" t="str">
            <v>01</v>
          </cell>
          <cell r="K33" t="str">
            <v>30</v>
          </cell>
        </row>
        <row r="34">
          <cell r="A34" t="str">
            <v>01-31</v>
          </cell>
          <cell r="B34">
            <v>31</v>
          </cell>
          <cell r="C34" t="str">
            <v>C1.AM.01.31</v>
          </cell>
          <cell r="D34" t="str">
            <v>AM</v>
          </cell>
          <cell r="E34" t="str">
            <v>G-065</v>
          </cell>
          <cell r="F34" t="str">
            <v>AM094</v>
          </cell>
          <cell r="G34" t="str">
            <v>N1</v>
          </cell>
          <cell r="H34" t="str">
            <v>b1</v>
          </cell>
          <cell r="I34" t="str">
            <v>N1-b1</v>
          </cell>
          <cell r="J34" t="str">
            <v>01</v>
          </cell>
          <cell r="K34" t="str">
            <v>31</v>
          </cell>
        </row>
        <row r="35">
          <cell r="A35" t="str">
            <v>01-32</v>
          </cell>
          <cell r="B35">
            <v>32</v>
          </cell>
          <cell r="C35" t="str">
            <v>C1.AM.01.32</v>
          </cell>
          <cell r="D35" t="str">
            <v>AM</v>
          </cell>
          <cell r="E35" t="str">
            <v>G-033</v>
          </cell>
          <cell r="F35" t="str">
            <v>AM056</v>
          </cell>
          <cell r="G35" t="str">
            <v>N1</v>
          </cell>
          <cell r="H35" t="str">
            <v>b1</v>
          </cell>
          <cell r="I35" t="str">
            <v>N1-b1</v>
          </cell>
          <cell r="J35" t="str">
            <v>01</v>
          </cell>
          <cell r="K35" t="str">
            <v>32</v>
          </cell>
        </row>
        <row r="36">
          <cell r="A36" t="str">
            <v>01-33</v>
          </cell>
          <cell r="B36">
            <v>33</v>
          </cell>
          <cell r="C36" t="str">
            <v>C1.AM.01.33</v>
          </cell>
          <cell r="D36" t="str">
            <v>AM</v>
          </cell>
          <cell r="E36" t="str">
            <v>G-122</v>
          </cell>
          <cell r="F36" t="str">
            <v>L-Liones</v>
          </cell>
          <cell r="G36" t="str">
            <v>N2</v>
          </cell>
          <cell r="H36" t="str">
            <v>b1</v>
          </cell>
          <cell r="I36" t="str">
            <v>N2-b1</v>
          </cell>
          <cell r="J36" t="str">
            <v>01</v>
          </cell>
          <cell r="K36" t="str">
            <v>33</v>
          </cell>
        </row>
        <row r="37">
          <cell r="A37" t="str">
            <v>01-34</v>
          </cell>
          <cell r="B37">
            <v>34</v>
          </cell>
          <cell r="C37" t="str">
            <v>C1.AM.01.34</v>
          </cell>
          <cell r="D37" t="str">
            <v>AM</v>
          </cell>
          <cell r="E37" t="str">
            <v>G-090</v>
          </cell>
          <cell r="F37" t="str">
            <v>AM145</v>
          </cell>
          <cell r="G37" t="str">
            <v>N2</v>
          </cell>
          <cell r="H37" t="str">
            <v>b1</v>
          </cell>
          <cell r="I37" t="str">
            <v>N2-b1</v>
          </cell>
          <cell r="J37" t="str">
            <v>01</v>
          </cell>
          <cell r="K37" t="str">
            <v>34</v>
          </cell>
        </row>
        <row r="38">
          <cell r="A38" t="str">
            <v>01-35</v>
          </cell>
          <cell r="B38">
            <v>35</v>
          </cell>
          <cell r="C38" t="str">
            <v>C1.AM.01.35</v>
          </cell>
          <cell r="D38" t="str">
            <v>AM</v>
          </cell>
          <cell r="E38" t="str">
            <v>G-057</v>
          </cell>
          <cell r="F38" t="str">
            <v>AM086</v>
          </cell>
          <cell r="G38" t="str">
            <v>N2</v>
          </cell>
          <cell r="H38" t="str">
            <v>b1</v>
          </cell>
          <cell r="I38" t="str">
            <v>N2-b1</v>
          </cell>
          <cell r="J38" t="str">
            <v>01</v>
          </cell>
          <cell r="K38" t="str">
            <v>35</v>
          </cell>
        </row>
        <row r="39">
          <cell r="A39" t="str">
            <v>01-36</v>
          </cell>
          <cell r="B39">
            <v>36</v>
          </cell>
          <cell r="C39" t="str">
            <v>C1.AM.01.36</v>
          </cell>
          <cell r="D39" t="str">
            <v>AM</v>
          </cell>
          <cell r="E39" t="str">
            <v>G-100</v>
          </cell>
          <cell r="F39" t="str">
            <v>AM166</v>
          </cell>
          <cell r="G39" t="str">
            <v>N2</v>
          </cell>
          <cell r="H39" t="str">
            <v>b1</v>
          </cell>
          <cell r="I39" t="str">
            <v>N2-b1</v>
          </cell>
          <cell r="J39" t="str">
            <v>01</v>
          </cell>
          <cell r="K39" t="str">
            <v>36</v>
          </cell>
        </row>
        <row r="40">
          <cell r="A40" t="str">
            <v>01-37</v>
          </cell>
          <cell r="B40">
            <v>37</v>
          </cell>
          <cell r="C40" t="str">
            <v>C1.AM.01.37</v>
          </cell>
          <cell r="D40" t="str">
            <v>AM</v>
          </cell>
          <cell r="E40" t="str">
            <v>G-093</v>
          </cell>
          <cell r="F40" t="str">
            <v>AM148</v>
          </cell>
          <cell r="G40" t="str">
            <v>N2</v>
          </cell>
          <cell r="H40" t="str">
            <v>b1</v>
          </cell>
          <cell r="I40" t="str">
            <v>N2-b1</v>
          </cell>
          <cell r="J40" t="str">
            <v>01</v>
          </cell>
          <cell r="K40" t="str">
            <v>37</v>
          </cell>
        </row>
        <row r="41">
          <cell r="A41" t="str">
            <v>01-38</v>
          </cell>
          <cell r="B41">
            <v>38</v>
          </cell>
          <cell r="C41" t="str">
            <v>C1.AM.01.38</v>
          </cell>
          <cell r="D41" t="str">
            <v>AM</v>
          </cell>
          <cell r="E41" t="str">
            <v>G-114</v>
          </cell>
          <cell r="F41" t="str">
            <v>AM193</v>
          </cell>
          <cell r="G41" t="str">
            <v>N2</v>
          </cell>
          <cell r="H41" t="str">
            <v>b1</v>
          </cell>
          <cell r="I41" t="str">
            <v>N2-b1</v>
          </cell>
          <cell r="J41" t="str">
            <v>01</v>
          </cell>
          <cell r="K41" t="str">
            <v>38</v>
          </cell>
        </row>
        <row r="42">
          <cell r="A42" t="str">
            <v>01-39</v>
          </cell>
          <cell r="B42">
            <v>39</v>
          </cell>
          <cell r="C42" t="str">
            <v>C1.AM.01.39</v>
          </cell>
          <cell r="D42" t="str">
            <v>AM</v>
          </cell>
          <cell r="E42" t="str">
            <v>G-079</v>
          </cell>
          <cell r="F42" t="str">
            <v>AM129</v>
          </cell>
          <cell r="G42" t="str">
            <v>N2</v>
          </cell>
          <cell r="H42" t="str">
            <v>b1</v>
          </cell>
          <cell r="I42" t="str">
            <v>N2-b1</v>
          </cell>
          <cell r="J42" t="str">
            <v>01</v>
          </cell>
          <cell r="K42" t="str">
            <v>39</v>
          </cell>
        </row>
        <row r="43">
          <cell r="A43" t="str">
            <v>01-40</v>
          </cell>
          <cell r="B43">
            <v>40</v>
          </cell>
          <cell r="C43" t="str">
            <v>C1.AM.01.40</v>
          </cell>
          <cell r="D43" t="str">
            <v>AM</v>
          </cell>
          <cell r="E43" t="str">
            <v>G-124</v>
          </cell>
          <cell r="F43" t="str">
            <v>S-Oase</v>
          </cell>
          <cell r="G43" t="str">
            <v>N2</v>
          </cell>
          <cell r="H43" t="str">
            <v>b1</v>
          </cell>
          <cell r="I43" t="str">
            <v>N2-b1</v>
          </cell>
          <cell r="J43" t="str">
            <v>01</v>
          </cell>
          <cell r="K43" t="str">
            <v>40</v>
          </cell>
        </row>
        <row r="44">
          <cell r="A44" t="str">
            <v>01-41</v>
          </cell>
          <cell r="B44">
            <v>41</v>
          </cell>
          <cell r="C44" t="str">
            <v>C1.AM.01.41</v>
          </cell>
          <cell r="D44" t="str">
            <v>AM</v>
          </cell>
          <cell r="E44" t="str">
            <v>G-105</v>
          </cell>
          <cell r="F44" t="str">
            <v>AM171</v>
          </cell>
          <cell r="G44" t="str">
            <v>N2</v>
          </cell>
          <cell r="H44" t="str">
            <v>b1</v>
          </cell>
          <cell r="I44" t="str">
            <v>N2-b1</v>
          </cell>
          <cell r="J44" t="str">
            <v>01</v>
          </cell>
          <cell r="K44" t="str">
            <v>41</v>
          </cell>
        </row>
        <row r="45">
          <cell r="A45" t="str">
            <v>01-42</v>
          </cell>
          <cell r="B45">
            <v>42</v>
          </cell>
          <cell r="C45" t="str">
            <v>C1.AM.01.42</v>
          </cell>
          <cell r="D45" t="str">
            <v>AM</v>
          </cell>
          <cell r="E45" t="str">
            <v>G-094</v>
          </cell>
          <cell r="F45" t="str">
            <v>AM149</v>
          </cell>
          <cell r="G45" t="str">
            <v>N2</v>
          </cell>
          <cell r="H45" t="str">
            <v>b1</v>
          </cell>
          <cell r="I45" t="str">
            <v>N2-b1</v>
          </cell>
          <cell r="J45" t="str">
            <v>01</v>
          </cell>
          <cell r="K45" t="str">
            <v>42</v>
          </cell>
        </row>
        <row r="46">
          <cell r="A46" t="str">
            <v>01-43</v>
          </cell>
          <cell r="B46">
            <v>43</v>
          </cell>
          <cell r="C46" t="str">
            <v>C1.AM.01.43</v>
          </cell>
          <cell r="D46" t="str">
            <v>AM</v>
          </cell>
          <cell r="E46" t="str">
            <v>G-002</v>
          </cell>
          <cell r="F46" t="str">
            <v>Montego</v>
          </cell>
          <cell r="G46" t="str">
            <v>N2</v>
          </cell>
          <cell r="H46" t="str">
            <v>b1</v>
          </cell>
          <cell r="I46" t="str">
            <v>N2-b1</v>
          </cell>
          <cell r="J46" t="str">
            <v>01</v>
          </cell>
          <cell r="K46" t="str">
            <v>43</v>
          </cell>
        </row>
        <row r="47">
          <cell r="A47" t="str">
            <v>01-44</v>
          </cell>
          <cell r="B47">
            <v>44</v>
          </cell>
          <cell r="C47" t="str">
            <v>C1.AM.01.44</v>
          </cell>
          <cell r="D47" t="str">
            <v>AM</v>
          </cell>
          <cell r="E47" t="str">
            <v>G-097</v>
          </cell>
          <cell r="F47" t="str">
            <v>AM161</v>
          </cell>
          <cell r="G47" t="str">
            <v>N2</v>
          </cell>
          <cell r="H47" t="str">
            <v>b1</v>
          </cell>
          <cell r="I47" t="str">
            <v>N2-b1</v>
          </cell>
          <cell r="J47" t="str">
            <v>01</v>
          </cell>
          <cell r="K47" t="str">
            <v>44</v>
          </cell>
        </row>
        <row r="48">
          <cell r="A48" t="str">
            <v>01-45</v>
          </cell>
          <cell r="B48">
            <v>45</v>
          </cell>
          <cell r="C48" t="str">
            <v>C1.AM.01.45</v>
          </cell>
          <cell r="D48" t="str">
            <v>AM</v>
          </cell>
          <cell r="E48" t="str">
            <v>G-077</v>
          </cell>
          <cell r="F48" t="str">
            <v>AM125</v>
          </cell>
          <cell r="G48" t="str">
            <v>N2</v>
          </cell>
          <cell r="H48" t="str">
            <v>b1</v>
          </cell>
          <cell r="I48" t="str">
            <v>N2-b1</v>
          </cell>
          <cell r="J48" t="str">
            <v>01</v>
          </cell>
          <cell r="K48" t="str">
            <v>45</v>
          </cell>
        </row>
        <row r="49">
          <cell r="A49" t="str">
            <v>01-46</v>
          </cell>
          <cell r="B49">
            <v>46</v>
          </cell>
          <cell r="C49" t="str">
            <v>C1.AM.01.46</v>
          </cell>
          <cell r="D49" t="str">
            <v>AM</v>
          </cell>
          <cell r="E49" t="str">
            <v>G-061</v>
          </cell>
          <cell r="F49" t="str">
            <v>AM090</v>
          </cell>
          <cell r="G49" t="str">
            <v>N2</v>
          </cell>
          <cell r="H49" t="str">
            <v>b1</v>
          </cell>
          <cell r="I49" t="str">
            <v>N2-b1</v>
          </cell>
          <cell r="J49" t="str">
            <v>01</v>
          </cell>
          <cell r="K49" t="str">
            <v>46</v>
          </cell>
        </row>
        <row r="50">
          <cell r="A50" t="str">
            <v>01-47</v>
          </cell>
          <cell r="B50">
            <v>47</v>
          </cell>
          <cell r="C50" t="str">
            <v>C1.AM.01.47</v>
          </cell>
          <cell r="D50" t="str">
            <v>AM</v>
          </cell>
          <cell r="E50" t="str">
            <v>G-104</v>
          </cell>
          <cell r="F50" t="str">
            <v>AM170</v>
          </cell>
          <cell r="G50" t="str">
            <v>N2</v>
          </cell>
          <cell r="H50" t="str">
            <v>b1</v>
          </cell>
          <cell r="I50" t="str">
            <v>N2-b1</v>
          </cell>
          <cell r="J50" t="str">
            <v>01</v>
          </cell>
          <cell r="K50" t="str">
            <v>47</v>
          </cell>
        </row>
        <row r="51">
          <cell r="A51" t="str">
            <v>01-48</v>
          </cell>
          <cell r="B51">
            <v>48</v>
          </cell>
          <cell r="C51" t="str">
            <v>C1.AM.01.48</v>
          </cell>
          <cell r="D51" t="str">
            <v>AM</v>
          </cell>
          <cell r="E51" t="str">
            <v>G-041</v>
          </cell>
          <cell r="F51" t="str">
            <v>AM064</v>
          </cell>
          <cell r="G51" t="str">
            <v>N2</v>
          </cell>
          <cell r="H51" t="str">
            <v>b1</v>
          </cell>
          <cell r="I51" t="str">
            <v>N2-b1</v>
          </cell>
          <cell r="J51" t="str">
            <v>01</v>
          </cell>
          <cell r="K51" t="str">
            <v>48</v>
          </cell>
        </row>
        <row r="52">
          <cell r="A52" t="str">
            <v>01-49</v>
          </cell>
          <cell r="B52">
            <v>49</v>
          </cell>
          <cell r="C52" t="str">
            <v>C1.AM.01.49</v>
          </cell>
          <cell r="D52" t="str">
            <v>AM</v>
          </cell>
          <cell r="E52" t="str">
            <v>G-113</v>
          </cell>
          <cell r="F52" t="str">
            <v>AM189</v>
          </cell>
          <cell r="G52" t="str">
            <v>N2</v>
          </cell>
          <cell r="H52" t="str">
            <v>b1</v>
          </cell>
          <cell r="I52" t="str">
            <v>N2-b1</v>
          </cell>
          <cell r="J52" t="str">
            <v>01</v>
          </cell>
          <cell r="K52" t="str">
            <v>49</v>
          </cell>
        </row>
        <row r="53">
          <cell r="A53" t="str">
            <v>01-50</v>
          </cell>
          <cell r="B53">
            <v>50</v>
          </cell>
          <cell r="C53" t="str">
            <v>C1.AM.01.50</v>
          </cell>
          <cell r="D53" t="str">
            <v>AM</v>
          </cell>
          <cell r="E53" t="str">
            <v>G-118</v>
          </cell>
          <cell r="F53" t="str">
            <v>Colvert</v>
          </cell>
          <cell r="G53" t="str">
            <v>N2</v>
          </cell>
          <cell r="H53" t="str">
            <v>b1</v>
          </cell>
          <cell r="I53" t="str">
            <v>N2-b1</v>
          </cell>
          <cell r="J53" t="str">
            <v>01</v>
          </cell>
          <cell r="K53" t="str">
            <v>50</v>
          </cell>
        </row>
        <row r="54">
          <cell r="A54" t="str">
            <v>01-51</v>
          </cell>
          <cell r="B54">
            <v>51</v>
          </cell>
          <cell r="C54" t="str">
            <v>C1.AM.01.51</v>
          </cell>
          <cell r="D54" t="str">
            <v>AM</v>
          </cell>
          <cell r="E54" t="str">
            <v>G-095</v>
          </cell>
          <cell r="F54" t="str">
            <v>AM156</v>
          </cell>
          <cell r="G54" t="str">
            <v>N2</v>
          </cell>
          <cell r="H54" t="str">
            <v>b1</v>
          </cell>
          <cell r="I54" t="str">
            <v>N2-b1</v>
          </cell>
          <cell r="J54" t="str">
            <v>01</v>
          </cell>
          <cell r="K54" t="str">
            <v>51</v>
          </cell>
        </row>
        <row r="55">
          <cell r="A55" t="str">
            <v>01-52</v>
          </cell>
          <cell r="B55">
            <v>52</v>
          </cell>
          <cell r="C55" t="str">
            <v>C1.AM.01.52</v>
          </cell>
          <cell r="D55" t="str">
            <v>AM</v>
          </cell>
          <cell r="E55" t="str">
            <v>G-117</v>
          </cell>
          <cell r="F55" t="str">
            <v>AM198</v>
          </cell>
          <cell r="G55" t="str">
            <v>N2</v>
          </cell>
          <cell r="H55" t="str">
            <v>b1</v>
          </cell>
          <cell r="I55" t="str">
            <v>N2-b1</v>
          </cell>
          <cell r="J55" t="str">
            <v>01</v>
          </cell>
          <cell r="K55" t="str">
            <v>52</v>
          </cell>
        </row>
        <row r="56">
          <cell r="A56" t="str">
            <v>01-53</v>
          </cell>
          <cell r="B56">
            <v>53</v>
          </cell>
          <cell r="C56" t="str">
            <v>C1.AM.01.53</v>
          </cell>
          <cell r="D56" t="str">
            <v>AM</v>
          </cell>
          <cell r="E56" t="str">
            <v>G-026</v>
          </cell>
          <cell r="F56" t="str">
            <v>AM046</v>
          </cell>
          <cell r="G56" t="str">
            <v>N2</v>
          </cell>
          <cell r="H56" t="str">
            <v>b1</v>
          </cell>
          <cell r="I56" t="str">
            <v>N2-b1</v>
          </cell>
          <cell r="J56" t="str">
            <v>01</v>
          </cell>
          <cell r="K56" t="str">
            <v>53</v>
          </cell>
        </row>
        <row r="57">
          <cell r="A57" t="str">
            <v>01-54</v>
          </cell>
          <cell r="B57">
            <v>54</v>
          </cell>
          <cell r="C57" t="str">
            <v>C1.AM.01.54</v>
          </cell>
          <cell r="D57" t="str">
            <v>AM</v>
          </cell>
          <cell r="E57" t="str">
            <v>G-112</v>
          </cell>
          <cell r="F57" t="str">
            <v>AM188</v>
          </cell>
          <cell r="G57" t="str">
            <v>N2</v>
          </cell>
          <cell r="H57" t="str">
            <v>b1</v>
          </cell>
          <cell r="I57" t="str">
            <v>N2-b1</v>
          </cell>
          <cell r="J57" t="str">
            <v>01</v>
          </cell>
          <cell r="K57" t="str">
            <v>54</v>
          </cell>
        </row>
        <row r="58">
          <cell r="A58" t="str">
            <v>01-55</v>
          </cell>
          <cell r="B58">
            <v>55</v>
          </cell>
          <cell r="C58" t="str">
            <v>C1.AM.01.55</v>
          </cell>
          <cell r="D58" t="str">
            <v>AM</v>
          </cell>
          <cell r="E58" t="str">
            <v>G-023</v>
          </cell>
          <cell r="F58" t="str">
            <v>AM040</v>
          </cell>
          <cell r="G58" t="str">
            <v>N2</v>
          </cell>
          <cell r="H58" t="str">
            <v>b1</v>
          </cell>
          <cell r="I58" t="str">
            <v>N2-b1</v>
          </cell>
          <cell r="J58" t="str">
            <v>01</v>
          </cell>
          <cell r="K58" t="str">
            <v>55</v>
          </cell>
        </row>
        <row r="59">
          <cell r="A59" t="str">
            <v>01-56</v>
          </cell>
          <cell r="B59">
            <v>56</v>
          </cell>
          <cell r="C59" t="str">
            <v>C1.AM.01.56</v>
          </cell>
          <cell r="D59" t="str">
            <v>AM</v>
          </cell>
          <cell r="E59" t="str">
            <v>G-091</v>
          </cell>
          <cell r="F59" t="str">
            <v>AM146</v>
          </cell>
          <cell r="G59" t="str">
            <v>N2</v>
          </cell>
          <cell r="H59" t="str">
            <v>b1</v>
          </cell>
          <cell r="I59" t="str">
            <v>N2-b1</v>
          </cell>
          <cell r="J59" t="str">
            <v>01</v>
          </cell>
          <cell r="K59" t="str">
            <v>56</v>
          </cell>
        </row>
        <row r="60">
          <cell r="A60" t="str">
            <v>01-57</v>
          </cell>
          <cell r="B60">
            <v>57</v>
          </cell>
          <cell r="C60" t="str">
            <v>C1.AM.01.57</v>
          </cell>
          <cell r="D60" t="str">
            <v>AM</v>
          </cell>
          <cell r="E60" t="str">
            <v>G-119</v>
          </cell>
          <cell r="F60" t="str">
            <v>Kurander</v>
          </cell>
          <cell r="G60" t="str">
            <v>N2</v>
          </cell>
          <cell r="H60" t="str">
            <v>b1</v>
          </cell>
          <cell r="I60" t="str">
            <v>N2-b1</v>
          </cell>
          <cell r="J60" t="str">
            <v>01</v>
          </cell>
          <cell r="K60" t="str">
            <v>57</v>
          </cell>
        </row>
        <row r="61">
          <cell r="A61" t="str">
            <v>01-58</v>
          </cell>
          <cell r="B61">
            <v>58</v>
          </cell>
          <cell r="C61" t="str">
            <v>C1.AM.01.58</v>
          </cell>
          <cell r="D61" t="str">
            <v>AM</v>
          </cell>
          <cell r="E61" t="str">
            <v>G-025</v>
          </cell>
          <cell r="F61" t="str">
            <v>AM045</v>
          </cell>
          <cell r="G61" t="str">
            <v>N2</v>
          </cell>
          <cell r="H61" t="str">
            <v>b1</v>
          </cell>
          <cell r="I61" t="str">
            <v>N2-b1</v>
          </cell>
          <cell r="J61" t="str">
            <v>01</v>
          </cell>
          <cell r="K61" t="str">
            <v>58</v>
          </cell>
        </row>
        <row r="62">
          <cell r="A62" t="str">
            <v>01-59</v>
          </cell>
          <cell r="B62">
            <v>59</v>
          </cell>
          <cell r="C62" t="str">
            <v>C1.AM.01.59</v>
          </cell>
          <cell r="D62" t="str">
            <v>AM</v>
          </cell>
          <cell r="E62" t="str">
            <v>G-039</v>
          </cell>
          <cell r="F62" t="str">
            <v>AM062</v>
          </cell>
          <cell r="G62" t="str">
            <v>N2</v>
          </cell>
          <cell r="H62" t="str">
            <v>b1</v>
          </cell>
          <cell r="I62" t="str">
            <v>N2-b1</v>
          </cell>
          <cell r="J62" t="str">
            <v>01</v>
          </cell>
          <cell r="K62" t="str">
            <v>59</v>
          </cell>
        </row>
        <row r="63">
          <cell r="A63" t="str">
            <v>01-60</v>
          </cell>
          <cell r="B63">
            <v>60</v>
          </cell>
          <cell r="C63" t="str">
            <v>C1.AM.01.60</v>
          </cell>
          <cell r="D63" t="str">
            <v>AM</v>
          </cell>
          <cell r="E63" t="str">
            <v>G-037</v>
          </cell>
          <cell r="F63" t="str">
            <v>AM060</v>
          </cell>
          <cell r="G63" t="str">
            <v>N2</v>
          </cell>
          <cell r="H63" t="str">
            <v>b1</v>
          </cell>
          <cell r="I63" t="str">
            <v>N2-b1</v>
          </cell>
          <cell r="J63" t="str">
            <v>01</v>
          </cell>
          <cell r="K63" t="str">
            <v>60</v>
          </cell>
        </row>
        <row r="64">
          <cell r="A64" t="str">
            <v>01-61</v>
          </cell>
          <cell r="B64">
            <v>61</v>
          </cell>
          <cell r="C64" t="str">
            <v>C1.AM.01.61</v>
          </cell>
          <cell r="D64" t="str">
            <v>AM</v>
          </cell>
          <cell r="E64" t="str">
            <v>G-108</v>
          </cell>
          <cell r="F64" t="str">
            <v>AM174</v>
          </cell>
          <cell r="G64" t="str">
            <v>N2</v>
          </cell>
          <cell r="H64" t="str">
            <v>b1</v>
          </cell>
          <cell r="I64" t="str">
            <v>N2-b1</v>
          </cell>
          <cell r="J64" t="str">
            <v>01</v>
          </cell>
          <cell r="K64" t="str">
            <v>61</v>
          </cell>
        </row>
        <row r="65">
          <cell r="A65" t="str">
            <v>01-62</v>
          </cell>
          <cell r="B65">
            <v>62</v>
          </cell>
          <cell r="C65" t="str">
            <v>C1.AM.01.62</v>
          </cell>
          <cell r="D65" t="str">
            <v>AM</v>
          </cell>
          <cell r="E65" t="str">
            <v>G-013</v>
          </cell>
          <cell r="F65" t="str">
            <v>AM030</v>
          </cell>
          <cell r="G65" t="str">
            <v>N2</v>
          </cell>
          <cell r="H65" t="str">
            <v>b1</v>
          </cell>
          <cell r="I65" t="str">
            <v>N2-b1</v>
          </cell>
          <cell r="J65" t="str">
            <v>01</v>
          </cell>
          <cell r="K65" t="str">
            <v>62</v>
          </cell>
        </row>
        <row r="66">
          <cell r="A66" t="str">
            <v>01-63</v>
          </cell>
          <cell r="B66">
            <v>63</v>
          </cell>
          <cell r="C66" t="str">
            <v>C1.AM.01.63</v>
          </cell>
          <cell r="D66" t="str">
            <v>AM</v>
          </cell>
          <cell r="E66" t="str">
            <v>G-004</v>
          </cell>
          <cell r="F66" t="str">
            <v>AM015</v>
          </cell>
          <cell r="G66" t="str">
            <v>N2</v>
          </cell>
          <cell r="H66" t="str">
            <v>b1</v>
          </cell>
          <cell r="I66" t="str">
            <v>N2-b1</v>
          </cell>
          <cell r="J66" t="str">
            <v>01</v>
          </cell>
          <cell r="K66" t="str">
            <v>63</v>
          </cell>
        </row>
        <row r="67">
          <cell r="A67" t="str">
            <v>01-64</v>
          </cell>
          <cell r="B67">
            <v>64</v>
          </cell>
          <cell r="C67" t="str">
            <v>C1.AM.01.64</v>
          </cell>
          <cell r="D67" t="str">
            <v>AM</v>
          </cell>
          <cell r="E67" t="str">
            <v>G-088</v>
          </cell>
          <cell r="F67" t="str">
            <v>AM143</v>
          </cell>
          <cell r="G67" t="str">
            <v>N2</v>
          </cell>
          <cell r="H67" t="str">
            <v>b1</v>
          </cell>
          <cell r="I67" t="str">
            <v>N2-b1</v>
          </cell>
          <cell r="J67" t="str">
            <v>01</v>
          </cell>
          <cell r="K67" t="str">
            <v>64</v>
          </cell>
        </row>
        <row r="68">
          <cell r="A68" t="str">
            <v>02-01</v>
          </cell>
          <cell r="B68">
            <v>65</v>
          </cell>
          <cell r="C68" t="str">
            <v>C1.AM.02.01</v>
          </cell>
          <cell r="D68" t="str">
            <v>AM</v>
          </cell>
          <cell r="E68" t="str">
            <v>G-003</v>
          </cell>
          <cell r="F68" t="str">
            <v>AM014</v>
          </cell>
          <cell r="G68" t="str">
            <v>N1</v>
          </cell>
          <cell r="H68" t="str">
            <v>b1</v>
          </cell>
          <cell r="I68" t="str">
            <v>N1-b1</v>
          </cell>
          <cell r="J68" t="str">
            <v>02</v>
          </cell>
          <cell r="K68" t="str">
            <v>01</v>
          </cell>
        </row>
        <row r="69">
          <cell r="A69" t="str">
            <v>02-02</v>
          </cell>
          <cell r="B69">
            <v>66</v>
          </cell>
          <cell r="C69" t="str">
            <v>C1.AM.02.02</v>
          </cell>
          <cell r="D69" t="str">
            <v>AM</v>
          </cell>
          <cell r="E69" t="str">
            <v>G-112</v>
          </cell>
          <cell r="F69" t="str">
            <v>AM188</v>
          </cell>
          <cell r="G69" t="str">
            <v>N1</v>
          </cell>
          <cell r="H69" t="str">
            <v>b1</v>
          </cell>
          <cell r="I69" t="str">
            <v>N1-b1</v>
          </cell>
          <cell r="J69" t="str">
            <v>02</v>
          </cell>
          <cell r="K69" t="str">
            <v>02</v>
          </cell>
        </row>
        <row r="70">
          <cell r="A70" t="str">
            <v>02-03</v>
          </cell>
          <cell r="B70">
            <v>67</v>
          </cell>
          <cell r="C70" t="str">
            <v>C1.AM.02.03</v>
          </cell>
          <cell r="D70" t="str">
            <v>AM</v>
          </cell>
          <cell r="E70" t="str">
            <v>G-039</v>
          </cell>
          <cell r="F70" t="str">
            <v>AM062</v>
          </cell>
          <cell r="G70" t="str">
            <v>N1</v>
          </cell>
          <cell r="H70" t="str">
            <v>b1</v>
          </cell>
          <cell r="I70" t="str">
            <v>N1-b1</v>
          </cell>
          <cell r="J70" t="str">
            <v>02</v>
          </cell>
          <cell r="K70" t="str">
            <v>03</v>
          </cell>
        </row>
        <row r="71">
          <cell r="A71" t="str">
            <v>02-04</v>
          </cell>
          <cell r="B71">
            <v>68</v>
          </cell>
          <cell r="C71" t="str">
            <v>C1.AM.02.04</v>
          </cell>
          <cell r="D71" t="str">
            <v>AM</v>
          </cell>
          <cell r="E71" t="str">
            <v>G-103</v>
          </cell>
          <cell r="F71" t="str">
            <v>AM169</v>
          </cell>
          <cell r="G71" t="str">
            <v>N1</v>
          </cell>
          <cell r="H71" t="str">
            <v>b1</v>
          </cell>
          <cell r="I71" t="str">
            <v>N1-b1</v>
          </cell>
          <cell r="J71" t="str">
            <v>02</v>
          </cell>
          <cell r="K71" t="str">
            <v>04</v>
          </cell>
        </row>
        <row r="72">
          <cell r="A72" t="str">
            <v>02-05</v>
          </cell>
          <cell r="B72">
            <v>69</v>
          </cell>
          <cell r="C72" t="str">
            <v>C1.AM.02.05</v>
          </cell>
          <cell r="D72" t="str">
            <v>AM</v>
          </cell>
          <cell r="E72" t="str">
            <v>G-085</v>
          </cell>
          <cell r="F72" t="str">
            <v>AM139</v>
          </cell>
          <cell r="G72" t="str">
            <v>N1</v>
          </cell>
          <cell r="H72" t="str">
            <v>b1</v>
          </cell>
          <cell r="I72" t="str">
            <v>N1-b1</v>
          </cell>
          <cell r="J72" t="str">
            <v>02</v>
          </cell>
          <cell r="K72" t="str">
            <v>05</v>
          </cell>
        </row>
        <row r="73">
          <cell r="A73" t="str">
            <v>02-06</v>
          </cell>
          <cell r="B73">
            <v>70</v>
          </cell>
          <cell r="C73" t="str">
            <v>C1.AM.02.06</v>
          </cell>
          <cell r="D73" t="str">
            <v>AM</v>
          </cell>
          <cell r="E73" t="str">
            <v>G-043</v>
          </cell>
          <cell r="F73" t="str">
            <v>AM067</v>
          </cell>
          <cell r="G73" t="str">
            <v>N1</v>
          </cell>
          <cell r="H73" t="str">
            <v>b1</v>
          </cell>
          <cell r="I73" t="str">
            <v>N1-b1</v>
          </cell>
          <cell r="J73" t="str">
            <v>02</v>
          </cell>
          <cell r="K73" t="str">
            <v>06</v>
          </cell>
        </row>
        <row r="74">
          <cell r="A74" t="str">
            <v>02-07</v>
          </cell>
          <cell r="B74">
            <v>71</v>
          </cell>
          <cell r="C74" t="str">
            <v>C1.AM.02.07</v>
          </cell>
          <cell r="D74" t="str">
            <v>AM</v>
          </cell>
          <cell r="E74" t="str">
            <v>G-109</v>
          </cell>
          <cell r="F74" t="str">
            <v>AM183</v>
          </cell>
          <cell r="G74" t="str">
            <v>N1</v>
          </cell>
          <cell r="H74" t="str">
            <v>b1</v>
          </cell>
          <cell r="I74" t="str">
            <v>N1-b1</v>
          </cell>
          <cell r="J74" t="str">
            <v>02</v>
          </cell>
          <cell r="K74" t="str">
            <v>07</v>
          </cell>
        </row>
        <row r="75">
          <cell r="A75" t="str">
            <v>02-08</v>
          </cell>
          <cell r="B75">
            <v>72</v>
          </cell>
          <cell r="C75" t="str">
            <v>C1.AM.02.08</v>
          </cell>
          <cell r="D75" t="str">
            <v>AM</v>
          </cell>
          <cell r="E75" t="str">
            <v>G-015</v>
          </cell>
          <cell r="F75" t="str">
            <v>AM032</v>
          </cell>
          <cell r="G75" t="str">
            <v>N1</v>
          </cell>
          <cell r="H75" t="str">
            <v>b1</v>
          </cell>
          <cell r="I75" t="str">
            <v>N1-b1</v>
          </cell>
          <cell r="J75" t="str">
            <v>02</v>
          </cell>
          <cell r="K75" t="str">
            <v>08</v>
          </cell>
        </row>
        <row r="76">
          <cell r="A76" t="str">
            <v>02-09</v>
          </cell>
          <cell r="B76">
            <v>73</v>
          </cell>
          <cell r="C76" t="str">
            <v>C1.AM.02.09</v>
          </cell>
          <cell r="D76" t="str">
            <v>AM</v>
          </cell>
          <cell r="E76" t="str">
            <v>G-068</v>
          </cell>
          <cell r="F76" t="str">
            <v>AM100</v>
          </cell>
          <cell r="G76" t="str">
            <v>N1</v>
          </cell>
          <cell r="H76" t="str">
            <v>b1</v>
          </cell>
          <cell r="I76" t="str">
            <v>N1-b1</v>
          </cell>
          <cell r="J76" t="str">
            <v>02</v>
          </cell>
          <cell r="K76" t="str">
            <v>09</v>
          </cell>
        </row>
        <row r="77">
          <cell r="A77" t="str">
            <v>02-10</v>
          </cell>
          <cell r="B77">
            <v>74</v>
          </cell>
          <cell r="C77" t="str">
            <v>C1.AM.02.10</v>
          </cell>
          <cell r="D77" t="str">
            <v>AM</v>
          </cell>
          <cell r="E77" t="str">
            <v>G-078</v>
          </cell>
          <cell r="F77" t="str">
            <v>AM127</v>
          </cell>
          <cell r="G77" t="str">
            <v>N1</v>
          </cell>
          <cell r="H77" t="str">
            <v>b1</v>
          </cell>
          <cell r="I77" t="str">
            <v>N1-b1</v>
          </cell>
          <cell r="J77" t="str">
            <v>02</v>
          </cell>
          <cell r="K77" t="str">
            <v>10</v>
          </cell>
        </row>
        <row r="78">
          <cell r="A78" t="str">
            <v>02-11</v>
          </cell>
          <cell r="B78">
            <v>75</v>
          </cell>
          <cell r="C78" t="str">
            <v>C1.AM.02.11</v>
          </cell>
          <cell r="D78" t="str">
            <v>AM</v>
          </cell>
          <cell r="E78" t="str">
            <v>G-076</v>
          </cell>
          <cell r="F78" t="str">
            <v>AM124</v>
          </cell>
          <cell r="G78" t="str">
            <v>N1</v>
          </cell>
          <cell r="H78" t="str">
            <v>b1</v>
          </cell>
          <cell r="I78" t="str">
            <v>N1-b1</v>
          </cell>
          <cell r="J78" t="str">
            <v>02</v>
          </cell>
          <cell r="K78" t="str">
            <v>11</v>
          </cell>
        </row>
        <row r="79">
          <cell r="A79" t="str">
            <v>02-12</v>
          </cell>
          <cell r="B79">
            <v>76</v>
          </cell>
          <cell r="C79" t="str">
            <v>C1.AM.02.12</v>
          </cell>
          <cell r="D79" t="str">
            <v>AM</v>
          </cell>
          <cell r="E79" t="str">
            <v>G-056</v>
          </cell>
          <cell r="F79" t="str">
            <v>AM085</v>
          </cell>
          <cell r="G79" t="str">
            <v>N1</v>
          </cell>
          <cell r="H79" t="str">
            <v>b1</v>
          </cell>
          <cell r="I79" t="str">
            <v>N1-b1</v>
          </cell>
          <cell r="J79" t="str">
            <v>02</v>
          </cell>
          <cell r="K79" t="str">
            <v>12</v>
          </cell>
        </row>
        <row r="80">
          <cell r="A80" t="str">
            <v>02-13</v>
          </cell>
          <cell r="B80">
            <v>77</v>
          </cell>
          <cell r="C80" t="str">
            <v>C1.AM.02.13</v>
          </cell>
          <cell r="D80" t="str">
            <v>AM</v>
          </cell>
          <cell r="E80" t="str">
            <v>G-038</v>
          </cell>
          <cell r="F80" t="str">
            <v>AM061</v>
          </cell>
          <cell r="G80" t="str">
            <v>N1</v>
          </cell>
          <cell r="H80" t="str">
            <v>b1</v>
          </cell>
          <cell r="I80" t="str">
            <v>N1-b1</v>
          </cell>
          <cell r="J80" t="str">
            <v>02</v>
          </cell>
          <cell r="K80" t="str">
            <v>13</v>
          </cell>
        </row>
        <row r="81">
          <cell r="A81" t="str">
            <v>02-14</v>
          </cell>
          <cell r="B81">
            <v>78</v>
          </cell>
          <cell r="C81" t="str">
            <v>C1.AM.02.14</v>
          </cell>
          <cell r="D81" t="str">
            <v>AM</v>
          </cell>
          <cell r="E81" t="str">
            <v>G-055</v>
          </cell>
          <cell r="F81" t="str">
            <v>AM084</v>
          </cell>
          <cell r="G81" t="str">
            <v>N1</v>
          </cell>
          <cell r="H81" t="str">
            <v>b1</v>
          </cell>
          <cell r="I81" t="str">
            <v>N1-b1</v>
          </cell>
          <cell r="J81" t="str">
            <v>02</v>
          </cell>
          <cell r="K81" t="str">
            <v>14</v>
          </cell>
        </row>
        <row r="82">
          <cell r="A82" t="str">
            <v>02-15</v>
          </cell>
          <cell r="B82">
            <v>79</v>
          </cell>
          <cell r="C82" t="str">
            <v>C1.AM.02.15</v>
          </cell>
          <cell r="D82" t="str">
            <v>AM</v>
          </cell>
          <cell r="E82" t="str">
            <v>G-030</v>
          </cell>
          <cell r="F82" t="str">
            <v>AM052</v>
          </cell>
          <cell r="G82" t="str">
            <v>N1</v>
          </cell>
          <cell r="H82" t="str">
            <v>b1</v>
          </cell>
          <cell r="I82" t="str">
            <v>N1-b1</v>
          </cell>
          <cell r="J82" t="str">
            <v>02</v>
          </cell>
          <cell r="K82" t="str">
            <v>15</v>
          </cell>
        </row>
        <row r="83">
          <cell r="A83" t="str">
            <v>02-16</v>
          </cell>
          <cell r="B83">
            <v>80</v>
          </cell>
          <cell r="C83" t="str">
            <v>C1.AM.02.16</v>
          </cell>
          <cell r="D83" t="str">
            <v>AM</v>
          </cell>
          <cell r="E83" t="str">
            <v>G-017</v>
          </cell>
          <cell r="F83" t="str">
            <v>AM034</v>
          </cell>
          <cell r="G83" t="str">
            <v>N1</v>
          </cell>
          <cell r="H83" t="str">
            <v>b1</v>
          </cell>
          <cell r="I83" t="str">
            <v>N1-b1</v>
          </cell>
          <cell r="J83" t="str">
            <v>02</v>
          </cell>
          <cell r="K83" t="str">
            <v>16</v>
          </cell>
        </row>
        <row r="84">
          <cell r="A84" t="str">
            <v>02-17</v>
          </cell>
          <cell r="B84">
            <v>81</v>
          </cell>
          <cell r="C84" t="str">
            <v>C1.AM.02.17</v>
          </cell>
          <cell r="D84" t="str">
            <v>AM</v>
          </cell>
          <cell r="E84" t="str">
            <v>G-064</v>
          </cell>
          <cell r="F84" t="str">
            <v>AM093</v>
          </cell>
          <cell r="G84" t="str">
            <v>N1</v>
          </cell>
          <cell r="H84" t="str">
            <v>b1</v>
          </cell>
          <cell r="I84" t="str">
            <v>N1-b1</v>
          </cell>
          <cell r="J84" t="str">
            <v>02</v>
          </cell>
          <cell r="K84" t="str">
            <v>17</v>
          </cell>
        </row>
        <row r="85">
          <cell r="A85" t="str">
            <v>02-18</v>
          </cell>
          <cell r="B85">
            <v>82</v>
          </cell>
          <cell r="C85" t="str">
            <v>C1.AM.02.18</v>
          </cell>
          <cell r="D85" t="str">
            <v>AM</v>
          </cell>
          <cell r="E85" t="str">
            <v>G-086</v>
          </cell>
          <cell r="F85" t="str">
            <v>AM140</v>
          </cell>
          <cell r="G85" t="str">
            <v>N1</v>
          </cell>
          <cell r="H85" t="str">
            <v>b1</v>
          </cell>
          <cell r="I85" t="str">
            <v>N1-b1</v>
          </cell>
          <cell r="J85" t="str">
            <v>02</v>
          </cell>
          <cell r="K85" t="str">
            <v>18</v>
          </cell>
        </row>
        <row r="86">
          <cell r="A86" t="str">
            <v>02-19</v>
          </cell>
          <cell r="B86">
            <v>83</v>
          </cell>
          <cell r="C86" t="str">
            <v>C1.AM.02.19</v>
          </cell>
          <cell r="D86" t="str">
            <v>AM</v>
          </cell>
          <cell r="E86" t="str">
            <v>G-054</v>
          </cell>
          <cell r="F86" t="str">
            <v>AM083</v>
          </cell>
          <cell r="G86" t="str">
            <v>N1</v>
          </cell>
          <cell r="H86" t="str">
            <v>b1</v>
          </cell>
          <cell r="I86" t="str">
            <v>N1-b1</v>
          </cell>
          <cell r="J86" t="str">
            <v>02</v>
          </cell>
          <cell r="K86" t="str">
            <v>19</v>
          </cell>
        </row>
        <row r="87">
          <cell r="A87" t="str">
            <v>02-20</v>
          </cell>
          <cell r="B87">
            <v>84</v>
          </cell>
          <cell r="C87" t="str">
            <v>C1.AM.02.20</v>
          </cell>
          <cell r="D87" t="str">
            <v>AM</v>
          </cell>
          <cell r="E87" t="str">
            <v>G-091</v>
          </cell>
          <cell r="F87" t="str">
            <v>AM146</v>
          </cell>
          <cell r="G87" t="str">
            <v>N1</v>
          </cell>
          <cell r="H87" t="str">
            <v>b1</v>
          </cell>
          <cell r="I87" t="str">
            <v>N1-b1</v>
          </cell>
          <cell r="J87" t="str">
            <v>02</v>
          </cell>
          <cell r="K87" t="str">
            <v>20</v>
          </cell>
        </row>
        <row r="88">
          <cell r="A88" t="str">
            <v>02-21</v>
          </cell>
          <cell r="B88">
            <v>85</v>
          </cell>
          <cell r="C88" t="str">
            <v>C1.AM.02.21</v>
          </cell>
          <cell r="D88" t="str">
            <v>AM</v>
          </cell>
          <cell r="E88" t="str">
            <v>G-105</v>
          </cell>
          <cell r="F88" t="str">
            <v>AM171</v>
          </cell>
          <cell r="G88" t="str">
            <v>N1</v>
          </cell>
          <cell r="H88" t="str">
            <v>b1</v>
          </cell>
          <cell r="I88" t="str">
            <v>N1-b1</v>
          </cell>
          <cell r="J88" t="str">
            <v>02</v>
          </cell>
          <cell r="K88" t="str">
            <v>21</v>
          </cell>
        </row>
        <row r="89">
          <cell r="A89" t="str">
            <v>02-22</v>
          </cell>
          <cell r="B89">
            <v>86</v>
          </cell>
          <cell r="C89" t="str">
            <v>C1.AM.02.22</v>
          </cell>
          <cell r="D89" t="str">
            <v>AM</v>
          </cell>
          <cell r="E89" t="str">
            <v>G-090</v>
          </cell>
          <cell r="F89" t="str">
            <v>AM145</v>
          </cell>
          <cell r="G89" t="str">
            <v>N1</v>
          </cell>
          <cell r="H89" t="str">
            <v>b1</v>
          </cell>
          <cell r="I89" t="str">
            <v>N1-b1</v>
          </cell>
          <cell r="J89" t="str">
            <v>02</v>
          </cell>
          <cell r="K89" t="str">
            <v>22</v>
          </cell>
        </row>
        <row r="90">
          <cell r="A90" t="str">
            <v>02-23</v>
          </cell>
          <cell r="B90">
            <v>87</v>
          </cell>
          <cell r="C90" t="str">
            <v>C1.AM.02.23</v>
          </cell>
          <cell r="D90" t="str">
            <v>AM</v>
          </cell>
          <cell r="E90" t="str">
            <v>G-025</v>
          </cell>
          <cell r="F90" t="str">
            <v>AM045</v>
          </cell>
          <cell r="G90" t="str">
            <v>N1</v>
          </cell>
          <cell r="H90" t="str">
            <v>b1</v>
          </cell>
          <cell r="I90" t="str">
            <v>N1-b1</v>
          </cell>
          <cell r="J90" t="str">
            <v>02</v>
          </cell>
          <cell r="K90" t="str">
            <v>23</v>
          </cell>
        </row>
        <row r="91">
          <cell r="A91" t="str">
            <v>02-24</v>
          </cell>
          <cell r="B91">
            <v>88</v>
          </cell>
          <cell r="C91" t="str">
            <v>C1.AM.02.24</v>
          </cell>
          <cell r="D91" t="str">
            <v>AM</v>
          </cell>
          <cell r="E91" t="str">
            <v>G-031</v>
          </cell>
          <cell r="F91" t="str">
            <v>AM053</v>
          </cell>
          <cell r="G91" t="str">
            <v>N1</v>
          </cell>
          <cell r="H91" t="str">
            <v>b1</v>
          </cell>
          <cell r="I91" t="str">
            <v>N1-b1</v>
          </cell>
          <cell r="J91" t="str">
            <v>02</v>
          </cell>
          <cell r="K91" t="str">
            <v>24</v>
          </cell>
        </row>
        <row r="92">
          <cell r="A92" t="str">
            <v>02-25</v>
          </cell>
          <cell r="B92">
            <v>89</v>
          </cell>
          <cell r="C92" t="str">
            <v>C1.AM.02.25</v>
          </cell>
          <cell r="D92" t="str">
            <v>AM</v>
          </cell>
          <cell r="E92" t="str">
            <v>G-027</v>
          </cell>
          <cell r="F92" t="str">
            <v>AM048</v>
          </cell>
          <cell r="G92" t="str">
            <v>N1</v>
          </cell>
          <cell r="H92" t="str">
            <v>b1</v>
          </cell>
          <cell r="I92" t="str">
            <v>N1-b1</v>
          </cell>
          <cell r="J92" t="str">
            <v>02</v>
          </cell>
          <cell r="K92" t="str">
            <v>25</v>
          </cell>
        </row>
        <row r="93">
          <cell r="A93" t="str">
            <v>02-26</v>
          </cell>
          <cell r="B93">
            <v>90</v>
          </cell>
          <cell r="C93" t="str">
            <v>C1.AM.02.26</v>
          </cell>
          <cell r="D93" t="str">
            <v>AM</v>
          </cell>
          <cell r="E93" t="str">
            <v>G-098</v>
          </cell>
          <cell r="F93" t="str">
            <v>AM164</v>
          </cell>
          <cell r="G93" t="str">
            <v>N1</v>
          </cell>
          <cell r="H93" t="str">
            <v>b1</v>
          </cell>
          <cell r="I93" t="str">
            <v>N1-b1</v>
          </cell>
          <cell r="J93" t="str">
            <v>02</v>
          </cell>
          <cell r="K93" t="str">
            <v>26</v>
          </cell>
        </row>
        <row r="94">
          <cell r="A94" t="str">
            <v>02-27</v>
          </cell>
          <cell r="B94">
            <v>91</v>
          </cell>
          <cell r="C94" t="str">
            <v>C1.AM.02.27</v>
          </cell>
          <cell r="D94" t="str">
            <v>AM</v>
          </cell>
          <cell r="E94" t="str">
            <v>G-018</v>
          </cell>
          <cell r="F94" t="str">
            <v>AM035</v>
          </cell>
          <cell r="G94" t="str">
            <v>N1</v>
          </cell>
          <cell r="H94" t="str">
            <v>b1</v>
          </cell>
          <cell r="I94" t="str">
            <v>N1-b1</v>
          </cell>
          <cell r="J94" t="str">
            <v>02</v>
          </cell>
          <cell r="K94" t="str">
            <v>27</v>
          </cell>
        </row>
        <row r="95">
          <cell r="A95" t="str">
            <v>02-28</v>
          </cell>
          <cell r="B95">
            <v>92</v>
          </cell>
          <cell r="C95" t="str">
            <v>C1.AM.02.28</v>
          </cell>
          <cell r="D95" t="str">
            <v>AM</v>
          </cell>
          <cell r="E95" t="str">
            <v>G-050</v>
          </cell>
          <cell r="F95" t="str">
            <v>AM076</v>
          </cell>
          <cell r="G95" t="str">
            <v>N1</v>
          </cell>
          <cell r="H95" t="str">
            <v>b1</v>
          </cell>
          <cell r="I95" t="str">
            <v>N1-b1</v>
          </cell>
          <cell r="J95" t="str">
            <v>02</v>
          </cell>
          <cell r="K95" t="str">
            <v>28</v>
          </cell>
        </row>
        <row r="96">
          <cell r="A96" t="str">
            <v>02-29</v>
          </cell>
          <cell r="B96">
            <v>93</v>
          </cell>
          <cell r="C96" t="str">
            <v>C1.AM.02.29</v>
          </cell>
          <cell r="D96" t="str">
            <v>AM</v>
          </cell>
          <cell r="E96" t="str">
            <v>G-118</v>
          </cell>
          <cell r="F96" t="str">
            <v>Colvert</v>
          </cell>
          <cell r="G96" t="str">
            <v>N1</v>
          </cell>
          <cell r="H96" t="str">
            <v>b1</v>
          </cell>
          <cell r="I96" t="str">
            <v>N1-b1</v>
          </cell>
          <cell r="J96" t="str">
            <v>02</v>
          </cell>
          <cell r="K96" t="str">
            <v>29</v>
          </cell>
        </row>
        <row r="97">
          <cell r="A97" t="str">
            <v>02-30</v>
          </cell>
          <cell r="B97">
            <v>94</v>
          </cell>
          <cell r="C97" t="str">
            <v>C1.AM.02.30</v>
          </cell>
          <cell r="D97" t="str">
            <v>AM</v>
          </cell>
          <cell r="E97" t="str">
            <v>G-012</v>
          </cell>
          <cell r="F97" t="str">
            <v>AM028</v>
          </cell>
          <cell r="G97" t="str">
            <v>N1</v>
          </cell>
          <cell r="H97" t="str">
            <v>b1</v>
          </cell>
          <cell r="I97" t="str">
            <v>N1-b1</v>
          </cell>
          <cell r="J97" t="str">
            <v>02</v>
          </cell>
          <cell r="K97" t="str">
            <v>30</v>
          </cell>
        </row>
        <row r="98">
          <cell r="A98" t="str">
            <v>02-31</v>
          </cell>
          <cell r="B98">
            <v>95</v>
          </cell>
          <cell r="C98" t="str">
            <v>C1.AM.02.31</v>
          </cell>
          <cell r="D98" t="str">
            <v>AM</v>
          </cell>
          <cell r="E98" t="str">
            <v>G-124</v>
          </cell>
          <cell r="F98" t="str">
            <v>S-Oase</v>
          </cell>
          <cell r="G98" t="str">
            <v>N1</v>
          </cell>
          <cell r="H98" t="str">
            <v>b1</v>
          </cell>
          <cell r="I98" t="str">
            <v>N1-b1</v>
          </cell>
          <cell r="J98" t="str">
            <v>02</v>
          </cell>
          <cell r="K98" t="str">
            <v>31</v>
          </cell>
        </row>
        <row r="99">
          <cell r="A99" t="str">
            <v>02-32</v>
          </cell>
          <cell r="B99">
            <v>96</v>
          </cell>
          <cell r="C99" t="str">
            <v>C1.AM.02.32</v>
          </cell>
          <cell r="D99" t="str">
            <v>AM</v>
          </cell>
          <cell r="E99" t="str">
            <v>G-007</v>
          </cell>
          <cell r="F99" t="str">
            <v>AM018</v>
          </cell>
          <cell r="G99" t="str">
            <v>N1</v>
          </cell>
          <cell r="H99" t="str">
            <v>b1</v>
          </cell>
          <cell r="I99" t="str">
            <v>N1-b1</v>
          </cell>
          <cell r="J99" t="str">
            <v>02</v>
          </cell>
          <cell r="K99" t="str">
            <v>32</v>
          </cell>
        </row>
        <row r="100">
          <cell r="A100" t="str">
            <v>02-33</v>
          </cell>
          <cell r="B100">
            <v>97</v>
          </cell>
          <cell r="C100" t="str">
            <v>C1.AM.02.33</v>
          </cell>
          <cell r="D100" t="str">
            <v>AM</v>
          </cell>
          <cell r="E100" t="str">
            <v>G-012</v>
          </cell>
          <cell r="F100" t="str">
            <v>AM028</v>
          </cell>
          <cell r="G100" t="str">
            <v>N2</v>
          </cell>
          <cell r="H100" t="str">
            <v>b1</v>
          </cell>
          <cell r="I100" t="str">
            <v>N2-b1</v>
          </cell>
          <cell r="J100" t="str">
            <v>02</v>
          </cell>
          <cell r="K100" t="str">
            <v>33</v>
          </cell>
        </row>
        <row r="101">
          <cell r="A101" t="str">
            <v>02-34</v>
          </cell>
          <cell r="B101">
            <v>98</v>
          </cell>
          <cell r="C101" t="str">
            <v>C1.AM.02.34</v>
          </cell>
          <cell r="D101" t="str">
            <v>AM</v>
          </cell>
          <cell r="E101" t="str">
            <v>G-086</v>
          </cell>
          <cell r="F101" t="str">
            <v>AM140</v>
          </cell>
          <cell r="G101" t="str">
            <v>N2</v>
          </cell>
          <cell r="H101" t="str">
            <v>b1</v>
          </cell>
          <cell r="I101" t="str">
            <v>N2-b1</v>
          </cell>
          <cell r="J101" t="str">
            <v>02</v>
          </cell>
          <cell r="K101" t="str">
            <v>34</v>
          </cell>
        </row>
        <row r="102">
          <cell r="A102" t="str">
            <v>02-35</v>
          </cell>
          <cell r="B102">
            <v>99</v>
          </cell>
          <cell r="C102" t="str">
            <v>C1.AM.02.35</v>
          </cell>
          <cell r="D102" t="str">
            <v>AM</v>
          </cell>
          <cell r="E102" t="str">
            <v>G-073</v>
          </cell>
          <cell r="F102" t="str">
            <v>AM111</v>
          </cell>
          <cell r="G102" t="str">
            <v>N2</v>
          </cell>
          <cell r="H102" t="str">
            <v>b1</v>
          </cell>
          <cell r="I102" t="str">
            <v>N2-b1</v>
          </cell>
          <cell r="J102" t="str">
            <v>02</v>
          </cell>
          <cell r="K102" t="str">
            <v>35</v>
          </cell>
        </row>
        <row r="103">
          <cell r="A103" t="str">
            <v>02-36</v>
          </cell>
          <cell r="B103">
            <v>100</v>
          </cell>
          <cell r="C103" t="str">
            <v>C1.AM.02.36</v>
          </cell>
          <cell r="D103" t="str">
            <v>AM</v>
          </cell>
          <cell r="E103" t="str">
            <v>G-092</v>
          </cell>
          <cell r="F103" t="str">
            <v>AM147</v>
          </cell>
          <cell r="G103" t="str">
            <v>N2</v>
          </cell>
          <cell r="H103" t="str">
            <v>b1</v>
          </cell>
          <cell r="I103" t="str">
            <v>N2-b1</v>
          </cell>
          <cell r="J103" t="str">
            <v>02</v>
          </cell>
          <cell r="K103" t="str">
            <v>36</v>
          </cell>
        </row>
        <row r="104">
          <cell r="A104" t="str">
            <v>02-37</v>
          </cell>
          <cell r="B104">
            <v>101</v>
          </cell>
          <cell r="C104" t="str">
            <v>C1.AM.02.37</v>
          </cell>
          <cell r="D104" t="str">
            <v>AM</v>
          </cell>
          <cell r="E104" t="str">
            <v>G-024</v>
          </cell>
          <cell r="F104" t="str">
            <v>AM042</v>
          </cell>
          <cell r="G104" t="str">
            <v>N2</v>
          </cell>
          <cell r="H104" t="str">
            <v>b1</v>
          </cell>
          <cell r="I104" t="str">
            <v>N2-b1</v>
          </cell>
          <cell r="J104" t="str">
            <v>02</v>
          </cell>
          <cell r="K104" t="str">
            <v>37</v>
          </cell>
        </row>
        <row r="105">
          <cell r="A105" t="str">
            <v>02-38</v>
          </cell>
          <cell r="B105">
            <v>102</v>
          </cell>
          <cell r="C105" t="str">
            <v>C1.AM.02.38</v>
          </cell>
          <cell r="D105" t="str">
            <v>AM</v>
          </cell>
          <cell r="E105" t="str">
            <v>G-030</v>
          </cell>
          <cell r="F105" t="str">
            <v>AM052</v>
          </cell>
          <cell r="G105" t="str">
            <v>N2</v>
          </cell>
          <cell r="H105" t="str">
            <v>b1</v>
          </cell>
          <cell r="I105" t="str">
            <v>N2-b1</v>
          </cell>
          <cell r="J105" t="str">
            <v>02</v>
          </cell>
          <cell r="K105" t="str">
            <v>38</v>
          </cell>
        </row>
        <row r="106">
          <cell r="A106" t="str">
            <v>02-39</v>
          </cell>
          <cell r="B106">
            <v>103</v>
          </cell>
          <cell r="C106" t="str">
            <v>C1.AM.02.39</v>
          </cell>
          <cell r="D106" t="str">
            <v>AM</v>
          </cell>
          <cell r="E106" t="str">
            <v>G-078</v>
          </cell>
          <cell r="F106" t="str">
            <v>AM127</v>
          </cell>
          <cell r="G106" t="str">
            <v>N2</v>
          </cell>
          <cell r="H106" t="str">
            <v>b1</v>
          </cell>
          <cell r="I106" t="str">
            <v>N2-b1</v>
          </cell>
          <cell r="J106" t="str">
            <v>02</v>
          </cell>
          <cell r="K106" t="str">
            <v>39</v>
          </cell>
        </row>
        <row r="107">
          <cell r="A107" t="str">
            <v>02-40</v>
          </cell>
          <cell r="B107">
            <v>104</v>
          </cell>
          <cell r="C107" t="str">
            <v>C1.AM.02.40</v>
          </cell>
          <cell r="D107" t="str">
            <v>AM</v>
          </cell>
          <cell r="E107" t="str">
            <v>G-028</v>
          </cell>
          <cell r="F107" t="str">
            <v>AM049</v>
          </cell>
          <cell r="G107" t="str">
            <v>N2</v>
          </cell>
          <cell r="H107" t="str">
            <v>b1</v>
          </cell>
          <cell r="I107" t="str">
            <v>N2-b1</v>
          </cell>
          <cell r="J107" t="str">
            <v>02</v>
          </cell>
          <cell r="K107" t="str">
            <v>40</v>
          </cell>
        </row>
        <row r="108">
          <cell r="A108" t="str">
            <v>02-41</v>
          </cell>
          <cell r="B108">
            <v>105</v>
          </cell>
          <cell r="C108" t="str">
            <v>C1.AM.02.41</v>
          </cell>
          <cell r="D108" t="str">
            <v>AM</v>
          </cell>
          <cell r="E108" t="str">
            <v>G-052</v>
          </cell>
          <cell r="F108" t="str">
            <v>AM080</v>
          </cell>
          <cell r="G108" t="str">
            <v>N2</v>
          </cell>
          <cell r="H108" t="str">
            <v>b1</v>
          </cell>
          <cell r="I108" t="str">
            <v>N2-b1</v>
          </cell>
          <cell r="J108" t="str">
            <v>02</v>
          </cell>
          <cell r="K108" t="str">
            <v>41</v>
          </cell>
        </row>
        <row r="109">
          <cell r="A109" t="str">
            <v>02-42</v>
          </cell>
          <cell r="B109">
            <v>106</v>
          </cell>
          <cell r="C109" t="str">
            <v>C1.AM.02.42</v>
          </cell>
          <cell r="D109" t="str">
            <v>AM</v>
          </cell>
          <cell r="E109" t="str">
            <v>G-101</v>
          </cell>
          <cell r="F109" t="str">
            <v>AM167</v>
          </cell>
          <cell r="G109" t="str">
            <v>N2</v>
          </cell>
          <cell r="H109" t="str">
            <v>b1</v>
          </cell>
          <cell r="I109" t="str">
            <v>N2-b1</v>
          </cell>
          <cell r="J109" t="str">
            <v>02</v>
          </cell>
          <cell r="K109" t="str">
            <v>42</v>
          </cell>
        </row>
        <row r="110">
          <cell r="A110" t="str">
            <v>02-43</v>
          </cell>
          <cell r="B110">
            <v>107</v>
          </cell>
          <cell r="C110" t="str">
            <v>C1.AM.02.43</v>
          </cell>
          <cell r="D110" t="str">
            <v>AM</v>
          </cell>
          <cell r="E110" t="str">
            <v>G-080</v>
          </cell>
          <cell r="F110" t="str">
            <v>AM130</v>
          </cell>
          <cell r="G110" t="str">
            <v>N2</v>
          </cell>
          <cell r="H110" t="str">
            <v>b1</v>
          </cell>
          <cell r="I110" t="str">
            <v>N2-b1</v>
          </cell>
          <cell r="J110" t="str">
            <v>02</v>
          </cell>
          <cell r="K110" t="str">
            <v>43</v>
          </cell>
        </row>
        <row r="111">
          <cell r="A111" t="str">
            <v>02-44</v>
          </cell>
          <cell r="B111">
            <v>108</v>
          </cell>
          <cell r="C111" t="str">
            <v>C1.AM.02.44</v>
          </cell>
          <cell r="D111" t="str">
            <v>AM</v>
          </cell>
          <cell r="E111" t="str">
            <v>G-008</v>
          </cell>
          <cell r="F111" t="str">
            <v>AM019</v>
          </cell>
          <cell r="G111" t="str">
            <v>N2</v>
          </cell>
          <cell r="H111" t="str">
            <v>b1</v>
          </cell>
          <cell r="I111" t="str">
            <v>N2-b1</v>
          </cell>
          <cell r="J111" t="str">
            <v>02</v>
          </cell>
          <cell r="K111" t="str">
            <v>44</v>
          </cell>
        </row>
        <row r="112">
          <cell r="A112" t="str">
            <v>02-45</v>
          </cell>
          <cell r="B112">
            <v>109</v>
          </cell>
          <cell r="C112" t="str">
            <v>C1.AM.02.45</v>
          </cell>
          <cell r="D112" t="str">
            <v>AM</v>
          </cell>
          <cell r="E112" t="str">
            <v>G-098</v>
          </cell>
          <cell r="F112" t="str">
            <v>AM164</v>
          </cell>
          <cell r="G112" t="str">
            <v>N2</v>
          </cell>
          <cell r="H112" t="str">
            <v>b1</v>
          </cell>
          <cell r="I112" t="str">
            <v>N2-b1</v>
          </cell>
          <cell r="J112" t="str">
            <v>02</v>
          </cell>
          <cell r="K112" t="str">
            <v>45</v>
          </cell>
        </row>
        <row r="113">
          <cell r="A113" t="str">
            <v>02-46</v>
          </cell>
          <cell r="B113">
            <v>110</v>
          </cell>
          <cell r="C113" t="str">
            <v>C1.AM.02.46</v>
          </cell>
          <cell r="D113" t="str">
            <v>AM</v>
          </cell>
          <cell r="E113" t="str">
            <v>G-063</v>
          </cell>
          <cell r="F113" t="str">
            <v>AM092</v>
          </cell>
          <cell r="G113" t="str">
            <v>N2</v>
          </cell>
          <cell r="H113" t="str">
            <v>b1</v>
          </cell>
          <cell r="I113" t="str">
            <v>N2-b1</v>
          </cell>
          <cell r="J113" t="str">
            <v>02</v>
          </cell>
          <cell r="K113" t="str">
            <v>46</v>
          </cell>
        </row>
        <row r="114">
          <cell r="A114" t="str">
            <v>02-47</v>
          </cell>
          <cell r="B114">
            <v>111</v>
          </cell>
          <cell r="C114" t="str">
            <v>C1.AM.02.47</v>
          </cell>
          <cell r="D114" t="str">
            <v>AM</v>
          </cell>
          <cell r="E114" t="str">
            <v>G-040</v>
          </cell>
          <cell r="F114" t="str">
            <v>AM063</v>
          </cell>
          <cell r="G114" t="str">
            <v>N2</v>
          </cell>
          <cell r="H114" t="str">
            <v>b1</v>
          </cell>
          <cell r="I114" t="str">
            <v>N2-b1</v>
          </cell>
          <cell r="J114" t="str">
            <v>02</v>
          </cell>
          <cell r="K114" t="str">
            <v>47</v>
          </cell>
        </row>
        <row r="115">
          <cell r="A115" t="str">
            <v>02-48</v>
          </cell>
          <cell r="B115">
            <v>112</v>
          </cell>
          <cell r="C115" t="str">
            <v>C1.AM.02.48</v>
          </cell>
          <cell r="D115" t="str">
            <v>AM</v>
          </cell>
          <cell r="E115" t="str">
            <v>G-056</v>
          </cell>
          <cell r="F115" t="str">
            <v>AM085</v>
          </cell>
          <cell r="G115" t="str">
            <v>N2</v>
          </cell>
          <cell r="H115" t="str">
            <v>b1</v>
          </cell>
          <cell r="I115" t="str">
            <v>N2-b1</v>
          </cell>
          <cell r="J115" t="str">
            <v>02</v>
          </cell>
          <cell r="K115" t="str">
            <v>48</v>
          </cell>
        </row>
        <row r="116">
          <cell r="A116" t="str">
            <v>02-49</v>
          </cell>
          <cell r="B116">
            <v>113</v>
          </cell>
          <cell r="C116" t="str">
            <v>C1.AM.02.49</v>
          </cell>
          <cell r="D116" t="str">
            <v>AM</v>
          </cell>
          <cell r="E116" t="str">
            <v>G-096</v>
          </cell>
          <cell r="F116" t="str">
            <v>AM158</v>
          </cell>
          <cell r="G116" t="str">
            <v>N2</v>
          </cell>
          <cell r="H116" t="str">
            <v>b1</v>
          </cell>
          <cell r="I116" t="str">
            <v>N2-b1</v>
          </cell>
          <cell r="J116" t="str">
            <v>02</v>
          </cell>
          <cell r="K116" t="str">
            <v>49</v>
          </cell>
        </row>
        <row r="117">
          <cell r="A117" t="str">
            <v>02-50</v>
          </cell>
          <cell r="B117">
            <v>114</v>
          </cell>
          <cell r="C117" t="str">
            <v>C1.AM.02.50</v>
          </cell>
          <cell r="D117" t="str">
            <v>AM</v>
          </cell>
          <cell r="E117" t="str">
            <v>G-070</v>
          </cell>
          <cell r="F117" t="str">
            <v>AM106</v>
          </cell>
          <cell r="G117" t="str">
            <v>N2</v>
          </cell>
          <cell r="H117" t="str">
            <v>b1</v>
          </cell>
          <cell r="I117" t="str">
            <v>N2-b1</v>
          </cell>
          <cell r="J117" t="str">
            <v>02</v>
          </cell>
          <cell r="K117" t="str">
            <v>50</v>
          </cell>
        </row>
        <row r="118">
          <cell r="A118" t="str">
            <v>02-51</v>
          </cell>
          <cell r="B118">
            <v>115</v>
          </cell>
          <cell r="C118" t="str">
            <v>C1.AM.02.51</v>
          </cell>
          <cell r="D118" t="str">
            <v>AM</v>
          </cell>
          <cell r="E118" t="str">
            <v>G-047</v>
          </cell>
          <cell r="F118" t="str">
            <v>AM071</v>
          </cell>
          <cell r="G118" t="str">
            <v>N2</v>
          </cell>
          <cell r="H118" t="str">
            <v>b1</v>
          </cell>
          <cell r="I118" t="str">
            <v>N2-b1</v>
          </cell>
          <cell r="J118" t="str">
            <v>02</v>
          </cell>
          <cell r="K118" t="str">
            <v>51</v>
          </cell>
        </row>
        <row r="119">
          <cell r="A119" t="str">
            <v>02-52</v>
          </cell>
          <cell r="B119">
            <v>116</v>
          </cell>
          <cell r="C119" t="str">
            <v>C1.AM.02.52</v>
          </cell>
          <cell r="D119" t="str">
            <v>AM</v>
          </cell>
          <cell r="E119" t="str">
            <v>G-022</v>
          </cell>
          <cell r="F119" t="str">
            <v>AM039</v>
          </cell>
          <cell r="G119" t="str">
            <v>N2</v>
          </cell>
          <cell r="H119" t="str">
            <v>b1</v>
          </cell>
          <cell r="I119" t="str">
            <v>N2-b1</v>
          </cell>
          <cell r="J119" t="str">
            <v>02</v>
          </cell>
          <cell r="K119" t="str">
            <v>52</v>
          </cell>
        </row>
        <row r="120">
          <cell r="A120" t="str">
            <v>02-53</v>
          </cell>
          <cell r="B120">
            <v>117</v>
          </cell>
          <cell r="C120" t="str">
            <v>C1.AM.02.53</v>
          </cell>
          <cell r="D120" t="str">
            <v>AM</v>
          </cell>
          <cell r="E120" t="str">
            <v>G-107</v>
          </cell>
          <cell r="F120" t="str">
            <v>AM173</v>
          </cell>
          <cell r="G120" t="str">
            <v>N2</v>
          </cell>
          <cell r="H120" t="str">
            <v>b1</v>
          </cell>
          <cell r="I120" t="str">
            <v>N2-b1</v>
          </cell>
          <cell r="J120" t="str">
            <v>02</v>
          </cell>
          <cell r="K120" t="str">
            <v>53</v>
          </cell>
        </row>
        <row r="121">
          <cell r="A121" t="str">
            <v>02-54</v>
          </cell>
          <cell r="B121">
            <v>118</v>
          </cell>
          <cell r="C121" t="str">
            <v>C1.AM.02.54</v>
          </cell>
          <cell r="D121" t="str">
            <v>AM</v>
          </cell>
          <cell r="E121" t="str">
            <v>G-016</v>
          </cell>
          <cell r="F121" t="str">
            <v>AM033</v>
          </cell>
          <cell r="G121" t="str">
            <v>N2</v>
          </cell>
          <cell r="H121" t="str">
            <v>b1</v>
          </cell>
          <cell r="I121" t="str">
            <v>N2-b1</v>
          </cell>
          <cell r="J121" t="str">
            <v>02</v>
          </cell>
          <cell r="K121" t="str">
            <v>54</v>
          </cell>
        </row>
        <row r="122">
          <cell r="A122" t="str">
            <v>02-55</v>
          </cell>
          <cell r="B122">
            <v>119</v>
          </cell>
          <cell r="C122" t="str">
            <v>C1.AM.02.55</v>
          </cell>
          <cell r="D122" t="str">
            <v>AM</v>
          </cell>
          <cell r="E122" t="str">
            <v>G-011</v>
          </cell>
          <cell r="F122" t="str">
            <v>AM027</v>
          </cell>
          <cell r="G122" t="str">
            <v>N2</v>
          </cell>
          <cell r="H122" t="str">
            <v>b1</v>
          </cell>
          <cell r="I122" t="str">
            <v>N2-b1</v>
          </cell>
          <cell r="J122" t="str">
            <v>02</v>
          </cell>
          <cell r="K122" t="str">
            <v>55</v>
          </cell>
        </row>
        <row r="123">
          <cell r="A123" t="str">
            <v>02-56</v>
          </cell>
          <cell r="B123">
            <v>120</v>
          </cell>
          <cell r="C123" t="str">
            <v>C1.AM.02.56</v>
          </cell>
          <cell r="D123" t="str">
            <v>AM</v>
          </cell>
          <cell r="E123" t="str">
            <v>G-103</v>
          </cell>
          <cell r="F123" t="str">
            <v>AM169</v>
          </cell>
          <cell r="G123" t="str">
            <v>N2</v>
          </cell>
          <cell r="H123" t="str">
            <v>b1</v>
          </cell>
          <cell r="I123" t="str">
            <v>N2-b1</v>
          </cell>
          <cell r="J123" t="str">
            <v>02</v>
          </cell>
          <cell r="K123" t="str">
            <v>56</v>
          </cell>
        </row>
        <row r="124">
          <cell r="A124" t="str">
            <v>02-57</v>
          </cell>
          <cell r="B124">
            <v>121</v>
          </cell>
          <cell r="C124" t="str">
            <v>C1.AM.02.57</v>
          </cell>
          <cell r="D124" t="str">
            <v>AM</v>
          </cell>
          <cell r="E124" t="str">
            <v>G-001</v>
          </cell>
          <cell r="F124" t="str">
            <v>Aviso</v>
          </cell>
          <cell r="G124" t="str">
            <v>N2</v>
          </cell>
          <cell r="H124" t="str">
            <v>b1</v>
          </cell>
          <cell r="I124" t="str">
            <v>N2-b1</v>
          </cell>
          <cell r="J124" t="str">
            <v>02</v>
          </cell>
          <cell r="K124" t="str">
            <v>57</v>
          </cell>
        </row>
        <row r="125">
          <cell r="A125" t="str">
            <v>02-58</v>
          </cell>
          <cell r="B125">
            <v>122</v>
          </cell>
          <cell r="C125" t="str">
            <v>C1.AM.02.58</v>
          </cell>
          <cell r="D125" t="str">
            <v>AM</v>
          </cell>
          <cell r="E125" t="str">
            <v>G-074</v>
          </cell>
          <cell r="F125" t="str">
            <v>AM120</v>
          </cell>
          <cell r="G125" t="str">
            <v>N2</v>
          </cell>
          <cell r="H125" t="str">
            <v>b1</v>
          </cell>
          <cell r="I125" t="str">
            <v>N2-b1</v>
          </cell>
          <cell r="J125" t="str">
            <v>02</v>
          </cell>
          <cell r="K125" t="str">
            <v>58</v>
          </cell>
        </row>
        <row r="126">
          <cell r="A126" t="str">
            <v>02-59</v>
          </cell>
          <cell r="B126">
            <v>123</v>
          </cell>
          <cell r="C126" t="str">
            <v>C1.AM.02.59</v>
          </cell>
          <cell r="D126" t="str">
            <v>AM</v>
          </cell>
          <cell r="E126" t="str">
            <v>G-082</v>
          </cell>
          <cell r="F126" t="str">
            <v>AM133</v>
          </cell>
          <cell r="G126" t="str">
            <v>N2</v>
          </cell>
          <cell r="H126" t="str">
            <v>b1</v>
          </cell>
          <cell r="I126" t="str">
            <v>N2-b1</v>
          </cell>
          <cell r="J126" t="str">
            <v>02</v>
          </cell>
          <cell r="K126" t="str">
            <v>59</v>
          </cell>
        </row>
        <row r="127">
          <cell r="A127" t="str">
            <v>02-60</v>
          </cell>
          <cell r="B127">
            <v>124</v>
          </cell>
          <cell r="C127" t="str">
            <v>C1.AM.02.60</v>
          </cell>
          <cell r="D127" t="str">
            <v>AM</v>
          </cell>
          <cell r="E127" t="str">
            <v>G-058</v>
          </cell>
          <cell r="F127" t="str">
            <v>AM087</v>
          </cell>
          <cell r="G127" t="str">
            <v>N2</v>
          </cell>
          <cell r="H127" t="str">
            <v>b1</v>
          </cell>
          <cell r="I127" t="str">
            <v>N2-b1</v>
          </cell>
          <cell r="J127" t="str">
            <v>02</v>
          </cell>
          <cell r="K127" t="str">
            <v>60</v>
          </cell>
        </row>
        <row r="128">
          <cell r="A128" t="str">
            <v>02-61</v>
          </cell>
          <cell r="B128">
            <v>125</v>
          </cell>
          <cell r="C128" t="str">
            <v>C1.AM.02.61</v>
          </cell>
          <cell r="D128" t="str">
            <v>AM</v>
          </cell>
          <cell r="E128" t="str">
            <v>G-110</v>
          </cell>
          <cell r="F128" t="str">
            <v>AM185</v>
          </cell>
          <cell r="G128" t="str">
            <v>N2</v>
          </cell>
          <cell r="H128" t="str">
            <v>b1</v>
          </cell>
          <cell r="I128" t="str">
            <v>N2-b1</v>
          </cell>
          <cell r="J128" t="str">
            <v>02</v>
          </cell>
          <cell r="K128" t="str">
            <v>61</v>
          </cell>
        </row>
        <row r="129">
          <cell r="A129" t="str">
            <v>02-62</v>
          </cell>
          <cell r="B129">
            <v>126</v>
          </cell>
          <cell r="C129" t="str">
            <v>C1.AM.02.62</v>
          </cell>
          <cell r="D129" t="str">
            <v>AM</v>
          </cell>
          <cell r="E129" t="str">
            <v>G-087</v>
          </cell>
          <cell r="F129" t="str">
            <v>AM141</v>
          </cell>
          <cell r="G129" t="str">
            <v>N2</v>
          </cell>
          <cell r="H129" t="str">
            <v>b1</v>
          </cell>
          <cell r="I129" t="str">
            <v>N2-b1</v>
          </cell>
          <cell r="J129" t="str">
            <v>02</v>
          </cell>
          <cell r="K129" t="str">
            <v>62</v>
          </cell>
        </row>
        <row r="130">
          <cell r="A130" t="str">
            <v>02-63</v>
          </cell>
          <cell r="B130">
            <v>127</v>
          </cell>
          <cell r="C130" t="str">
            <v>C1.AM.02.63</v>
          </cell>
          <cell r="D130" t="str">
            <v>AM</v>
          </cell>
          <cell r="E130" t="str">
            <v>G-055</v>
          </cell>
          <cell r="F130" t="str">
            <v>AM084</v>
          </cell>
          <cell r="G130" t="str">
            <v>N2</v>
          </cell>
          <cell r="H130" t="str">
            <v>b1</v>
          </cell>
          <cell r="I130" t="str">
            <v>N2-b1</v>
          </cell>
          <cell r="J130" t="str">
            <v>02</v>
          </cell>
          <cell r="K130" t="str">
            <v>63</v>
          </cell>
        </row>
        <row r="131">
          <cell r="A131" t="str">
            <v>02-64</v>
          </cell>
          <cell r="B131">
            <v>128</v>
          </cell>
          <cell r="C131" t="str">
            <v>C1.AM.02.64</v>
          </cell>
          <cell r="D131" t="str">
            <v>AM</v>
          </cell>
          <cell r="E131" t="str">
            <v>G-021</v>
          </cell>
          <cell r="F131" t="str">
            <v>AM038</v>
          </cell>
          <cell r="G131" t="str">
            <v>N2</v>
          </cell>
          <cell r="H131" t="str">
            <v>b1</v>
          </cell>
          <cell r="I131" t="str">
            <v>N2-b1</v>
          </cell>
          <cell r="J131" t="str">
            <v>02</v>
          </cell>
          <cell r="K131" t="str">
            <v>64</v>
          </cell>
        </row>
        <row r="132">
          <cell r="A132" t="str">
            <v>03-01</v>
          </cell>
          <cell r="B132">
            <v>129</v>
          </cell>
          <cell r="C132" t="str">
            <v>C1.AM.03.01</v>
          </cell>
          <cell r="D132" t="str">
            <v>AM</v>
          </cell>
          <cell r="E132" t="str">
            <v>G-057</v>
          </cell>
          <cell r="F132" t="str">
            <v>AM086</v>
          </cell>
          <cell r="G132" t="str">
            <v>N1</v>
          </cell>
          <cell r="H132" t="str">
            <v>b1</v>
          </cell>
          <cell r="I132" t="str">
            <v>N1-b1</v>
          </cell>
          <cell r="J132" t="str">
            <v>03</v>
          </cell>
          <cell r="K132" t="str">
            <v>01</v>
          </cell>
        </row>
        <row r="133">
          <cell r="A133" t="str">
            <v>03-02</v>
          </cell>
          <cell r="B133">
            <v>130</v>
          </cell>
          <cell r="C133" t="str">
            <v>C1.AM.03.02</v>
          </cell>
          <cell r="D133" t="str">
            <v>AM</v>
          </cell>
          <cell r="E133" t="str">
            <v>G-117</v>
          </cell>
          <cell r="F133" t="str">
            <v>AM198</v>
          </cell>
          <cell r="G133" t="str">
            <v>N1</v>
          </cell>
          <cell r="H133" t="str">
            <v>b1</v>
          </cell>
          <cell r="I133" t="str">
            <v>N1-b1</v>
          </cell>
          <cell r="J133" t="str">
            <v>03</v>
          </cell>
          <cell r="K133" t="str">
            <v>02</v>
          </cell>
        </row>
        <row r="134">
          <cell r="A134" t="str">
            <v>03-03</v>
          </cell>
          <cell r="B134">
            <v>131</v>
          </cell>
          <cell r="C134" t="str">
            <v>C1.AM.03.03</v>
          </cell>
          <cell r="D134" t="str">
            <v>AM</v>
          </cell>
          <cell r="E134" t="str">
            <v>G-114</v>
          </cell>
          <cell r="F134" t="str">
            <v>AM193</v>
          </cell>
          <cell r="G134" t="str">
            <v>N1</v>
          </cell>
          <cell r="H134" t="str">
            <v>b1</v>
          </cell>
          <cell r="I134" t="str">
            <v>N1-b1</v>
          </cell>
          <cell r="J134" t="str">
            <v>03</v>
          </cell>
          <cell r="K134" t="str">
            <v>03</v>
          </cell>
        </row>
        <row r="135">
          <cell r="A135" t="str">
            <v>03-04</v>
          </cell>
          <cell r="B135">
            <v>132</v>
          </cell>
          <cell r="C135" t="str">
            <v>C1.AM.03.04</v>
          </cell>
          <cell r="D135" t="str">
            <v>AM</v>
          </cell>
          <cell r="E135" t="str">
            <v>G-001</v>
          </cell>
          <cell r="F135" t="str">
            <v>Aviso</v>
          </cell>
          <cell r="G135" t="str">
            <v>N1</v>
          </cell>
          <cell r="H135" t="str">
            <v>b1</v>
          </cell>
          <cell r="I135" t="str">
            <v>N1-b1</v>
          </cell>
          <cell r="J135" t="str">
            <v>03</v>
          </cell>
          <cell r="K135" t="str">
            <v>04</v>
          </cell>
        </row>
        <row r="136">
          <cell r="A136" t="str">
            <v>03-05</v>
          </cell>
          <cell r="B136">
            <v>133</v>
          </cell>
          <cell r="C136" t="str">
            <v>C1.AM.03.05</v>
          </cell>
          <cell r="D136" t="str">
            <v>AM</v>
          </cell>
          <cell r="E136" t="str">
            <v>G-077</v>
          </cell>
          <cell r="F136" t="str">
            <v>AM125</v>
          </cell>
          <cell r="G136" t="str">
            <v>N1</v>
          </cell>
          <cell r="H136" t="str">
            <v>b1</v>
          </cell>
          <cell r="I136" t="str">
            <v>N1-b1</v>
          </cell>
          <cell r="J136" t="str">
            <v>03</v>
          </cell>
          <cell r="K136" t="str">
            <v>05</v>
          </cell>
        </row>
        <row r="137">
          <cell r="A137" t="str">
            <v>03-06</v>
          </cell>
          <cell r="B137">
            <v>134</v>
          </cell>
          <cell r="C137" t="str">
            <v>C1.AM.03.06</v>
          </cell>
          <cell r="D137" t="str">
            <v>AM</v>
          </cell>
          <cell r="E137" t="str">
            <v>G-014</v>
          </cell>
          <cell r="F137" t="str">
            <v>AM031</v>
          </cell>
          <cell r="G137" t="str">
            <v>N1</v>
          </cell>
          <cell r="H137" t="str">
            <v>b1</v>
          </cell>
          <cell r="I137" t="str">
            <v>N1-b1</v>
          </cell>
          <cell r="J137" t="str">
            <v>03</v>
          </cell>
          <cell r="K137" t="str">
            <v>06</v>
          </cell>
        </row>
        <row r="138">
          <cell r="A138" t="str">
            <v>03-07</v>
          </cell>
          <cell r="B138">
            <v>135</v>
          </cell>
          <cell r="C138" t="str">
            <v>C1.AM.03.07</v>
          </cell>
          <cell r="D138" t="str">
            <v>AM</v>
          </cell>
          <cell r="E138" t="str">
            <v>G-120</v>
          </cell>
          <cell r="F138" t="str">
            <v>Twister</v>
          </cell>
          <cell r="G138" t="str">
            <v>N1</v>
          </cell>
          <cell r="H138" t="str">
            <v>b1</v>
          </cell>
          <cell r="I138" t="str">
            <v>N1-b1</v>
          </cell>
          <cell r="J138" t="str">
            <v>03</v>
          </cell>
          <cell r="K138" t="str">
            <v>07</v>
          </cell>
        </row>
        <row r="139">
          <cell r="A139" t="str">
            <v>03-08</v>
          </cell>
          <cell r="B139">
            <v>136</v>
          </cell>
          <cell r="C139" t="str">
            <v>C1.AM.03.08</v>
          </cell>
          <cell r="D139" t="str">
            <v>AM</v>
          </cell>
          <cell r="E139" t="str">
            <v>G-080</v>
          </cell>
          <cell r="F139" t="str">
            <v>AM130</v>
          </cell>
          <cell r="G139" t="str">
            <v>N1</v>
          </cell>
          <cell r="H139" t="str">
            <v>b1</v>
          </cell>
          <cell r="I139" t="str">
            <v>N1-b1</v>
          </cell>
          <cell r="J139" t="str">
            <v>03</v>
          </cell>
          <cell r="K139" t="str">
            <v>08</v>
          </cell>
        </row>
        <row r="140">
          <cell r="A140" t="str">
            <v>03-09</v>
          </cell>
          <cell r="B140">
            <v>137</v>
          </cell>
          <cell r="C140" t="str">
            <v>C1.AM.03.09</v>
          </cell>
          <cell r="D140" t="str">
            <v>AM</v>
          </cell>
          <cell r="E140" t="str">
            <v>G-087</v>
          </cell>
          <cell r="F140" t="str">
            <v>AM141</v>
          </cell>
          <cell r="G140" t="str">
            <v>N1</v>
          </cell>
          <cell r="H140" t="str">
            <v>b1</v>
          </cell>
          <cell r="I140" t="str">
            <v>N1-b1</v>
          </cell>
          <cell r="J140" t="str">
            <v>03</v>
          </cell>
          <cell r="K140" t="str">
            <v>09</v>
          </cell>
        </row>
        <row r="141">
          <cell r="A141" t="str">
            <v>03-10</v>
          </cell>
          <cell r="B141">
            <v>138</v>
          </cell>
          <cell r="C141" t="str">
            <v>C1.AM.03.10</v>
          </cell>
          <cell r="D141" t="str">
            <v>AM</v>
          </cell>
          <cell r="E141" t="str">
            <v>G-051</v>
          </cell>
          <cell r="F141" t="str">
            <v>AM078</v>
          </cell>
          <cell r="G141" t="str">
            <v>N1</v>
          </cell>
          <cell r="H141" t="str">
            <v>b1</v>
          </cell>
          <cell r="I141" t="str">
            <v>N1-b1</v>
          </cell>
          <cell r="J141" t="str">
            <v>03</v>
          </cell>
          <cell r="K141" t="str">
            <v>10</v>
          </cell>
        </row>
        <row r="142">
          <cell r="A142" t="str">
            <v>03-11</v>
          </cell>
          <cell r="B142">
            <v>139</v>
          </cell>
          <cell r="C142" t="str">
            <v>C1.AM.03.11</v>
          </cell>
          <cell r="D142" t="str">
            <v>AM</v>
          </cell>
          <cell r="E142" t="str">
            <v>G-002</v>
          </cell>
          <cell r="F142" t="str">
            <v>Montego</v>
          </cell>
          <cell r="G142" t="str">
            <v>N1</v>
          </cell>
          <cell r="H142" t="str">
            <v>b1</v>
          </cell>
          <cell r="I142" t="str">
            <v>N1-b1</v>
          </cell>
          <cell r="J142" t="str">
            <v>03</v>
          </cell>
          <cell r="K142" t="str">
            <v>11</v>
          </cell>
        </row>
        <row r="143">
          <cell r="A143" t="str">
            <v>03-12</v>
          </cell>
          <cell r="B143">
            <v>140</v>
          </cell>
          <cell r="C143" t="str">
            <v>C1.AM.03.12</v>
          </cell>
          <cell r="D143" t="str">
            <v>AM</v>
          </cell>
          <cell r="E143" t="str">
            <v>G-029</v>
          </cell>
          <cell r="F143" t="str">
            <v>AM050</v>
          </cell>
          <cell r="G143" t="str">
            <v>N1</v>
          </cell>
          <cell r="H143" t="str">
            <v>b1</v>
          </cell>
          <cell r="I143" t="str">
            <v>N1-b1</v>
          </cell>
          <cell r="J143" t="str">
            <v>03</v>
          </cell>
          <cell r="K143" t="str">
            <v>12</v>
          </cell>
        </row>
        <row r="144">
          <cell r="A144" t="str">
            <v>03-13</v>
          </cell>
          <cell r="B144">
            <v>141</v>
          </cell>
          <cell r="C144" t="str">
            <v>C1.AM.03.13</v>
          </cell>
          <cell r="D144" t="str">
            <v>AM</v>
          </cell>
          <cell r="E144" t="str">
            <v>G-061</v>
          </cell>
          <cell r="F144" t="str">
            <v>AM090</v>
          </cell>
          <cell r="G144" t="str">
            <v>N1</v>
          </cell>
          <cell r="H144" t="str">
            <v>b1</v>
          </cell>
          <cell r="I144" t="str">
            <v>N1-b1</v>
          </cell>
          <cell r="J144" t="str">
            <v>03</v>
          </cell>
          <cell r="K144" t="str">
            <v>13</v>
          </cell>
        </row>
        <row r="145">
          <cell r="A145" t="str">
            <v>03-14</v>
          </cell>
          <cell r="B145">
            <v>142</v>
          </cell>
          <cell r="C145" t="str">
            <v>C1.AM.03.14</v>
          </cell>
          <cell r="D145" t="str">
            <v>AM</v>
          </cell>
          <cell r="E145" t="str">
            <v>G-096</v>
          </cell>
          <cell r="F145" t="str">
            <v>AM158</v>
          </cell>
          <cell r="G145" t="str">
            <v>N1</v>
          </cell>
          <cell r="H145" t="str">
            <v>b1</v>
          </cell>
          <cell r="I145" t="str">
            <v>N1-b1</v>
          </cell>
          <cell r="J145" t="str">
            <v>03</v>
          </cell>
          <cell r="K145" t="str">
            <v>14</v>
          </cell>
        </row>
        <row r="146">
          <cell r="A146" t="str">
            <v>03-15</v>
          </cell>
          <cell r="B146">
            <v>143</v>
          </cell>
          <cell r="C146" t="str">
            <v>C1.AM.03.15</v>
          </cell>
          <cell r="D146" t="str">
            <v>AM</v>
          </cell>
          <cell r="E146" t="str">
            <v>G-066</v>
          </cell>
          <cell r="F146" t="str">
            <v>AM096</v>
          </cell>
          <cell r="G146" t="str">
            <v>N1</v>
          </cell>
          <cell r="H146" t="str">
            <v>b1</v>
          </cell>
          <cell r="I146" t="str">
            <v>N1-b1</v>
          </cell>
          <cell r="J146" t="str">
            <v>03</v>
          </cell>
          <cell r="K146" t="str">
            <v>15</v>
          </cell>
        </row>
        <row r="147">
          <cell r="A147" t="str">
            <v>03-16</v>
          </cell>
          <cell r="B147">
            <v>144</v>
          </cell>
          <cell r="C147" t="str">
            <v>C1.AM.03.16</v>
          </cell>
          <cell r="D147" t="str">
            <v>AM</v>
          </cell>
          <cell r="E147" t="str">
            <v>G-108</v>
          </cell>
          <cell r="F147" t="str">
            <v>AM174</v>
          </cell>
          <cell r="G147" t="str">
            <v>N1</v>
          </cell>
          <cell r="H147" t="str">
            <v>b1</v>
          </cell>
          <cell r="I147" t="str">
            <v>N1-b1</v>
          </cell>
          <cell r="J147" t="str">
            <v>03</v>
          </cell>
          <cell r="K147" t="str">
            <v>16</v>
          </cell>
        </row>
        <row r="148">
          <cell r="A148" t="str">
            <v>03-17</v>
          </cell>
          <cell r="B148">
            <v>145</v>
          </cell>
          <cell r="C148" t="str">
            <v>C1.AM.03.17</v>
          </cell>
          <cell r="D148" t="str">
            <v>AM</v>
          </cell>
          <cell r="E148" t="str">
            <v>G-116</v>
          </cell>
          <cell r="F148" t="str">
            <v>AM197</v>
          </cell>
          <cell r="G148" t="str">
            <v>N1</v>
          </cell>
          <cell r="H148" t="str">
            <v>b1</v>
          </cell>
          <cell r="I148" t="str">
            <v>N1-b1</v>
          </cell>
          <cell r="J148" t="str">
            <v>03</v>
          </cell>
          <cell r="K148" t="str">
            <v>17</v>
          </cell>
        </row>
        <row r="149">
          <cell r="A149" t="str">
            <v>03-18</v>
          </cell>
          <cell r="B149">
            <v>146</v>
          </cell>
          <cell r="C149" t="str">
            <v>C1.AM.03.18</v>
          </cell>
          <cell r="D149" t="str">
            <v>AM</v>
          </cell>
          <cell r="E149" t="str">
            <v>G-049</v>
          </cell>
          <cell r="F149" t="str">
            <v>AM074</v>
          </cell>
          <cell r="G149" t="str">
            <v>N1</v>
          </cell>
          <cell r="H149" t="str">
            <v>b1</v>
          </cell>
          <cell r="I149" t="str">
            <v>N1-b1</v>
          </cell>
          <cell r="J149" t="str">
            <v>03</v>
          </cell>
          <cell r="K149" t="str">
            <v>18</v>
          </cell>
        </row>
        <row r="150">
          <cell r="A150" t="str">
            <v>03-19</v>
          </cell>
          <cell r="B150">
            <v>147</v>
          </cell>
          <cell r="C150" t="str">
            <v>C1.AM.03.19</v>
          </cell>
          <cell r="D150" t="str">
            <v>AM</v>
          </cell>
          <cell r="E150" t="str">
            <v>G-074</v>
          </cell>
          <cell r="F150" t="str">
            <v>AM120</v>
          </cell>
          <cell r="G150" t="str">
            <v>N1</v>
          </cell>
          <cell r="H150" t="str">
            <v>b1</v>
          </cell>
          <cell r="I150" t="str">
            <v>N1-b1</v>
          </cell>
          <cell r="J150" t="str">
            <v>03</v>
          </cell>
          <cell r="K150" t="str">
            <v>19</v>
          </cell>
        </row>
        <row r="151">
          <cell r="A151" t="str">
            <v>03-20</v>
          </cell>
          <cell r="B151">
            <v>148</v>
          </cell>
          <cell r="C151" t="str">
            <v>C1.AM.03.20</v>
          </cell>
          <cell r="D151" t="str">
            <v>AM</v>
          </cell>
          <cell r="E151" t="str">
            <v>G-001</v>
          </cell>
          <cell r="F151" t="str">
            <v>Aviso</v>
          </cell>
          <cell r="G151" t="str">
            <v>N1</v>
          </cell>
          <cell r="H151" t="str">
            <v>b1</v>
          </cell>
          <cell r="I151" t="str">
            <v>N1-b1</v>
          </cell>
          <cell r="J151" t="str">
            <v>03</v>
          </cell>
          <cell r="K151" t="str">
            <v>20</v>
          </cell>
        </row>
        <row r="152">
          <cell r="A152" t="str">
            <v>03-21</v>
          </cell>
          <cell r="B152">
            <v>149</v>
          </cell>
          <cell r="C152" t="str">
            <v>C1.AM.03.21</v>
          </cell>
          <cell r="D152" t="str">
            <v>AM</v>
          </cell>
          <cell r="E152" t="str">
            <v>G-002</v>
          </cell>
          <cell r="F152" t="str">
            <v>Montego</v>
          </cell>
          <cell r="G152" t="str">
            <v>N1</v>
          </cell>
          <cell r="H152" t="str">
            <v>b1</v>
          </cell>
          <cell r="I152" t="str">
            <v>N1-b1</v>
          </cell>
          <cell r="J152" t="str">
            <v>03</v>
          </cell>
          <cell r="K152" t="str">
            <v>21</v>
          </cell>
        </row>
        <row r="153">
          <cell r="A153" t="str">
            <v>03-22</v>
          </cell>
          <cell r="B153">
            <v>150</v>
          </cell>
          <cell r="C153" t="str">
            <v>C1.AM.03.22</v>
          </cell>
          <cell r="D153" t="str">
            <v>AM</v>
          </cell>
          <cell r="E153" t="str">
            <v>G-011</v>
          </cell>
          <cell r="F153" t="str">
            <v>AM027</v>
          </cell>
          <cell r="G153" t="str">
            <v>N1</v>
          </cell>
          <cell r="H153" t="str">
            <v>b1</v>
          </cell>
          <cell r="I153" t="str">
            <v>N1-b1</v>
          </cell>
          <cell r="J153" t="str">
            <v>03</v>
          </cell>
          <cell r="K153" t="str">
            <v>22</v>
          </cell>
        </row>
        <row r="154">
          <cell r="A154" t="str">
            <v>03-23</v>
          </cell>
          <cell r="B154">
            <v>151</v>
          </cell>
          <cell r="C154" t="str">
            <v>C1.AM.03.23</v>
          </cell>
          <cell r="D154" t="str">
            <v>AM</v>
          </cell>
          <cell r="E154" t="str">
            <v>G-060</v>
          </cell>
          <cell r="F154" t="str">
            <v>AM089</v>
          </cell>
          <cell r="G154" t="str">
            <v>N1</v>
          </cell>
          <cell r="H154" t="str">
            <v>b1</v>
          </cell>
          <cell r="I154" t="str">
            <v>N1-b1</v>
          </cell>
          <cell r="J154" t="str">
            <v>03</v>
          </cell>
          <cell r="K154" t="str">
            <v>23</v>
          </cell>
        </row>
        <row r="155">
          <cell r="A155" t="str">
            <v>03-24</v>
          </cell>
          <cell r="B155">
            <v>152</v>
          </cell>
          <cell r="C155" t="str">
            <v>C1.AM.03.24</v>
          </cell>
          <cell r="D155" t="str">
            <v>AM</v>
          </cell>
          <cell r="E155" t="str">
            <v>G-058</v>
          </cell>
          <cell r="F155" t="str">
            <v>AM087</v>
          </cell>
          <cell r="G155" t="str">
            <v>N1</v>
          </cell>
          <cell r="H155" t="str">
            <v>b1</v>
          </cell>
          <cell r="I155" t="str">
            <v>N1-b1</v>
          </cell>
          <cell r="J155" t="str">
            <v>03</v>
          </cell>
          <cell r="K155" t="str">
            <v>24</v>
          </cell>
        </row>
        <row r="156">
          <cell r="A156" t="str">
            <v>03-25</v>
          </cell>
          <cell r="B156">
            <v>153</v>
          </cell>
          <cell r="C156" t="str">
            <v>C1.AM.03.25</v>
          </cell>
          <cell r="D156" t="str">
            <v>AM</v>
          </cell>
          <cell r="E156" t="str">
            <v>G-094</v>
          </cell>
          <cell r="F156" t="str">
            <v>AM149</v>
          </cell>
          <cell r="G156" t="str">
            <v>N1</v>
          </cell>
          <cell r="H156" t="str">
            <v>b1</v>
          </cell>
          <cell r="I156" t="str">
            <v>N1-b1</v>
          </cell>
          <cell r="J156" t="str">
            <v>03</v>
          </cell>
          <cell r="K156" t="str">
            <v>25</v>
          </cell>
        </row>
        <row r="157">
          <cell r="A157" t="str">
            <v>03-26</v>
          </cell>
          <cell r="B157">
            <v>154</v>
          </cell>
          <cell r="C157" t="str">
            <v>C1.AM.03.26</v>
          </cell>
          <cell r="D157" t="str">
            <v>AM</v>
          </cell>
          <cell r="E157" t="str">
            <v>G-104</v>
          </cell>
          <cell r="F157" t="str">
            <v>AM170</v>
          </cell>
          <cell r="G157" t="str">
            <v>N1</v>
          </cell>
          <cell r="H157" t="str">
            <v>b1</v>
          </cell>
          <cell r="I157" t="str">
            <v>N1-b1</v>
          </cell>
          <cell r="J157" t="str">
            <v>03</v>
          </cell>
          <cell r="K157" t="str">
            <v>26</v>
          </cell>
        </row>
        <row r="158">
          <cell r="A158" t="str">
            <v>03-27</v>
          </cell>
          <cell r="B158">
            <v>155</v>
          </cell>
          <cell r="C158" t="str">
            <v>C1.AM.03.27</v>
          </cell>
          <cell r="D158" t="str">
            <v>AM</v>
          </cell>
          <cell r="E158" t="str">
            <v>G-073</v>
          </cell>
          <cell r="F158" t="str">
            <v>AM111</v>
          </cell>
          <cell r="G158" t="str">
            <v>N1</v>
          </cell>
          <cell r="H158" t="str">
            <v>b1</v>
          </cell>
          <cell r="I158" t="str">
            <v>N1-b1</v>
          </cell>
          <cell r="J158" t="str">
            <v>03</v>
          </cell>
          <cell r="K158" t="str">
            <v>27</v>
          </cell>
        </row>
        <row r="159">
          <cell r="A159" t="str">
            <v>03-28</v>
          </cell>
          <cell r="B159">
            <v>156</v>
          </cell>
          <cell r="C159" t="str">
            <v>C1.AM.03.28</v>
          </cell>
          <cell r="D159" t="str">
            <v>AM</v>
          </cell>
          <cell r="E159" t="str">
            <v>G-047</v>
          </cell>
          <cell r="F159" t="str">
            <v>AM071</v>
          </cell>
          <cell r="G159" t="str">
            <v>N1</v>
          </cell>
          <cell r="H159" t="str">
            <v>b1</v>
          </cell>
          <cell r="I159" t="str">
            <v>N1-b1</v>
          </cell>
          <cell r="J159" t="str">
            <v>03</v>
          </cell>
          <cell r="K159" t="str">
            <v>28</v>
          </cell>
        </row>
        <row r="160">
          <cell r="A160" t="str">
            <v>03-29</v>
          </cell>
          <cell r="B160">
            <v>157</v>
          </cell>
          <cell r="C160" t="str">
            <v>C1.AM.03.29</v>
          </cell>
          <cell r="D160" t="str">
            <v>AM</v>
          </cell>
          <cell r="E160" t="str">
            <v>G-002</v>
          </cell>
          <cell r="F160" t="str">
            <v>Montego</v>
          </cell>
          <cell r="G160" t="str">
            <v>N1</v>
          </cell>
          <cell r="H160" t="str">
            <v>b1</v>
          </cell>
          <cell r="I160" t="str">
            <v>N1-b1</v>
          </cell>
          <cell r="J160" t="str">
            <v>03</v>
          </cell>
          <cell r="K160" t="str">
            <v>29</v>
          </cell>
        </row>
        <row r="161">
          <cell r="A161" t="str">
            <v>03-30</v>
          </cell>
          <cell r="B161">
            <v>158</v>
          </cell>
          <cell r="C161" t="str">
            <v>C1.AM.03.30</v>
          </cell>
          <cell r="D161" t="str">
            <v>AM</v>
          </cell>
          <cell r="E161" t="str">
            <v>G-111</v>
          </cell>
          <cell r="F161" t="str">
            <v>AM186</v>
          </cell>
          <cell r="G161" t="str">
            <v>N1</v>
          </cell>
          <cell r="H161" t="str">
            <v>b1</v>
          </cell>
          <cell r="I161" t="str">
            <v>N1-b1</v>
          </cell>
          <cell r="J161" t="str">
            <v>03</v>
          </cell>
          <cell r="K161" t="str">
            <v>30</v>
          </cell>
        </row>
        <row r="162">
          <cell r="A162" t="str">
            <v>03-31</v>
          </cell>
          <cell r="B162">
            <v>159</v>
          </cell>
          <cell r="C162" t="str">
            <v>C1.AM.03.31</v>
          </cell>
          <cell r="D162" t="str">
            <v>AM</v>
          </cell>
          <cell r="E162" t="str">
            <v>G-041</v>
          </cell>
          <cell r="F162" t="str">
            <v>AM064</v>
          </cell>
          <cell r="G162" t="str">
            <v>N1</v>
          </cell>
          <cell r="H162" t="str">
            <v>b1</v>
          </cell>
          <cell r="I162" t="str">
            <v>N1-b1</v>
          </cell>
          <cell r="J162" t="str">
            <v>03</v>
          </cell>
          <cell r="K162" t="str">
            <v>31</v>
          </cell>
        </row>
        <row r="163">
          <cell r="A163" t="str">
            <v>03-32</v>
          </cell>
          <cell r="B163">
            <v>160</v>
          </cell>
          <cell r="C163" t="str">
            <v>C1.AM.03.32</v>
          </cell>
          <cell r="D163" t="str">
            <v>AM</v>
          </cell>
          <cell r="E163" t="str">
            <v>G-013</v>
          </cell>
          <cell r="F163" t="str">
            <v>AM030</v>
          </cell>
          <cell r="G163" t="str">
            <v>N1</v>
          </cell>
          <cell r="H163" t="str">
            <v>b1</v>
          </cell>
          <cell r="I163" t="str">
            <v>N1-b1</v>
          </cell>
          <cell r="J163" t="str">
            <v>03</v>
          </cell>
          <cell r="K163" t="str">
            <v>32</v>
          </cell>
        </row>
        <row r="164">
          <cell r="A164" t="str">
            <v>03-33</v>
          </cell>
          <cell r="B164">
            <v>161</v>
          </cell>
          <cell r="C164" t="str">
            <v>C1.AM.03.33</v>
          </cell>
          <cell r="D164" t="str">
            <v>AM</v>
          </cell>
          <cell r="E164" t="str">
            <v>G-111</v>
          </cell>
          <cell r="F164" t="str">
            <v>AM186</v>
          </cell>
          <cell r="G164" t="str">
            <v>N2</v>
          </cell>
          <cell r="H164" t="str">
            <v>b1</v>
          </cell>
          <cell r="I164" t="str">
            <v>N2-b1</v>
          </cell>
          <cell r="J164" t="str">
            <v>03</v>
          </cell>
          <cell r="K164" t="str">
            <v>33</v>
          </cell>
        </row>
        <row r="165">
          <cell r="A165" t="str">
            <v>03-34</v>
          </cell>
          <cell r="B165">
            <v>162</v>
          </cell>
          <cell r="C165" t="str">
            <v>C1.AM.03.34</v>
          </cell>
          <cell r="D165" t="str">
            <v>AM</v>
          </cell>
          <cell r="E165" t="str">
            <v>G-015</v>
          </cell>
          <cell r="F165" t="str">
            <v>AM032</v>
          </cell>
          <cell r="G165" t="str">
            <v>N2</v>
          </cell>
          <cell r="H165" t="str">
            <v>b1</v>
          </cell>
          <cell r="I165" t="str">
            <v>N2-b1</v>
          </cell>
          <cell r="J165" t="str">
            <v>03</v>
          </cell>
          <cell r="K165" t="str">
            <v>34</v>
          </cell>
        </row>
        <row r="166">
          <cell r="A166" t="str">
            <v>03-35</v>
          </cell>
          <cell r="B166">
            <v>163</v>
          </cell>
          <cell r="C166" t="str">
            <v>C1.AM.03.35</v>
          </cell>
          <cell r="D166" t="str">
            <v>AM</v>
          </cell>
          <cell r="E166" t="str">
            <v>G-009</v>
          </cell>
          <cell r="F166" t="str">
            <v>AM020</v>
          </cell>
          <cell r="G166" t="str">
            <v>N2</v>
          </cell>
          <cell r="H166" t="str">
            <v>b1</v>
          </cell>
          <cell r="I166" t="str">
            <v>N2-b1</v>
          </cell>
          <cell r="J166" t="str">
            <v>03</v>
          </cell>
          <cell r="K166" t="str">
            <v>35</v>
          </cell>
        </row>
        <row r="167">
          <cell r="A167" t="str">
            <v>03-36</v>
          </cell>
          <cell r="B167">
            <v>164</v>
          </cell>
          <cell r="C167" t="str">
            <v>C1.AM.03.36</v>
          </cell>
          <cell r="D167" t="str">
            <v>AM</v>
          </cell>
          <cell r="E167" t="str">
            <v>G-081</v>
          </cell>
          <cell r="F167" t="str">
            <v>AM131</v>
          </cell>
          <cell r="G167" t="str">
            <v>N2</v>
          </cell>
          <cell r="H167" t="str">
            <v>b1</v>
          </cell>
          <cell r="I167" t="str">
            <v>N2-b1</v>
          </cell>
          <cell r="J167" t="str">
            <v>03</v>
          </cell>
          <cell r="K167" t="str">
            <v>36</v>
          </cell>
        </row>
        <row r="168">
          <cell r="A168" t="str">
            <v>03-37</v>
          </cell>
          <cell r="B168">
            <v>165</v>
          </cell>
          <cell r="C168" t="str">
            <v>C1.AM.03.37</v>
          </cell>
          <cell r="D168" t="str">
            <v>AM</v>
          </cell>
          <cell r="E168" t="str">
            <v>G-123</v>
          </cell>
          <cell r="F168" t="str">
            <v>C-California</v>
          </cell>
          <cell r="G168" t="str">
            <v>N2</v>
          </cell>
          <cell r="H168" t="str">
            <v>b1</v>
          </cell>
          <cell r="I168" t="str">
            <v>N2-b1</v>
          </cell>
          <cell r="J168" t="str">
            <v>03</v>
          </cell>
          <cell r="K168" t="str">
            <v>37</v>
          </cell>
        </row>
        <row r="169">
          <cell r="A169" t="str">
            <v>03-38</v>
          </cell>
          <cell r="B169">
            <v>166</v>
          </cell>
          <cell r="C169" t="str">
            <v>C1.AM.03.38</v>
          </cell>
          <cell r="D169" t="str">
            <v>AM</v>
          </cell>
          <cell r="E169" t="str">
            <v>G-076</v>
          </cell>
          <cell r="F169" t="str">
            <v>AM124</v>
          </cell>
          <cell r="G169" t="str">
            <v>N2</v>
          </cell>
          <cell r="H169" t="str">
            <v>b1</v>
          </cell>
          <cell r="I169" t="str">
            <v>N2-b1</v>
          </cell>
          <cell r="J169" t="str">
            <v>03</v>
          </cell>
          <cell r="K169" t="str">
            <v>38</v>
          </cell>
        </row>
        <row r="170">
          <cell r="A170" t="str">
            <v>03-39</v>
          </cell>
          <cell r="B170">
            <v>167</v>
          </cell>
          <cell r="C170" t="str">
            <v>C1.AM.03.39</v>
          </cell>
          <cell r="D170" t="str">
            <v>AM</v>
          </cell>
          <cell r="E170" t="str">
            <v>G-059</v>
          </cell>
          <cell r="F170" t="str">
            <v>AM088</v>
          </cell>
          <cell r="G170" t="str">
            <v>N2</v>
          </cell>
          <cell r="H170" t="str">
            <v>b1</v>
          </cell>
          <cell r="I170" t="str">
            <v>N2-b1</v>
          </cell>
          <cell r="J170" t="str">
            <v>03</v>
          </cell>
          <cell r="K170" t="str">
            <v>39</v>
          </cell>
        </row>
        <row r="171">
          <cell r="A171" t="str">
            <v>03-40</v>
          </cell>
          <cell r="B171">
            <v>168</v>
          </cell>
          <cell r="C171" t="str">
            <v>C1.AM.03.40</v>
          </cell>
          <cell r="D171" t="str">
            <v>AM</v>
          </cell>
          <cell r="E171" t="str">
            <v>G-046</v>
          </cell>
          <cell r="F171" t="str">
            <v>AM070</v>
          </cell>
          <cell r="G171" t="str">
            <v>N2</v>
          </cell>
          <cell r="H171" t="str">
            <v>b1</v>
          </cell>
          <cell r="I171" t="str">
            <v>N2-b1</v>
          </cell>
          <cell r="J171" t="str">
            <v>03</v>
          </cell>
          <cell r="K171" t="str">
            <v>40</v>
          </cell>
        </row>
        <row r="172">
          <cell r="A172" t="str">
            <v>03-41</v>
          </cell>
          <cell r="B172">
            <v>169</v>
          </cell>
          <cell r="C172" t="str">
            <v>C1.AM.03.41</v>
          </cell>
          <cell r="D172" t="str">
            <v>AM</v>
          </cell>
          <cell r="E172" t="str">
            <v>G-005</v>
          </cell>
          <cell r="F172" t="str">
            <v>AM016</v>
          </cell>
          <cell r="G172" t="str">
            <v>N2</v>
          </cell>
          <cell r="H172" t="str">
            <v>b1</v>
          </cell>
          <cell r="I172" t="str">
            <v>N2-b1</v>
          </cell>
          <cell r="J172" t="str">
            <v>03</v>
          </cell>
          <cell r="K172" t="str">
            <v>41</v>
          </cell>
        </row>
        <row r="173">
          <cell r="A173" t="str">
            <v>03-42</v>
          </cell>
          <cell r="B173">
            <v>170</v>
          </cell>
          <cell r="C173" t="str">
            <v>C1.AM.03.42</v>
          </cell>
          <cell r="D173" t="str">
            <v>AM</v>
          </cell>
          <cell r="E173" t="str">
            <v>G-001</v>
          </cell>
          <cell r="F173" t="str">
            <v>Aviso</v>
          </cell>
          <cell r="G173" t="str">
            <v>N2</v>
          </cell>
          <cell r="H173" t="str">
            <v>b1</v>
          </cell>
          <cell r="I173" t="str">
            <v>N2-b1</v>
          </cell>
          <cell r="J173" t="str">
            <v>03</v>
          </cell>
          <cell r="K173" t="str">
            <v>42</v>
          </cell>
        </row>
        <row r="174">
          <cell r="A174" t="str">
            <v>03-43</v>
          </cell>
          <cell r="B174">
            <v>171</v>
          </cell>
          <cell r="C174" t="str">
            <v>C1.AM.03.43</v>
          </cell>
          <cell r="D174" t="str">
            <v>AM</v>
          </cell>
          <cell r="E174" t="str">
            <v>G-031</v>
          </cell>
          <cell r="F174" t="str">
            <v>AM053</v>
          </cell>
          <cell r="G174" t="str">
            <v>N2</v>
          </cell>
          <cell r="H174" t="str">
            <v>b1</v>
          </cell>
          <cell r="I174" t="str">
            <v>N2-b1</v>
          </cell>
          <cell r="J174" t="str">
            <v>03</v>
          </cell>
          <cell r="K174" t="str">
            <v>43</v>
          </cell>
        </row>
        <row r="175">
          <cell r="A175" t="str">
            <v>03-44</v>
          </cell>
          <cell r="B175">
            <v>172</v>
          </cell>
          <cell r="C175" t="str">
            <v>C1.AM.03.44</v>
          </cell>
          <cell r="D175" t="str">
            <v>AM</v>
          </cell>
          <cell r="E175" t="str">
            <v>G-033</v>
          </cell>
          <cell r="F175" t="str">
            <v>AM056</v>
          </cell>
          <cell r="G175" t="str">
            <v>N2</v>
          </cell>
          <cell r="H175" t="str">
            <v>b1</v>
          </cell>
          <cell r="I175" t="str">
            <v>N2-b1</v>
          </cell>
          <cell r="J175" t="str">
            <v>03</v>
          </cell>
          <cell r="K175" t="str">
            <v>44</v>
          </cell>
        </row>
        <row r="176">
          <cell r="A176" t="str">
            <v>03-45</v>
          </cell>
          <cell r="B176">
            <v>173</v>
          </cell>
          <cell r="C176" t="str">
            <v>C1.AM.03.45</v>
          </cell>
          <cell r="D176" t="str">
            <v>AM</v>
          </cell>
          <cell r="E176" t="str">
            <v>G-085</v>
          </cell>
          <cell r="F176" t="str">
            <v>AM139</v>
          </cell>
          <cell r="G176" t="str">
            <v>N2</v>
          </cell>
          <cell r="H176" t="str">
            <v>b1</v>
          </cell>
          <cell r="I176" t="str">
            <v>N2-b1</v>
          </cell>
          <cell r="J176" t="str">
            <v>03</v>
          </cell>
          <cell r="K176" t="str">
            <v>45</v>
          </cell>
        </row>
        <row r="177">
          <cell r="A177" t="str">
            <v>03-46</v>
          </cell>
          <cell r="B177">
            <v>174</v>
          </cell>
          <cell r="C177" t="str">
            <v>C1.AM.03.46</v>
          </cell>
          <cell r="D177" t="str">
            <v>AM</v>
          </cell>
          <cell r="E177" t="str">
            <v>G-072</v>
          </cell>
          <cell r="F177" t="str">
            <v>AM109</v>
          </cell>
          <cell r="G177" t="str">
            <v>N2</v>
          </cell>
          <cell r="H177" t="str">
            <v>b1</v>
          </cell>
          <cell r="I177" t="str">
            <v>N2-b1</v>
          </cell>
          <cell r="J177" t="str">
            <v>03</v>
          </cell>
          <cell r="K177" t="str">
            <v>46</v>
          </cell>
        </row>
        <row r="178">
          <cell r="A178" t="str">
            <v>03-47</v>
          </cell>
          <cell r="B178">
            <v>175</v>
          </cell>
          <cell r="C178" t="str">
            <v>C1.AM.03.47</v>
          </cell>
          <cell r="D178" t="str">
            <v>AM</v>
          </cell>
          <cell r="E178" t="str">
            <v>G-084</v>
          </cell>
          <cell r="F178" t="str">
            <v>AM138</v>
          </cell>
          <cell r="G178" t="str">
            <v>N2</v>
          </cell>
          <cell r="H178" t="str">
            <v>b1</v>
          </cell>
          <cell r="I178" t="str">
            <v>N2-b1</v>
          </cell>
          <cell r="J178" t="str">
            <v>03</v>
          </cell>
          <cell r="K178" t="str">
            <v>47</v>
          </cell>
        </row>
        <row r="179">
          <cell r="A179" t="str">
            <v>03-48</v>
          </cell>
          <cell r="B179">
            <v>176</v>
          </cell>
          <cell r="C179" t="str">
            <v>C1.AM.03.48</v>
          </cell>
          <cell r="D179" t="str">
            <v>AM</v>
          </cell>
          <cell r="E179" t="str">
            <v>G-042</v>
          </cell>
          <cell r="F179" t="str">
            <v>AM066</v>
          </cell>
          <cell r="G179" t="str">
            <v>N2</v>
          </cell>
          <cell r="H179" t="str">
            <v>b1</v>
          </cell>
          <cell r="I179" t="str">
            <v>N2-b1</v>
          </cell>
          <cell r="J179" t="str">
            <v>03</v>
          </cell>
          <cell r="K179" t="str">
            <v>48</v>
          </cell>
        </row>
        <row r="180">
          <cell r="A180" t="str">
            <v>03-49</v>
          </cell>
          <cell r="B180">
            <v>177</v>
          </cell>
          <cell r="C180" t="str">
            <v>C1.AM.03.49</v>
          </cell>
          <cell r="D180" t="str">
            <v>AM</v>
          </cell>
          <cell r="E180" t="str">
            <v>G-067</v>
          </cell>
          <cell r="F180" t="str">
            <v>AM098</v>
          </cell>
          <cell r="G180" t="str">
            <v>N2</v>
          </cell>
          <cell r="H180" t="str">
            <v>b1</v>
          </cell>
          <cell r="I180" t="str">
            <v>N2-b1</v>
          </cell>
          <cell r="J180" t="str">
            <v>03</v>
          </cell>
          <cell r="K180" t="str">
            <v>49</v>
          </cell>
        </row>
        <row r="181">
          <cell r="A181" t="str">
            <v>03-50</v>
          </cell>
          <cell r="B181">
            <v>178</v>
          </cell>
          <cell r="C181" t="str">
            <v>C1.AM.03.50</v>
          </cell>
          <cell r="D181" t="str">
            <v>AM</v>
          </cell>
          <cell r="E181" t="str">
            <v>G-060</v>
          </cell>
          <cell r="F181" t="str">
            <v>AM089</v>
          </cell>
          <cell r="G181" t="str">
            <v>N2</v>
          </cell>
          <cell r="H181" t="str">
            <v>b1</v>
          </cell>
          <cell r="I181" t="str">
            <v>N2-b1</v>
          </cell>
          <cell r="J181" t="str">
            <v>03</v>
          </cell>
          <cell r="K181" t="str">
            <v>50</v>
          </cell>
        </row>
        <row r="182">
          <cell r="A182" t="str">
            <v>03-51</v>
          </cell>
          <cell r="B182">
            <v>179</v>
          </cell>
          <cell r="C182" t="str">
            <v>C1.AM.03.51</v>
          </cell>
          <cell r="D182" t="str">
            <v>AM</v>
          </cell>
          <cell r="E182" t="str">
            <v>G-051</v>
          </cell>
          <cell r="F182" t="str">
            <v>AM078</v>
          </cell>
          <cell r="G182" t="str">
            <v>N2</v>
          </cell>
          <cell r="H182" t="str">
            <v>b1</v>
          </cell>
          <cell r="I182" t="str">
            <v>N2-b1</v>
          </cell>
          <cell r="J182" t="str">
            <v>03</v>
          </cell>
          <cell r="K182" t="str">
            <v>51</v>
          </cell>
        </row>
        <row r="183">
          <cell r="A183" t="str">
            <v>03-52</v>
          </cell>
          <cell r="B183">
            <v>180</v>
          </cell>
          <cell r="C183" t="str">
            <v>C1.AM.03.52</v>
          </cell>
          <cell r="D183" t="str">
            <v>AM</v>
          </cell>
          <cell r="E183" t="str">
            <v>G-032</v>
          </cell>
          <cell r="F183" t="str">
            <v>AM055</v>
          </cell>
          <cell r="G183" t="str">
            <v>N2</v>
          </cell>
          <cell r="H183" t="str">
            <v>b1</v>
          </cell>
          <cell r="I183" t="str">
            <v>N2-b1</v>
          </cell>
          <cell r="J183" t="str">
            <v>03</v>
          </cell>
          <cell r="K183" t="str">
            <v>52</v>
          </cell>
        </row>
        <row r="184">
          <cell r="A184" t="str">
            <v>03-53</v>
          </cell>
          <cell r="B184">
            <v>181</v>
          </cell>
          <cell r="C184" t="str">
            <v>C1.AM.03.53</v>
          </cell>
          <cell r="D184" t="str">
            <v>AM</v>
          </cell>
          <cell r="E184" t="str">
            <v>G-002</v>
          </cell>
          <cell r="F184" t="str">
            <v>Montego</v>
          </cell>
          <cell r="G184" t="str">
            <v>N2</v>
          </cell>
          <cell r="H184" t="str">
            <v>b1</v>
          </cell>
          <cell r="I184" t="str">
            <v>N2-b1</v>
          </cell>
          <cell r="J184" t="str">
            <v>03</v>
          </cell>
          <cell r="K184" t="str">
            <v>53</v>
          </cell>
        </row>
        <row r="185">
          <cell r="A185" t="str">
            <v>03-54</v>
          </cell>
          <cell r="B185">
            <v>182</v>
          </cell>
          <cell r="C185" t="str">
            <v>C1.AM.03.54</v>
          </cell>
          <cell r="D185" t="str">
            <v>AM</v>
          </cell>
          <cell r="E185" t="str">
            <v>G-036</v>
          </cell>
          <cell r="F185" t="str">
            <v>AM059</v>
          </cell>
          <cell r="G185" t="str">
            <v>N2</v>
          </cell>
          <cell r="H185" t="str">
            <v>b1</v>
          </cell>
          <cell r="I185" t="str">
            <v>N2-b1</v>
          </cell>
          <cell r="J185" t="str">
            <v>03</v>
          </cell>
          <cell r="K185" t="str">
            <v>54</v>
          </cell>
        </row>
        <row r="186">
          <cell r="A186" t="str">
            <v>03-55</v>
          </cell>
          <cell r="B186">
            <v>183</v>
          </cell>
          <cell r="C186" t="str">
            <v>C1.AM.03.55</v>
          </cell>
          <cell r="D186" t="str">
            <v>AM</v>
          </cell>
          <cell r="E186" t="str">
            <v>G-054</v>
          </cell>
          <cell r="F186" t="str">
            <v>AM083</v>
          </cell>
          <cell r="G186" t="str">
            <v>N2</v>
          </cell>
          <cell r="H186" t="str">
            <v>b1</v>
          </cell>
          <cell r="I186" t="str">
            <v>N2-b1</v>
          </cell>
          <cell r="J186" t="str">
            <v>03</v>
          </cell>
          <cell r="K186" t="str">
            <v>55</v>
          </cell>
        </row>
        <row r="187">
          <cell r="A187" t="str">
            <v>03-56</v>
          </cell>
          <cell r="B187">
            <v>184</v>
          </cell>
          <cell r="C187" t="str">
            <v>C1.AM.03.56</v>
          </cell>
          <cell r="D187" t="str">
            <v>AM</v>
          </cell>
          <cell r="E187" t="str">
            <v>G-044</v>
          </cell>
          <cell r="F187" t="str">
            <v>AM068</v>
          </cell>
          <cell r="G187" t="str">
            <v>N2</v>
          </cell>
          <cell r="H187" t="str">
            <v>b1</v>
          </cell>
          <cell r="I187" t="str">
            <v>N2-b1</v>
          </cell>
          <cell r="J187" t="str">
            <v>03</v>
          </cell>
          <cell r="K187" t="str">
            <v>56</v>
          </cell>
        </row>
        <row r="188">
          <cell r="A188" t="str">
            <v>03-57</v>
          </cell>
          <cell r="B188">
            <v>185</v>
          </cell>
          <cell r="C188" t="str">
            <v>C1.AM.03.57</v>
          </cell>
          <cell r="D188" t="str">
            <v>AM</v>
          </cell>
          <cell r="E188" t="str">
            <v>G-043</v>
          </cell>
          <cell r="F188" t="str">
            <v>AM067</v>
          </cell>
          <cell r="G188" t="str">
            <v>N2</v>
          </cell>
          <cell r="H188" t="str">
            <v>b1</v>
          </cell>
          <cell r="I188" t="str">
            <v>N2-b1</v>
          </cell>
          <cell r="J188" t="str">
            <v>03</v>
          </cell>
          <cell r="K188" t="str">
            <v>57</v>
          </cell>
        </row>
        <row r="189">
          <cell r="A189" t="str">
            <v>03-58</v>
          </cell>
          <cell r="B189">
            <v>186</v>
          </cell>
          <cell r="C189" t="str">
            <v>C1.AM.03.58</v>
          </cell>
          <cell r="D189" t="str">
            <v>AM</v>
          </cell>
          <cell r="E189" t="str">
            <v>G-029</v>
          </cell>
          <cell r="F189" t="str">
            <v>AM050</v>
          </cell>
          <cell r="G189" t="str">
            <v>N2</v>
          </cell>
          <cell r="H189" t="str">
            <v>b1</v>
          </cell>
          <cell r="I189" t="str">
            <v>N2-b1</v>
          </cell>
          <cell r="J189" t="str">
            <v>03</v>
          </cell>
          <cell r="K189" t="str">
            <v>58</v>
          </cell>
        </row>
        <row r="190">
          <cell r="A190" t="str">
            <v>03-59</v>
          </cell>
          <cell r="B190">
            <v>187</v>
          </cell>
          <cell r="C190" t="str">
            <v>C1.AM.03.59</v>
          </cell>
          <cell r="D190" t="str">
            <v>AM</v>
          </cell>
          <cell r="E190" t="str">
            <v>G-001</v>
          </cell>
          <cell r="F190" t="str">
            <v>Aviso</v>
          </cell>
          <cell r="G190" t="str">
            <v>N2</v>
          </cell>
          <cell r="H190" t="str">
            <v>b1</v>
          </cell>
          <cell r="I190" t="str">
            <v>N2-b1</v>
          </cell>
          <cell r="J190" t="str">
            <v>03</v>
          </cell>
          <cell r="K190" t="str">
            <v>59</v>
          </cell>
        </row>
        <row r="191">
          <cell r="A191" t="str">
            <v>03-60</v>
          </cell>
          <cell r="B191">
            <v>188</v>
          </cell>
          <cell r="C191" t="str">
            <v>C1.AM.03.60</v>
          </cell>
          <cell r="D191" t="str">
            <v>AM</v>
          </cell>
          <cell r="E191" t="str">
            <v>G-034</v>
          </cell>
          <cell r="F191" t="str">
            <v>AM057</v>
          </cell>
          <cell r="G191" t="str">
            <v>N2</v>
          </cell>
          <cell r="H191" t="str">
            <v>b1</v>
          </cell>
          <cell r="I191" t="str">
            <v>N2-b1</v>
          </cell>
          <cell r="J191" t="str">
            <v>03</v>
          </cell>
          <cell r="K191" t="str">
            <v>60</v>
          </cell>
        </row>
        <row r="192">
          <cell r="A192" t="str">
            <v>03-61</v>
          </cell>
          <cell r="B192">
            <v>189</v>
          </cell>
          <cell r="C192" t="str">
            <v>C1.AM.03.61</v>
          </cell>
          <cell r="D192" t="str">
            <v>AM</v>
          </cell>
          <cell r="E192" t="str">
            <v>G-071</v>
          </cell>
          <cell r="F192" t="str">
            <v>AM107</v>
          </cell>
          <cell r="G192" t="str">
            <v>N2</v>
          </cell>
          <cell r="H192" t="str">
            <v>b1</v>
          </cell>
          <cell r="I192" t="str">
            <v>N2-b1</v>
          </cell>
          <cell r="J192" t="str">
            <v>03</v>
          </cell>
          <cell r="K192" t="str">
            <v>61</v>
          </cell>
        </row>
        <row r="193">
          <cell r="A193" t="str">
            <v>03-62</v>
          </cell>
          <cell r="B193">
            <v>190</v>
          </cell>
          <cell r="C193" t="str">
            <v>C1.AM.03.62</v>
          </cell>
          <cell r="D193" t="str">
            <v>AM</v>
          </cell>
          <cell r="E193" t="str">
            <v>G-062</v>
          </cell>
          <cell r="F193" t="str">
            <v>AM091</v>
          </cell>
          <cell r="G193" t="str">
            <v>N2</v>
          </cell>
          <cell r="H193" t="str">
            <v>b1</v>
          </cell>
          <cell r="I193" t="str">
            <v>N2-b1</v>
          </cell>
          <cell r="J193" t="str">
            <v>03</v>
          </cell>
          <cell r="K193" t="str">
            <v>62</v>
          </cell>
        </row>
        <row r="194">
          <cell r="A194" t="str">
            <v>03-63</v>
          </cell>
          <cell r="B194">
            <v>191</v>
          </cell>
          <cell r="C194" t="str">
            <v>C1.AM.03.63</v>
          </cell>
          <cell r="D194" t="str">
            <v>AM</v>
          </cell>
          <cell r="E194" t="str">
            <v>G-014</v>
          </cell>
          <cell r="F194" t="str">
            <v>AM031</v>
          </cell>
          <cell r="G194" t="str">
            <v>N2</v>
          </cell>
          <cell r="H194" t="str">
            <v>b1</v>
          </cell>
          <cell r="I194" t="str">
            <v>N2-b1</v>
          </cell>
          <cell r="J194" t="str">
            <v>03</v>
          </cell>
          <cell r="K194" t="str">
            <v>63</v>
          </cell>
        </row>
        <row r="195">
          <cell r="A195" t="str">
            <v>03-64</v>
          </cell>
          <cell r="B195">
            <v>192</v>
          </cell>
          <cell r="C195" t="str">
            <v>C1.AM.03.64</v>
          </cell>
          <cell r="D195" t="str">
            <v>AM</v>
          </cell>
          <cell r="E195" t="str">
            <v>G-089</v>
          </cell>
          <cell r="F195" t="str">
            <v>AM144</v>
          </cell>
          <cell r="G195" t="str">
            <v>N2</v>
          </cell>
          <cell r="H195" t="str">
            <v>b1</v>
          </cell>
          <cell r="I195" t="str">
            <v>N2-b1</v>
          </cell>
          <cell r="J195" t="str">
            <v>03</v>
          </cell>
          <cell r="K195" t="str">
            <v>64</v>
          </cell>
        </row>
        <row r="196">
          <cell r="A196" t="str">
            <v>04-01</v>
          </cell>
          <cell r="B196">
            <v>193</v>
          </cell>
          <cell r="C196" t="str">
            <v>C1.AM.04.01</v>
          </cell>
          <cell r="D196" t="str">
            <v>AM</v>
          </cell>
          <cell r="E196" t="str">
            <v>G-035</v>
          </cell>
          <cell r="F196" t="str">
            <v>AM058</v>
          </cell>
          <cell r="G196" t="str">
            <v>N1</v>
          </cell>
          <cell r="H196" t="str">
            <v>b1</v>
          </cell>
          <cell r="I196" t="str">
            <v>N1-b1</v>
          </cell>
          <cell r="J196" t="str">
            <v>04</v>
          </cell>
          <cell r="K196" t="str">
            <v>01</v>
          </cell>
        </row>
        <row r="197">
          <cell r="A197" t="str">
            <v>04-02</v>
          </cell>
          <cell r="B197">
            <v>194</v>
          </cell>
          <cell r="C197" t="str">
            <v>C1.AM.04.02</v>
          </cell>
          <cell r="D197" t="str">
            <v>AM</v>
          </cell>
          <cell r="E197" t="str">
            <v>G-048</v>
          </cell>
          <cell r="F197" t="str">
            <v>AM073</v>
          </cell>
          <cell r="G197" t="str">
            <v>N1</v>
          </cell>
          <cell r="H197" t="str">
            <v>b1</v>
          </cell>
          <cell r="I197" t="str">
            <v>N1-b1</v>
          </cell>
          <cell r="J197" t="str">
            <v>04</v>
          </cell>
          <cell r="K197" t="str">
            <v>02</v>
          </cell>
        </row>
        <row r="198">
          <cell r="A198" t="str">
            <v>04-03</v>
          </cell>
          <cell r="B198">
            <v>195</v>
          </cell>
          <cell r="C198" t="str">
            <v>C1.AM.04.03</v>
          </cell>
          <cell r="D198" t="str">
            <v>AM</v>
          </cell>
          <cell r="E198" t="str">
            <v>G-106</v>
          </cell>
          <cell r="F198" t="str">
            <v>AM172</v>
          </cell>
          <cell r="G198" t="str">
            <v>N1</v>
          </cell>
          <cell r="H198" t="str">
            <v>b1</v>
          </cell>
          <cell r="I198" t="str">
            <v>N1-b1</v>
          </cell>
          <cell r="J198" t="str">
            <v>04</v>
          </cell>
          <cell r="K198" t="str">
            <v>03</v>
          </cell>
        </row>
        <row r="199">
          <cell r="A199" t="str">
            <v>04-04</v>
          </cell>
          <cell r="B199">
            <v>196</v>
          </cell>
          <cell r="C199" t="str">
            <v>C1.AM.04.04</v>
          </cell>
          <cell r="D199" t="str">
            <v>AM</v>
          </cell>
          <cell r="E199" t="str">
            <v>G-115</v>
          </cell>
          <cell r="F199" t="str">
            <v>AM195</v>
          </cell>
          <cell r="G199" t="str">
            <v>N1</v>
          </cell>
          <cell r="H199" t="str">
            <v>b1</v>
          </cell>
          <cell r="I199" t="str">
            <v>N1-b1</v>
          </cell>
          <cell r="J199" t="str">
            <v>04</v>
          </cell>
          <cell r="K199" t="str">
            <v>04</v>
          </cell>
        </row>
        <row r="200">
          <cell r="A200" t="str">
            <v>04-05</v>
          </cell>
          <cell r="B200">
            <v>197</v>
          </cell>
          <cell r="C200" t="str">
            <v>C1.AM.04.05</v>
          </cell>
          <cell r="D200" t="str">
            <v>AM</v>
          </cell>
          <cell r="E200" t="str">
            <v>G-001</v>
          </cell>
          <cell r="F200" t="str">
            <v>Aviso</v>
          </cell>
          <cell r="G200" t="str">
            <v>N1</v>
          </cell>
          <cell r="H200" t="str">
            <v>b1</v>
          </cell>
          <cell r="I200" t="str">
            <v>N1-b1</v>
          </cell>
          <cell r="J200" t="str">
            <v>04</v>
          </cell>
          <cell r="K200" t="str">
            <v>05</v>
          </cell>
        </row>
        <row r="201">
          <cell r="A201" t="str">
            <v>04-06</v>
          </cell>
          <cell r="B201">
            <v>198</v>
          </cell>
          <cell r="C201" t="str">
            <v>C1.AM.04.06</v>
          </cell>
          <cell r="D201" t="str">
            <v>AM</v>
          </cell>
          <cell r="E201" t="str">
            <v>G-059</v>
          </cell>
          <cell r="F201" t="str">
            <v>AM088</v>
          </cell>
          <cell r="G201" t="str">
            <v>N1</v>
          </cell>
          <cell r="H201" t="str">
            <v>b1</v>
          </cell>
          <cell r="I201" t="str">
            <v>N1-b1</v>
          </cell>
          <cell r="J201" t="str">
            <v>04</v>
          </cell>
          <cell r="K201" t="str">
            <v>06</v>
          </cell>
        </row>
        <row r="202">
          <cell r="A202" t="str">
            <v>04-07</v>
          </cell>
          <cell r="B202">
            <v>199</v>
          </cell>
          <cell r="C202" t="str">
            <v>C1.AM.04.07</v>
          </cell>
          <cell r="D202" t="str">
            <v>AM</v>
          </cell>
          <cell r="E202" t="str">
            <v>G-079</v>
          </cell>
          <cell r="F202" t="str">
            <v>AM129</v>
          </cell>
          <cell r="G202" t="str">
            <v>N1</v>
          </cell>
          <cell r="H202" t="str">
            <v>b1</v>
          </cell>
          <cell r="I202" t="str">
            <v>N1-b1</v>
          </cell>
          <cell r="J202" t="str">
            <v>04</v>
          </cell>
          <cell r="K202" t="str">
            <v>07</v>
          </cell>
        </row>
        <row r="203">
          <cell r="A203" t="str">
            <v>04-08</v>
          </cell>
          <cell r="B203">
            <v>200</v>
          </cell>
          <cell r="C203" t="str">
            <v>C1.AM.04.08</v>
          </cell>
          <cell r="D203" t="str">
            <v>AM</v>
          </cell>
          <cell r="E203" t="str">
            <v>G-022</v>
          </cell>
          <cell r="F203" t="str">
            <v>AM039</v>
          </cell>
          <cell r="G203" t="str">
            <v>N1</v>
          </cell>
          <cell r="H203" t="str">
            <v>b1</v>
          </cell>
          <cell r="I203" t="str">
            <v>N1-b1</v>
          </cell>
          <cell r="J203" t="str">
            <v>04</v>
          </cell>
          <cell r="K203" t="str">
            <v>08</v>
          </cell>
        </row>
        <row r="204">
          <cell r="A204" t="str">
            <v>04-09</v>
          </cell>
          <cell r="B204">
            <v>201</v>
          </cell>
          <cell r="C204" t="str">
            <v>C1.AM.04.09</v>
          </cell>
          <cell r="D204" t="str">
            <v>AM</v>
          </cell>
          <cell r="E204" t="str">
            <v>G-092</v>
          </cell>
          <cell r="F204" t="str">
            <v>AM147</v>
          </cell>
          <cell r="G204" t="str">
            <v>N1</v>
          </cell>
          <cell r="H204" t="str">
            <v>b1</v>
          </cell>
          <cell r="I204" t="str">
            <v>N1-b1</v>
          </cell>
          <cell r="J204" t="str">
            <v>04</v>
          </cell>
          <cell r="K204" t="str">
            <v>09</v>
          </cell>
        </row>
        <row r="205">
          <cell r="A205" t="str">
            <v>04-10</v>
          </cell>
          <cell r="B205">
            <v>202</v>
          </cell>
          <cell r="C205" t="str">
            <v>C1.AM.04.10</v>
          </cell>
          <cell r="D205" t="str">
            <v>AM</v>
          </cell>
          <cell r="E205" t="str">
            <v>G-008</v>
          </cell>
          <cell r="F205" t="str">
            <v>AM019</v>
          </cell>
          <cell r="G205" t="str">
            <v>N1</v>
          </cell>
          <cell r="H205" t="str">
            <v>b1</v>
          </cell>
          <cell r="I205" t="str">
            <v>N1-b1</v>
          </cell>
          <cell r="J205" t="str">
            <v>04</v>
          </cell>
          <cell r="K205" t="str">
            <v>10</v>
          </cell>
        </row>
        <row r="206">
          <cell r="A206" t="str">
            <v>04-11</v>
          </cell>
          <cell r="B206">
            <v>203</v>
          </cell>
          <cell r="C206" t="str">
            <v>C1.AM.04.11</v>
          </cell>
          <cell r="D206" t="str">
            <v>AM</v>
          </cell>
          <cell r="E206" t="str">
            <v>G-024</v>
          </cell>
          <cell r="F206" t="str">
            <v>AM042</v>
          </cell>
          <cell r="G206" t="str">
            <v>N1</v>
          </cell>
          <cell r="H206" t="str">
            <v>b1</v>
          </cell>
          <cell r="I206" t="str">
            <v>N1-b1</v>
          </cell>
          <cell r="J206" t="str">
            <v>04</v>
          </cell>
          <cell r="K206" t="str">
            <v>11</v>
          </cell>
        </row>
        <row r="207">
          <cell r="A207" t="str">
            <v>04-12</v>
          </cell>
          <cell r="B207">
            <v>204</v>
          </cell>
          <cell r="C207" t="str">
            <v>C1.AM.04.12</v>
          </cell>
          <cell r="D207" t="str">
            <v>AM</v>
          </cell>
          <cell r="E207" t="str">
            <v>G-113</v>
          </cell>
          <cell r="F207" t="str">
            <v>AM189</v>
          </cell>
          <cell r="G207" t="str">
            <v>N1</v>
          </cell>
          <cell r="H207" t="str">
            <v>b1</v>
          </cell>
          <cell r="I207" t="str">
            <v>N1-b1</v>
          </cell>
          <cell r="J207" t="str">
            <v>04</v>
          </cell>
          <cell r="K207" t="str">
            <v>12</v>
          </cell>
        </row>
        <row r="208">
          <cell r="A208" t="str">
            <v>04-13</v>
          </cell>
          <cell r="B208">
            <v>205</v>
          </cell>
          <cell r="C208" t="str">
            <v>C1.AM.04.13</v>
          </cell>
          <cell r="D208" t="str">
            <v>AM</v>
          </cell>
          <cell r="E208" t="str">
            <v>G-095</v>
          </cell>
          <cell r="F208" t="str">
            <v>AM156</v>
          </cell>
          <cell r="G208" t="str">
            <v>N1</v>
          </cell>
          <cell r="H208" t="str">
            <v>b1</v>
          </cell>
          <cell r="I208" t="str">
            <v>N1-b1</v>
          </cell>
          <cell r="J208" t="str">
            <v>04</v>
          </cell>
          <cell r="K208" t="str">
            <v>13</v>
          </cell>
        </row>
        <row r="209">
          <cell r="A209" t="str">
            <v>04-14</v>
          </cell>
          <cell r="B209">
            <v>206</v>
          </cell>
          <cell r="C209" t="str">
            <v>C1.AM.04.14</v>
          </cell>
          <cell r="D209" t="str">
            <v>AM</v>
          </cell>
          <cell r="E209" t="str">
            <v>G-021</v>
          </cell>
          <cell r="F209" t="str">
            <v>AM038</v>
          </cell>
          <cell r="G209" t="str">
            <v>N1</v>
          </cell>
          <cell r="H209" t="str">
            <v>b1</v>
          </cell>
          <cell r="I209" t="str">
            <v>N1-b1</v>
          </cell>
          <cell r="J209" t="str">
            <v>04</v>
          </cell>
          <cell r="K209" t="str">
            <v>14</v>
          </cell>
        </row>
        <row r="210">
          <cell r="A210" t="str">
            <v>04-15</v>
          </cell>
          <cell r="B210">
            <v>207</v>
          </cell>
          <cell r="C210" t="str">
            <v>C1.AM.04.15</v>
          </cell>
          <cell r="D210" t="str">
            <v>AM</v>
          </cell>
          <cell r="E210" t="str">
            <v>G-107</v>
          </cell>
          <cell r="F210" t="str">
            <v>AM173</v>
          </cell>
          <cell r="G210" t="str">
            <v>N1</v>
          </cell>
          <cell r="H210" t="str">
            <v>b1</v>
          </cell>
          <cell r="I210" t="str">
            <v>N1-b1</v>
          </cell>
          <cell r="J210" t="str">
            <v>04</v>
          </cell>
          <cell r="K210" t="str">
            <v>15</v>
          </cell>
        </row>
        <row r="211">
          <cell r="A211" t="str">
            <v>04-16</v>
          </cell>
          <cell r="B211">
            <v>208</v>
          </cell>
          <cell r="C211" t="str">
            <v>C1.AM.04.16</v>
          </cell>
          <cell r="D211" t="str">
            <v>AM</v>
          </cell>
          <cell r="E211" t="str">
            <v>G-028</v>
          </cell>
          <cell r="F211" t="str">
            <v>AM049</v>
          </cell>
          <cell r="G211" t="str">
            <v>N1</v>
          </cell>
          <cell r="H211" t="str">
            <v>b1</v>
          </cell>
          <cell r="I211" t="str">
            <v>N1-b1</v>
          </cell>
          <cell r="J211" t="str">
            <v>04</v>
          </cell>
          <cell r="K211" t="str">
            <v>16</v>
          </cell>
        </row>
        <row r="212">
          <cell r="A212" t="str">
            <v>04-17</v>
          </cell>
          <cell r="B212">
            <v>209</v>
          </cell>
          <cell r="C212" t="str">
            <v>C1.AM.04.17</v>
          </cell>
          <cell r="D212" t="str">
            <v>AM</v>
          </cell>
          <cell r="E212" t="str">
            <v>G-069</v>
          </cell>
          <cell r="F212" t="str">
            <v>AM101</v>
          </cell>
          <cell r="G212" t="str">
            <v>N1</v>
          </cell>
          <cell r="H212" t="str">
            <v>b1</v>
          </cell>
          <cell r="I212" t="str">
            <v>N1-b1</v>
          </cell>
          <cell r="J212" t="str">
            <v>04</v>
          </cell>
          <cell r="K212" t="str">
            <v>17</v>
          </cell>
        </row>
        <row r="213">
          <cell r="A213" t="str">
            <v>04-18</v>
          </cell>
          <cell r="B213">
            <v>210</v>
          </cell>
          <cell r="C213" t="str">
            <v>C1.AM.04.18</v>
          </cell>
          <cell r="D213" t="str">
            <v>AM</v>
          </cell>
          <cell r="E213" t="str">
            <v>G-100</v>
          </cell>
          <cell r="F213" t="str">
            <v>AM166</v>
          </cell>
          <cell r="G213" t="str">
            <v>N1</v>
          </cell>
          <cell r="H213" t="str">
            <v>b1</v>
          </cell>
          <cell r="I213" t="str">
            <v>N1-b1</v>
          </cell>
          <cell r="J213" t="str">
            <v>04</v>
          </cell>
          <cell r="K213" t="str">
            <v>18</v>
          </cell>
        </row>
        <row r="214">
          <cell r="A214" t="str">
            <v>04-19</v>
          </cell>
          <cell r="B214">
            <v>211</v>
          </cell>
          <cell r="C214" t="str">
            <v>C1.AM.04.19</v>
          </cell>
          <cell r="D214" t="str">
            <v>AM</v>
          </cell>
          <cell r="E214" t="str">
            <v>G-121</v>
          </cell>
          <cell r="F214" t="str">
            <v>Darmor</v>
          </cell>
          <cell r="G214" t="str">
            <v>N1</v>
          </cell>
          <cell r="H214" t="str">
            <v>b1</v>
          </cell>
          <cell r="I214" t="str">
            <v>N1-b1</v>
          </cell>
          <cell r="J214" t="str">
            <v>04</v>
          </cell>
          <cell r="K214" t="str">
            <v>19</v>
          </cell>
        </row>
        <row r="215">
          <cell r="A215" t="str">
            <v>04-20</v>
          </cell>
          <cell r="B215">
            <v>212</v>
          </cell>
          <cell r="C215" t="str">
            <v>C1.AM.04.20</v>
          </cell>
          <cell r="D215" t="str">
            <v>AM</v>
          </cell>
          <cell r="E215" t="str">
            <v>G-016</v>
          </cell>
          <cell r="F215" t="str">
            <v>AM033</v>
          </cell>
          <cell r="G215" t="str">
            <v>N1</v>
          </cell>
          <cell r="H215" t="str">
            <v>b1</v>
          </cell>
          <cell r="I215" t="str">
            <v>N1-b1</v>
          </cell>
          <cell r="J215" t="str">
            <v>04</v>
          </cell>
          <cell r="K215" t="str">
            <v>20</v>
          </cell>
        </row>
        <row r="216">
          <cell r="A216" t="str">
            <v>04-21</v>
          </cell>
          <cell r="B216">
            <v>213</v>
          </cell>
          <cell r="C216" t="str">
            <v>C1.AM.04.21</v>
          </cell>
          <cell r="D216" t="str">
            <v>AM</v>
          </cell>
          <cell r="E216" t="str">
            <v>G-044</v>
          </cell>
          <cell r="F216" t="str">
            <v>AM068</v>
          </cell>
          <cell r="G216" t="str">
            <v>N1</v>
          </cell>
          <cell r="H216" t="str">
            <v>b1</v>
          </cell>
          <cell r="I216" t="str">
            <v>N1-b1</v>
          </cell>
          <cell r="J216" t="str">
            <v>04</v>
          </cell>
          <cell r="K216" t="str">
            <v>21</v>
          </cell>
        </row>
        <row r="217">
          <cell r="A217" t="str">
            <v>04-22</v>
          </cell>
          <cell r="B217">
            <v>214</v>
          </cell>
          <cell r="C217" t="str">
            <v>C1.AM.04.22</v>
          </cell>
          <cell r="D217" t="str">
            <v>AM</v>
          </cell>
          <cell r="E217" t="str">
            <v>G-004</v>
          </cell>
          <cell r="F217" t="str">
            <v>AM015</v>
          </cell>
          <cell r="G217" t="str">
            <v>N1</v>
          </cell>
          <cell r="H217" t="str">
            <v>b1</v>
          </cell>
          <cell r="I217" t="str">
            <v>N1-b1</v>
          </cell>
          <cell r="J217" t="str">
            <v>04</v>
          </cell>
          <cell r="K217" t="str">
            <v>22</v>
          </cell>
        </row>
        <row r="218">
          <cell r="A218" t="str">
            <v>04-23</v>
          </cell>
          <cell r="B218">
            <v>215</v>
          </cell>
          <cell r="C218" t="str">
            <v>C1.AM.04.23</v>
          </cell>
          <cell r="D218" t="str">
            <v>AM</v>
          </cell>
          <cell r="E218" t="str">
            <v>G-071</v>
          </cell>
          <cell r="F218" t="str">
            <v>AM107</v>
          </cell>
          <cell r="G218" t="str">
            <v>N1</v>
          </cell>
          <cell r="H218" t="str">
            <v>b1</v>
          </cell>
          <cell r="I218" t="str">
            <v>N1-b1</v>
          </cell>
          <cell r="J218" t="str">
            <v>04</v>
          </cell>
          <cell r="K218" t="str">
            <v>23</v>
          </cell>
        </row>
        <row r="219">
          <cell r="A219" t="str">
            <v>04-24</v>
          </cell>
          <cell r="B219">
            <v>216</v>
          </cell>
          <cell r="C219" t="str">
            <v>C1.AM.04.24</v>
          </cell>
          <cell r="D219" t="str">
            <v>AM</v>
          </cell>
          <cell r="E219" t="str">
            <v>G-099</v>
          </cell>
          <cell r="F219" t="str">
            <v>AM165</v>
          </cell>
          <cell r="G219" t="str">
            <v>N1</v>
          </cell>
          <cell r="H219" t="str">
            <v>b1</v>
          </cell>
          <cell r="I219" t="str">
            <v>N1-b1</v>
          </cell>
          <cell r="J219" t="str">
            <v>04</v>
          </cell>
          <cell r="K219" t="str">
            <v>24</v>
          </cell>
        </row>
        <row r="220">
          <cell r="A220" t="str">
            <v>04-25</v>
          </cell>
          <cell r="B220">
            <v>217</v>
          </cell>
          <cell r="C220" t="str">
            <v>C1.AM.04.25</v>
          </cell>
          <cell r="D220" t="str">
            <v>AM</v>
          </cell>
          <cell r="E220" t="str">
            <v>G-084</v>
          </cell>
          <cell r="F220" t="str">
            <v>AM138</v>
          </cell>
          <cell r="G220" t="str">
            <v>N1</v>
          </cell>
          <cell r="H220" t="str">
            <v>b1</v>
          </cell>
          <cell r="I220" t="str">
            <v>N1-b1</v>
          </cell>
          <cell r="J220" t="str">
            <v>04</v>
          </cell>
          <cell r="K220" t="str">
            <v>25</v>
          </cell>
        </row>
        <row r="221">
          <cell r="A221" t="str">
            <v>04-26</v>
          </cell>
          <cell r="B221">
            <v>218</v>
          </cell>
          <cell r="C221" t="str">
            <v>C1.AM.04.26</v>
          </cell>
          <cell r="D221" t="str">
            <v>AM</v>
          </cell>
          <cell r="E221" t="str">
            <v>G-045</v>
          </cell>
          <cell r="F221" t="str">
            <v>AM069</v>
          </cell>
          <cell r="G221" t="str">
            <v>N1</v>
          </cell>
          <cell r="H221" t="str">
            <v>b1</v>
          </cell>
          <cell r="I221" t="str">
            <v>N1-b1</v>
          </cell>
          <cell r="J221" t="str">
            <v>04</v>
          </cell>
          <cell r="K221" t="str">
            <v>26</v>
          </cell>
        </row>
        <row r="222">
          <cell r="A222" t="str">
            <v>04-27</v>
          </cell>
          <cell r="B222">
            <v>219</v>
          </cell>
          <cell r="C222" t="str">
            <v>C1.AM.04.27</v>
          </cell>
          <cell r="D222" t="str">
            <v>AM</v>
          </cell>
          <cell r="E222" t="str">
            <v>G-005</v>
          </cell>
          <cell r="F222" t="str">
            <v>AM016</v>
          </cell>
          <cell r="G222" t="str">
            <v>N1</v>
          </cell>
          <cell r="H222" t="str">
            <v>b1</v>
          </cell>
          <cell r="I222" t="str">
            <v>N1-b1</v>
          </cell>
          <cell r="J222" t="str">
            <v>04</v>
          </cell>
          <cell r="K222" t="str">
            <v>27</v>
          </cell>
        </row>
        <row r="223">
          <cell r="A223" t="str">
            <v>04-28</v>
          </cell>
          <cell r="B223">
            <v>220</v>
          </cell>
          <cell r="C223" t="str">
            <v>C1.AM.04.28</v>
          </cell>
          <cell r="D223" t="str">
            <v>AM</v>
          </cell>
          <cell r="E223" t="str">
            <v>G-097</v>
          </cell>
          <cell r="F223" t="str">
            <v>AM161</v>
          </cell>
          <cell r="G223" t="str">
            <v>N1</v>
          </cell>
          <cell r="H223" t="str">
            <v>b1</v>
          </cell>
          <cell r="I223" t="str">
            <v>N1-b1</v>
          </cell>
          <cell r="J223" t="str">
            <v>04</v>
          </cell>
          <cell r="K223" t="str">
            <v>28</v>
          </cell>
        </row>
        <row r="224">
          <cell r="A224" t="str">
            <v>04-29</v>
          </cell>
          <cell r="B224">
            <v>221</v>
          </cell>
          <cell r="C224" t="str">
            <v>C1.AM.04.29</v>
          </cell>
          <cell r="D224" t="str">
            <v>AM</v>
          </cell>
          <cell r="E224" t="str">
            <v>G-010</v>
          </cell>
          <cell r="F224" t="str">
            <v>AM022</v>
          </cell>
          <cell r="G224" t="str">
            <v>N1</v>
          </cell>
          <cell r="H224" t="str">
            <v>b1</v>
          </cell>
          <cell r="I224" t="str">
            <v>N1-b1</v>
          </cell>
          <cell r="J224" t="str">
            <v>04</v>
          </cell>
          <cell r="K224" t="str">
            <v>29</v>
          </cell>
        </row>
        <row r="225">
          <cell r="A225" t="str">
            <v>04-30</v>
          </cell>
          <cell r="B225">
            <v>222</v>
          </cell>
          <cell r="C225" t="str">
            <v>C1.AM.04.30</v>
          </cell>
          <cell r="D225" t="str">
            <v>AM</v>
          </cell>
          <cell r="E225" t="str">
            <v>G-019</v>
          </cell>
          <cell r="F225" t="str">
            <v>AM036</v>
          </cell>
          <cell r="G225" t="str">
            <v>N1</v>
          </cell>
          <cell r="H225" t="str">
            <v>b1</v>
          </cell>
          <cell r="I225" t="str">
            <v>N1-b1</v>
          </cell>
          <cell r="J225" t="str">
            <v>04</v>
          </cell>
          <cell r="K225" t="str">
            <v>30</v>
          </cell>
        </row>
        <row r="226">
          <cell r="A226" t="str">
            <v>04-31</v>
          </cell>
          <cell r="B226">
            <v>223</v>
          </cell>
          <cell r="C226" t="str">
            <v>C1.AM.04.31</v>
          </cell>
          <cell r="D226" t="str">
            <v>AM</v>
          </cell>
          <cell r="E226" t="str">
            <v>G-020</v>
          </cell>
          <cell r="F226" t="str">
            <v>AM037</v>
          </cell>
          <cell r="G226" t="str">
            <v>N1</v>
          </cell>
          <cell r="H226" t="str">
            <v>b1</v>
          </cell>
          <cell r="I226" t="str">
            <v>N1-b1</v>
          </cell>
          <cell r="J226" t="str">
            <v>04</v>
          </cell>
          <cell r="K226" t="str">
            <v>31</v>
          </cell>
        </row>
        <row r="227">
          <cell r="A227" t="str">
            <v>04-32</v>
          </cell>
          <cell r="B227">
            <v>224</v>
          </cell>
          <cell r="C227" t="str">
            <v>C1.AM.04.32</v>
          </cell>
          <cell r="D227" t="str">
            <v>AM</v>
          </cell>
          <cell r="E227" t="str">
            <v>G-052</v>
          </cell>
          <cell r="F227" t="str">
            <v>AM080</v>
          </cell>
          <cell r="G227" t="str">
            <v>N1</v>
          </cell>
          <cell r="H227" t="str">
            <v>b1</v>
          </cell>
          <cell r="I227" t="str">
            <v>N1-b1</v>
          </cell>
          <cell r="J227" t="str">
            <v>04</v>
          </cell>
          <cell r="K227" t="str">
            <v>32</v>
          </cell>
        </row>
        <row r="228">
          <cell r="A228" t="str">
            <v>04-33</v>
          </cell>
          <cell r="B228">
            <v>225</v>
          </cell>
          <cell r="C228" t="str">
            <v>C1.AM.04.33</v>
          </cell>
          <cell r="D228" t="str">
            <v>AM</v>
          </cell>
          <cell r="E228" t="str">
            <v>G-120</v>
          </cell>
          <cell r="F228" t="str">
            <v>Twister</v>
          </cell>
          <cell r="G228" t="str">
            <v>N2</v>
          </cell>
          <cell r="H228" t="str">
            <v>b1</v>
          </cell>
          <cell r="I228" t="str">
            <v>N2-b1</v>
          </cell>
          <cell r="J228" t="str">
            <v>04</v>
          </cell>
          <cell r="K228" t="str">
            <v>33</v>
          </cell>
        </row>
        <row r="229">
          <cell r="A229" t="str">
            <v>04-34</v>
          </cell>
          <cell r="B229">
            <v>226</v>
          </cell>
          <cell r="C229" t="str">
            <v>C1.AM.04.34</v>
          </cell>
          <cell r="D229" t="str">
            <v>AM</v>
          </cell>
          <cell r="E229" t="str">
            <v>G-106</v>
          </cell>
          <cell r="F229" t="str">
            <v>AM172</v>
          </cell>
          <cell r="G229" t="str">
            <v>N2</v>
          </cell>
          <cell r="H229" t="str">
            <v>b1</v>
          </cell>
          <cell r="I229" t="str">
            <v>N2-b1</v>
          </cell>
          <cell r="J229" t="str">
            <v>04</v>
          </cell>
          <cell r="K229" t="str">
            <v>34</v>
          </cell>
        </row>
        <row r="230">
          <cell r="A230" t="str">
            <v>04-35</v>
          </cell>
          <cell r="B230">
            <v>227</v>
          </cell>
          <cell r="C230" t="str">
            <v>C1.AM.04.35</v>
          </cell>
          <cell r="D230" t="str">
            <v>AM</v>
          </cell>
          <cell r="E230" t="str">
            <v>G-002</v>
          </cell>
          <cell r="F230" t="str">
            <v>Montego</v>
          </cell>
          <cell r="G230" t="str">
            <v>N2</v>
          </cell>
          <cell r="H230" t="str">
            <v>b1</v>
          </cell>
          <cell r="I230" t="str">
            <v>N2-b1</v>
          </cell>
          <cell r="J230" t="str">
            <v>04</v>
          </cell>
          <cell r="K230" t="str">
            <v>35</v>
          </cell>
        </row>
        <row r="231">
          <cell r="A231" t="str">
            <v>04-36</v>
          </cell>
          <cell r="B231">
            <v>228</v>
          </cell>
          <cell r="C231" t="str">
            <v>C1.AM.04.36</v>
          </cell>
          <cell r="D231" t="str">
            <v>AM</v>
          </cell>
          <cell r="E231" t="str">
            <v>G-069</v>
          </cell>
          <cell r="F231" t="str">
            <v>AM101</v>
          </cell>
          <cell r="G231" t="str">
            <v>N2</v>
          </cell>
          <cell r="H231" t="str">
            <v>b1</v>
          </cell>
          <cell r="I231" t="str">
            <v>N2-b1</v>
          </cell>
          <cell r="J231" t="str">
            <v>04</v>
          </cell>
          <cell r="K231" t="str">
            <v>36</v>
          </cell>
        </row>
        <row r="232">
          <cell r="A232" t="str">
            <v>04-37</v>
          </cell>
          <cell r="B232">
            <v>229</v>
          </cell>
          <cell r="C232" t="str">
            <v>C1.AM.04.37</v>
          </cell>
          <cell r="D232" t="str">
            <v>AM</v>
          </cell>
          <cell r="E232" t="str">
            <v>G-064</v>
          </cell>
          <cell r="F232" t="str">
            <v>AM093</v>
          </cell>
          <cell r="G232" t="str">
            <v>N2</v>
          </cell>
          <cell r="H232" t="str">
            <v>b1</v>
          </cell>
          <cell r="I232" t="str">
            <v>N2-b1</v>
          </cell>
          <cell r="J232" t="str">
            <v>04</v>
          </cell>
          <cell r="K232" t="str">
            <v>37</v>
          </cell>
        </row>
        <row r="233">
          <cell r="A233" t="str">
            <v>04-38</v>
          </cell>
          <cell r="B233">
            <v>230</v>
          </cell>
          <cell r="C233" t="str">
            <v>C1.AM.04.38</v>
          </cell>
          <cell r="D233" t="str">
            <v>AM</v>
          </cell>
          <cell r="E233" t="str">
            <v>G-007</v>
          </cell>
          <cell r="F233" t="str">
            <v>AM018</v>
          </cell>
          <cell r="G233" t="str">
            <v>N2</v>
          </cell>
          <cell r="H233" t="str">
            <v>b1</v>
          </cell>
          <cell r="I233" t="str">
            <v>N2-b1</v>
          </cell>
          <cell r="J233" t="str">
            <v>04</v>
          </cell>
          <cell r="K233" t="str">
            <v>38</v>
          </cell>
        </row>
        <row r="234">
          <cell r="A234" t="str">
            <v>04-39</v>
          </cell>
          <cell r="B234">
            <v>231</v>
          </cell>
          <cell r="C234" t="str">
            <v>C1.AM.04.39</v>
          </cell>
          <cell r="D234" t="str">
            <v>AM</v>
          </cell>
          <cell r="E234" t="str">
            <v>G-018</v>
          </cell>
          <cell r="F234" t="str">
            <v>AM035</v>
          </cell>
          <cell r="G234" t="str">
            <v>N2</v>
          </cell>
          <cell r="H234" t="str">
            <v>b1</v>
          </cell>
          <cell r="I234" t="str">
            <v>N2-b1</v>
          </cell>
          <cell r="J234" t="str">
            <v>04</v>
          </cell>
          <cell r="K234" t="str">
            <v>39</v>
          </cell>
        </row>
        <row r="235">
          <cell r="A235" t="str">
            <v>04-40</v>
          </cell>
          <cell r="B235">
            <v>232</v>
          </cell>
          <cell r="C235" t="str">
            <v>C1.AM.04.40</v>
          </cell>
          <cell r="D235" t="str">
            <v>AM</v>
          </cell>
          <cell r="E235" t="str">
            <v>G-045</v>
          </cell>
          <cell r="F235" t="str">
            <v>AM069</v>
          </cell>
          <cell r="G235" t="str">
            <v>N2</v>
          </cell>
          <cell r="H235" t="str">
            <v>b1</v>
          </cell>
          <cell r="I235" t="str">
            <v>N2-b1</v>
          </cell>
          <cell r="J235" t="str">
            <v>04</v>
          </cell>
          <cell r="K235" t="str">
            <v>40</v>
          </cell>
        </row>
        <row r="236">
          <cell r="A236" t="str">
            <v>04-41</v>
          </cell>
          <cell r="B236">
            <v>233</v>
          </cell>
          <cell r="C236" t="str">
            <v>C1.AM.04.41</v>
          </cell>
          <cell r="D236" t="str">
            <v>AM</v>
          </cell>
          <cell r="E236" t="str">
            <v>G-109</v>
          </cell>
          <cell r="F236" t="str">
            <v>AM183</v>
          </cell>
          <cell r="G236" t="str">
            <v>N2</v>
          </cell>
          <cell r="H236" t="str">
            <v>b1</v>
          </cell>
          <cell r="I236" t="str">
            <v>N2-b1</v>
          </cell>
          <cell r="J236" t="str">
            <v>04</v>
          </cell>
          <cell r="K236" t="str">
            <v>41</v>
          </cell>
        </row>
        <row r="237">
          <cell r="A237" t="str">
            <v>04-42</v>
          </cell>
          <cell r="B237">
            <v>234</v>
          </cell>
          <cell r="C237" t="str">
            <v>C1.AM.04.42</v>
          </cell>
          <cell r="D237" t="str">
            <v>AM</v>
          </cell>
          <cell r="E237" t="str">
            <v>G-102</v>
          </cell>
          <cell r="F237" t="str">
            <v>AM168</v>
          </cell>
          <cell r="G237" t="str">
            <v>N2</v>
          </cell>
          <cell r="H237" t="str">
            <v>b1</v>
          </cell>
          <cell r="I237" t="str">
            <v>N2-b1</v>
          </cell>
          <cell r="J237" t="str">
            <v>04</v>
          </cell>
          <cell r="K237" t="str">
            <v>42</v>
          </cell>
        </row>
        <row r="238">
          <cell r="A238" t="str">
            <v>04-43</v>
          </cell>
          <cell r="B238">
            <v>235</v>
          </cell>
          <cell r="C238" t="str">
            <v>C1.AM.04.43</v>
          </cell>
          <cell r="D238" t="str">
            <v>AM</v>
          </cell>
          <cell r="E238" t="str">
            <v>G-050</v>
          </cell>
          <cell r="F238" t="str">
            <v>AM076</v>
          </cell>
          <cell r="G238" t="str">
            <v>N2</v>
          </cell>
          <cell r="H238" t="str">
            <v>b1</v>
          </cell>
          <cell r="I238" t="str">
            <v>N2-b1</v>
          </cell>
          <cell r="J238" t="str">
            <v>04</v>
          </cell>
          <cell r="K238" t="str">
            <v>43</v>
          </cell>
        </row>
        <row r="239">
          <cell r="A239" t="str">
            <v>04-44</v>
          </cell>
          <cell r="B239">
            <v>236</v>
          </cell>
          <cell r="C239" t="str">
            <v>C1.AM.04.44</v>
          </cell>
          <cell r="D239" t="str">
            <v>AM</v>
          </cell>
          <cell r="E239" t="str">
            <v>G-048</v>
          </cell>
          <cell r="F239" t="str">
            <v>AM073</v>
          </cell>
          <cell r="G239" t="str">
            <v>N2</v>
          </cell>
          <cell r="H239" t="str">
            <v>b1</v>
          </cell>
          <cell r="I239" t="str">
            <v>N2-b1</v>
          </cell>
          <cell r="J239" t="str">
            <v>04</v>
          </cell>
          <cell r="K239" t="str">
            <v>44</v>
          </cell>
        </row>
        <row r="240">
          <cell r="A240" t="str">
            <v>04-45</v>
          </cell>
          <cell r="B240">
            <v>237</v>
          </cell>
          <cell r="C240" t="str">
            <v>C1.AM.04.45</v>
          </cell>
          <cell r="D240" t="str">
            <v>AM</v>
          </cell>
          <cell r="E240" t="str">
            <v>G-049</v>
          </cell>
          <cell r="F240" t="str">
            <v>AM074</v>
          </cell>
          <cell r="G240" t="str">
            <v>N2</v>
          </cell>
          <cell r="H240" t="str">
            <v>b1</v>
          </cell>
          <cell r="I240" t="str">
            <v>N2-b1</v>
          </cell>
          <cell r="J240" t="str">
            <v>04</v>
          </cell>
          <cell r="K240" t="str">
            <v>45</v>
          </cell>
        </row>
        <row r="241">
          <cell r="A241" t="str">
            <v>04-46</v>
          </cell>
          <cell r="B241">
            <v>238</v>
          </cell>
          <cell r="C241" t="str">
            <v>C1.AM.04.46</v>
          </cell>
          <cell r="D241" t="str">
            <v>AM</v>
          </cell>
          <cell r="E241" t="str">
            <v>G-115</v>
          </cell>
          <cell r="F241" t="str">
            <v>AM195</v>
          </cell>
          <cell r="G241" t="str">
            <v>N2</v>
          </cell>
          <cell r="H241" t="str">
            <v>b1</v>
          </cell>
          <cell r="I241" t="str">
            <v>N2-b1</v>
          </cell>
          <cell r="J241" t="str">
            <v>04</v>
          </cell>
          <cell r="K241" t="str">
            <v>46</v>
          </cell>
        </row>
        <row r="242">
          <cell r="A242" t="str">
            <v>04-47</v>
          </cell>
          <cell r="B242">
            <v>239</v>
          </cell>
          <cell r="C242" t="str">
            <v>C1.AM.04.47</v>
          </cell>
          <cell r="D242" t="str">
            <v>AM</v>
          </cell>
          <cell r="E242" t="str">
            <v>G-003</v>
          </cell>
          <cell r="F242" t="str">
            <v>AM014</v>
          </cell>
          <cell r="G242" t="str">
            <v>N2</v>
          </cell>
          <cell r="H242" t="str">
            <v>b1</v>
          </cell>
          <cell r="I242" t="str">
            <v>N2-b1</v>
          </cell>
          <cell r="J242" t="str">
            <v>04</v>
          </cell>
          <cell r="K242" t="str">
            <v>47</v>
          </cell>
        </row>
        <row r="243">
          <cell r="A243" t="str">
            <v>04-48</v>
          </cell>
          <cell r="B243">
            <v>240</v>
          </cell>
          <cell r="C243" t="str">
            <v>C1.AM.04.48</v>
          </cell>
          <cell r="D243" t="str">
            <v>AM</v>
          </cell>
          <cell r="E243" t="str">
            <v>G-020</v>
          </cell>
          <cell r="F243" t="str">
            <v>AM037</v>
          </cell>
          <cell r="G243" t="str">
            <v>N2</v>
          </cell>
          <cell r="H243" t="str">
            <v>b1</v>
          </cell>
          <cell r="I243" t="str">
            <v>N2-b1</v>
          </cell>
          <cell r="J243" t="str">
            <v>04</v>
          </cell>
          <cell r="K243" t="str">
            <v>48</v>
          </cell>
        </row>
        <row r="244">
          <cell r="A244" t="str">
            <v>04-49</v>
          </cell>
          <cell r="B244">
            <v>241</v>
          </cell>
          <cell r="C244" t="str">
            <v>C1.AM.04.49</v>
          </cell>
          <cell r="D244" t="str">
            <v>AM</v>
          </cell>
          <cell r="E244" t="str">
            <v>G-006</v>
          </cell>
          <cell r="F244" t="str">
            <v>AM017</v>
          </cell>
          <cell r="G244" t="str">
            <v>N2</v>
          </cell>
          <cell r="H244" t="str">
            <v>b1</v>
          </cell>
          <cell r="I244" t="str">
            <v>N2-b1</v>
          </cell>
          <cell r="J244" t="str">
            <v>04</v>
          </cell>
          <cell r="K244" t="str">
            <v>49</v>
          </cell>
        </row>
        <row r="245">
          <cell r="A245" t="str">
            <v>04-50</v>
          </cell>
          <cell r="B245">
            <v>242</v>
          </cell>
          <cell r="C245" t="str">
            <v>C1.AM.04.50</v>
          </cell>
          <cell r="D245" t="str">
            <v>AM</v>
          </cell>
          <cell r="E245" t="str">
            <v>G-019</v>
          </cell>
          <cell r="F245" t="str">
            <v>AM036</v>
          </cell>
          <cell r="G245" t="str">
            <v>N2</v>
          </cell>
          <cell r="H245" t="str">
            <v>b1</v>
          </cell>
          <cell r="I245" t="str">
            <v>N2-b1</v>
          </cell>
          <cell r="J245" t="str">
            <v>04</v>
          </cell>
          <cell r="K245" t="str">
            <v>50</v>
          </cell>
        </row>
        <row r="246">
          <cell r="A246" t="str">
            <v>04-51</v>
          </cell>
          <cell r="B246">
            <v>243</v>
          </cell>
          <cell r="C246" t="str">
            <v>C1.AM.04.51</v>
          </cell>
          <cell r="D246" t="str">
            <v>AM</v>
          </cell>
          <cell r="E246" t="str">
            <v>G-027</v>
          </cell>
          <cell r="F246" t="str">
            <v>AM048</v>
          </cell>
          <cell r="G246" t="str">
            <v>N2</v>
          </cell>
          <cell r="H246" t="str">
            <v>b1</v>
          </cell>
          <cell r="I246" t="str">
            <v>N2-b1</v>
          </cell>
          <cell r="J246" t="str">
            <v>04</v>
          </cell>
          <cell r="K246" t="str">
            <v>51</v>
          </cell>
        </row>
        <row r="247">
          <cell r="A247" t="str">
            <v>04-52</v>
          </cell>
          <cell r="B247">
            <v>244</v>
          </cell>
          <cell r="C247" t="str">
            <v>C1.AM.04.52</v>
          </cell>
          <cell r="D247" t="str">
            <v>AM</v>
          </cell>
          <cell r="E247" t="str">
            <v>G-075</v>
          </cell>
          <cell r="F247" t="str">
            <v>AM123</v>
          </cell>
          <cell r="G247" t="str">
            <v>N2</v>
          </cell>
          <cell r="H247" t="str">
            <v>b1</v>
          </cell>
          <cell r="I247" t="str">
            <v>N2-b1</v>
          </cell>
          <cell r="J247" t="str">
            <v>04</v>
          </cell>
          <cell r="K247" t="str">
            <v>52</v>
          </cell>
        </row>
        <row r="248">
          <cell r="A248" t="str">
            <v>04-53</v>
          </cell>
          <cell r="B248">
            <v>245</v>
          </cell>
          <cell r="C248" t="str">
            <v>C1.AM.04.53</v>
          </cell>
          <cell r="D248" t="str">
            <v>AM</v>
          </cell>
          <cell r="E248" t="str">
            <v>G-083</v>
          </cell>
          <cell r="F248" t="str">
            <v>AM137</v>
          </cell>
          <cell r="G248" t="str">
            <v>N2</v>
          </cell>
          <cell r="H248" t="str">
            <v>b1</v>
          </cell>
          <cell r="I248" t="str">
            <v>N2-b1</v>
          </cell>
          <cell r="J248" t="str">
            <v>04</v>
          </cell>
          <cell r="K248" t="str">
            <v>53</v>
          </cell>
        </row>
        <row r="249">
          <cell r="A249" t="str">
            <v>04-54</v>
          </cell>
          <cell r="B249">
            <v>246</v>
          </cell>
          <cell r="C249" t="str">
            <v>C1.AM.04.54</v>
          </cell>
          <cell r="D249" t="str">
            <v>AM</v>
          </cell>
          <cell r="E249" t="str">
            <v>G-121</v>
          </cell>
          <cell r="F249" t="str">
            <v>Darmor</v>
          </cell>
          <cell r="G249" t="str">
            <v>N2</v>
          </cell>
          <cell r="H249" t="str">
            <v>b1</v>
          </cell>
          <cell r="I249" t="str">
            <v>N2-b1</v>
          </cell>
          <cell r="J249" t="str">
            <v>04</v>
          </cell>
          <cell r="K249" t="str">
            <v>54</v>
          </cell>
        </row>
        <row r="250">
          <cell r="A250" t="str">
            <v>04-55</v>
          </cell>
          <cell r="B250">
            <v>247</v>
          </cell>
          <cell r="C250" t="str">
            <v>C1.AM.04.55</v>
          </cell>
          <cell r="D250" t="str">
            <v>AM</v>
          </cell>
          <cell r="E250" t="str">
            <v>G-116</v>
          </cell>
          <cell r="F250" t="str">
            <v>AM197</v>
          </cell>
          <cell r="G250" t="str">
            <v>N2</v>
          </cell>
          <cell r="H250" t="str">
            <v>b1</v>
          </cell>
          <cell r="I250" t="str">
            <v>N2-b1</v>
          </cell>
          <cell r="J250" t="str">
            <v>04</v>
          </cell>
          <cell r="K250" t="str">
            <v>55</v>
          </cell>
        </row>
        <row r="251">
          <cell r="A251" t="str">
            <v>04-56</v>
          </cell>
          <cell r="B251">
            <v>248</v>
          </cell>
          <cell r="C251" t="str">
            <v>C1.AM.04.56</v>
          </cell>
          <cell r="D251" t="str">
            <v>AM</v>
          </cell>
          <cell r="E251" t="str">
            <v>G-017</v>
          </cell>
          <cell r="F251" t="str">
            <v>AM034</v>
          </cell>
          <cell r="G251" t="str">
            <v>N2</v>
          </cell>
          <cell r="H251" t="str">
            <v>b1</v>
          </cell>
          <cell r="I251" t="str">
            <v>N2-b1</v>
          </cell>
          <cell r="J251" t="str">
            <v>04</v>
          </cell>
          <cell r="K251" t="str">
            <v>56</v>
          </cell>
        </row>
        <row r="252">
          <cell r="A252" t="str">
            <v>04-57</v>
          </cell>
          <cell r="B252">
            <v>249</v>
          </cell>
          <cell r="C252" t="str">
            <v>C1.AM.04.57</v>
          </cell>
          <cell r="D252" t="str">
            <v>AM</v>
          </cell>
          <cell r="E252" t="str">
            <v>G-053</v>
          </cell>
          <cell r="F252" t="str">
            <v>AM082</v>
          </cell>
          <cell r="G252" t="str">
            <v>N2</v>
          </cell>
          <cell r="H252" t="str">
            <v>b1</v>
          </cell>
          <cell r="I252" t="str">
            <v>N2-b1</v>
          </cell>
          <cell r="J252" t="str">
            <v>04</v>
          </cell>
          <cell r="K252" t="str">
            <v>57</v>
          </cell>
        </row>
        <row r="253">
          <cell r="A253" t="str">
            <v>04-58</v>
          </cell>
          <cell r="B253">
            <v>250</v>
          </cell>
          <cell r="C253" t="str">
            <v>C1.AM.04.58</v>
          </cell>
          <cell r="D253" t="str">
            <v>AM</v>
          </cell>
          <cell r="E253" t="str">
            <v>G-099</v>
          </cell>
          <cell r="F253" t="str">
            <v>AM165</v>
          </cell>
          <cell r="G253" t="str">
            <v>N2</v>
          </cell>
          <cell r="H253" t="str">
            <v>b1</v>
          </cell>
          <cell r="I253" t="str">
            <v>N2-b1</v>
          </cell>
          <cell r="J253" t="str">
            <v>04</v>
          </cell>
          <cell r="K253" t="str">
            <v>58</v>
          </cell>
        </row>
        <row r="254">
          <cell r="A254" t="str">
            <v>04-59</v>
          </cell>
          <cell r="B254">
            <v>251</v>
          </cell>
          <cell r="C254" t="str">
            <v>C1.AM.04.59</v>
          </cell>
          <cell r="D254" t="str">
            <v>AM</v>
          </cell>
          <cell r="E254" t="str">
            <v>G-010</v>
          </cell>
          <cell r="F254" t="str">
            <v>AM022</v>
          </cell>
          <cell r="G254" t="str">
            <v>N2</v>
          </cell>
          <cell r="H254" t="str">
            <v>b1</v>
          </cell>
          <cell r="I254" t="str">
            <v>N2-b1</v>
          </cell>
          <cell r="J254" t="str">
            <v>04</v>
          </cell>
          <cell r="K254" t="str">
            <v>59</v>
          </cell>
        </row>
        <row r="255">
          <cell r="A255" t="str">
            <v>04-60</v>
          </cell>
          <cell r="B255">
            <v>252</v>
          </cell>
          <cell r="C255" t="str">
            <v>C1.AM.04.60</v>
          </cell>
          <cell r="D255" t="str">
            <v>AM</v>
          </cell>
          <cell r="E255" t="str">
            <v>G-068</v>
          </cell>
          <cell r="F255" t="str">
            <v>AM100</v>
          </cell>
          <cell r="G255" t="str">
            <v>N2</v>
          </cell>
          <cell r="H255" t="str">
            <v>b1</v>
          </cell>
          <cell r="I255" t="str">
            <v>N2-b1</v>
          </cell>
          <cell r="J255" t="str">
            <v>04</v>
          </cell>
          <cell r="K255" t="str">
            <v>60</v>
          </cell>
        </row>
        <row r="256">
          <cell r="A256" t="str">
            <v>04-61</v>
          </cell>
          <cell r="B256">
            <v>253</v>
          </cell>
          <cell r="C256" t="str">
            <v>C1.AM.04.61</v>
          </cell>
          <cell r="D256" t="str">
            <v>AM</v>
          </cell>
          <cell r="E256" t="str">
            <v>G-066</v>
          </cell>
          <cell r="F256" t="str">
            <v>AM096</v>
          </cell>
          <cell r="G256" t="str">
            <v>N2</v>
          </cell>
          <cell r="H256" t="str">
            <v>b1</v>
          </cell>
          <cell r="I256" t="str">
            <v>N2-b1</v>
          </cell>
          <cell r="J256" t="str">
            <v>04</v>
          </cell>
          <cell r="K256" t="str">
            <v>61</v>
          </cell>
        </row>
        <row r="257">
          <cell r="A257" t="str">
            <v>04-62</v>
          </cell>
          <cell r="B257">
            <v>254</v>
          </cell>
          <cell r="C257" t="str">
            <v>C1.AM.04.62</v>
          </cell>
          <cell r="D257" t="str">
            <v>AM</v>
          </cell>
          <cell r="E257" t="str">
            <v>G-065</v>
          </cell>
          <cell r="F257" t="str">
            <v>AM094</v>
          </cell>
          <cell r="G257" t="str">
            <v>N2</v>
          </cell>
          <cell r="H257" t="str">
            <v>b1</v>
          </cell>
          <cell r="I257" t="str">
            <v>N2-b1</v>
          </cell>
          <cell r="J257" t="str">
            <v>04</v>
          </cell>
          <cell r="K257" t="str">
            <v>62</v>
          </cell>
        </row>
        <row r="258">
          <cell r="A258" t="str">
            <v>04-63</v>
          </cell>
          <cell r="B258">
            <v>255</v>
          </cell>
          <cell r="C258" t="str">
            <v>C1.AM.04.63</v>
          </cell>
          <cell r="D258" t="str">
            <v>AM</v>
          </cell>
          <cell r="E258" t="str">
            <v>G-035</v>
          </cell>
          <cell r="F258" t="str">
            <v>AM058</v>
          </cell>
          <cell r="G258" t="str">
            <v>N2</v>
          </cell>
          <cell r="H258" t="str">
            <v>b1</v>
          </cell>
          <cell r="I258" t="str">
            <v>N2-b1</v>
          </cell>
          <cell r="J258" t="str">
            <v>04</v>
          </cell>
          <cell r="K258" t="str">
            <v>63</v>
          </cell>
        </row>
        <row r="259">
          <cell r="A259" t="str">
            <v>04-64</v>
          </cell>
          <cell r="B259">
            <v>256</v>
          </cell>
          <cell r="C259" t="str">
            <v>C1.AM.04.64</v>
          </cell>
          <cell r="D259" t="str">
            <v>AM</v>
          </cell>
          <cell r="E259" t="str">
            <v>G-038</v>
          </cell>
          <cell r="F259" t="str">
            <v>AM061</v>
          </cell>
          <cell r="G259" t="str">
            <v>N2</v>
          </cell>
          <cell r="H259" t="str">
            <v>b1</v>
          </cell>
          <cell r="I259" t="str">
            <v>N2-b1</v>
          </cell>
          <cell r="J259" t="str">
            <v>04</v>
          </cell>
          <cell r="K259" t="str">
            <v>64</v>
          </cell>
        </row>
        <row r="260">
          <cell r="A260" t="str">
            <v>05-01</v>
          </cell>
          <cell r="B260">
            <v>257</v>
          </cell>
          <cell r="C260" t="str">
            <v>C1.AM.05.01</v>
          </cell>
          <cell r="D260" t="str">
            <v>AM</v>
          </cell>
          <cell r="E260" t="str">
            <v>G-070</v>
          </cell>
          <cell r="F260" t="str">
            <v>AM106</v>
          </cell>
          <cell r="G260" t="str">
            <v>N2</v>
          </cell>
          <cell r="H260" t="str">
            <v>b2</v>
          </cell>
          <cell r="I260" t="str">
            <v>N2-b2</v>
          </cell>
          <cell r="J260" t="str">
            <v>05</v>
          </cell>
          <cell r="K260" t="str">
            <v>01</v>
          </cell>
        </row>
        <row r="261">
          <cell r="A261" t="str">
            <v>05-02</v>
          </cell>
          <cell r="B261">
            <v>258</v>
          </cell>
          <cell r="C261" t="str">
            <v>C1.AM.05.02</v>
          </cell>
          <cell r="D261" t="str">
            <v>AM</v>
          </cell>
          <cell r="E261" t="str">
            <v>G-068</v>
          </cell>
          <cell r="F261" t="str">
            <v>AM100</v>
          </cell>
          <cell r="G261" t="str">
            <v>N2</v>
          </cell>
          <cell r="H261" t="str">
            <v>b2</v>
          </cell>
          <cell r="I261" t="str">
            <v>N2-b2</v>
          </cell>
          <cell r="J261" t="str">
            <v>05</v>
          </cell>
          <cell r="K261" t="str">
            <v>02</v>
          </cell>
        </row>
        <row r="262">
          <cell r="A262" t="str">
            <v>05-03</v>
          </cell>
          <cell r="B262">
            <v>259</v>
          </cell>
          <cell r="C262" t="str">
            <v>C1.AM.05.03</v>
          </cell>
          <cell r="D262" t="str">
            <v>AM</v>
          </cell>
          <cell r="E262" t="str">
            <v>G-036</v>
          </cell>
          <cell r="F262" t="str">
            <v>AM059</v>
          </cell>
          <cell r="G262" t="str">
            <v>N2</v>
          </cell>
          <cell r="H262" t="str">
            <v>b2</v>
          </cell>
          <cell r="I262" t="str">
            <v>N2-b2</v>
          </cell>
          <cell r="J262" t="str">
            <v>05</v>
          </cell>
          <cell r="K262" t="str">
            <v>03</v>
          </cell>
        </row>
        <row r="263">
          <cell r="A263" t="str">
            <v>05-04</v>
          </cell>
          <cell r="B263">
            <v>260</v>
          </cell>
          <cell r="C263" t="str">
            <v>C1.AM.05.04</v>
          </cell>
          <cell r="D263" t="str">
            <v>AM</v>
          </cell>
          <cell r="E263" t="str">
            <v>G-123</v>
          </cell>
          <cell r="F263" t="str">
            <v>C-California</v>
          </cell>
          <cell r="G263" t="str">
            <v>N2</v>
          </cell>
          <cell r="H263" t="str">
            <v>b2</v>
          </cell>
          <cell r="I263" t="str">
            <v>N2-b2</v>
          </cell>
          <cell r="J263" t="str">
            <v>05</v>
          </cell>
          <cell r="K263" t="str">
            <v>04</v>
          </cell>
        </row>
        <row r="264">
          <cell r="A264" t="str">
            <v>05-05</v>
          </cell>
          <cell r="B264">
            <v>261</v>
          </cell>
          <cell r="C264" t="str">
            <v>C1.AM.05.05</v>
          </cell>
          <cell r="D264" t="str">
            <v>AM</v>
          </cell>
          <cell r="E264" t="str">
            <v>G-120</v>
          </cell>
          <cell r="F264" t="str">
            <v>Twister</v>
          </cell>
          <cell r="G264" t="str">
            <v>N2</v>
          </cell>
          <cell r="H264" t="str">
            <v>b2</v>
          </cell>
          <cell r="I264" t="str">
            <v>N2-b2</v>
          </cell>
          <cell r="J264" t="str">
            <v>05</v>
          </cell>
          <cell r="K264" t="str">
            <v>05</v>
          </cell>
        </row>
        <row r="265">
          <cell r="A265" t="str">
            <v>05-06</v>
          </cell>
          <cell r="B265">
            <v>262</v>
          </cell>
          <cell r="C265" t="str">
            <v>C1.AM.05.06</v>
          </cell>
          <cell r="D265" t="str">
            <v>AM</v>
          </cell>
          <cell r="E265" t="str">
            <v>G-022</v>
          </cell>
          <cell r="F265" t="str">
            <v>AM039</v>
          </cell>
          <cell r="G265" t="str">
            <v>N2</v>
          </cell>
          <cell r="H265" t="str">
            <v>b2</v>
          </cell>
          <cell r="I265" t="str">
            <v>N2-b2</v>
          </cell>
          <cell r="J265" t="str">
            <v>05</v>
          </cell>
          <cell r="K265" t="str">
            <v>06</v>
          </cell>
        </row>
        <row r="266">
          <cell r="A266" t="str">
            <v>05-07</v>
          </cell>
          <cell r="B266">
            <v>263</v>
          </cell>
          <cell r="C266" t="str">
            <v>C1.AM.05.07</v>
          </cell>
          <cell r="D266" t="str">
            <v>AM</v>
          </cell>
          <cell r="E266" t="str">
            <v>G-095</v>
          </cell>
          <cell r="F266" t="str">
            <v>AM156</v>
          </cell>
          <cell r="G266" t="str">
            <v>N2</v>
          </cell>
          <cell r="H266" t="str">
            <v>b2</v>
          </cell>
          <cell r="I266" t="str">
            <v>N2-b2</v>
          </cell>
          <cell r="J266" t="str">
            <v>05</v>
          </cell>
          <cell r="K266" t="str">
            <v>07</v>
          </cell>
        </row>
        <row r="267">
          <cell r="A267" t="str">
            <v>05-08</v>
          </cell>
          <cell r="B267">
            <v>264</v>
          </cell>
          <cell r="C267" t="str">
            <v>C1.AM.05.08</v>
          </cell>
          <cell r="D267" t="str">
            <v>AM</v>
          </cell>
          <cell r="E267" t="str">
            <v>G-122</v>
          </cell>
          <cell r="F267" t="str">
            <v>L-Liones</v>
          </cell>
          <cell r="G267" t="str">
            <v>N2</v>
          </cell>
          <cell r="H267" t="str">
            <v>b2</v>
          </cell>
          <cell r="I267" t="str">
            <v>N2-b2</v>
          </cell>
          <cell r="J267" t="str">
            <v>05</v>
          </cell>
          <cell r="K267" t="str">
            <v>08</v>
          </cell>
        </row>
        <row r="268">
          <cell r="A268" t="str">
            <v>05-09</v>
          </cell>
          <cell r="B268">
            <v>265</v>
          </cell>
          <cell r="C268" t="str">
            <v>C1.AM.05.09</v>
          </cell>
          <cell r="D268" t="str">
            <v>AM</v>
          </cell>
          <cell r="E268" t="str">
            <v>G-063</v>
          </cell>
          <cell r="F268" t="str">
            <v>AM092</v>
          </cell>
          <cell r="G268" t="str">
            <v>N2</v>
          </cell>
          <cell r="H268" t="str">
            <v>b2</v>
          </cell>
          <cell r="I268" t="str">
            <v>N2-b2</v>
          </cell>
          <cell r="J268" t="str">
            <v>05</v>
          </cell>
          <cell r="K268" t="str">
            <v>09</v>
          </cell>
        </row>
        <row r="269">
          <cell r="A269" t="str">
            <v>05-10</v>
          </cell>
          <cell r="B269">
            <v>266</v>
          </cell>
          <cell r="C269" t="str">
            <v>C1.AM.05.10</v>
          </cell>
          <cell r="D269" t="str">
            <v>AM</v>
          </cell>
          <cell r="E269" t="str">
            <v>G-119</v>
          </cell>
          <cell r="F269" t="str">
            <v>Kurander</v>
          </cell>
          <cell r="G269" t="str">
            <v>N2</v>
          </cell>
          <cell r="H269" t="str">
            <v>b2</v>
          </cell>
          <cell r="I269" t="str">
            <v>N2-b2</v>
          </cell>
          <cell r="J269" t="str">
            <v>05</v>
          </cell>
          <cell r="K269" t="str">
            <v>10</v>
          </cell>
        </row>
        <row r="270">
          <cell r="A270" t="str">
            <v>05-11</v>
          </cell>
          <cell r="B270">
            <v>267</v>
          </cell>
          <cell r="C270" t="str">
            <v>C1.AM.05.11</v>
          </cell>
          <cell r="D270" t="str">
            <v>AM</v>
          </cell>
          <cell r="E270" t="str">
            <v>G-038</v>
          </cell>
          <cell r="F270" t="str">
            <v>AM061</v>
          </cell>
          <cell r="G270" t="str">
            <v>N2</v>
          </cell>
          <cell r="H270" t="str">
            <v>b2</v>
          </cell>
          <cell r="I270" t="str">
            <v>N2-b2</v>
          </cell>
          <cell r="J270" t="str">
            <v>05</v>
          </cell>
          <cell r="K270" t="str">
            <v>11</v>
          </cell>
        </row>
        <row r="271">
          <cell r="A271" t="str">
            <v>05-12</v>
          </cell>
          <cell r="B271">
            <v>268</v>
          </cell>
          <cell r="C271" t="str">
            <v>C1.AM.05.12</v>
          </cell>
          <cell r="D271" t="str">
            <v>AM</v>
          </cell>
          <cell r="E271" t="str">
            <v>G-117</v>
          </cell>
          <cell r="F271" t="str">
            <v>AM198</v>
          </cell>
          <cell r="G271" t="str">
            <v>N2</v>
          </cell>
          <cell r="H271" t="str">
            <v>b2</v>
          </cell>
          <cell r="I271" t="str">
            <v>N2-b2</v>
          </cell>
          <cell r="J271" t="str">
            <v>05</v>
          </cell>
          <cell r="K271" t="str">
            <v>12</v>
          </cell>
        </row>
        <row r="272">
          <cell r="A272" t="str">
            <v>05-13</v>
          </cell>
          <cell r="B272">
            <v>269</v>
          </cell>
          <cell r="C272" t="str">
            <v>C1.AM.05.13</v>
          </cell>
          <cell r="D272" t="str">
            <v>AM</v>
          </cell>
          <cell r="E272" t="str">
            <v>G-116</v>
          </cell>
          <cell r="F272" t="str">
            <v>AM197</v>
          </cell>
          <cell r="G272" t="str">
            <v>N2</v>
          </cell>
          <cell r="H272" t="str">
            <v>b2</v>
          </cell>
          <cell r="I272" t="str">
            <v>N2-b2</v>
          </cell>
          <cell r="J272" t="str">
            <v>05</v>
          </cell>
          <cell r="K272" t="str">
            <v>13</v>
          </cell>
        </row>
        <row r="273">
          <cell r="A273" t="str">
            <v>05-14</v>
          </cell>
          <cell r="B273">
            <v>270</v>
          </cell>
          <cell r="C273" t="str">
            <v>C1.AM.05.14</v>
          </cell>
          <cell r="D273" t="str">
            <v>AM</v>
          </cell>
          <cell r="E273" t="str">
            <v>G-072</v>
          </cell>
          <cell r="F273" t="str">
            <v>AM109</v>
          </cell>
          <cell r="G273" t="str">
            <v>N2</v>
          </cell>
          <cell r="H273" t="str">
            <v>b2</v>
          </cell>
          <cell r="I273" t="str">
            <v>N2-b2</v>
          </cell>
          <cell r="J273" t="str">
            <v>05</v>
          </cell>
          <cell r="K273" t="str">
            <v>14</v>
          </cell>
        </row>
        <row r="274">
          <cell r="A274" t="str">
            <v>05-15</v>
          </cell>
          <cell r="B274">
            <v>271</v>
          </cell>
          <cell r="C274" t="str">
            <v>C1.AM.05.15</v>
          </cell>
          <cell r="D274" t="str">
            <v>AM</v>
          </cell>
          <cell r="E274" t="str">
            <v>G-021</v>
          </cell>
          <cell r="F274" t="str">
            <v>AM038</v>
          </cell>
          <cell r="G274" t="str">
            <v>N2</v>
          </cell>
          <cell r="H274" t="str">
            <v>b2</v>
          </cell>
          <cell r="I274" t="str">
            <v>N2-b2</v>
          </cell>
          <cell r="J274" t="str">
            <v>05</v>
          </cell>
          <cell r="K274" t="str">
            <v>15</v>
          </cell>
        </row>
        <row r="275">
          <cell r="A275" t="str">
            <v>05-16</v>
          </cell>
          <cell r="B275">
            <v>272</v>
          </cell>
          <cell r="C275" t="str">
            <v>C1.AM.05.16</v>
          </cell>
          <cell r="D275" t="str">
            <v>AM</v>
          </cell>
          <cell r="E275" t="str">
            <v>G-054</v>
          </cell>
          <cell r="F275" t="str">
            <v>AM083</v>
          </cell>
          <cell r="G275" t="str">
            <v>N2</v>
          </cell>
          <cell r="H275" t="str">
            <v>b2</v>
          </cell>
          <cell r="I275" t="str">
            <v>N2-b2</v>
          </cell>
          <cell r="J275" t="str">
            <v>05</v>
          </cell>
          <cell r="K275" t="str">
            <v>16</v>
          </cell>
        </row>
        <row r="276">
          <cell r="A276" t="str">
            <v>05-17</v>
          </cell>
          <cell r="B276">
            <v>273</v>
          </cell>
          <cell r="C276" t="str">
            <v>C1.AM.05.17</v>
          </cell>
          <cell r="D276" t="str">
            <v>AM</v>
          </cell>
          <cell r="E276" t="str">
            <v>G-049</v>
          </cell>
          <cell r="F276" t="str">
            <v>AM074</v>
          </cell>
          <cell r="G276" t="str">
            <v>N2</v>
          </cell>
          <cell r="H276" t="str">
            <v>b2</v>
          </cell>
          <cell r="I276" t="str">
            <v>N2-b2</v>
          </cell>
          <cell r="J276" t="str">
            <v>05</v>
          </cell>
          <cell r="K276" t="str">
            <v>17</v>
          </cell>
        </row>
        <row r="277">
          <cell r="A277" t="str">
            <v>05-18</v>
          </cell>
          <cell r="B277">
            <v>274</v>
          </cell>
          <cell r="C277" t="str">
            <v>C1.AM.05.18</v>
          </cell>
          <cell r="D277" t="str">
            <v>AM</v>
          </cell>
          <cell r="E277" t="str">
            <v>G-061</v>
          </cell>
          <cell r="F277" t="str">
            <v>AM090</v>
          </cell>
          <cell r="G277" t="str">
            <v>N2</v>
          </cell>
          <cell r="H277" t="str">
            <v>b2</v>
          </cell>
          <cell r="I277" t="str">
            <v>N2-b2</v>
          </cell>
          <cell r="J277" t="str">
            <v>05</v>
          </cell>
          <cell r="K277" t="str">
            <v>18</v>
          </cell>
        </row>
        <row r="278">
          <cell r="A278" t="str">
            <v>05-19</v>
          </cell>
          <cell r="B278">
            <v>275</v>
          </cell>
          <cell r="C278" t="str">
            <v>C1.AM.05.19</v>
          </cell>
          <cell r="D278" t="str">
            <v>AM</v>
          </cell>
          <cell r="E278" t="str">
            <v>G-001</v>
          </cell>
          <cell r="F278" t="str">
            <v>Aviso</v>
          </cell>
          <cell r="G278" t="str">
            <v>N2</v>
          </cell>
          <cell r="H278" t="str">
            <v>b2</v>
          </cell>
          <cell r="I278" t="str">
            <v>N2-b2</v>
          </cell>
          <cell r="J278" t="str">
            <v>05</v>
          </cell>
          <cell r="K278" t="str">
            <v>19</v>
          </cell>
        </row>
        <row r="279">
          <cell r="A279" t="str">
            <v>05-20</v>
          </cell>
          <cell r="B279">
            <v>276</v>
          </cell>
          <cell r="C279" t="str">
            <v>C1.AM.05.20</v>
          </cell>
          <cell r="D279" t="str">
            <v>AM</v>
          </cell>
          <cell r="E279" t="str">
            <v>G-008</v>
          </cell>
          <cell r="F279" t="str">
            <v>AM019</v>
          </cell>
          <cell r="G279" t="str">
            <v>N2</v>
          </cell>
          <cell r="H279" t="str">
            <v>b2</v>
          </cell>
          <cell r="I279" t="str">
            <v>N2-b2</v>
          </cell>
          <cell r="J279" t="str">
            <v>05</v>
          </cell>
          <cell r="K279" t="str">
            <v>20</v>
          </cell>
        </row>
        <row r="280">
          <cell r="A280" t="str">
            <v>05-21</v>
          </cell>
          <cell r="B280">
            <v>277</v>
          </cell>
          <cell r="C280" t="str">
            <v>C1.AM.05.21</v>
          </cell>
          <cell r="D280" t="str">
            <v>AM</v>
          </cell>
          <cell r="E280" t="str">
            <v>G-081</v>
          </cell>
          <cell r="F280" t="str">
            <v>AM131</v>
          </cell>
          <cell r="G280" t="str">
            <v>N2</v>
          </cell>
          <cell r="H280" t="str">
            <v>b2</v>
          </cell>
          <cell r="I280" t="str">
            <v>N2-b2</v>
          </cell>
          <cell r="J280" t="str">
            <v>05</v>
          </cell>
          <cell r="K280" t="str">
            <v>21</v>
          </cell>
        </row>
        <row r="281">
          <cell r="A281" t="str">
            <v>05-22</v>
          </cell>
          <cell r="B281">
            <v>278</v>
          </cell>
          <cell r="C281" t="str">
            <v>C1.AM.05.22</v>
          </cell>
          <cell r="D281" t="str">
            <v>AM</v>
          </cell>
          <cell r="E281" t="str">
            <v>G-002</v>
          </cell>
          <cell r="F281" t="str">
            <v>Montego</v>
          </cell>
          <cell r="G281" t="str">
            <v>N2</v>
          </cell>
          <cell r="H281" t="str">
            <v>b2</v>
          </cell>
          <cell r="I281" t="str">
            <v>N2-b2</v>
          </cell>
          <cell r="J281" t="str">
            <v>05</v>
          </cell>
          <cell r="K281" t="str">
            <v>22</v>
          </cell>
        </row>
        <row r="282">
          <cell r="A282" t="str">
            <v>05-23</v>
          </cell>
          <cell r="B282">
            <v>279</v>
          </cell>
          <cell r="C282" t="str">
            <v>C1.AM.05.23</v>
          </cell>
          <cell r="D282" t="str">
            <v>AM</v>
          </cell>
          <cell r="E282" t="str">
            <v>G-051</v>
          </cell>
          <cell r="F282" t="str">
            <v>AM078</v>
          </cell>
          <cell r="G282" t="str">
            <v>N2</v>
          </cell>
          <cell r="H282" t="str">
            <v>b2</v>
          </cell>
          <cell r="I282" t="str">
            <v>N2-b2</v>
          </cell>
          <cell r="J282" t="str">
            <v>05</v>
          </cell>
          <cell r="K282" t="str">
            <v>23</v>
          </cell>
        </row>
        <row r="283">
          <cell r="A283" t="str">
            <v>05-24</v>
          </cell>
          <cell r="B283">
            <v>280</v>
          </cell>
          <cell r="C283" t="str">
            <v>C1.AM.05.24</v>
          </cell>
          <cell r="D283" t="str">
            <v>AM</v>
          </cell>
          <cell r="E283" t="str">
            <v>G-083</v>
          </cell>
          <cell r="F283" t="str">
            <v>AM137</v>
          </cell>
          <cell r="G283" t="str">
            <v>N2</v>
          </cell>
          <cell r="H283" t="str">
            <v>b2</v>
          </cell>
          <cell r="I283" t="str">
            <v>N2-b2</v>
          </cell>
          <cell r="J283" t="str">
            <v>05</v>
          </cell>
          <cell r="K283" t="str">
            <v>24</v>
          </cell>
        </row>
        <row r="284">
          <cell r="A284" t="str">
            <v>05-25</v>
          </cell>
          <cell r="B284">
            <v>281</v>
          </cell>
          <cell r="C284" t="str">
            <v>C1.AM.05.25</v>
          </cell>
          <cell r="D284" t="str">
            <v>AM</v>
          </cell>
          <cell r="E284" t="str">
            <v>G-092</v>
          </cell>
          <cell r="F284" t="str">
            <v>AM147</v>
          </cell>
          <cell r="G284" t="str">
            <v>N2</v>
          </cell>
          <cell r="H284" t="str">
            <v>b2</v>
          </cell>
          <cell r="I284" t="str">
            <v>N2-b2</v>
          </cell>
          <cell r="J284" t="str">
            <v>05</v>
          </cell>
          <cell r="K284" t="str">
            <v>25</v>
          </cell>
        </row>
        <row r="285">
          <cell r="A285" t="str">
            <v>05-26</v>
          </cell>
          <cell r="B285">
            <v>282</v>
          </cell>
          <cell r="C285" t="str">
            <v>C1.AM.05.26</v>
          </cell>
          <cell r="D285" t="str">
            <v>AM</v>
          </cell>
          <cell r="E285" t="str">
            <v>G-121</v>
          </cell>
          <cell r="F285" t="str">
            <v>Darmor</v>
          </cell>
          <cell r="G285" t="str">
            <v>N2</v>
          </cell>
          <cell r="H285" t="str">
            <v>b2</v>
          </cell>
          <cell r="I285" t="str">
            <v>N2-b2</v>
          </cell>
          <cell r="J285" t="str">
            <v>05</v>
          </cell>
          <cell r="K285" t="str">
            <v>26</v>
          </cell>
        </row>
        <row r="286">
          <cell r="A286" t="str">
            <v>05-27</v>
          </cell>
          <cell r="B286">
            <v>283</v>
          </cell>
          <cell r="C286" t="str">
            <v>C1.AM.05.27</v>
          </cell>
          <cell r="D286" t="str">
            <v>AM</v>
          </cell>
          <cell r="E286" t="str">
            <v>G-014</v>
          </cell>
          <cell r="F286" t="str">
            <v>AM031</v>
          </cell>
          <cell r="G286" t="str">
            <v>N2</v>
          </cell>
          <cell r="H286" t="str">
            <v>b2</v>
          </cell>
          <cell r="I286" t="str">
            <v>N2-b2</v>
          </cell>
          <cell r="J286" t="str">
            <v>05</v>
          </cell>
          <cell r="K286" t="str">
            <v>27</v>
          </cell>
        </row>
        <row r="287">
          <cell r="A287" t="str">
            <v>05-28</v>
          </cell>
          <cell r="B287">
            <v>284</v>
          </cell>
          <cell r="C287" t="str">
            <v>C1.AM.05.28</v>
          </cell>
          <cell r="D287" t="str">
            <v>AM</v>
          </cell>
          <cell r="E287" t="str">
            <v>G-064</v>
          </cell>
          <cell r="F287" t="str">
            <v>AM093</v>
          </cell>
          <cell r="G287" t="str">
            <v>N2</v>
          </cell>
          <cell r="H287" t="str">
            <v>b2</v>
          </cell>
          <cell r="I287" t="str">
            <v>N2-b2</v>
          </cell>
          <cell r="J287" t="str">
            <v>05</v>
          </cell>
          <cell r="K287" t="str">
            <v>28</v>
          </cell>
        </row>
        <row r="288">
          <cell r="A288" t="str">
            <v>05-29</v>
          </cell>
          <cell r="B288">
            <v>285</v>
          </cell>
          <cell r="C288" t="str">
            <v>C1.AM.05.29</v>
          </cell>
          <cell r="D288" t="str">
            <v>AM</v>
          </cell>
          <cell r="E288" t="str">
            <v>G-009</v>
          </cell>
          <cell r="F288" t="str">
            <v>AM020</v>
          </cell>
          <cell r="G288" t="str">
            <v>N2</v>
          </cell>
          <cell r="H288" t="str">
            <v>b2</v>
          </cell>
          <cell r="I288" t="str">
            <v>N2-b2</v>
          </cell>
          <cell r="J288" t="str">
            <v>05</v>
          </cell>
          <cell r="K288" t="str">
            <v>29</v>
          </cell>
        </row>
        <row r="289">
          <cell r="A289" t="str">
            <v>05-30</v>
          </cell>
          <cell r="B289">
            <v>286</v>
          </cell>
          <cell r="C289" t="str">
            <v>C1.AM.05.30</v>
          </cell>
          <cell r="D289" t="str">
            <v>AM</v>
          </cell>
          <cell r="E289" t="str">
            <v>G-118</v>
          </cell>
          <cell r="F289" t="str">
            <v>Colvert</v>
          </cell>
          <cell r="G289" t="str">
            <v>N2</v>
          </cell>
          <cell r="H289" t="str">
            <v>b2</v>
          </cell>
          <cell r="I289" t="str">
            <v>N2-b2</v>
          </cell>
          <cell r="J289" t="str">
            <v>05</v>
          </cell>
          <cell r="K289" t="str">
            <v>30</v>
          </cell>
        </row>
        <row r="290">
          <cell r="A290" t="str">
            <v>05-31</v>
          </cell>
          <cell r="B290">
            <v>287</v>
          </cell>
          <cell r="C290" t="str">
            <v>C1.AM.05.31</v>
          </cell>
          <cell r="D290" t="str">
            <v>AM</v>
          </cell>
          <cell r="E290" t="str">
            <v>G-110</v>
          </cell>
          <cell r="F290" t="str">
            <v>AM185</v>
          </cell>
          <cell r="G290" t="str">
            <v>N2</v>
          </cell>
          <cell r="H290" t="str">
            <v>b2</v>
          </cell>
          <cell r="I290" t="str">
            <v>N2-b2</v>
          </cell>
          <cell r="J290" t="str">
            <v>05</v>
          </cell>
          <cell r="K290" t="str">
            <v>31</v>
          </cell>
        </row>
        <row r="291">
          <cell r="A291" t="str">
            <v>05-32</v>
          </cell>
          <cell r="B291">
            <v>288</v>
          </cell>
          <cell r="C291" t="str">
            <v>C1.AM.05.32</v>
          </cell>
          <cell r="D291" t="str">
            <v>AM</v>
          </cell>
          <cell r="E291" t="str">
            <v>G-020</v>
          </cell>
          <cell r="F291" t="str">
            <v>AM037</v>
          </cell>
          <cell r="G291" t="str">
            <v>N2</v>
          </cell>
          <cell r="H291" t="str">
            <v>b2</v>
          </cell>
          <cell r="I291" t="str">
            <v>N2-b2</v>
          </cell>
          <cell r="J291" t="str">
            <v>05</v>
          </cell>
          <cell r="K291" t="str">
            <v>32</v>
          </cell>
        </row>
        <row r="292">
          <cell r="A292" t="str">
            <v>05-33</v>
          </cell>
          <cell r="B292">
            <v>289</v>
          </cell>
          <cell r="C292" t="str">
            <v>C1.AM.05.33</v>
          </cell>
          <cell r="D292" t="str">
            <v>AM</v>
          </cell>
          <cell r="E292" t="str">
            <v>G-040</v>
          </cell>
          <cell r="F292" t="str">
            <v>AM063</v>
          </cell>
          <cell r="G292" t="str">
            <v>N1</v>
          </cell>
          <cell r="H292" t="str">
            <v>b2</v>
          </cell>
          <cell r="I292" t="str">
            <v>N1-b2</v>
          </cell>
          <cell r="J292" t="str">
            <v>05</v>
          </cell>
          <cell r="K292" t="str">
            <v>33</v>
          </cell>
        </row>
        <row r="293">
          <cell r="A293" t="str">
            <v>05-34</v>
          </cell>
          <cell r="B293">
            <v>290</v>
          </cell>
          <cell r="C293" t="str">
            <v>C1.AM.05.34</v>
          </cell>
          <cell r="D293" t="str">
            <v>AM</v>
          </cell>
          <cell r="E293" t="str">
            <v>G-107</v>
          </cell>
          <cell r="F293" t="str">
            <v>AM173</v>
          </cell>
          <cell r="G293" t="str">
            <v>N1</v>
          </cell>
          <cell r="H293" t="str">
            <v>b2</v>
          </cell>
          <cell r="I293" t="str">
            <v>N1-b2</v>
          </cell>
          <cell r="J293" t="str">
            <v>05</v>
          </cell>
          <cell r="K293" t="str">
            <v>34</v>
          </cell>
        </row>
        <row r="294">
          <cell r="A294" t="str">
            <v>05-35</v>
          </cell>
          <cell r="B294">
            <v>291</v>
          </cell>
          <cell r="C294" t="str">
            <v>C1.AM.05.35</v>
          </cell>
          <cell r="D294" t="str">
            <v>AM</v>
          </cell>
          <cell r="E294" t="str">
            <v>G-001</v>
          </cell>
          <cell r="F294" t="str">
            <v>Aviso</v>
          </cell>
          <cell r="G294" t="str">
            <v>N1</v>
          </cell>
          <cell r="H294" t="str">
            <v>b2</v>
          </cell>
          <cell r="I294" t="str">
            <v>N1-b2</v>
          </cell>
          <cell r="J294" t="str">
            <v>05</v>
          </cell>
          <cell r="K294" t="str">
            <v>35</v>
          </cell>
        </row>
        <row r="295">
          <cell r="A295" t="str">
            <v>05-36</v>
          </cell>
          <cell r="B295">
            <v>292</v>
          </cell>
          <cell r="C295" t="str">
            <v>C1.AM.05.36</v>
          </cell>
          <cell r="D295" t="str">
            <v>AM</v>
          </cell>
          <cell r="E295" t="str">
            <v>G-082</v>
          </cell>
          <cell r="F295" t="str">
            <v>AM133</v>
          </cell>
          <cell r="G295" t="str">
            <v>N1</v>
          </cell>
          <cell r="H295" t="str">
            <v>b2</v>
          </cell>
          <cell r="I295" t="str">
            <v>N1-b2</v>
          </cell>
          <cell r="J295" t="str">
            <v>05</v>
          </cell>
          <cell r="K295" t="str">
            <v>36</v>
          </cell>
        </row>
        <row r="296">
          <cell r="A296" t="str">
            <v>05-37</v>
          </cell>
          <cell r="B296">
            <v>293</v>
          </cell>
          <cell r="C296" t="str">
            <v>C1.AM.05.37</v>
          </cell>
          <cell r="D296" t="str">
            <v>AM</v>
          </cell>
          <cell r="E296" t="str">
            <v>G-120</v>
          </cell>
          <cell r="F296" t="str">
            <v>Twister</v>
          </cell>
          <cell r="G296" t="str">
            <v>N1</v>
          </cell>
          <cell r="H296" t="str">
            <v>b2</v>
          </cell>
          <cell r="I296" t="str">
            <v>N1-b2</v>
          </cell>
          <cell r="J296" t="str">
            <v>05</v>
          </cell>
          <cell r="K296" t="str">
            <v>37</v>
          </cell>
        </row>
        <row r="297">
          <cell r="A297" t="str">
            <v>05-38</v>
          </cell>
          <cell r="B297">
            <v>294</v>
          </cell>
          <cell r="C297" t="str">
            <v>C1.AM.05.38</v>
          </cell>
          <cell r="D297" t="str">
            <v>AM</v>
          </cell>
          <cell r="E297" t="str">
            <v>G-124</v>
          </cell>
          <cell r="F297" t="str">
            <v>S-Oase</v>
          </cell>
          <cell r="G297" t="str">
            <v>N1</v>
          </cell>
          <cell r="H297" t="str">
            <v>b2</v>
          </cell>
          <cell r="I297" t="str">
            <v>N1-b2</v>
          </cell>
          <cell r="J297" t="str">
            <v>05</v>
          </cell>
          <cell r="K297" t="str">
            <v>38</v>
          </cell>
        </row>
        <row r="298">
          <cell r="A298" t="str">
            <v>05-39</v>
          </cell>
          <cell r="B298">
            <v>295</v>
          </cell>
          <cell r="C298" t="str">
            <v>C1.AM.05.39</v>
          </cell>
          <cell r="D298" t="str">
            <v>AM</v>
          </cell>
          <cell r="E298" t="str">
            <v>G-007</v>
          </cell>
          <cell r="F298" t="str">
            <v>AM018</v>
          </cell>
          <cell r="G298" t="str">
            <v>N1</v>
          </cell>
          <cell r="H298" t="str">
            <v>b2</v>
          </cell>
          <cell r="I298" t="str">
            <v>N1-b2</v>
          </cell>
          <cell r="J298" t="str">
            <v>05</v>
          </cell>
          <cell r="K298" t="str">
            <v>39</v>
          </cell>
        </row>
        <row r="299">
          <cell r="A299" t="str">
            <v>05-40</v>
          </cell>
          <cell r="B299">
            <v>296</v>
          </cell>
          <cell r="C299" t="str">
            <v>C1.AM.05.40</v>
          </cell>
          <cell r="D299" t="str">
            <v>AM</v>
          </cell>
          <cell r="E299" t="str">
            <v>G-018</v>
          </cell>
          <cell r="F299" t="str">
            <v>AM035</v>
          </cell>
          <cell r="G299" t="str">
            <v>N1</v>
          </cell>
          <cell r="H299" t="str">
            <v>b2</v>
          </cell>
          <cell r="I299" t="str">
            <v>N1-b2</v>
          </cell>
          <cell r="J299" t="str">
            <v>05</v>
          </cell>
          <cell r="K299" t="str">
            <v>40</v>
          </cell>
        </row>
        <row r="300">
          <cell r="A300" t="str">
            <v>05-41</v>
          </cell>
          <cell r="B300">
            <v>297</v>
          </cell>
          <cell r="C300" t="str">
            <v>C1.AM.05.41</v>
          </cell>
          <cell r="D300" t="str">
            <v>AM</v>
          </cell>
          <cell r="E300" t="str">
            <v>G-058</v>
          </cell>
          <cell r="F300" t="str">
            <v>AM087</v>
          </cell>
          <cell r="G300" t="str">
            <v>N1</v>
          </cell>
          <cell r="H300" t="str">
            <v>b2</v>
          </cell>
          <cell r="I300" t="str">
            <v>N1-b2</v>
          </cell>
          <cell r="J300" t="str">
            <v>05</v>
          </cell>
          <cell r="K300" t="str">
            <v>41</v>
          </cell>
        </row>
        <row r="301">
          <cell r="A301" t="str">
            <v>05-42</v>
          </cell>
          <cell r="B301">
            <v>298</v>
          </cell>
          <cell r="C301" t="str">
            <v>C1.AM.05.42</v>
          </cell>
          <cell r="D301" t="str">
            <v>AM</v>
          </cell>
          <cell r="E301" t="str">
            <v>G-055</v>
          </cell>
          <cell r="F301" t="str">
            <v>AM084</v>
          </cell>
          <cell r="G301" t="str">
            <v>N1</v>
          </cell>
          <cell r="H301" t="str">
            <v>b2</v>
          </cell>
          <cell r="I301" t="str">
            <v>N1-b2</v>
          </cell>
          <cell r="J301" t="str">
            <v>05</v>
          </cell>
          <cell r="K301" t="str">
            <v>42</v>
          </cell>
        </row>
        <row r="302">
          <cell r="A302" t="str">
            <v>05-43</v>
          </cell>
          <cell r="B302">
            <v>299</v>
          </cell>
          <cell r="C302" t="str">
            <v>C1.AM.05.43</v>
          </cell>
          <cell r="D302" t="str">
            <v>AM</v>
          </cell>
          <cell r="E302" t="str">
            <v>G-091</v>
          </cell>
          <cell r="F302" t="str">
            <v>AM146</v>
          </cell>
          <cell r="G302" t="str">
            <v>N1</v>
          </cell>
          <cell r="H302" t="str">
            <v>b2</v>
          </cell>
          <cell r="I302" t="str">
            <v>N1-b2</v>
          </cell>
          <cell r="J302" t="str">
            <v>05</v>
          </cell>
          <cell r="K302" t="str">
            <v>43</v>
          </cell>
        </row>
        <row r="303">
          <cell r="A303" t="str">
            <v>05-44</v>
          </cell>
          <cell r="B303">
            <v>300</v>
          </cell>
          <cell r="C303" t="str">
            <v>C1.AM.05.44</v>
          </cell>
          <cell r="D303" t="str">
            <v>AM</v>
          </cell>
          <cell r="E303" t="str">
            <v>G-060</v>
          </cell>
          <cell r="F303" t="str">
            <v>AM089</v>
          </cell>
          <cell r="G303" t="str">
            <v>N1</v>
          </cell>
          <cell r="H303" t="str">
            <v>b2</v>
          </cell>
          <cell r="I303" t="str">
            <v>N1-b2</v>
          </cell>
          <cell r="J303" t="str">
            <v>05</v>
          </cell>
          <cell r="K303" t="str">
            <v>44</v>
          </cell>
        </row>
        <row r="304">
          <cell r="A304" t="str">
            <v>05-45</v>
          </cell>
          <cell r="B304">
            <v>301</v>
          </cell>
          <cell r="C304" t="str">
            <v>C1.AM.05.45</v>
          </cell>
          <cell r="D304" t="str">
            <v>AM</v>
          </cell>
          <cell r="E304" t="str">
            <v>G-108</v>
          </cell>
          <cell r="F304" t="str">
            <v>AM174</v>
          </cell>
          <cell r="G304" t="str">
            <v>N1</v>
          </cell>
          <cell r="H304" t="str">
            <v>b2</v>
          </cell>
          <cell r="I304" t="str">
            <v>N1-b2</v>
          </cell>
          <cell r="J304" t="str">
            <v>05</v>
          </cell>
          <cell r="K304" t="str">
            <v>45</v>
          </cell>
        </row>
        <row r="305">
          <cell r="A305" t="str">
            <v>05-46</v>
          </cell>
          <cell r="B305">
            <v>302</v>
          </cell>
          <cell r="C305" t="str">
            <v>C1.AM.05.46</v>
          </cell>
          <cell r="D305" t="str">
            <v>AM</v>
          </cell>
          <cell r="E305" t="str">
            <v>G-051</v>
          </cell>
          <cell r="F305" t="str">
            <v>AM078</v>
          </cell>
          <cell r="G305" t="str">
            <v>N1</v>
          </cell>
          <cell r="H305" t="str">
            <v>b2</v>
          </cell>
          <cell r="I305" t="str">
            <v>N1-b2</v>
          </cell>
          <cell r="J305" t="str">
            <v>05</v>
          </cell>
          <cell r="K305" t="str">
            <v>46</v>
          </cell>
        </row>
        <row r="306">
          <cell r="A306" t="str">
            <v>05-47</v>
          </cell>
          <cell r="B306">
            <v>303</v>
          </cell>
          <cell r="C306" t="str">
            <v>C1.AM.05.47</v>
          </cell>
          <cell r="D306" t="str">
            <v>AM</v>
          </cell>
          <cell r="E306" t="str">
            <v>G-075</v>
          </cell>
          <cell r="F306" t="str">
            <v>AM123</v>
          </cell>
          <cell r="G306" t="str">
            <v>N1</v>
          </cell>
          <cell r="H306" t="str">
            <v>b2</v>
          </cell>
          <cell r="I306" t="str">
            <v>N1-b2</v>
          </cell>
          <cell r="J306" t="str">
            <v>05</v>
          </cell>
          <cell r="K306" t="str">
            <v>47</v>
          </cell>
        </row>
        <row r="307">
          <cell r="A307" t="str">
            <v>05-48</v>
          </cell>
          <cell r="B307">
            <v>304</v>
          </cell>
          <cell r="C307" t="str">
            <v>C1.AM.05.48</v>
          </cell>
          <cell r="D307" t="str">
            <v>AM</v>
          </cell>
          <cell r="E307" t="str">
            <v>G-093</v>
          </cell>
          <cell r="F307" t="str">
            <v>AM148</v>
          </cell>
          <cell r="G307" t="str">
            <v>N1</v>
          </cell>
          <cell r="H307" t="str">
            <v>b2</v>
          </cell>
          <cell r="I307" t="str">
            <v>N1-b2</v>
          </cell>
          <cell r="J307" t="str">
            <v>05</v>
          </cell>
          <cell r="K307" t="str">
            <v>48</v>
          </cell>
        </row>
        <row r="308">
          <cell r="A308" t="str">
            <v>05-49</v>
          </cell>
          <cell r="B308">
            <v>305</v>
          </cell>
          <cell r="C308" t="str">
            <v>C1.AM.05.49</v>
          </cell>
          <cell r="D308" t="str">
            <v>AM</v>
          </cell>
          <cell r="E308" t="str">
            <v>G-110</v>
          </cell>
          <cell r="F308" t="str">
            <v>AM185</v>
          </cell>
          <cell r="G308" t="str">
            <v>N1</v>
          </cell>
          <cell r="H308" t="str">
            <v>b2</v>
          </cell>
          <cell r="I308" t="str">
            <v>N1-b2</v>
          </cell>
          <cell r="J308" t="str">
            <v>05</v>
          </cell>
          <cell r="K308" t="str">
            <v>49</v>
          </cell>
        </row>
        <row r="309">
          <cell r="A309" t="str">
            <v>05-50</v>
          </cell>
          <cell r="B309">
            <v>306</v>
          </cell>
          <cell r="C309" t="str">
            <v>C1.AM.05.50</v>
          </cell>
          <cell r="D309" t="str">
            <v>AM</v>
          </cell>
          <cell r="E309" t="str">
            <v>G-050</v>
          </cell>
          <cell r="F309" t="str">
            <v>AM076</v>
          </cell>
          <cell r="G309" t="str">
            <v>N1</v>
          </cell>
          <cell r="H309" t="str">
            <v>b2</v>
          </cell>
          <cell r="I309" t="str">
            <v>N1-b2</v>
          </cell>
          <cell r="J309" t="str">
            <v>05</v>
          </cell>
          <cell r="K309" t="str">
            <v>50</v>
          </cell>
        </row>
        <row r="310">
          <cell r="A310" t="str">
            <v>05-51</v>
          </cell>
          <cell r="B310">
            <v>307</v>
          </cell>
          <cell r="C310" t="str">
            <v>C1.AM.05.51</v>
          </cell>
          <cell r="D310" t="str">
            <v>AM</v>
          </cell>
          <cell r="E310" t="str">
            <v>G-114</v>
          </cell>
          <cell r="F310" t="str">
            <v>AM193</v>
          </cell>
          <cell r="G310" t="str">
            <v>N1</v>
          </cell>
          <cell r="H310" t="str">
            <v>b2</v>
          </cell>
          <cell r="I310" t="str">
            <v>N1-b2</v>
          </cell>
          <cell r="J310" t="str">
            <v>05</v>
          </cell>
          <cell r="K310" t="str">
            <v>51</v>
          </cell>
        </row>
        <row r="311">
          <cell r="A311" t="str">
            <v>05-52</v>
          </cell>
          <cell r="B311">
            <v>308</v>
          </cell>
          <cell r="C311" t="str">
            <v>C1.AM.05.52</v>
          </cell>
          <cell r="D311" t="str">
            <v>AM</v>
          </cell>
          <cell r="E311" t="str">
            <v>G-074</v>
          </cell>
          <cell r="F311" t="str">
            <v>AM120</v>
          </cell>
          <cell r="G311" t="str">
            <v>N1</v>
          </cell>
          <cell r="H311" t="str">
            <v>b2</v>
          </cell>
          <cell r="I311" t="str">
            <v>N1-b2</v>
          </cell>
          <cell r="J311" t="str">
            <v>05</v>
          </cell>
          <cell r="K311" t="str">
            <v>52</v>
          </cell>
        </row>
        <row r="312">
          <cell r="A312" t="str">
            <v>05-53</v>
          </cell>
          <cell r="B312">
            <v>309</v>
          </cell>
          <cell r="C312" t="str">
            <v>C1.AM.05.53</v>
          </cell>
          <cell r="D312" t="str">
            <v>AM</v>
          </cell>
          <cell r="E312" t="str">
            <v>G-084</v>
          </cell>
          <cell r="F312" t="str">
            <v>AM138</v>
          </cell>
          <cell r="G312" t="str">
            <v>N1</v>
          </cell>
          <cell r="H312" t="str">
            <v>b2</v>
          </cell>
          <cell r="I312" t="str">
            <v>N1-b2</v>
          </cell>
          <cell r="J312" t="str">
            <v>05</v>
          </cell>
          <cell r="K312" t="str">
            <v>53</v>
          </cell>
        </row>
        <row r="313">
          <cell r="A313" t="str">
            <v>05-54</v>
          </cell>
          <cell r="B313">
            <v>310</v>
          </cell>
          <cell r="C313" t="str">
            <v>C1.AM.05.54</v>
          </cell>
          <cell r="D313" t="str">
            <v>AM</v>
          </cell>
          <cell r="E313" t="str">
            <v>G-003</v>
          </cell>
          <cell r="F313" t="str">
            <v>AM014</v>
          </cell>
          <cell r="G313" t="str">
            <v>N1</v>
          </cell>
          <cell r="H313" t="str">
            <v>b2</v>
          </cell>
          <cell r="I313" t="str">
            <v>N1-b2</v>
          </cell>
          <cell r="J313" t="str">
            <v>05</v>
          </cell>
          <cell r="K313" t="str">
            <v>54</v>
          </cell>
        </row>
        <row r="314">
          <cell r="A314" t="str">
            <v>05-55</v>
          </cell>
          <cell r="B314">
            <v>311</v>
          </cell>
          <cell r="C314" t="str">
            <v>C1.AM.05.55</v>
          </cell>
          <cell r="D314" t="str">
            <v>AM</v>
          </cell>
          <cell r="E314" t="str">
            <v>G-046</v>
          </cell>
          <cell r="F314" t="str">
            <v>AM070</v>
          </cell>
          <cell r="G314" t="str">
            <v>N1</v>
          </cell>
          <cell r="H314" t="str">
            <v>b2</v>
          </cell>
          <cell r="I314" t="str">
            <v>N1-b2</v>
          </cell>
          <cell r="J314" t="str">
            <v>05</v>
          </cell>
          <cell r="K314" t="str">
            <v>55</v>
          </cell>
        </row>
        <row r="315">
          <cell r="A315" t="str">
            <v>05-56</v>
          </cell>
          <cell r="B315">
            <v>312</v>
          </cell>
          <cell r="C315" t="str">
            <v>C1.AM.05.56</v>
          </cell>
          <cell r="D315" t="str">
            <v>AM</v>
          </cell>
          <cell r="E315" t="str">
            <v>G-061</v>
          </cell>
          <cell r="F315" t="str">
            <v>AM090</v>
          </cell>
          <cell r="G315" t="str">
            <v>N1</v>
          </cell>
          <cell r="H315" t="str">
            <v>b2</v>
          </cell>
          <cell r="I315" t="str">
            <v>N1-b2</v>
          </cell>
          <cell r="J315" t="str">
            <v>05</v>
          </cell>
          <cell r="K315" t="str">
            <v>56</v>
          </cell>
        </row>
        <row r="316">
          <cell r="A316" t="str">
            <v>05-57</v>
          </cell>
          <cell r="B316">
            <v>313</v>
          </cell>
          <cell r="C316" t="str">
            <v>C1.AM.05.57</v>
          </cell>
          <cell r="D316" t="str">
            <v>AM</v>
          </cell>
          <cell r="E316" t="str">
            <v>G-047</v>
          </cell>
          <cell r="F316" t="str">
            <v>AM071</v>
          </cell>
          <cell r="G316" t="str">
            <v>N1</v>
          </cell>
          <cell r="H316" t="str">
            <v>b2</v>
          </cell>
          <cell r="I316" t="str">
            <v>N1-b2</v>
          </cell>
          <cell r="J316" t="str">
            <v>05</v>
          </cell>
          <cell r="K316" t="str">
            <v>57</v>
          </cell>
        </row>
        <row r="317">
          <cell r="A317" t="str">
            <v>05-58</v>
          </cell>
          <cell r="B317">
            <v>314</v>
          </cell>
          <cell r="C317" t="str">
            <v>C1.AM.05.58</v>
          </cell>
          <cell r="D317" t="str">
            <v>AM</v>
          </cell>
          <cell r="E317" t="str">
            <v>G-117</v>
          </cell>
          <cell r="F317" t="str">
            <v>AM198</v>
          </cell>
          <cell r="G317" t="str">
            <v>N1</v>
          </cell>
          <cell r="H317" t="str">
            <v>b2</v>
          </cell>
          <cell r="I317" t="str">
            <v>N1-b2</v>
          </cell>
          <cell r="J317" t="str">
            <v>05</v>
          </cell>
          <cell r="K317" t="str">
            <v>58</v>
          </cell>
        </row>
        <row r="318">
          <cell r="A318" t="str">
            <v>05-59</v>
          </cell>
          <cell r="B318">
            <v>315</v>
          </cell>
          <cell r="C318" t="str">
            <v>C1.AM.05.59</v>
          </cell>
          <cell r="D318" t="str">
            <v>AM</v>
          </cell>
          <cell r="E318" t="str">
            <v>G-096</v>
          </cell>
          <cell r="F318" t="str">
            <v>AM158</v>
          </cell>
          <cell r="G318" t="str">
            <v>N1</v>
          </cell>
          <cell r="H318" t="str">
            <v>b2</v>
          </cell>
          <cell r="I318" t="str">
            <v>N1-b2</v>
          </cell>
          <cell r="J318" t="str">
            <v>05</v>
          </cell>
          <cell r="K318" t="str">
            <v>59</v>
          </cell>
        </row>
        <row r="319">
          <cell r="A319" t="str">
            <v>05-60</v>
          </cell>
          <cell r="B319">
            <v>316</v>
          </cell>
          <cell r="C319" t="str">
            <v>C1.AM.05.60</v>
          </cell>
          <cell r="D319" t="str">
            <v>AM</v>
          </cell>
          <cell r="E319" t="str">
            <v>G-022</v>
          </cell>
          <cell r="F319" t="str">
            <v>AM039</v>
          </cell>
          <cell r="G319" t="str">
            <v>N1</v>
          </cell>
          <cell r="H319" t="str">
            <v>b2</v>
          </cell>
          <cell r="I319" t="str">
            <v>N1-b2</v>
          </cell>
          <cell r="J319" t="str">
            <v>05</v>
          </cell>
          <cell r="K319" t="str">
            <v>60</v>
          </cell>
        </row>
        <row r="320">
          <cell r="A320" t="str">
            <v>05-61</v>
          </cell>
          <cell r="B320">
            <v>317</v>
          </cell>
          <cell r="C320" t="str">
            <v>C1.AM.05.61</v>
          </cell>
          <cell r="D320" t="str">
            <v>AM</v>
          </cell>
          <cell r="E320" t="str">
            <v>G-104</v>
          </cell>
          <cell r="F320" t="str">
            <v>AM170</v>
          </cell>
          <cell r="G320" t="str">
            <v>N1</v>
          </cell>
          <cell r="H320" t="str">
            <v>b2</v>
          </cell>
          <cell r="I320" t="str">
            <v>N1-b2</v>
          </cell>
          <cell r="J320" t="str">
            <v>05</v>
          </cell>
          <cell r="K320" t="str">
            <v>61</v>
          </cell>
        </row>
        <row r="321">
          <cell r="A321" t="str">
            <v>05-62</v>
          </cell>
          <cell r="B321">
            <v>318</v>
          </cell>
          <cell r="C321" t="str">
            <v>C1.AM.05.62</v>
          </cell>
          <cell r="D321" t="str">
            <v>AM</v>
          </cell>
          <cell r="E321" t="str">
            <v>G-002</v>
          </cell>
          <cell r="F321" t="str">
            <v>Montego</v>
          </cell>
          <cell r="G321" t="str">
            <v>N1</v>
          </cell>
          <cell r="H321" t="str">
            <v>b2</v>
          </cell>
          <cell r="I321" t="str">
            <v>N1-b2</v>
          </cell>
          <cell r="J321" t="str">
            <v>05</v>
          </cell>
          <cell r="K321" t="str">
            <v>62</v>
          </cell>
        </row>
        <row r="322">
          <cell r="A322" t="str">
            <v>05-63</v>
          </cell>
          <cell r="B322">
            <v>319</v>
          </cell>
          <cell r="C322" t="str">
            <v>C1.AM.05.63</v>
          </cell>
          <cell r="D322" t="str">
            <v>AM</v>
          </cell>
          <cell r="E322" t="str">
            <v>G-067</v>
          </cell>
          <cell r="F322" t="str">
            <v>AM098</v>
          </cell>
          <cell r="G322" t="str">
            <v>N1</v>
          </cell>
          <cell r="H322" t="str">
            <v>b2</v>
          </cell>
          <cell r="I322" t="str">
            <v>N1-b2</v>
          </cell>
          <cell r="J322" t="str">
            <v>05</v>
          </cell>
          <cell r="K322" t="str">
            <v>63</v>
          </cell>
        </row>
        <row r="323">
          <cell r="A323" t="str">
            <v>05-64</v>
          </cell>
          <cell r="B323">
            <v>320</v>
          </cell>
          <cell r="C323" t="str">
            <v>C1.AM.05.64</v>
          </cell>
          <cell r="D323" t="str">
            <v>AM</v>
          </cell>
          <cell r="E323" t="str">
            <v>G-109</v>
          </cell>
          <cell r="F323" t="str">
            <v>AM183</v>
          </cell>
          <cell r="G323" t="str">
            <v>N1</v>
          </cell>
          <cell r="H323" t="str">
            <v>b2</v>
          </cell>
          <cell r="I323" t="str">
            <v>N1-b2</v>
          </cell>
          <cell r="J323" t="str">
            <v>05</v>
          </cell>
          <cell r="K323" t="str">
            <v>64</v>
          </cell>
        </row>
        <row r="324">
          <cell r="A324" t="str">
            <v>06-01</v>
          </cell>
          <cell r="B324">
            <v>321</v>
          </cell>
          <cell r="C324" t="str">
            <v>C1.AM.06.01</v>
          </cell>
          <cell r="D324" t="str">
            <v>AM</v>
          </cell>
          <cell r="E324" t="str">
            <v>G-115</v>
          </cell>
          <cell r="F324" t="str">
            <v>AM195</v>
          </cell>
          <cell r="G324" t="str">
            <v>N2</v>
          </cell>
          <cell r="H324" t="str">
            <v>b2</v>
          </cell>
          <cell r="I324" t="str">
            <v>N2-b2</v>
          </cell>
          <cell r="J324" t="str">
            <v>06</v>
          </cell>
          <cell r="K324" t="str">
            <v>01</v>
          </cell>
        </row>
        <row r="325">
          <cell r="A325" t="str">
            <v>06-02</v>
          </cell>
          <cell r="B325">
            <v>322</v>
          </cell>
          <cell r="C325" t="str">
            <v>C1.AM.06.02</v>
          </cell>
          <cell r="D325" t="str">
            <v>AM</v>
          </cell>
          <cell r="E325" t="str">
            <v>G-055</v>
          </cell>
          <cell r="F325" t="str">
            <v>AM084</v>
          </cell>
          <cell r="G325" t="str">
            <v>N2</v>
          </cell>
          <cell r="H325" t="str">
            <v>b2</v>
          </cell>
          <cell r="I325" t="str">
            <v>N2-b2</v>
          </cell>
          <cell r="J325" t="str">
            <v>06</v>
          </cell>
          <cell r="K325" t="str">
            <v>02</v>
          </cell>
        </row>
        <row r="326">
          <cell r="A326" t="str">
            <v>06-03</v>
          </cell>
          <cell r="B326">
            <v>323</v>
          </cell>
          <cell r="C326" t="str">
            <v>C1.AM.06.03</v>
          </cell>
          <cell r="D326" t="str">
            <v>AM</v>
          </cell>
          <cell r="E326" t="str">
            <v>G-025</v>
          </cell>
          <cell r="F326" t="str">
            <v>AM045</v>
          </cell>
          <cell r="G326" t="str">
            <v>N2</v>
          </cell>
          <cell r="H326" t="str">
            <v>b2</v>
          </cell>
          <cell r="I326" t="str">
            <v>N2-b2</v>
          </cell>
          <cell r="J326" t="str">
            <v>06</v>
          </cell>
          <cell r="K326" t="str">
            <v>03</v>
          </cell>
        </row>
        <row r="327">
          <cell r="A327" t="str">
            <v>06-04</v>
          </cell>
          <cell r="B327">
            <v>324</v>
          </cell>
          <cell r="C327" t="str">
            <v>C1.AM.06.04</v>
          </cell>
          <cell r="D327" t="str">
            <v>AM</v>
          </cell>
          <cell r="E327" t="str">
            <v>G-105</v>
          </cell>
          <cell r="F327" t="str">
            <v>AM171</v>
          </cell>
          <cell r="G327" t="str">
            <v>N2</v>
          </cell>
          <cell r="H327" t="str">
            <v>b2</v>
          </cell>
          <cell r="I327" t="str">
            <v>N2-b2</v>
          </cell>
          <cell r="J327" t="str">
            <v>06</v>
          </cell>
          <cell r="K327" t="str">
            <v>04</v>
          </cell>
        </row>
        <row r="328">
          <cell r="A328" t="str">
            <v>06-05</v>
          </cell>
          <cell r="B328">
            <v>325</v>
          </cell>
          <cell r="C328" t="str">
            <v>C1.AM.06.05</v>
          </cell>
          <cell r="D328" t="str">
            <v>AM</v>
          </cell>
          <cell r="E328" t="str">
            <v>G-040</v>
          </cell>
          <cell r="F328" t="str">
            <v>AM063</v>
          </cell>
          <cell r="G328" t="str">
            <v>N2</v>
          </cell>
          <cell r="H328" t="str">
            <v>b2</v>
          </cell>
          <cell r="I328" t="str">
            <v>N2-b2</v>
          </cell>
          <cell r="J328" t="str">
            <v>06</v>
          </cell>
          <cell r="K328" t="str">
            <v>05</v>
          </cell>
        </row>
        <row r="329">
          <cell r="A329" t="str">
            <v>06-06</v>
          </cell>
          <cell r="B329">
            <v>326</v>
          </cell>
          <cell r="C329" t="str">
            <v>C1.AM.06.06</v>
          </cell>
          <cell r="D329" t="str">
            <v>AM</v>
          </cell>
          <cell r="E329" t="str">
            <v>G-023</v>
          </cell>
          <cell r="F329" t="str">
            <v>AM040</v>
          </cell>
          <cell r="G329" t="str">
            <v>N2</v>
          </cell>
          <cell r="H329" t="str">
            <v>b2</v>
          </cell>
          <cell r="I329" t="str">
            <v>N2-b2</v>
          </cell>
          <cell r="J329" t="str">
            <v>06</v>
          </cell>
          <cell r="K329" t="str">
            <v>06</v>
          </cell>
        </row>
        <row r="330">
          <cell r="A330" t="str">
            <v>06-07</v>
          </cell>
          <cell r="B330">
            <v>327</v>
          </cell>
          <cell r="C330" t="str">
            <v>C1.AM.06.07</v>
          </cell>
          <cell r="D330" t="str">
            <v>AM</v>
          </cell>
          <cell r="E330" t="str">
            <v>G-037</v>
          </cell>
          <cell r="F330" t="str">
            <v>AM060</v>
          </cell>
          <cell r="G330" t="str">
            <v>N2</v>
          </cell>
          <cell r="H330" t="str">
            <v>b2</v>
          </cell>
          <cell r="I330" t="str">
            <v>N2-b2</v>
          </cell>
          <cell r="J330" t="str">
            <v>06</v>
          </cell>
          <cell r="K330" t="str">
            <v>07</v>
          </cell>
        </row>
        <row r="331">
          <cell r="A331" t="str">
            <v>06-08</v>
          </cell>
          <cell r="B331">
            <v>328</v>
          </cell>
          <cell r="C331" t="str">
            <v>C1.AM.06.08</v>
          </cell>
          <cell r="D331" t="str">
            <v>AM</v>
          </cell>
          <cell r="E331" t="str">
            <v>G-096</v>
          </cell>
          <cell r="F331" t="str">
            <v>AM158</v>
          </cell>
          <cell r="G331" t="str">
            <v>N2</v>
          </cell>
          <cell r="H331" t="str">
            <v>b2</v>
          </cell>
          <cell r="I331" t="str">
            <v>N2-b2</v>
          </cell>
          <cell r="J331" t="str">
            <v>06</v>
          </cell>
          <cell r="K331" t="str">
            <v>08</v>
          </cell>
        </row>
        <row r="332">
          <cell r="A332" t="str">
            <v>06-09</v>
          </cell>
          <cell r="B332">
            <v>329</v>
          </cell>
          <cell r="C332" t="str">
            <v>C1.AM.06.09</v>
          </cell>
          <cell r="D332" t="str">
            <v>AM</v>
          </cell>
          <cell r="E332" t="str">
            <v>G-027</v>
          </cell>
          <cell r="F332" t="str">
            <v>AM048</v>
          </cell>
          <cell r="G332" t="str">
            <v>N2</v>
          </cell>
          <cell r="H332" t="str">
            <v>b2</v>
          </cell>
          <cell r="I332" t="str">
            <v>N2-b2</v>
          </cell>
          <cell r="J332" t="str">
            <v>06</v>
          </cell>
          <cell r="K332" t="str">
            <v>09</v>
          </cell>
        </row>
        <row r="333">
          <cell r="A333" t="str">
            <v>06-10</v>
          </cell>
          <cell r="B333">
            <v>330</v>
          </cell>
          <cell r="C333" t="str">
            <v>C1.AM.06.10</v>
          </cell>
          <cell r="D333" t="str">
            <v>AM</v>
          </cell>
          <cell r="E333" t="str">
            <v>G-007</v>
          </cell>
          <cell r="F333" t="str">
            <v>AM018</v>
          </cell>
          <cell r="G333" t="str">
            <v>N2</v>
          </cell>
          <cell r="H333" t="str">
            <v>b2</v>
          </cell>
          <cell r="I333" t="str">
            <v>N2-b2</v>
          </cell>
          <cell r="J333" t="str">
            <v>06</v>
          </cell>
          <cell r="K333" t="str">
            <v>10</v>
          </cell>
        </row>
        <row r="334">
          <cell r="A334" t="str">
            <v>06-11</v>
          </cell>
          <cell r="B334">
            <v>331</v>
          </cell>
          <cell r="C334" t="str">
            <v>C1.AM.06.11</v>
          </cell>
          <cell r="D334" t="str">
            <v>AM</v>
          </cell>
          <cell r="E334" t="str">
            <v>G-106</v>
          </cell>
          <cell r="F334" t="str">
            <v>AM172</v>
          </cell>
          <cell r="G334" t="str">
            <v>N2</v>
          </cell>
          <cell r="H334" t="str">
            <v>b2</v>
          </cell>
          <cell r="I334" t="str">
            <v>N2-b2</v>
          </cell>
          <cell r="J334" t="str">
            <v>06</v>
          </cell>
          <cell r="K334" t="str">
            <v>11</v>
          </cell>
        </row>
        <row r="335">
          <cell r="A335" t="str">
            <v>06-12</v>
          </cell>
          <cell r="B335">
            <v>332</v>
          </cell>
          <cell r="C335" t="str">
            <v>C1.AM.06.12</v>
          </cell>
          <cell r="D335" t="str">
            <v>AM</v>
          </cell>
          <cell r="E335" t="str">
            <v>G-005</v>
          </cell>
          <cell r="F335" t="str">
            <v>AM016</v>
          </cell>
          <cell r="G335" t="str">
            <v>N2</v>
          </cell>
          <cell r="H335" t="str">
            <v>b2</v>
          </cell>
          <cell r="I335" t="str">
            <v>N2-b2</v>
          </cell>
          <cell r="J335" t="str">
            <v>06</v>
          </cell>
          <cell r="K335" t="str">
            <v>12</v>
          </cell>
        </row>
        <row r="336">
          <cell r="A336" t="str">
            <v>06-13</v>
          </cell>
          <cell r="B336">
            <v>333</v>
          </cell>
          <cell r="C336" t="str">
            <v>C1.AM.06.13</v>
          </cell>
          <cell r="D336" t="str">
            <v>AM</v>
          </cell>
          <cell r="E336" t="str">
            <v>G-012</v>
          </cell>
          <cell r="F336" t="str">
            <v>AM028</v>
          </cell>
          <cell r="G336" t="str">
            <v>N2</v>
          </cell>
          <cell r="H336" t="str">
            <v>b2</v>
          </cell>
          <cell r="I336" t="str">
            <v>N2-b2</v>
          </cell>
          <cell r="J336" t="str">
            <v>06</v>
          </cell>
          <cell r="K336" t="str">
            <v>13</v>
          </cell>
        </row>
        <row r="337">
          <cell r="A337" t="str">
            <v>06-14</v>
          </cell>
          <cell r="B337">
            <v>334</v>
          </cell>
          <cell r="C337" t="str">
            <v>C1.AM.06.14</v>
          </cell>
          <cell r="D337" t="str">
            <v>AM</v>
          </cell>
          <cell r="E337" t="str">
            <v>G-080</v>
          </cell>
          <cell r="F337" t="str">
            <v>AM130</v>
          </cell>
          <cell r="G337" t="str">
            <v>N2</v>
          </cell>
          <cell r="H337" t="str">
            <v>b2</v>
          </cell>
          <cell r="I337" t="str">
            <v>N2-b2</v>
          </cell>
          <cell r="J337" t="str">
            <v>06</v>
          </cell>
          <cell r="K337" t="str">
            <v>14</v>
          </cell>
        </row>
        <row r="338">
          <cell r="A338" t="str">
            <v>06-15</v>
          </cell>
          <cell r="B338">
            <v>335</v>
          </cell>
          <cell r="C338" t="str">
            <v>C1.AM.06.15</v>
          </cell>
          <cell r="D338" t="str">
            <v>AM</v>
          </cell>
          <cell r="E338" t="str">
            <v>G-004</v>
          </cell>
          <cell r="F338" t="str">
            <v>AM015</v>
          </cell>
          <cell r="G338" t="str">
            <v>N2</v>
          </cell>
          <cell r="H338" t="str">
            <v>b2</v>
          </cell>
          <cell r="I338" t="str">
            <v>N2-b2</v>
          </cell>
          <cell r="J338" t="str">
            <v>06</v>
          </cell>
          <cell r="K338" t="str">
            <v>15</v>
          </cell>
        </row>
        <row r="339">
          <cell r="A339" t="str">
            <v>06-16</v>
          </cell>
          <cell r="B339">
            <v>336</v>
          </cell>
          <cell r="C339" t="str">
            <v>C1.AM.06.16</v>
          </cell>
          <cell r="D339" t="str">
            <v>AM</v>
          </cell>
          <cell r="E339" t="str">
            <v>G-031</v>
          </cell>
          <cell r="F339" t="str">
            <v>AM053</v>
          </cell>
          <cell r="G339" t="str">
            <v>N2</v>
          </cell>
          <cell r="H339" t="str">
            <v>b2</v>
          </cell>
          <cell r="I339" t="str">
            <v>N2-b2</v>
          </cell>
          <cell r="J339" t="str">
            <v>06</v>
          </cell>
          <cell r="K339" t="str">
            <v>16</v>
          </cell>
        </row>
        <row r="340">
          <cell r="A340" t="str">
            <v>06-17</v>
          </cell>
          <cell r="B340">
            <v>337</v>
          </cell>
          <cell r="C340" t="str">
            <v>C1.AM.06.17</v>
          </cell>
          <cell r="D340" t="str">
            <v>AM</v>
          </cell>
          <cell r="E340" t="str">
            <v>G-059</v>
          </cell>
          <cell r="F340" t="str">
            <v>AM088</v>
          </cell>
          <cell r="G340" t="str">
            <v>N2</v>
          </cell>
          <cell r="H340" t="str">
            <v>b2</v>
          </cell>
          <cell r="I340" t="str">
            <v>N2-b2</v>
          </cell>
          <cell r="J340" t="str">
            <v>06</v>
          </cell>
          <cell r="K340" t="str">
            <v>17</v>
          </cell>
        </row>
        <row r="341">
          <cell r="A341" t="str">
            <v>06-18</v>
          </cell>
          <cell r="B341">
            <v>338</v>
          </cell>
          <cell r="C341" t="str">
            <v>C1.AM.06.18</v>
          </cell>
          <cell r="D341" t="str">
            <v>AM</v>
          </cell>
          <cell r="E341" t="str">
            <v>G-043</v>
          </cell>
          <cell r="F341" t="str">
            <v>AM067</v>
          </cell>
          <cell r="G341" t="str">
            <v>N2</v>
          </cell>
          <cell r="H341" t="str">
            <v>b2</v>
          </cell>
          <cell r="I341" t="str">
            <v>N2-b2</v>
          </cell>
          <cell r="J341" t="str">
            <v>06</v>
          </cell>
          <cell r="K341" t="str">
            <v>18</v>
          </cell>
        </row>
        <row r="342">
          <cell r="A342" t="str">
            <v>06-19</v>
          </cell>
          <cell r="B342">
            <v>339</v>
          </cell>
          <cell r="C342" t="str">
            <v>C1.AM.06.19</v>
          </cell>
          <cell r="D342" t="str">
            <v>AM</v>
          </cell>
          <cell r="E342" t="str">
            <v>G-003</v>
          </cell>
          <cell r="F342" t="str">
            <v>AM014</v>
          </cell>
          <cell r="G342" t="str">
            <v>N2</v>
          </cell>
          <cell r="H342" t="str">
            <v>b2</v>
          </cell>
          <cell r="I342" t="str">
            <v>N2-b2</v>
          </cell>
          <cell r="J342" t="str">
            <v>06</v>
          </cell>
          <cell r="K342" t="str">
            <v>19</v>
          </cell>
        </row>
        <row r="343">
          <cell r="A343" t="str">
            <v>06-20</v>
          </cell>
          <cell r="B343">
            <v>340</v>
          </cell>
          <cell r="C343" t="str">
            <v>C1.AM.06.20</v>
          </cell>
          <cell r="D343" t="str">
            <v>AM</v>
          </cell>
          <cell r="E343" t="str">
            <v>G-039</v>
          </cell>
          <cell r="F343" t="str">
            <v>AM062</v>
          </cell>
          <cell r="G343" t="str">
            <v>N2</v>
          </cell>
          <cell r="H343" t="str">
            <v>b2</v>
          </cell>
          <cell r="I343" t="str">
            <v>N2-b2</v>
          </cell>
          <cell r="J343" t="str">
            <v>06</v>
          </cell>
          <cell r="K343" t="str">
            <v>20</v>
          </cell>
        </row>
        <row r="344">
          <cell r="A344" t="str">
            <v>06-21</v>
          </cell>
          <cell r="B344">
            <v>341</v>
          </cell>
          <cell r="C344" t="str">
            <v>C1.AM.06.21</v>
          </cell>
          <cell r="D344" t="str">
            <v>AM</v>
          </cell>
          <cell r="E344" t="str">
            <v>G-062</v>
          </cell>
          <cell r="F344" t="str">
            <v>AM091</v>
          </cell>
          <cell r="G344" t="str">
            <v>N2</v>
          </cell>
          <cell r="H344" t="str">
            <v>b2</v>
          </cell>
          <cell r="I344" t="str">
            <v>N2-b2</v>
          </cell>
          <cell r="J344" t="str">
            <v>06</v>
          </cell>
          <cell r="K344" t="str">
            <v>21</v>
          </cell>
        </row>
        <row r="345">
          <cell r="A345" t="str">
            <v>06-22</v>
          </cell>
          <cell r="B345">
            <v>342</v>
          </cell>
          <cell r="C345" t="str">
            <v>C1.AM.06.22</v>
          </cell>
          <cell r="D345" t="str">
            <v>AM</v>
          </cell>
          <cell r="E345" t="str">
            <v>G-057</v>
          </cell>
          <cell r="F345" t="str">
            <v>AM086</v>
          </cell>
          <cell r="G345" t="str">
            <v>N2</v>
          </cell>
          <cell r="H345" t="str">
            <v>b2</v>
          </cell>
          <cell r="I345" t="str">
            <v>N2-b2</v>
          </cell>
          <cell r="J345" t="str">
            <v>06</v>
          </cell>
          <cell r="K345" t="str">
            <v>22</v>
          </cell>
        </row>
        <row r="346">
          <cell r="A346" t="str">
            <v>06-23</v>
          </cell>
          <cell r="B346">
            <v>343</v>
          </cell>
          <cell r="C346" t="str">
            <v>C1.AM.06.23</v>
          </cell>
          <cell r="D346" t="str">
            <v>AM</v>
          </cell>
          <cell r="E346" t="str">
            <v>G-006</v>
          </cell>
          <cell r="F346" t="str">
            <v>AM017</v>
          </cell>
          <cell r="G346" t="str">
            <v>N2</v>
          </cell>
          <cell r="H346" t="str">
            <v>b2</v>
          </cell>
          <cell r="I346" t="str">
            <v>N2-b2</v>
          </cell>
          <cell r="J346" t="str">
            <v>06</v>
          </cell>
          <cell r="K346" t="str">
            <v>23</v>
          </cell>
        </row>
        <row r="347">
          <cell r="A347" t="str">
            <v>06-24</v>
          </cell>
          <cell r="B347">
            <v>344</v>
          </cell>
          <cell r="C347" t="str">
            <v>C1.AM.06.24</v>
          </cell>
          <cell r="D347" t="str">
            <v>AM</v>
          </cell>
          <cell r="E347" t="str">
            <v>G-094</v>
          </cell>
          <cell r="F347" t="str">
            <v>AM149</v>
          </cell>
          <cell r="G347" t="str">
            <v>N2</v>
          </cell>
          <cell r="H347" t="str">
            <v>b2</v>
          </cell>
          <cell r="I347" t="str">
            <v>N2-b2</v>
          </cell>
          <cell r="J347" t="str">
            <v>06</v>
          </cell>
          <cell r="K347" t="str">
            <v>24</v>
          </cell>
        </row>
        <row r="348">
          <cell r="A348" t="str">
            <v>06-25</v>
          </cell>
          <cell r="B348">
            <v>345</v>
          </cell>
          <cell r="C348" t="str">
            <v>C1.AM.06.25</v>
          </cell>
          <cell r="D348" t="str">
            <v>AM</v>
          </cell>
          <cell r="E348" t="str">
            <v>G-019</v>
          </cell>
          <cell r="F348" t="str">
            <v>AM036</v>
          </cell>
          <cell r="G348" t="str">
            <v>N2</v>
          </cell>
          <cell r="H348" t="str">
            <v>b2</v>
          </cell>
          <cell r="I348" t="str">
            <v>N2-b2</v>
          </cell>
          <cell r="J348" t="str">
            <v>06</v>
          </cell>
          <cell r="K348" t="str">
            <v>25</v>
          </cell>
        </row>
        <row r="349">
          <cell r="A349" t="str">
            <v>06-26</v>
          </cell>
          <cell r="B349">
            <v>346</v>
          </cell>
          <cell r="C349" t="str">
            <v>C1.AM.06.26</v>
          </cell>
          <cell r="D349" t="str">
            <v>AM</v>
          </cell>
          <cell r="E349" t="str">
            <v>G-077</v>
          </cell>
          <cell r="F349" t="str">
            <v>AM125</v>
          </cell>
          <cell r="G349" t="str">
            <v>N2</v>
          </cell>
          <cell r="H349" t="str">
            <v>b2</v>
          </cell>
          <cell r="I349" t="str">
            <v>N2-b2</v>
          </cell>
          <cell r="J349" t="str">
            <v>06</v>
          </cell>
          <cell r="K349" t="str">
            <v>26</v>
          </cell>
        </row>
        <row r="350">
          <cell r="A350" t="str">
            <v>06-27</v>
          </cell>
          <cell r="B350">
            <v>347</v>
          </cell>
          <cell r="C350" t="str">
            <v>C1.AM.06.27</v>
          </cell>
          <cell r="D350" t="str">
            <v>AM</v>
          </cell>
          <cell r="E350" t="str">
            <v>G-071</v>
          </cell>
          <cell r="F350" t="str">
            <v>AM107</v>
          </cell>
          <cell r="G350" t="str">
            <v>N2</v>
          </cell>
          <cell r="H350" t="str">
            <v>b2</v>
          </cell>
          <cell r="I350" t="str">
            <v>N2-b2</v>
          </cell>
          <cell r="J350" t="str">
            <v>06</v>
          </cell>
          <cell r="K350" t="str">
            <v>27</v>
          </cell>
        </row>
        <row r="351">
          <cell r="A351" t="str">
            <v>06-28</v>
          </cell>
          <cell r="B351">
            <v>348</v>
          </cell>
          <cell r="C351" t="str">
            <v>C1.AM.06.28</v>
          </cell>
          <cell r="D351" t="str">
            <v>AM</v>
          </cell>
          <cell r="E351" t="str">
            <v>G-056</v>
          </cell>
          <cell r="F351" t="str">
            <v>AM085</v>
          </cell>
          <cell r="G351" t="str">
            <v>N2</v>
          </cell>
          <cell r="H351" t="str">
            <v>b2</v>
          </cell>
          <cell r="I351" t="str">
            <v>N2-b2</v>
          </cell>
          <cell r="J351" t="str">
            <v>06</v>
          </cell>
          <cell r="K351" t="str">
            <v>28</v>
          </cell>
        </row>
        <row r="352">
          <cell r="A352" t="str">
            <v>06-29</v>
          </cell>
          <cell r="B352">
            <v>349</v>
          </cell>
          <cell r="C352" t="str">
            <v>C1.AM.06.29</v>
          </cell>
          <cell r="D352" t="str">
            <v>AM</v>
          </cell>
          <cell r="E352" t="str">
            <v>G-050</v>
          </cell>
          <cell r="F352" t="str">
            <v>AM076</v>
          </cell>
          <cell r="G352" t="str">
            <v>N2</v>
          </cell>
          <cell r="H352" t="str">
            <v>b2</v>
          </cell>
          <cell r="I352" t="str">
            <v>N2-b2</v>
          </cell>
          <cell r="J352" t="str">
            <v>06</v>
          </cell>
          <cell r="K352" t="str">
            <v>29</v>
          </cell>
        </row>
        <row r="353">
          <cell r="A353" t="str">
            <v>06-30</v>
          </cell>
          <cell r="B353">
            <v>350</v>
          </cell>
          <cell r="C353" t="str">
            <v>C1.AM.06.30</v>
          </cell>
          <cell r="D353" t="str">
            <v>AM</v>
          </cell>
          <cell r="E353" t="str">
            <v>G-001</v>
          </cell>
          <cell r="F353" t="str">
            <v>Aviso</v>
          </cell>
          <cell r="G353" t="str">
            <v>N2</v>
          </cell>
          <cell r="H353" t="str">
            <v>b2</v>
          </cell>
          <cell r="I353" t="str">
            <v>N2-b2</v>
          </cell>
          <cell r="J353" t="str">
            <v>06</v>
          </cell>
          <cell r="K353" t="str">
            <v>30</v>
          </cell>
        </row>
        <row r="354">
          <cell r="A354" t="str">
            <v>06-31</v>
          </cell>
          <cell r="B354">
            <v>351</v>
          </cell>
          <cell r="C354" t="str">
            <v>C1.AM.06.31</v>
          </cell>
          <cell r="D354" t="str">
            <v>AM</v>
          </cell>
          <cell r="E354" t="str">
            <v>G-013</v>
          </cell>
          <cell r="F354" t="str">
            <v>AM030</v>
          </cell>
          <cell r="G354" t="str">
            <v>N2</v>
          </cell>
          <cell r="H354" t="str">
            <v>b2</v>
          </cell>
          <cell r="I354" t="str">
            <v>N2-b2</v>
          </cell>
          <cell r="J354" t="str">
            <v>06</v>
          </cell>
          <cell r="K354" t="str">
            <v>31</v>
          </cell>
        </row>
        <row r="355">
          <cell r="A355" t="str">
            <v>06-32</v>
          </cell>
          <cell r="B355">
            <v>352</v>
          </cell>
          <cell r="C355" t="str">
            <v>C1.AM.06.32</v>
          </cell>
          <cell r="D355" t="str">
            <v>AM</v>
          </cell>
          <cell r="E355" t="str">
            <v>G-041</v>
          </cell>
          <cell r="F355" t="str">
            <v>AM064</v>
          </cell>
          <cell r="G355" t="str">
            <v>N2</v>
          </cell>
          <cell r="H355" t="str">
            <v>b2</v>
          </cell>
          <cell r="I355" t="str">
            <v>N2-b2</v>
          </cell>
          <cell r="J355" t="str">
            <v>06</v>
          </cell>
          <cell r="K355" t="str">
            <v>32</v>
          </cell>
        </row>
        <row r="356">
          <cell r="A356" t="str">
            <v>06-33</v>
          </cell>
          <cell r="B356">
            <v>353</v>
          </cell>
          <cell r="C356" t="str">
            <v>C1.AM.06.33</v>
          </cell>
          <cell r="D356" t="str">
            <v>AM</v>
          </cell>
          <cell r="E356" t="str">
            <v>G-012</v>
          </cell>
          <cell r="F356" t="str">
            <v>AM028</v>
          </cell>
          <cell r="G356" t="str">
            <v>N1</v>
          </cell>
          <cell r="H356" t="str">
            <v>b2</v>
          </cell>
          <cell r="I356" t="str">
            <v>N1-b2</v>
          </cell>
          <cell r="J356" t="str">
            <v>06</v>
          </cell>
          <cell r="K356" t="str">
            <v>33</v>
          </cell>
        </row>
        <row r="357">
          <cell r="A357" t="str">
            <v>06-34</v>
          </cell>
          <cell r="B357">
            <v>354</v>
          </cell>
          <cell r="C357" t="str">
            <v>C1.AM.06.34</v>
          </cell>
          <cell r="D357" t="str">
            <v>AM</v>
          </cell>
          <cell r="E357" t="str">
            <v>G-009</v>
          </cell>
          <cell r="F357" t="str">
            <v>AM020</v>
          </cell>
          <cell r="G357" t="str">
            <v>N1</v>
          </cell>
          <cell r="H357" t="str">
            <v>b2</v>
          </cell>
          <cell r="I357" t="str">
            <v>N1-b2</v>
          </cell>
          <cell r="J357" t="str">
            <v>06</v>
          </cell>
          <cell r="K357" t="str">
            <v>34</v>
          </cell>
        </row>
        <row r="358">
          <cell r="A358" t="str">
            <v>06-35</v>
          </cell>
          <cell r="B358">
            <v>355</v>
          </cell>
          <cell r="C358" t="str">
            <v>C1.AM.06.35</v>
          </cell>
          <cell r="D358" t="str">
            <v>AM</v>
          </cell>
          <cell r="E358" t="str">
            <v>G-077</v>
          </cell>
          <cell r="F358" t="str">
            <v>AM125</v>
          </cell>
          <cell r="G358" t="str">
            <v>N1</v>
          </cell>
          <cell r="H358" t="str">
            <v>b2</v>
          </cell>
          <cell r="I358" t="str">
            <v>N1-b2</v>
          </cell>
          <cell r="J358" t="str">
            <v>06</v>
          </cell>
          <cell r="K358" t="str">
            <v>35</v>
          </cell>
        </row>
        <row r="359">
          <cell r="A359" t="str">
            <v>06-36</v>
          </cell>
          <cell r="B359">
            <v>356</v>
          </cell>
          <cell r="C359" t="str">
            <v>C1.AM.06.36</v>
          </cell>
          <cell r="D359" t="str">
            <v>AM</v>
          </cell>
          <cell r="E359" t="str">
            <v>G-037</v>
          </cell>
          <cell r="F359" t="str">
            <v>AM060</v>
          </cell>
          <cell r="G359" t="str">
            <v>N1</v>
          </cell>
          <cell r="H359" t="str">
            <v>b2</v>
          </cell>
          <cell r="I359" t="str">
            <v>N1-b2</v>
          </cell>
          <cell r="J359" t="str">
            <v>06</v>
          </cell>
          <cell r="K359" t="str">
            <v>36</v>
          </cell>
        </row>
        <row r="360">
          <cell r="A360" t="str">
            <v>06-37</v>
          </cell>
          <cell r="B360">
            <v>357</v>
          </cell>
          <cell r="C360" t="str">
            <v>C1.AM.06.37</v>
          </cell>
          <cell r="D360" t="str">
            <v>AM</v>
          </cell>
          <cell r="E360" t="str">
            <v>G-030</v>
          </cell>
          <cell r="F360" t="str">
            <v>AM052</v>
          </cell>
          <cell r="G360" t="str">
            <v>N1</v>
          </cell>
          <cell r="H360" t="str">
            <v>b2</v>
          </cell>
          <cell r="I360" t="str">
            <v>N1-b2</v>
          </cell>
          <cell r="J360" t="str">
            <v>06</v>
          </cell>
          <cell r="K360" t="str">
            <v>37</v>
          </cell>
        </row>
        <row r="361">
          <cell r="A361" t="str">
            <v>06-38</v>
          </cell>
          <cell r="B361">
            <v>358</v>
          </cell>
          <cell r="C361" t="str">
            <v>C1.AM.06.38</v>
          </cell>
          <cell r="D361" t="str">
            <v>AM</v>
          </cell>
          <cell r="E361" t="str">
            <v>G-073</v>
          </cell>
          <cell r="F361" t="str">
            <v>AM111</v>
          </cell>
          <cell r="G361" t="str">
            <v>N1</v>
          </cell>
          <cell r="H361" t="str">
            <v>b2</v>
          </cell>
          <cell r="I361" t="str">
            <v>N1-b2</v>
          </cell>
          <cell r="J361" t="str">
            <v>06</v>
          </cell>
          <cell r="K361" t="str">
            <v>38</v>
          </cell>
        </row>
        <row r="362">
          <cell r="A362" t="str">
            <v>06-39</v>
          </cell>
          <cell r="B362">
            <v>359</v>
          </cell>
          <cell r="C362" t="str">
            <v>C1.AM.06.39</v>
          </cell>
          <cell r="D362" t="str">
            <v>AM</v>
          </cell>
          <cell r="E362" t="str">
            <v>G-094</v>
          </cell>
          <cell r="F362" t="str">
            <v>AM149</v>
          </cell>
          <cell r="G362" t="str">
            <v>N1</v>
          </cell>
          <cell r="H362" t="str">
            <v>b2</v>
          </cell>
          <cell r="I362" t="str">
            <v>N1-b2</v>
          </cell>
          <cell r="J362" t="str">
            <v>06</v>
          </cell>
          <cell r="K362" t="str">
            <v>39</v>
          </cell>
        </row>
        <row r="363">
          <cell r="A363" t="str">
            <v>06-40</v>
          </cell>
          <cell r="B363">
            <v>360</v>
          </cell>
          <cell r="C363" t="str">
            <v>C1.AM.06.40</v>
          </cell>
          <cell r="D363" t="str">
            <v>AM</v>
          </cell>
          <cell r="E363" t="str">
            <v>G-122</v>
          </cell>
          <cell r="F363" t="str">
            <v>L-Liones</v>
          </cell>
          <cell r="G363" t="str">
            <v>N1</v>
          </cell>
          <cell r="H363" t="str">
            <v>b2</v>
          </cell>
          <cell r="I363" t="str">
            <v>N1-b2</v>
          </cell>
          <cell r="J363" t="str">
            <v>06</v>
          </cell>
          <cell r="K363" t="str">
            <v>40</v>
          </cell>
        </row>
        <row r="364">
          <cell r="A364" t="str">
            <v>06-41</v>
          </cell>
          <cell r="B364">
            <v>361</v>
          </cell>
          <cell r="C364" t="str">
            <v>C1.AM.06.41</v>
          </cell>
          <cell r="D364" t="str">
            <v>AM</v>
          </cell>
          <cell r="E364" t="str">
            <v>G-057</v>
          </cell>
          <cell r="F364" t="str">
            <v>AM086</v>
          </cell>
          <cell r="G364" t="str">
            <v>N1</v>
          </cell>
          <cell r="H364" t="str">
            <v>b2</v>
          </cell>
          <cell r="I364" t="str">
            <v>N1-b2</v>
          </cell>
          <cell r="J364" t="str">
            <v>06</v>
          </cell>
          <cell r="K364" t="str">
            <v>41</v>
          </cell>
        </row>
        <row r="365">
          <cell r="A365" t="str">
            <v>06-42</v>
          </cell>
          <cell r="B365">
            <v>362</v>
          </cell>
          <cell r="C365" t="str">
            <v>C1.AM.06.42</v>
          </cell>
          <cell r="D365" t="str">
            <v>AM</v>
          </cell>
          <cell r="E365" t="str">
            <v>G-113</v>
          </cell>
          <cell r="F365" t="str">
            <v>AM189</v>
          </cell>
          <cell r="G365" t="str">
            <v>N1</v>
          </cell>
          <cell r="H365" t="str">
            <v>b2</v>
          </cell>
          <cell r="I365" t="str">
            <v>N1-b2</v>
          </cell>
          <cell r="J365" t="str">
            <v>06</v>
          </cell>
          <cell r="K365" t="str">
            <v>42</v>
          </cell>
        </row>
        <row r="366">
          <cell r="A366" t="str">
            <v>06-43</v>
          </cell>
          <cell r="B366">
            <v>363</v>
          </cell>
          <cell r="C366" t="str">
            <v>C1.AM.06.43</v>
          </cell>
          <cell r="D366" t="str">
            <v>AM</v>
          </cell>
          <cell r="E366" t="str">
            <v>G-008</v>
          </cell>
          <cell r="F366" t="str">
            <v>AM019</v>
          </cell>
          <cell r="G366" t="str">
            <v>N1</v>
          </cell>
          <cell r="H366" t="str">
            <v>b2</v>
          </cell>
          <cell r="I366" t="str">
            <v>N1-b2</v>
          </cell>
          <cell r="J366" t="str">
            <v>06</v>
          </cell>
          <cell r="K366" t="str">
            <v>43</v>
          </cell>
        </row>
        <row r="367">
          <cell r="A367" t="str">
            <v>06-44</v>
          </cell>
          <cell r="B367">
            <v>364</v>
          </cell>
          <cell r="C367" t="str">
            <v>C1.AM.06.44</v>
          </cell>
          <cell r="D367" t="str">
            <v>AM</v>
          </cell>
          <cell r="E367" t="str">
            <v>G-095</v>
          </cell>
          <cell r="F367" t="str">
            <v>AM156</v>
          </cell>
          <cell r="G367" t="str">
            <v>N1</v>
          </cell>
          <cell r="H367" t="str">
            <v>b2</v>
          </cell>
          <cell r="I367" t="str">
            <v>N1-b2</v>
          </cell>
          <cell r="J367" t="str">
            <v>06</v>
          </cell>
          <cell r="K367" t="str">
            <v>44</v>
          </cell>
        </row>
        <row r="368">
          <cell r="A368" t="str">
            <v>06-45</v>
          </cell>
          <cell r="B368">
            <v>365</v>
          </cell>
          <cell r="C368" t="str">
            <v>C1.AM.06.45</v>
          </cell>
          <cell r="D368" t="str">
            <v>AM</v>
          </cell>
          <cell r="E368" t="str">
            <v>G-023</v>
          </cell>
          <cell r="F368" t="str">
            <v>AM040</v>
          </cell>
          <cell r="G368" t="str">
            <v>N1</v>
          </cell>
          <cell r="H368" t="str">
            <v>b2</v>
          </cell>
          <cell r="I368" t="str">
            <v>N1-b2</v>
          </cell>
          <cell r="J368" t="str">
            <v>06</v>
          </cell>
          <cell r="K368" t="str">
            <v>45</v>
          </cell>
        </row>
        <row r="369">
          <cell r="A369" t="str">
            <v>06-46</v>
          </cell>
          <cell r="B369">
            <v>366</v>
          </cell>
          <cell r="C369" t="str">
            <v>C1.AM.06.46</v>
          </cell>
          <cell r="D369" t="str">
            <v>AM</v>
          </cell>
          <cell r="E369" t="str">
            <v>G-066</v>
          </cell>
          <cell r="F369" t="str">
            <v>AM096</v>
          </cell>
          <cell r="G369" t="str">
            <v>N1</v>
          </cell>
          <cell r="H369" t="str">
            <v>b2</v>
          </cell>
          <cell r="I369" t="str">
            <v>N1-b2</v>
          </cell>
          <cell r="J369" t="str">
            <v>06</v>
          </cell>
          <cell r="K369" t="str">
            <v>46</v>
          </cell>
        </row>
        <row r="370">
          <cell r="A370" t="str">
            <v>06-47</v>
          </cell>
          <cell r="B370">
            <v>367</v>
          </cell>
          <cell r="C370" t="str">
            <v>C1.AM.06.47</v>
          </cell>
          <cell r="D370" t="str">
            <v>AM</v>
          </cell>
          <cell r="E370" t="str">
            <v>G-005</v>
          </cell>
          <cell r="F370" t="str">
            <v>AM016</v>
          </cell>
          <cell r="G370" t="str">
            <v>N1</v>
          </cell>
          <cell r="H370" t="str">
            <v>b2</v>
          </cell>
          <cell r="I370" t="str">
            <v>N1-b2</v>
          </cell>
          <cell r="J370" t="str">
            <v>06</v>
          </cell>
          <cell r="K370" t="str">
            <v>47</v>
          </cell>
        </row>
        <row r="371">
          <cell r="A371" t="str">
            <v>06-48</v>
          </cell>
          <cell r="B371">
            <v>368</v>
          </cell>
          <cell r="C371" t="str">
            <v>C1.AM.06.48</v>
          </cell>
          <cell r="D371" t="str">
            <v>AM</v>
          </cell>
          <cell r="E371" t="str">
            <v>G-080</v>
          </cell>
          <cell r="F371" t="str">
            <v>AM130</v>
          </cell>
          <cell r="G371" t="str">
            <v>N1</v>
          </cell>
          <cell r="H371" t="str">
            <v>b2</v>
          </cell>
          <cell r="I371" t="str">
            <v>N1-b2</v>
          </cell>
          <cell r="J371" t="str">
            <v>06</v>
          </cell>
          <cell r="K371" t="str">
            <v>48</v>
          </cell>
        </row>
        <row r="372">
          <cell r="A372" t="str">
            <v>06-49</v>
          </cell>
          <cell r="B372">
            <v>369</v>
          </cell>
          <cell r="C372" t="str">
            <v>C1.AM.06.49</v>
          </cell>
          <cell r="D372" t="str">
            <v>AM</v>
          </cell>
          <cell r="E372" t="str">
            <v>G-033</v>
          </cell>
          <cell r="F372" t="str">
            <v>AM056</v>
          </cell>
          <cell r="G372" t="str">
            <v>N1</v>
          </cell>
          <cell r="H372" t="str">
            <v>b2</v>
          </cell>
          <cell r="I372" t="str">
            <v>N1-b2</v>
          </cell>
          <cell r="J372" t="str">
            <v>06</v>
          </cell>
          <cell r="K372" t="str">
            <v>49</v>
          </cell>
        </row>
        <row r="373">
          <cell r="A373" t="str">
            <v>06-50</v>
          </cell>
          <cell r="B373">
            <v>370</v>
          </cell>
          <cell r="C373" t="str">
            <v>C1.AM.06.50</v>
          </cell>
          <cell r="D373" t="str">
            <v>AM</v>
          </cell>
          <cell r="E373" t="str">
            <v>G-070</v>
          </cell>
          <cell r="F373" t="str">
            <v>AM106</v>
          </cell>
          <cell r="G373" t="str">
            <v>N1</v>
          </cell>
          <cell r="H373" t="str">
            <v>b2</v>
          </cell>
          <cell r="I373" t="str">
            <v>N1-b2</v>
          </cell>
          <cell r="J373" t="str">
            <v>06</v>
          </cell>
          <cell r="K373" t="str">
            <v>50</v>
          </cell>
        </row>
        <row r="374">
          <cell r="A374" t="str">
            <v>06-51</v>
          </cell>
          <cell r="B374">
            <v>371</v>
          </cell>
          <cell r="C374" t="str">
            <v>C1.AM.06.51</v>
          </cell>
          <cell r="D374" t="str">
            <v>AM</v>
          </cell>
          <cell r="E374" t="str">
            <v>G-043</v>
          </cell>
          <cell r="F374" t="str">
            <v>AM067</v>
          </cell>
          <cell r="G374" t="str">
            <v>N1</v>
          </cell>
          <cell r="H374" t="str">
            <v>b2</v>
          </cell>
          <cell r="I374" t="str">
            <v>N1-b2</v>
          </cell>
          <cell r="J374" t="str">
            <v>06</v>
          </cell>
          <cell r="K374" t="str">
            <v>51</v>
          </cell>
        </row>
        <row r="375">
          <cell r="A375" t="str">
            <v>06-52</v>
          </cell>
          <cell r="B375">
            <v>372</v>
          </cell>
          <cell r="C375" t="str">
            <v>C1.AM.06.52</v>
          </cell>
          <cell r="D375" t="str">
            <v>AM</v>
          </cell>
          <cell r="E375" t="str">
            <v>G-039</v>
          </cell>
          <cell r="F375" t="str">
            <v>AM062</v>
          </cell>
          <cell r="G375" t="str">
            <v>N1</v>
          </cell>
          <cell r="H375" t="str">
            <v>b2</v>
          </cell>
          <cell r="I375" t="str">
            <v>N1-b2</v>
          </cell>
          <cell r="J375" t="str">
            <v>06</v>
          </cell>
          <cell r="K375" t="str">
            <v>52</v>
          </cell>
        </row>
        <row r="376">
          <cell r="A376" t="str">
            <v>06-53</v>
          </cell>
          <cell r="B376">
            <v>373</v>
          </cell>
          <cell r="C376" t="str">
            <v>C1.AM.06.53</v>
          </cell>
          <cell r="D376" t="str">
            <v>AM</v>
          </cell>
          <cell r="E376" t="str">
            <v>G-014</v>
          </cell>
          <cell r="F376" t="str">
            <v>AM031</v>
          </cell>
          <cell r="G376" t="str">
            <v>N1</v>
          </cell>
          <cell r="H376" t="str">
            <v>b2</v>
          </cell>
          <cell r="I376" t="str">
            <v>N1-b2</v>
          </cell>
          <cell r="J376" t="str">
            <v>06</v>
          </cell>
          <cell r="K376" t="str">
            <v>53</v>
          </cell>
        </row>
        <row r="377">
          <cell r="A377" t="str">
            <v>06-54</v>
          </cell>
          <cell r="B377">
            <v>374</v>
          </cell>
          <cell r="C377" t="str">
            <v>C1.AM.06.54</v>
          </cell>
          <cell r="D377" t="str">
            <v>AM</v>
          </cell>
          <cell r="E377" t="str">
            <v>G-001</v>
          </cell>
          <cell r="F377" t="str">
            <v>Aviso</v>
          </cell>
          <cell r="G377" t="str">
            <v>N1</v>
          </cell>
          <cell r="H377" t="str">
            <v>b2</v>
          </cell>
          <cell r="I377" t="str">
            <v>N1-b2</v>
          </cell>
          <cell r="J377" t="str">
            <v>06</v>
          </cell>
          <cell r="K377" t="str">
            <v>54</v>
          </cell>
        </row>
        <row r="378">
          <cell r="A378" t="str">
            <v>06-55</v>
          </cell>
          <cell r="B378">
            <v>375</v>
          </cell>
          <cell r="C378" t="str">
            <v>C1.AM.06.55</v>
          </cell>
          <cell r="D378" t="str">
            <v>AM</v>
          </cell>
          <cell r="E378" t="str">
            <v>G-118</v>
          </cell>
          <cell r="F378" t="str">
            <v>Colvert</v>
          </cell>
          <cell r="G378" t="str">
            <v>N1</v>
          </cell>
          <cell r="H378" t="str">
            <v>b2</v>
          </cell>
          <cell r="I378" t="str">
            <v>N1-b2</v>
          </cell>
          <cell r="J378" t="str">
            <v>06</v>
          </cell>
          <cell r="K378" t="str">
            <v>55</v>
          </cell>
        </row>
        <row r="379">
          <cell r="A379" t="str">
            <v>06-56</v>
          </cell>
          <cell r="B379">
            <v>376</v>
          </cell>
          <cell r="C379" t="str">
            <v>C1.AM.06.56</v>
          </cell>
          <cell r="D379" t="str">
            <v>AM</v>
          </cell>
          <cell r="E379" t="str">
            <v>G-031</v>
          </cell>
          <cell r="F379" t="str">
            <v>AM053</v>
          </cell>
          <cell r="G379" t="str">
            <v>N1</v>
          </cell>
          <cell r="H379" t="str">
            <v>b2</v>
          </cell>
          <cell r="I379" t="str">
            <v>N1-b2</v>
          </cell>
          <cell r="J379" t="str">
            <v>06</v>
          </cell>
          <cell r="K379" t="str">
            <v>56</v>
          </cell>
        </row>
        <row r="380">
          <cell r="A380" t="str">
            <v>06-57</v>
          </cell>
          <cell r="B380">
            <v>377</v>
          </cell>
          <cell r="C380" t="str">
            <v>C1.AM.06.57</v>
          </cell>
          <cell r="D380" t="str">
            <v>AM</v>
          </cell>
          <cell r="E380" t="str">
            <v>G-025</v>
          </cell>
          <cell r="F380" t="str">
            <v>AM045</v>
          </cell>
          <cell r="G380" t="str">
            <v>N1</v>
          </cell>
          <cell r="H380" t="str">
            <v>b2</v>
          </cell>
          <cell r="I380" t="str">
            <v>N1-b2</v>
          </cell>
          <cell r="J380" t="str">
            <v>06</v>
          </cell>
          <cell r="K380" t="str">
            <v>57</v>
          </cell>
        </row>
        <row r="381">
          <cell r="A381" t="str">
            <v>06-58</v>
          </cell>
          <cell r="B381">
            <v>378</v>
          </cell>
          <cell r="C381" t="str">
            <v>C1.AM.06.58</v>
          </cell>
          <cell r="D381" t="str">
            <v>AM</v>
          </cell>
          <cell r="E381" t="str">
            <v>G-036</v>
          </cell>
          <cell r="F381" t="str">
            <v>AM059</v>
          </cell>
          <cell r="G381" t="str">
            <v>N1</v>
          </cell>
          <cell r="H381" t="str">
            <v>b2</v>
          </cell>
          <cell r="I381" t="str">
            <v>N1-b2</v>
          </cell>
          <cell r="J381" t="str">
            <v>06</v>
          </cell>
          <cell r="K381" t="str">
            <v>58</v>
          </cell>
        </row>
        <row r="382">
          <cell r="A382" t="str">
            <v>06-59</v>
          </cell>
          <cell r="B382">
            <v>379</v>
          </cell>
          <cell r="C382" t="str">
            <v>C1.AM.06.59</v>
          </cell>
          <cell r="D382" t="str">
            <v>AM</v>
          </cell>
          <cell r="E382" t="str">
            <v>G-034</v>
          </cell>
          <cell r="F382" t="str">
            <v>AM057</v>
          </cell>
          <cell r="G382" t="str">
            <v>N1</v>
          </cell>
          <cell r="H382" t="str">
            <v>b2</v>
          </cell>
          <cell r="I382" t="str">
            <v>N1-b2</v>
          </cell>
          <cell r="J382" t="str">
            <v>06</v>
          </cell>
          <cell r="K382" t="str">
            <v>59</v>
          </cell>
        </row>
        <row r="383">
          <cell r="A383" t="str">
            <v>06-60</v>
          </cell>
          <cell r="B383">
            <v>380</v>
          </cell>
          <cell r="C383" t="str">
            <v>C1.AM.06.60</v>
          </cell>
          <cell r="D383" t="str">
            <v>AM</v>
          </cell>
          <cell r="E383" t="str">
            <v>G-103</v>
          </cell>
          <cell r="F383" t="str">
            <v>AM169</v>
          </cell>
          <cell r="G383" t="str">
            <v>N1</v>
          </cell>
          <cell r="H383" t="str">
            <v>b2</v>
          </cell>
          <cell r="I383" t="str">
            <v>N1-b2</v>
          </cell>
          <cell r="J383" t="str">
            <v>06</v>
          </cell>
          <cell r="K383" t="str">
            <v>60</v>
          </cell>
        </row>
        <row r="384">
          <cell r="A384" t="str">
            <v>06-61</v>
          </cell>
          <cell r="B384">
            <v>381</v>
          </cell>
          <cell r="C384" t="str">
            <v>C1.AM.06.61</v>
          </cell>
          <cell r="D384" t="str">
            <v>AM</v>
          </cell>
          <cell r="E384" t="str">
            <v>G-045</v>
          </cell>
          <cell r="F384" t="str">
            <v>AM069</v>
          </cell>
          <cell r="G384" t="str">
            <v>N1</v>
          </cell>
          <cell r="H384" t="str">
            <v>b2</v>
          </cell>
          <cell r="I384" t="str">
            <v>N1-b2</v>
          </cell>
          <cell r="J384" t="str">
            <v>06</v>
          </cell>
          <cell r="K384" t="str">
            <v>61</v>
          </cell>
        </row>
        <row r="385">
          <cell r="A385" t="str">
            <v>06-62</v>
          </cell>
          <cell r="B385">
            <v>382</v>
          </cell>
          <cell r="C385" t="str">
            <v>C1.AM.06.62</v>
          </cell>
          <cell r="D385" t="str">
            <v>AM</v>
          </cell>
          <cell r="E385" t="str">
            <v>G-053</v>
          </cell>
          <cell r="F385" t="str">
            <v>AM082</v>
          </cell>
          <cell r="G385" t="str">
            <v>N1</v>
          </cell>
          <cell r="H385" t="str">
            <v>b2</v>
          </cell>
          <cell r="I385" t="str">
            <v>N1-b2</v>
          </cell>
          <cell r="J385" t="str">
            <v>06</v>
          </cell>
          <cell r="K385" t="str">
            <v>62</v>
          </cell>
        </row>
        <row r="386">
          <cell r="A386" t="str">
            <v>06-63</v>
          </cell>
          <cell r="B386">
            <v>383</v>
          </cell>
          <cell r="C386" t="str">
            <v>C1.AM.06.63</v>
          </cell>
          <cell r="D386" t="str">
            <v>AM</v>
          </cell>
          <cell r="E386" t="str">
            <v>G-044</v>
          </cell>
          <cell r="F386" t="str">
            <v>AM068</v>
          </cell>
          <cell r="G386" t="str">
            <v>N1</v>
          </cell>
          <cell r="H386" t="str">
            <v>b2</v>
          </cell>
          <cell r="I386" t="str">
            <v>N1-b2</v>
          </cell>
          <cell r="J386" t="str">
            <v>06</v>
          </cell>
          <cell r="K386" t="str">
            <v>63</v>
          </cell>
        </row>
        <row r="387">
          <cell r="A387" t="str">
            <v>06-64</v>
          </cell>
          <cell r="B387">
            <v>384</v>
          </cell>
          <cell r="C387" t="str">
            <v>C1.AM.06.64</v>
          </cell>
          <cell r="D387" t="str">
            <v>AM</v>
          </cell>
          <cell r="E387" t="str">
            <v>G-101</v>
          </cell>
          <cell r="F387" t="str">
            <v>AM167</v>
          </cell>
          <cell r="G387" t="str">
            <v>N1</v>
          </cell>
          <cell r="H387" t="str">
            <v>b2</v>
          </cell>
          <cell r="I387" t="str">
            <v>N1-b2</v>
          </cell>
          <cell r="J387" t="str">
            <v>06</v>
          </cell>
          <cell r="K387" t="str">
            <v>64</v>
          </cell>
        </row>
        <row r="388">
          <cell r="A388" t="str">
            <v>07-01</v>
          </cell>
          <cell r="B388">
            <v>385</v>
          </cell>
          <cell r="C388" t="str">
            <v>C1.AM.07.01</v>
          </cell>
          <cell r="D388" t="str">
            <v>AM</v>
          </cell>
          <cell r="E388" t="str">
            <v>G-058</v>
          </cell>
          <cell r="F388" t="str">
            <v>AM087</v>
          </cell>
          <cell r="G388" t="str">
            <v>N2</v>
          </cell>
          <cell r="H388" t="str">
            <v>b2</v>
          </cell>
          <cell r="I388" t="str">
            <v>N2-b2</v>
          </cell>
          <cell r="J388" t="str">
            <v>07</v>
          </cell>
          <cell r="K388" t="str">
            <v>01</v>
          </cell>
        </row>
        <row r="389">
          <cell r="A389" t="str">
            <v>07-02</v>
          </cell>
          <cell r="B389">
            <v>386</v>
          </cell>
          <cell r="C389" t="str">
            <v>C1.AM.07.02</v>
          </cell>
          <cell r="D389" t="str">
            <v>AM</v>
          </cell>
          <cell r="E389" t="str">
            <v>G-076</v>
          </cell>
          <cell r="F389" t="str">
            <v>AM124</v>
          </cell>
          <cell r="G389" t="str">
            <v>N2</v>
          </cell>
          <cell r="H389" t="str">
            <v>b2</v>
          </cell>
          <cell r="I389" t="str">
            <v>N2-b2</v>
          </cell>
          <cell r="J389" t="str">
            <v>07</v>
          </cell>
          <cell r="K389" t="str">
            <v>02</v>
          </cell>
        </row>
        <row r="390">
          <cell r="A390" t="str">
            <v>07-03</v>
          </cell>
          <cell r="B390">
            <v>387</v>
          </cell>
          <cell r="C390" t="str">
            <v>C1.AM.07.03</v>
          </cell>
          <cell r="D390" t="str">
            <v>AM</v>
          </cell>
          <cell r="E390" t="str">
            <v>G-032</v>
          </cell>
          <cell r="F390" t="str">
            <v>AM055</v>
          </cell>
          <cell r="G390" t="str">
            <v>N2</v>
          </cell>
          <cell r="H390" t="str">
            <v>b2</v>
          </cell>
          <cell r="I390" t="str">
            <v>N2-b2</v>
          </cell>
          <cell r="J390" t="str">
            <v>07</v>
          </cell>
          <cell r="K390" t="str">
            <v>03</v>
          </cell>
        </row>
        <row r="391">
          <cell r="A391" t="str">
            <v>07-04</v>
          </cell>
          <cell r="B391">
            <v>388</v>
          </cell>
          <cell r="C391" t="str">
            <v>C1.AM.07.04</v>
          </cell>
          <cell r="D391" t="str">
            <v>AM</v>
          </cell>
          <cell r="E391" t="str">
            <v>G-082</v>
          </cell>
          <cell r="F391" t="str">
            <v>AM133</v>
          </cell>
          <cell r="G391" t="str">
            <v>N2</v>
          </cell>
          <cell r="H391" t="str">
            <v>b2</v>
          </cell>
          <cell r="I391" t="str">
            <v>N2-b2</v>
          </cell>
          <cell r="J391" t="str">
            <v>07</v>
          </cell>
          <cell r="K391" t="str">
            <v>04</v>
          </cell>
        </row>
        <row r="392">
          <cell r="A392" t="str">
            <v>07-05</v>
          </cell>
          <cell r="B392">
            <v>389</v>
          </cell>
          <cell r="C392" t="str">
            <v>C1.AM.07.05</v>
          </cell>
          <cell r="D392" t="str">
            <v>AM</v>
          </cell>
          <cell r="E392" t="str">
            <v>G-052</v>
          </cell>
          <cell r="F392" t="str">
            <v>AM080</v>
          </cell>
          <cell r="G392" t="str">
            <v>N2</v>
          </cell>
          <cell r="H392" t="str">
            <v>b2</v>
          </cell>
          <cell r="I392" t="str">
            <v>N2-b2</v>
          </cell>
          <cell r="J392" t="str">
            <v>07</v>
          </cell>
          <cell r="K392" t="str">
            <v>05</v>
          </cell>
        </row>
        <row r="393">
          <cell r="A393" t="str">
            <v>07-06</v>
          </cell>
          <cell r="B393">
            <v>390</v>
          </cell>
          <cell r="C393" t="str">
            <v>C1.AM.07.06</v>
          </cell>
          <cell r="D393" t="str">
            <v>AM</v>
          </cell>
          <cell r="E393" t="str">
            <v>G-001</v>
          </cell>
          <cell r="F393" t="str">
            <v>Aviso</v>
          </cell>
          <cell r="G393" t="str">
            <v>N2</v>
          </cell>
          <cell r="H393" t="str">
            <v>b2</v>
          </cell>
          <cell r="I393" t="str">
            <v>N2-b2</v>
          </cell>
          <cell r="J393" t="str">
            <v>07</v>
          </cell>
          <cell r="K393" t="str">
            <v>06</v>
          </cell>
        </row>
        <row r="394">
          <cell r="A394" t="str">
            <v>07-07</v>
          </cell>
          <cell r="B394">
            <v>391</v>
          </cell>
          <cell r="C394" t="str">
            <v>C1.AM.07.07</v>
          </cell>
          <cell r="D394" t="str">
            <v>AM</v>
          </cell>
          <cell r="E394" t="str">
            <v>G-065</v>
          </cell>
          <cell r="F394" t="str">
            <v>AM094</v>
          </cell>
          <cell r="G394" t="str">
            <v>N2</v>
          </cell>
          <cell r="H394" t="str">
            <v>b2</v>
          </cell>
          <cell r="I394" t="str">
            <v>N2-b2</v>
          </cell>
          <cell r="J394" t="str">
            <v>07</v>
          </cell>
          <cell r="K394" t="str">
            <v>07</v>
          </cell>
        </row>
        <row r="395">
          <cell r="A395" t="str">
            <v>07-08</v>
          </cell>
          <cell r="B395">
            <v>392</v>
          </cell>
          <cell r="C395" t="str">
            <v>C1.AM.07.08</v>
          </cell>
          <cell r="D395" t="str">
            <v>AM</v>
          </cell>
          <cell r="E395" t="str">
            <v>G-034</v>
          </cell>
          <cell r="F395" t="str">
            <v>AM057</v>
          </cell>
          <cell r="G395" t="str">
            <v>N2</v>
          </cell>
          <cell r="H395" t="str">
            <v>b2</v>
          </cell>
          <cell r="I395" t="str">
            <v>N2-b2</v>
          </cell>
          <cell r="J395" t="str">
            <v>07</v>
          </cell>
          <cell r="K395" t="str">
            <v>08</v>
          </cell>
        </row>
        <row r="396">
          <cell r="A396" t="str">
            <v>07-09</v>
          </cell>
          <cell r="B396">
            <v>393</v>
          </cell>
          <cell r="C396" t="str">
            <v>C1.AM.07.09</v>
          </cell>
          <cell r="D396" t="str">
            <v>AM</v>
          </cell>
          <cell r="E396" t="str">
            <v>G-075</v>
          </cell>
          <cell r="F396" t="str">
            <v>AM123</v>
          </cell>
          <cell r="G396" t="str">
            <v>N2</v>
          </cell>
          <cell r="H396" t="str">
            <v>b2</v>
          </cell>
          <cell r="I396" t="str">
            <v>N2-b2</v>
          </cell>
          <cell r="J396" t="str">
            <v>07</v>
          </cell>
          <cell r="K396" t="str">
            <v>09</v>
          </cell>
        </row>
        <row r="397">
          <cell r="A397" t="str">
            <v>07-10</v>
          </cell>
          <cell r="B397">
            <v>394</v>
          </cell>
          <cell r="C397" t="str">
            <v>C1.AM.07.10</v>
          </cell>
          <cell r="D397" t="str">
            <v>AM</v>
          </cell>
          <cell r="E397" t="str">
            <v>G-099</v>
          </cell>
          <cell r="F397" t="str">
            <v>AM165</v>
          </cell>
          <cell r="G397" t="str">
            <v>N2</v>
          </cell>
          <cell r="H397" t="str">
            <v>b2</v>
          </cell>
          <cell r="I397" t="str">
            <v>N2-b2</v>
          </cell>
          <cell r="J397" t="str">
            <v>07</v>
          </cell>
          <cell r="K397" t="str">
            <v>10</v>
          </cell>
        </row>
        <row r="398">
          <cell r="A398" t="str">
            <v>07-11</v>
          </cell>
          <cell r="B398">
            <v>395</v>
          </cell>
          <cell r="C398" t="str">
            <v>C1.AM.07.11</v>
          </cell>
          <cell r="D398" t="str">
            <v>AM</v>
          </cell>
          <cell r="E398" t="str">
            <v>G-024</v>
          </cell>
          <cell r="F398" t="str">
            <v>AM042</v>
          </cell>
          <cell r="G398" t="str">
            <v>N2</v>
          </cell>
          <cell r="H398" t="str">
            <v>b2</v>
          </cell>
          <cell r="I398" t="str">
            <v>N2-b2</v>
          </cell>
          <cell r="J398" t="str">
            <v>07</v>
          </cell>
          <cell r="K398" t="str">
            <v>11</v>
          </cell>
        </row>
        <row r="399">
          <cell r="A399" t="str">
            <v>07-12</v>
          </cell>
          <cell r="B399">
            <v>396</v>
          </cell>
          <cell r="C399" t="str">
            <v>C1.AM.07.12</v>
          </cell>
          <cell r="D399" t="str">
            <v>AM</v>
          </cell>
          <cell r="E399" t="str">
            <v>G-060</v>
          </cell>
          <cell r="F399" t="str">
            <v>AM089</v>
          </cell>
          <cell r="G399" t="str">
            <v>N2</v>
          </cell>
          <cell r="H399" t="str">
            <v>b2</v>
          </cell>
          <cell r="I399" t="str">
            <v>N2-b2</v>
          </cell>
          <cell r="J399" t="str">
            <v>07</v>
          </cell>
          <cell r="K399" t="str">
            <v>12</v>
          </cell>
        </row>
        <row r="400">
          <cell r="A400" t="str">
            <v>07-13</v>
          </cell>
          <cell r="B400">
            <v>397</v>
          </cell>
          <cell r="C400" t="str">
            <v>C1.AM.07.13</v>
          </cell>
          <cell r="D400" t="str">
            <v>AM</v>
          </cell>
          <cell r="E400" t="str">
            <v>G-048</v>
          </cell>
          <cell r="F400" t="str">
            <v>AM073</v>
          </cell>
          <cell r="G400" t="str">
            <v>N2</v>
          </cell>
          <cell r="H400" t="str">
            <v>b2</v>
          </cell>
          <cell r="I400" t="str">
            <v>N2-b2</v>
          </cell>
          <cell r="J400" t="str">
            <v>07</v>
          </cell>
          <cell r="K400" t="str">
            <v>13</v>
          </cell>
        </row>
        <row r="401">
          <cell r="A401" t="str">
            <v>07-14</v>
          </cell>
          <cell r="B401">
            <v>398</v>
          </cell>
          <cell r="C401" t="str">
            <v>C1.AM.07.14</v>
          </cell>
          <cell r="D401" t="str">
            <v>AM</v>
          </cell>
          <cell r="E401" t="str">
            <v>G-101</v>
          </cell>
          <cell r="F401" t="str">
            <v>AM167</v>
          </cell>
          <cell r="G401" t="str">
            <v>N2</v>
          </cell>
          <cell r="H401" t="str">
            <v>b2</v>
          </cell>
          <cell r="I401" t="str">
            <v>N2-b2</v>
          </cell>
          <cell r="J401" t="str">
            <v>07</v>
          </cell>
          <cell r="K401" t="str">
            <v>14</v>
          </cell>
        </row>
        <row r="402">
          <cell r="A402" t="str">
            <v>07-15</v>
          </cell>
          <cell r="B402">
            <v>399</v>
          </cell>
          <cell r="C402" t="str">
            <v>C1.AM.07.15</v>
          </cell>
          <cell r="D402" t="str">
            <v>AM</v>
          </cell>
          <cell r="E402" t="str">
            <v>G-028</v>
          </cell>
          <cell r="F402" t="str">
            <v>AM049</v>
          </cell>
          <cell r="G402" t="str">
            <v>N2</v>
          </cell>
          <cell r="H402" t="str">
            <v>b2</v>
          </cell>
          <cell r="I402" t="str">
            <v>N2-b2</v>
          </cell>
          <cell r="J402" t="str">
            <v>07</v>
          </cell>
          <cell r="K402" t="str">
            <v>15</v>
          </cell>
        </row>
        <row r="403">
          <cell r="A403" t="str">
            <v>07-16</v>
          </cell>
          <cell r="B403">
            <v>400</v>
          </cell>
          <cell r="C403" t="str">
            <v>C1.AM.07.16</v>
          </cell>
          <cell r="D403" t="str">
            <v>AM</v>
          </cell>
          <cell r="E403" t="str">
            <v>G-035</v>
          </cell>
          <cell r="F403" t="str">
            <v>AM058</v>
          </cell>
          <cell r="G403" t="str">
            <v>N2</v>
          </cell>
          <cell r="H403" t="str">
            <v>b2</v>
          </cell>
          <cell r="I403" t="str">
            <v>N2-b2</v>
          </cell>
          <cell r="J403" t="str">
            <v>07</v>
          </cell>
          <cell r="K403" t="str">
            <v>16</v>
          </cell>
        </row>
        <row r="404">
          <cell r="A404" t="str">
            <v>07-17</v>
          </cell>
          <cell r="B404">
            <v>401</v>
          </cell>
          <cell r="C404" t="str">
            <v>C1.AM.07.17</v>
          </cell>
          <cell r="D404" t="str">
            <v>AM</v>
          </cell>
          <cell r="E404" t="str">
            <v>G-015</v>
          </cell>
          <cell r="F404" t="str">
            <v>AM032</v>
          </cell>
          <cell r="G404" t="str">
            <v>N2</v>
          </cell>
          <cell r="H404" t="str">
            <v>b2</v>
          </cell>
          <cell r="I404" t="str">
            <v>N2-b2</v>
          </cell>
          <cell r="J404" t="str">
            <v>07</v>
          </cell>
          <cell r="K404" t="str">
            <v>17</v>
          </cell>
        </row>
        <row r="405">
          <cell r="A405" t="str">
            <v>07-18</v>
          </cell>
          <cell r="B405">
            <v>402</v>
          </cell>
          <cell r="C405" t="str">
            <v>C1.AM.07.18</v>
          </cell>
          <cell r="D405" t="str">
            <v>AM</v>
          </cell>
          <cell r="E405" t="str">
            <v>G-104</v>
          </cell>
          <cell r="F405" t="str">
            <v>AM170</v>
          </cell>
          <cell r="G405" t="str">
            <v>N2</v>
          </cell>
          <cell r="H405" t="str">
            <v>b2</v>
          </cell>
          <cell r="I405" t="str">
            <v>N2-b2</v>
          </cell>
          <cell r="J405" t="str">
            <v>07</v>
          </cell>
          <cell r="K405" t="str">
            <v>18</v>
          </cell>
        </row>
        <row r="406">
          <cell r="A406" t="str">
            <v>07-19</v>
          </cell>
          <cell r="B406">
            <v>403</v>
          </cell>
          <cell r="C406" t="str">
            <v>C1.AM.07.19</v>
          </cell>
          <cell r="D406" t="str">
            <v>AM</v>
          </cell>
          <cell r="E406" t="str">
            <v>G-114</v>
          </cell>
          <cell r="F406" t="str">
            <v>AM193</v>
          </cell>
          <cell r="G406" t="str">
            <v>N2</v>
          </cell>
          <cell r="H406" t="str">
            <v>b2</v>
          </cell>
          <cell r="I406" t="str">
            <v>N2-b2</v>
          </cell>
          <cell r="J406" t="str">
            <v>07</v>
          </cell>
          <cell r="K406" t="str">
            <v>19</v>
          </cell>
        </row>
        <row r="407">
          <cell r="A407" t="str">
            <v>07-20</v>
          </cell>
          <cell r="B407">
            <v>404</v>
          </cell>
          <cell r="C407" t="str">
            <v>C1.AM.07.20</v>
          </cell>
          <cell r="D407" t="str">
            <v>AM</v>
          </cell>
          <cell r="E407" t="str">
            <v>G-100</v>
          </cell>
          <cell r="F407" t="str">
            <v>AM166</v>
          </cell>
          <cell r="G407" t="str">
            <v>N2</v>
          </cell>
          <cell r="H407" t="str">
            <v>b2</v>
          </cell>
          <cell r="I407" t="str">
            <v>N2-b2</v>
          </cell>
          <cell r="J407" t="str">
            <v>07</v>
          </cell>
          <cell r="K407" t="str">
            <v>20</v>
          </cell>
        </row>
        <row r="408">
          <cell r="A408" t="str">
            <v>07-21</v>
          </cell>
          <cell r="B408">
            <v>405</v>
          </cell>
          <cell r="C408" t="str">
            <v>C1.AM.07.21</v>
          </cell>
          <cell r="D408" t="str">
            <v>AM</v>
          </cell>
          <cell r="E408" t="str">
            <v>G-045</v>
          </cell>
          <cell r="F408" t="str">
            <v>AM069</v>
          </cell>
          <cell r="G408" t="str">
            <v>N2</v>
          </cell>
          <cell r="H408" t="str">
            <v>b2</v>
          </cell>
          <cell r="I408" t="str">
            <v>N2-b2</v>
          </cell>
          <cell r="J408" t="str">
            <v>07</v>
          </cell>
          <cell r="K408" t="str">
            <v>21</v>
          </cell>
        </row>
        <row r="409">
          <cell r="A409" t="str">
            <v>07-22</v>
          </cell>
          <cell r="B409">
            <v>406</v>
          </cell>
          <cell r="C409" t="str">
            <v>C1.AM.07.22</v>
          </cell>
          <cell r="D409" t="str">
            <v>AM</v>
          </cell>
          <cell r="E409" t="str">
            <v>G-018</v>
          </cell>
          <cell r="F409" t="str">
            <v>AM035</v>
          </cell>
          <cell r="G409" t="str">
            <v>N2</v>
          </cell>
          <cell r="H409" t="str">
            <v>b2</v>
          </cell>
          <cell r="I409" t="str">
            <v>N2-b2</v>
          </cell>
          <cell r="J409" t="str">
            <v>07</v>
          </cell>
          <cell r="K409" t="str">
            <v>22</v>
          </cell>
        </row>
        <row r="410">
          <cell r="A410" t="str">
            <v>07-23</v>
          </cell>
          <cell r="B410">
            <v>407</v>
          </cell>
          <cell r="C410" t="str">
            <v>C1.AM.07.23</v>
          </cell>
          <cell r="D410" t="str">
            <v>AM</v>
          </cell>
          <cell r="E410" t="str">
            <v>G-103</v>
          </cell>
          <cell r="F410" t="str">
            <v>AM169</v>
          </cell>
          <cell r="G410" t="str">
            <v>N2</v>
          </cell>
          <cell r="H410" t="str">
            <v>b2</v>
          </cell>
          <cell r="I410" t="str">
            <v>N2-b2</v>
          </cell>
          <cell r="J410" t="str">
            <v>07</v>
          </cell>
          <cell r="K410" t="str">
            <v>23</v>
          </cell>
        </row>
        <row r="411">
          <cell r="A411" t="str">
            <v>07-24</v>
          </cell>
          <cell r="B411">
            <v>408</v>
          </cell>
          <cell r="C411" t="str">
            <v>C1.AM.07.24</v>
          </cell>
          <cell r="D411" t="str">
            <v>AM</v>
          </cell>
          <cell r="E411" t="str">
            <v>G-113</v>
          </cell>
          <cell r="F411" t="str">
            <v>AM189</v>
          </cell>
          <cell r="G411" t="str">
            <v>N2</v>
          </cell>
          <cell r="H411" t="str">
            <v>b2</v>
          </cell>
          <cell r="I411" t="str">
            <v>N2-b2</v>
          </cell>
          <cell r="J411" t="str">
            <v>07</v>
          </cell>
          <cell r="K411" t="str">
            <v>24</v>
          </cell>
        </row>
        <row r="412">
          <cell r="A412" t="str">
            <v>07-25</v>
          </cell>
          <cell r="B412">
            <v>409</v>
          </cell>
          <cell r="C412" t="str">
            <v>C1.AM.07.25</v>
          </cell>
          <cell r="D412" t="str">
            <v>AM</v>
          </cell>
          <cell r="E412" t="str">
            <v>G-073</v>
          </cell>
          <cell r="F412" t="str">
            <v>AM111</v>
          </cell>
          <cell r="G412" t="str">
            <v>N2</v>
          </cell>
          <cell r="H412" t="str">
            <v>b2</v>
          </cell>
          <cell r="I412" t="str">
            <v>N2-b2</v>
          </cell>
          <cell r="J412" t="str">
            <v>07</v>
          </cell>
          <cell r="K412" t="str">
            <v>25</v>
          </cell>
        </row>
        <row r="413">
          <cell r="A413" t="str">
            <v>07-26</v>
          </cell>
          <cell r="B413">
            <v>410</v>
          </cell>
          <cell r="C413" t="str">
            <v>C1.AM.07.26</v>
          </cell>
          <cell r="D413" t="str">
            <v>AM</v>
          </cell>
          <cell r="E413" t="str">
            <v>G-091</v>
          </cell>
          <cell r="F413" t="str">
            <v>AM146</v>
          </cell>
          <cell r="G413" t="str">
            <v>N2</v>
          </cell>
          <cell r="H413" t="str">
            <v>b2</v>
          </cell>
          <cell r="I413" t="str">
            <v>N2-b2</v>
          </cell>
          <cell r="J413" t="str">
            <v>07</v>
          </cell>
          <cell r="K413" t="str">
            <v>26</v>
          </cell>
        </row>
        <row r="414">
          <cell r="A414" t="str">
            <v>07-27</v>
          </cell>
          <cell r="B414">
            <v>411</v>
          </cell>
          <cell r="C414" t="str">
            <v>C1.AM.07.27</v>
          </cell>
          <cell r="D414" t="str">
            <v>AM</v>
          </cell>
          <cell r="E414" t="str">
            <v>G-078</v>
          </cell>
          <cell r="F414" t="str">
            <v>AM127</v>
          </cell>
          <cell r="G414" t="str">
            <v>N2</v>
          </cell>
          <cell r="H414" t="str">
            <v>b2</v>
          </cell>
          <cell r="I414" t="str">
            <v>N2-b2</v>
          </cell>
          <cell r="J414" t="str">
            <v>07</v>
          </cell>
          <cell r="K414" t="str">
            <v>27</v>
          </cell>
        </row>
        <row r="415">
          <cell r="A415" t="str">
            <v>07-28</v>
          </cell>
          <cell r="B415">
            <v>412</v>
          </cell>
          <cell r="C415" t="str">
            <v>C1.AM.07.28</v>
          </cell>
          <cell r="D415" t="str">
            <v>AM</v>
          </cell>
          <cell r="E415" t="str">
            <v>G-017</v>
          </cell>
          <cell r="F415" t="str">
            <v>AM034</v>
          </cell>
          <cell r="G415" t="str">
            <v>N2</v>
          </cell>
          <cell r="H415" t="str">
            <v>b2</v>
          </cell>
          <cell r="I415" t="str">
            <v>N2-b2</v>
          </cell>
          <cell r="J415" t="str">
            <v>07</v>
          </cell>
          <cell r="K415" t="str">
            <v>28</v>
          </cell>
        </row>
        <row r="416">
          <cell r="A416" t="str">
            <v>07-29</v>
          </cell>
          <cell r="B416">
            <v>413</v>
          </cell>
          <cell r="C416" t="str">
            <v>C1.AM.07.29</v>
          </cell>
          <cell r="D416" t="str">
            <v>AM</v>
          </cell>
          <cell r="E416" t="str">
            <v>G-107</v>
          </cell>
          <cell r="F416" t="str">
            <v>AM173</v>
          </cell>
          <cell r="G416" t="str">
            <v>N2</v>
          </cell>
          <cell r="H416" t="str">
            <v>b2</v>
          </cell>
          <cell r="I416" t="str">
            <v>N2-b2</v>
          </cell>
          <cell r="J416" t="str">
            <v>07</v>
          </cell>
          <cell r="K416" t="str">
            <v>29</v>
          </cell>
        </row>
        <row r="417">
          <cell r="A417" t="str">
            <v>07-30</v>
          </cell>
          <cell r="B417">
            <v>414</v>
          </cell>
          <cell r="C417" t="str">
            <v>C1.AM.07.30</v>
          </cell>
          <cell r="D417" t="str">
            <v>AM</v>
          </cell>
          <cell r="E417" t="str">
            <v>G-030</v>
          </cell>
          <cell r="F417" t="str">
            <v>AM052</v>
          </cell>
          <cell r="G417" t="str">
            <v>N2</v>
          </cell>
          <cell r="H417" t="str">
            <v>b2</v>
          </cell>
          <cell r="I417" t="str">
            <v>N2-b2</v>
          </cell>
          <cell r="J417" t="str">
            <v>07</v>
          </cell>
          <cell r="K417" t="str">
            <v>30</v>
          </cell>
        </row>
        <row r="418">
          <cell r="A418" t="str">
            <v>07-31</v>
          </cell>
          <cell r="B418">
            <v>415</v>
          </cell>
          <cell r="C418" t="str">
            <v>C1.AM.07.31</v>
          </cell>
          <cell r="D418" t="str">
            <v>AM</v>
          </cell>
          <cell r="E418" t="str">
            <v>G-074</v>
          </cell>
          <cell r="F418" t="str">
            <v>AM120</v>
          </cell>
          <cell r="G418" t="str">
            <v>N2</v>
          </cell>
          <cell r="H418" t="str">
            <v>b2</v>
          </cell>
          <cell r="I418" t="str">
            <v>N2-b2</v>
          </cell>
          <cell r="J418" t="str">
            <v>07</v>
          </cell>
          <cell r="K418" t="str">
            <v>31</v>
          </cell>
        </row>
        <row r="419">
          <cell r="A419" t="str">
            <v>07-32</v>
          </cell>
          <cell r="B419">
            <v>416</v>
          </cell>
          <cell r="C419" t="str">
            <v>C1.AM.07.32</v>
          </cell>
          <cell r="D419" t="str">
            <v>AM</v>
          </cell>
          <cell r="E419" t="str">
            <v>G-090</v>
          </cell>
          <cell r="F419" t="str">
            <v>AM145</v>
          </cell>
          <cell r="G419" t="str">
            <v>N2</v>
          </cell>
          <cell r="H419" t="str">
            <v>b2</v>
          </cell>
          <cell r="I419" t="str">
            <v>N2-b2</v>
          </cell>
          <cell r="J419" t="str">
            <v>07</v>
          </cell>
          <cell r="K419" t="str">
            <v>32</v>
          </cell>
        </row>
        <row r="420">
          <cell r="A420" t="str">
            <v>07-33</v>
          </cell>
          <cell r="B420">
            <v>417</v>
          </cell>
          <cell r="C420" t="str">
            <v>C1.AM.07.33</v>
          </cell>
          <cell r="D420" t="str">
            <v>AM</v>
          </cell>
          <cell r="E420" t="str">
            <v>G-064</v>
          </cell>
          <cell r="F420" t="str">
            <v>AM093</v>
          </cell>
          <cell r="G420" t="str">
            <v>N1</v>
          </cell>
          <cell r="H420" t="str">
            <v>b2</v>
          </cell>
          <cell r="I420" t="str">
            <v>N1-b2</v>
          </cell>
          <cell r="J420" t="str">
            <v>07</v>
          </cell>
          <cell r="K420" t="str">
            <v>33</v>
          </cell>
        </row>
        <row r="421">
          <cell r="A421" t="str">
            <v>07-34</v>
          </cell>
          <cell r="B421">
            <v>418</v>
          </cell>
          <cell r="C421" t="str">
            <v>C1.AM.07.34</v>
          </cell>
          <cell r="D421" t="str">
            <v>AM</v>
          </cell>
          <cell r="E421" t="str">
            <v>G-027</v>
          </cell>
          <cell r="F421" t="str">
            <v>AM048</v>
          </cell>
          <cell r="G421" t="str">
            <v>N1</v>
          </cell>
          <cell r="H421" t="str">
            <v>b2</v>
          </cell>
          <cell r="I421" t="str">
            <v>N1-b2</v>
          </cell>
          <cell r="J421" t="str">
            <v>07</v>
          </cell>
          <cell r="K421" t="str">
            <v>34</v>
          </cell>
        </row>
        <row r="422">
          <cell r="A422" t="str">
            <v>07-35</v>
          </cell>
          <cell r="B422">
            <v>419</v>
          </cell>
          <cell r="C422" t="str">
            <v>C1.AM.07.35</v>
          </cell>
          <cell r="D422" t="str">
            <v>AM</v>
          </cell>
          <cell r="E422" t="str">
            <v>G-097</v>
          </cell>
          <cell r="F422" t="str">
            <v>AM161</v>
          </cell>
          <cell r="G422" t="str">
            <v>N1</v>
          </cell>
          <cell r="H422" t="str">
            <v>b2</v>
          </cell>
          <cell r="I422" t="str">
            <v>N1-b2</v>
          </cell>
          <cell r="J422" t="str">
            <v>07</v>
          </cell>
          <cell r="K422" t="str">
            <v>35</v>
          </cell>
        </row>
        <row r="423">
          <cell r="A423" t="str">
            <v>07-36</v>
          </cell>
          <cell r="B423">
            <v>420</v>
          </cell>
          <cell r="C423" t="str">
            <v>C1.AM.07.36</v>
          </cell>
          <cell r="D423" t="str">
            <v>AM</v>
          </cell>
          <cell r="E423" t="str">
            <v>G-056</v>
          </cell>
          <cell r="F423" t="str">
            <v>AM085</v>
          </cell>
          <cell r="G423" t="str">
            <v>N1</v>
          </cell>
          <cell r="H423" t="str">
            <v>b2</v>
          </cell>
          <cell r="I423" t="str">
            <v>N1-b2</v>
          </cell>
          <cell r="J423" t="str">
            <v>07</v>
          </cell>
          <cell r="K423" t="str">
            <v>36</v>
          </cell>
        </row>
        <row r="424">
          <cell r="A424" t="str">
            <v>07-37</v>
          </cell>
          <cell r="B424">
            <v>421</v>
          </cell>
          <cell r="C424" t="str">
            <v>C1.AM.07.37</v>
          </cell>
          <cell r="D424" t="str">
            <v>AM</v>
          </cell>
          <cell r="E424" t="str">
            <v>G-069</v>
          </cell>
          <cell r="F424" t="str">
            <v>AM101</v>
          </cell>
          <cell r="G424" t="str">
            <v>N1</v>
          </cell>
          <cell r="H424" t="str">
            <v>b2</v>
          </cell>
          <cell r="I424" t="str">
            <v>N1-b2</v>
          </cell>
          <cell r="J424" t="str">
            <v>07</v>
          </cell>
          <cell r="K424" t="str">
            <v>37</v>
          </cell>
        </row>
        <row r="425">
          <cell r="A425" t="str">
            <v>07-38</v>
          </cell>
          <cell r="B425">
            <v>422</v>
          </cell>
          <cell r="C425" t="str">
            <v>C1.AM.07.38</v>
          </cell>
          <cell r="D425" t="str">
            <v>AM</v>
          </cell>
          <cell r="E425" t="str">
            <v>G-086</v>
          </cell>
          <cell r="F425" t="str">
            <v>AM140</v>
          </cell>
          <cell r="G425" t="str">
            <v>N1</v>
          </cell>
          <cell r="H425" t="str">
            <v>b2</v>
          </cell>
          <cell r="I425" t="str">
            <v>N1-b2</v>
          </cell>
          <cell r="J425" t="str">
            <v>07</v>
          </cell>
          <cell r="K425" t="str">
            <v>38</v>
          </cell>
        </row>
        <row r="426">
          <cell r="A426" t="str">
            <v>07-39</v>
          </cell>
          <cell r="B426">
            <v>423</v>
          </cell>
          <cell r="C426" t="str">
            <v>C1.AM.07.39</v>
          </cell>
          <cell r="D426" t="str">
            <v>AM</v>
          </cell>
          <cell r="E426" t="str">
            <v>G-092</v>
          </cell>
          <cell r="F426" t="str">
            <v>AM147</v>
          </cell>
          <cell r="G426" t="str">
            <v>N1</v>
          </cell>
          <cell r="H426" t="str">
            <v>b2</v>
          </cell>
          <cell r="I426" t="str">
            <v>N1-b2</v>
          </cell>
          <cell r="J426" t="str">
            <v>07</v>
          </cell>
          <cell r="K426" t="str">
            <v>39</v>
          </cell>
        </row>
        <row r="427">
          <cell r="A427" t="str">
            <v>07-40</v>
          </cell>
          <cell r="B427">
            <v>424</v>
          </cell>
          <cell r="C427" t="str">
            <v>C1.AM.07.40</v>
          </cell>
          <cell r="D427" t="str">
            <v>AM</v>
          </cell>
          <cell r="E427" t="str">
            <v>G-111</v>
          </cell>
          <cell r="F427" t="str">
            <v>AM186</v>
          </cell>
          <cell r="G427" t="str">
            <v>N1</v>
          </cell>
          <cell r="H427" t="str">
            <v>b2</v>
          </cell>
          <cell r="I427" t="str">
            <v>N1-b2</v>
          </cell>
          <cell r="J427" t="str">
            <v>07</v>
          </cell>
          <cell r="K427" t="str">
            <v>40</v>
          </cell>
        </row>
        <row r="428">
          <cell r="A428" t="str">
            <v>07-41</v>
          </cell>
          <cell r="B428">
            <v>425</v>
          </cell>
          <cell r="C428" t="str">
            <v>C1.AM.07.41</v>
          </cell>
          <cell r="D428" t="str">
            <v>AM</v>
          </cell>
          <cell r="E428" t="str">
            <v>G-081</v>
          </cell>
          <cell r="F428" t="str">
            <v>AM131</v>
          </cell>
          <cell r="G428" t="str">
            <v>N1</v>
          </cell>
          <cell r="H428" t="str">
            <v>b2</v>
          </cell>
          <cell r="I428" t="str">
            <v>N1-b2</v>
          </cell>
          <cell r="J428" t="str">
            <v>07</v>
          </cell>
          <cell r="K428" t="str">
            <v>41</v>
          </cell>
        </row>
        <row r="429">
          <cell r="A429" t="str">
            <v>07-42</v>
          </cell>
          <cell r="B429">
            <v>426</v>
          </cell>
          <cell r="C429" t="str">
            <v>C1.AM.07.42</v>
          </cell>
          <cell r="D429" t="str">
            <v>AM</v>
          </cell>
          <cell r="E429" t="str">
            <v>G-065</v>
          </cell>
          <cell r="F429" t="str">
            <v>AM094</v>
          </cell>
          <cell r="G429" t="str">
            <v>N1</v>
          </cell>
          <cell r="H429" t="str">
            <v>b2</v>
          </cell>
          <cell r="I429" t="str">
            <v>N1-b2</v>
          </cell>
          <cell r="J429" t="str">
            <v>07</v>
          </cell>
          <cell r="K429" t="str">
            <v>42</v>
          </cell>
        </row>
        <row r="430">
          <cell r="A430" t="str">
            <v>07-43</v>
          </cell>
          <cell r="B430">
            <v>427</v>
          </cell>
          <cell r="C430" t="str">
            <v>C1.AM.07.43</v>
          </cell>
          <cell r="D430" t="str">
            <v>AM</v>
          </cell>
          <cell r="E430" t="str">
            <v>G-076</v>
          </cell>
          <cell r="F430" t="str">
            <v>AM124</v>
          </cell>
          <cell r="G430" t="str">
            <v>N1</v>
          </cell>
          <cell r="H430" t="str">
            <v>b2</v>
          </cell>
          <cell r="I430" t="str">
            <v>N1-b2</v>
          </cell>
          <cell r="J430" t="str">
            <v>07</v>
          </cell>
          <cell r="K430" t="str">
            <v>43</v>
          </cell>
        </row>
        <row r="431">
          <cell r="A431" t="str">
            <v>07-44</v>
          </cell>
          <cell r="B431">
            <v>428</v>
          </cell>
          <cell r="C431" t="str">
            <v>C1.AM.07.44</v>
          </cell>
          <cell r="D431" t="str">
            <v>AM</v>
          </cell>
          <cell r="E431" t="str">
            <v>G-098</v>
          </cell>
          <cell r="F431" t="str">
            <v>AM164</v>
          </cell>
          <cell r="G431" t="str">
            <v>N1</v>
          </cell>
          <cell r="H431" t="str">
            <v>b2</v>
          </cell>
          <cell r="I431" t="str">
            <v>N1-b2</v>
          </cell>
          <cell r="J431" t="str">
            <v>07</v>
          </cell>
          <cell r="K431" t="str">
            <v>44</v>
          </cell>
        </row>
        <row r="432">
          <cell r="A432" t="str">
            <v>07-45</v>
          </cell>
          <cell r="B432">
            <v>429</v>
          </cell>
          <cell r="C432" t="str">
            <v>C1.AM.07.45</v>
          </cell>
          <cell r="D432" t="str">
            <v>AM</v>
          </cell>
          <cell r="E432" t="str">
            <v>G-024</v>
          </cell>
          <cell r="F432" t="str">
            <v>AM042</v>
          </cell>
          <cell r="G432" t="str">
            <v>N1</v>
          </cell>
          <cell r="H432" t="str">
            <v>b2</v>
          </cell>
          <cell r="I432" t="str">
            <v>N1-b2</v>
          </cell>
          <cell r="J432" t="str">
            <v>07</v>
          </cell>
          <cell r="K432" t="str">
            <v>45</v>
          </cell>
        </row>
        <row r="433">
          <cell r="A433" t="str">
            <v>07-46</v>
          </cell>
          <cell r="B433">
            <v>430</v>
          </cell>
          <cell r="C433" t="str">
            <v>C1.AM.07.46</v>
          </cell>
          <cell r="D433" t="str">
            <v>AM</v>
          </cell>
          <cell r="E433" t="str">
            <v>G-016</v>
          </cell>
          <cell r="F433" t="str">
            <v>AM033</v>
          </cell>
          <cell r="G433" t="str">
            <v>N1</v>
          </cell>
          <cell r="H433" t="str">
            <v>b2</v>
          </cell>
          <cell r="I433" t="str">
            <v>N1-b2</v>
          </cell>
          <cell r="J433" t="str">
            <v>07</v>
          </cell>
          <cell r="K433" t="str">
            <v>46</v>
          </cell>
        </row>
        <row r="434">
          <cell r="A434" t="str">
            <v>07-47</v>
          </cell>
          <cell r="B434">
            <v>431</v>
          </cell>
          <cell r="C434" t="str">
            <v>C1.AM.07.47</v>
          </cell>
          <cell r="D434" t="str">
            <v>AM</v>
          </cell>
          <cell r="E434" t="str">
            <v>G-090</v>
          </cell>
          <cell r="F434" t="str">
            <v>AM145</v>
          </cell>
          <cell r="G434" t="str">
            <v>N1</v>
          </cell>
          <cell r="H434" t="str">
            <v>b2</v>
          </cell>
          <cell r="I434" t="str">
            <v>N1-b2</v>
          </cell>
          <cell r="J434" t="str">
            <v>07</v>
          </cell>
          <cell r="K434" t="str">
            <v>47</v>
          </cell>
        </row>
        <row r="435">
          <cell r="A435" t="str">
            <v>07-48</v>
          </cell>
          <cell r="B435">
            <v>432</v>
          </cell>
          <cell r="C435" t="str">
            <v>C1.AM.07.48</v>
          </cell>
          <cell r="D435" t="str">
            <v>AM</v>
          </cell>
          <cell r="E435" t="str">
            <v>G-004</v>
          </cell>
          <cell r="F435" t="str">
            <v>AM015</v>
          </cell>
          <cell r="G435" t="str">
            <v>N1</v>
          </cell>
          <cell r="H435" t="str">
            <v>b2</v>
          </cell>
          <cell r="I435" t="str">
            <v>N1-b2</v>
          </cell>
          <cell r="J435" t="str">
            <v>07</v>
          </cell>
          <cell r="K435" t="str">
            <v>48</v>
          </cell>
        </row>
        <row r="436">
          <cell r="A436" t="str">
            <v>07-49</v>
          </cell>
          <cell r="B436">
            <v>433</v>
          </cell>
          <cell r="C436" t="str">
            <v>C1.AM.07.49</v>
          </cell>
          <cell r="D436" t="str">
            <v>AM</v>
          </cell>
          <cell r="E436" t="str">
            <v>G-001</v>
          </cell>
          <cell r="F436" t="str">
            <v>Aviso</v>
          </cell>
          <cell r="G436" t="str">
            <v>N1</v>
          </cell>
          <cell r="H436" t="str">
            <v>b2</v>
          </cell>
          <cell r="I436" t="str">
            <v>N1-b2</v>
          </cell>
          <cell r="J436" t="str">
            <v>07</v>
          </cell>
          <cell r="K436" t="str">
            <v>49</v>
          </cell>
        </row>
        <row r="437">
          <cell r="A437" t="str">
            <v>07-50</v>
          </cell>
          <cell r="B437">
            <v>434</v>
          </cell>
          <cell r="C437" t="str">
            <v>C1.AM.07.50</v>
          </cell>
          <cell r="D437" t="str">
            <v>AM</v>
          </cell>
          <cell r="E437" t="str">
            <v>G-083</v>
          </cell>
          <cell r="F437" t="str">
            <v>AM137</v>
          </cell>
          <cell r="G437" t="str">
            <v>N1</v>
          </cell>
          <cell r="H437" t="str">
            <v>b2</v>
          </cell>
          <cell r="I437" t="str">
            <v>N1-b2</v>
          </cell>
          <cell r="J437" t="str">
            <v>07</v>
          </cell>
          <cell r="K437" t="str">
            <v>50</v>
          </cell>
        </row>
        <row r="438">
          <cell r="A438" t="str">
            <v>07-51</v>
          </cell>
          <cell r="B438">
            <v>435</v>
          </cell>
          <cell r="C438" t="str">
            <v>C1.AM.07.51</v>
          </cell>
          <cell r="D438" t="str">
            <v>AM</v>
          </cell>
          <cell r="E438" t="str">
            <v>G-002</v>
          </cell>
          <cell r="F438" t="str">
            <v>Montego</v>
          </cell>
          <cell r="G438" t="str">
            <v>N1</v>
          </cell>
          <cell r="H438" t="str">
            <v>b2</v>
          </cell>
          <cell r="I438" t="str">
            <v>N1-b2</v>
          </cell>
          <cell r="J438" t="str">
            <v>07</v>
          </cell>
          <cell r="K438" t="str">
            <v>51</v>
          </cell>
        </row>
        <row r="439">
          <cell r="A439" t="str">
            <v>07-52</v>
          </cell>
          <cell r="B439">
            <v>436</v>
          </cell>
          <cell r="C439" t="str">
            <v>C1.AM.07.52</v>
          </cell>
          <cell r="D439" t="str">
            <v>AM</v>
          </cell>
          <cell r="E439" t="str">
            <v>G-121</v>
          </cell>
          <cell r="F439" t="str">
            <v>Darmor</v>
          </cell>
          <cell r="G439" t="str">
            <v>N1</v>
          </cell>
          <cell r="H439" t="str">
            <v>b2</v>
          </cell>
          <cell r="I439" t="str">
            <v>N1-b2</v>
          </cell>
          <cell r="J439" t="str">
            <v>07</v>
          </cell>
          <cell r="K439" t="str">
            <v>52</v>
          </cell>
        </row>
        <row r="440">
          <cell r="A440" t="str">
            <v>07-53</v>
          </cell>
          <cell r="B440">
            <v>437</v>
          </cell>
          <cell r="C440" t="str">
            <v>C1.AM.07.53</v>
          </cell>
          <cell r="D440" t="str">
            <v>AM</v>
          </cell>
          <cell r="E440" t="str">
            <v>G-085</v>
          </cell>
          <cell r="F440" t="str">
            <v>AM139</v>
          </cell>
          <cell r="G440" t="str">
            <v>N1</v>
          </cell>
          <cell r="H440" t="str">
            <v>b2</v>
          </cell>
          <cell r="I440" t="str">
            <v>N1-b2</v>
          </cell>
          <cell r="J440" t="str">
            <v>07</v>
          </cell>
          <cell r="K440" t="str">
            <v>53</v>
          </cell>
        </row>
        <row r="441">
          <cell r="A441" t="str">
            <v>07-54</v>
          </cell>
          <cell r="B441">
            <v>438</v>
          </cell>
          <cell r="C441" t="str">
            <v>C1.AM.07.54</v>
          </cell>
          <cell r="D441" t="str">
            <v>AM</v>
          </cell>
          <cell r="E441" t="str">
            <v>G-062</v>
          </cell>
          <cell r="F441" t="str">
            <v>AM091</v>
          </cell>
          <cell r="G441" t="str">
            <v>N1</v>
          </cell>
          <cell r="H441" t="str">
            <v>b2</v>
          </cell>
          <cell r="I441" t="str">
            <v>N1-b2</v>
          </cell>
          <cell r="J441" t="str">
            <v>07</v>
          </cell>
          <cell r="K441" t="str">
            <v>54</v>
          </cell>
        </row>
        <row r="442">
          <cell r="A442" t="str">
            <v>07-55</v>
          </cell>
          <cell r="B442">
            <v>439</v>
          </cell>
          <cell r="C442" t="str">
            <v>C1.AM.07.55</v>
          </cell>
          <cell r="D442" t="str">
            <v>AM</v>
          </cell>
          <cell r="E442" t="str">
            <v>G-042</v>
          </cell>
          <cell r="F442" t="str">
            <v>AM066</v>
          </cell>
          <cell r="G442" t="str">
            <v>N1</v>
          </cell>
          <cell r="H442" t="str">
            <v>b2</v>
          </cell>
          <cell r="I442" t="str">
            <v>N1-b2</v>
          </cell>
          <cell r="J442" t="str">
            <v>07</v>
          </cell>
          <cell r="K442" t="str">
            <v>55</v>
          </cell>
        </row>
        <row r="443">
          <cell r="A443" t="str">
            <v>07-56</v>
          </cell>
          <cell r="B443">
            <v>440</v>
          </cell>
          <cell r="C443" t="str">
            <v>C1.AM.07.56</v>
          </cell>
          <cell r="D443" t="str">
            <v>AM</v>
          </cell>
          <cell r="E443" t="str">
            <v>G-019</v>
          </cell>
          <cell r="F443" t="str">
            <v>AM036</v>
          </cell>
          <cell r="G443" t="str">
            <v>N1</v>
          </cell>
          <cell r="H443" t="str">
            <v>b2</v>
          </cell>
          <cell r="I443" t="str">
            <v>N1-b2</v>
          </cell>
          <cell r="J443" t="str">
            <v>07</v>
          </cell>
          <cell r="K443" t="str">
            <v>56</v>
          </cell>
        </row>
        <row r="444">
          <cell r="A444" t="str">
            <v>07-57</v>
          </cell>
          <cell r="B444">
            <v>441</v>
          </cell>
          <cell r="C444" t="str">
            <v>C1.AM.07.57</v>
          </cell>
          <cell r="D444" t="str">
            <v>AM</v>
          </cell>
          <cell r="E444" t="str">
            <v>G-017</v>
          </cell>
          <cell r="F444" t="str">
            <v>AM034</v>
          </cell>
          <cell r="G444" t="str">
            <v>N1</v>
          </cell>
          <cell r="H444" t="str">
            <v>b2</v>
          </cell>
          <cell r="I444" t="str">
            <v>N1-b2</v>
          </cell>
          <cell r="J444" t="str">
            <v>07</v>
          </cell>
          <cell r="K444" t="str">
            <v>57</v>
          </cell>
        </row>
        <row r="445">
          <cell r="A445" t="str">
            <v>07-58</v>
          </cell>
          <cell r="B445">
            <v>442</v>
          </cell>
          <cell r="C445" t="str">
            <v>C1.AM.07.58</v>
          </cell>
          <cell r="D445" t="str">
            <v>AM</v>
          </cell>
          <cell r="E445" t="str">
            <v>G-035</v>
          </cell>
          <cell r="F445" t="str">
            <v>AM058</v>
          </cell>
          <cell r="G445" t="str">
            <v>N1</v>
          </cell>
          <cell r="H445" t="str">
            <v>b2</v>
          </cell>
          <cell r="I445" t="str">
            <v>N1-b2</v>
          </cell>
          <cell r="J445" t="str">
            <v>07</v>
          </cell>
          <cell r="K445" t="str">
            <v>58</v>
          </cell>
        </row>
        <row r="446">
          <cell r="A446" t="str">
            <v>07-59</v>
          </cell>
          <cell r="B446">
            <v>443</v>
          </cell>
          <cell r="C446" t="str">
            <v>C1.AM.07.59</v>
          </cell>
          <cell r="D446" t="str">
            <v>AM</v>
          </cell>
          <cell r="E446" t="str">
            <v>G-116</v>
          </cell>
          <cell r="F446" t="str">
            <v>AM197</v>
          </cell>
          <cell r="G446" t="str">
            <v>N1</v>
          </cell>
          <cell r="H446" t="str">
            <v>b2</v>
          </cell>
          <cell r="I446" t="str">
            <v>N1-b2</v>
          </cell>
          <cell r="J446" t="str">
            <v>07</v>
          </cell>
          <cell r="K446" t="str">
            <v>59</v>
          </cell>
        </row>
        <row r="447">
          <cell r="A447" t="str">
            <v>07-60</v>
          </cell>
          <cell r="B447">
            <v>444</v>
          </cell>
          <cell r="C447" t="str">
            <v>C1.AM.07.60</v>
          </cell>
          <cell r="D447" t="str">
            <v>AM</v>
          </cell>
          <cell r="E447" t="str">
            <v>G-028</v>
          </cell>
          <cell r="F447" t="str">
            <v>AM049</v>
          </cell>
          <cell r="G447" t="str">
            <v>N1</v>
          </cell>
          <cell r="H447" t="str">
            <v>b2</v>
          </cell>
          <cell r="I447" t="str">
            <v>N1-b2</v>
          </cell>
          <cell r="J447" t="str">
            <v>07</v>
          </cell>
          <cell r="K447" t="str">
            <v>60</v>
          </cell>
        </row>
        <row r="448">
          <cell r="A448" t="str">
            <v>07-61</v>
          </cell>
          <cell r="B448">
            <v>445</v>
          </cell>
          <cell r="C448" t="str">
            <v>C1.AM.07.61</v>
          </cell>
          <cell r="D448" t="str">
            <v>AM</v>
          </cell>
          <cell r="E448" t="str">
            <v>G-079</v>
          </cell>
          <cell r="F448" t="str">
            <v>AM129</v>
          </cell>
          <cell r="G448" t="str">
            <v>N1</v>
          </cell>
          <cell r="H448" t="str">
            <v>b2</v>
          </cell>
          <cell r="I448" t="str">
            <v>N1-b2</v>
          </cell>
          <cell r="J448" t="str">
            <v>07</v>
          </cell>
          <cell r="K448" t="str">
            <v>61</v>
          </cell>
        </row>
        <row r="449">
          <cell r="A449" t="str">
            <v>07-62</v>
          </cell>
          <cell r="B449">
            <v>446</v>
          </cell>
          <cell r="C449" t="str">
            <v>C1.AM.07.62</v>
          </cell>
          <cell r="D449" t="str">
            <v>AM</v>
          </cell>
          <cell r="E449" t="str">
            <v>G-088</v>
          </cell>
          <cell r="F449" t="str">
            <v>AM143</v>
          </cell>
          <cell r="G449" t="str">
            <v>N1</v>
          </cell>
          <cell r="H449" t="str">
            <v>b2</v>
          </cell>
          <cell r="I449" t="str">
            <v>N1-b2</v>
          </cell>
          <cell r="J449" t="str">
            <v>07</v>
          </cell>
          <cell r="K449" t="str">
            <v>62</v>
          </cell>
        </row>
        <row r="450">
          <cell r="A450" t="str">
            <v>07-63</v>
          </cell>
          <cell r="B450">
            <v>447</v>
          </cell>
          <cell r="C450" t="str">
            <v>C1.AM.07.63</v>
          </cell>
          <cell r="D450" t="str">
            <v>AM</v>
          </cell>
          <cell r="E450" t="str">
            <v>G-106</v>
          </cell>
          <cell r="F450" t="str">
            <v>AM172</v>
          </cell>
          <cell r="G450" t="str">
            <v>N1</v>
          </cell>
          <cell r="H450" t="str">
            <v>b2</v>
          </cell>
          <cell r="I450" t="str">
            <v>N1-b2</v>
          </cell>
          <cell r="J450" t="str">
            <v>07</v>
          </cell>
          <cell r="K450" t="str">
            <v>63</v>
          </cell>
        </row>
        <row r="451">
          <cell r="A451" t="str">
            <v>07-64</v>
          </cell>
          <cell r="B451">
            <v>448</v>
          </cell>
          <cell r="C451" t="str">
            <v>C1.AM.07.64</v>
          </cell>
          <cell r="D451" t="str">
            <v>AM</v>
          </cell>
          <cell r="E451" t="str">
            <v>G-006</v>
          </cell>
          <cell r="F451" t="str">
            <v>AM017</v>
          </cell>
          <cell r="G451" t="str">
            <v>N1</v>
          </cell>
          <cell r="H451" t="str">
            <v>b2</v>
          </cell>
          <cell r="I451" t="str">
            <v>N1-b2</v>
          </cell>
          <cell r="J451" t="str">
            <v>07</v>
          </cell>
          <cell r="K451" t="str">
            <v>64</v>
          </cell>
        </row>
        <row r="452">
          <cell r="A452" t="str">
            <v>08-01</v>
          </cell>
          <cell r="B452">
            <v>449</v>
          </cell>
          <cell r="C452" t="str">
            <v>C1.AM.08.01</v>
          </cell>
          <cell r="D452" t="str">
            <v>AM</v>
          </cell>
          <cell r="E452" t="str">
            <v>G-029</v>
          </cell>
          <cell r="F452" t="str">
            <v>AM050</v>
          </cell>
          <cell r="G452" t="str">
            <v>N2</v>
          </cell>
          <cell r="H452" t="str">
            <v>b2</v>
          </cell>
          <cell r="I452" t="str">
            <v>N2-b2</v>
          </cell>
          <cell r="J452" t="str">
            <v>08</v>
          </cell>
          <cell r="K452" t="str">
            <v>01</v>
          </cell>
        </row>
        <row r="453">
          <cell r="A453" t="str">
            <v>08-02</v>
          </cell>
          <cell r="B453">
            <v>450</v>
          </cell>
          <cell r="C453" t="str">
            <v>C1.AM.08.02</v>
          </cell>
          <cell r="D453" t="str">
            <v>AM</v>
          </cell>
          <cell r="E453" t="str">
            <v>G-097</v>
          </cell>
          <cell r="F453" t="str">
            <v>AM161</v>
          </cell>
          <cell r="G453" t="str">
            <v>N2</v>
          </cell>
          <cell r="H453" t="str">
            <v>b2</v>
          </cell>
          <cell r="I453" t="str">
            <v>N2-b2</v>
          </cell>
          <cell r="J453" t="str">
            <v>08</v>
          </cell>
          <cell r="K453" t="str">
            <v>02</v>
          </cell>
        </row>
        <row r="454">
          <cell r="A454" t="str">
            <v>08-03</v>
          </cell>
          <cell r="B454">
            <v>451</v>
          </cell>
          <cell r="C454" t="str">
            <v>C1.AM.08.03</v>
          </cell>
          <cell r="D454" t="str">
            <v>AM</v>
          </cell>
          <cell r="E454" t="str">
            <v>G-109</v>
          </cell>
          <cell r="F454" t="str">
            <v>AM183</v>
          </cell>
          <cell r="G454" t="str">
            <v>N2</v>
          </cell>
          <cell r="H454" t="str">
            <v>b2</v>
          </cell>
          <cell r="I454" t="str">
            <v>N2-b2</v>
          </cell>
          <cell r="J454" t="str">
            <v>08</v>
          </cell>
          <cell r="K454" t="str">
            <v>03</v>
          </cell>
        </row>
        <row r="455">
          <cell r="A455" t="str">
            <v>08-04</v>
          </cell>
          <cell r="B455">
            <v>452</v>
          </cell>
          <cell r="C455" t="str">
            <v>C1.AM.08.04</v>
          </cell>
          <cell r="D455" t="str">
            <v>AM</v>
          </cell>
          <cell r="E455" t="str">
            <v>G-088</v>
          </cell>
          <cell r="F455" t="str">
            <v>AM143</v>
          </cell>
          <cell r="G455" t="str">
            <v>N2</v>
          </cell>
          <cell r="H455" t="str">
            <v>b2</v>
          </cell>
          <cell r="I455" t="str">
            <v>N2-b2</v>
          </cell>
          <cell r="J455" t="str">
            <v>08</v>
          </cell>
          <cell r="K455" t="str">
            <v>04</v>
          </cell>
        </row>
        <row r="456">
          <cell r="A456" t="str">
            <v>08-05</v>
          </cell>
          <cell r="B456">
            <v>453</v>
          </cell>
          <cell r="C456" t="str">
            <v>C1.AM.08.05</v>
          </cell>
          <cell r="D456" t="str">
            <v>AM</v>
          </cell>
          <cell r="E456" t="str">
            <v>G-112</v>
          </cell>
          <cell r="F456" t="str">
            <v>AM188</v>
          </cell>
          <cell r="G456" t="str">
            <v>N2</v>
          </cell>
          <cell r="H456" t="str">
            <v>b2</v>
          </cell>
          <cell r="I456" t="str">
            <v>N2-b2</v>
          </cell>
          <cell r="J456" t="str">
            <v>08</v>
          </cell>
          <cell r="K456" t="str">
            <v>05</v>
          </cell>
        </row>
        <row r="457">
          <cell r="A457" t="str">
            <v>08-06</v>
          </cell>
          <cell r="B457">
            <v>454</v>
          </cell>
          <cell r="C457" t="str">
            <v>C1.AM.08.06</v>
          </cell>
          <cell r="D457" t="str">
            <v>AM</v>
          </cell>
          <cell r="E457" t="str">
            <v>G-026</v>
          </cell>
          <cell r="F457" t="str">
            <v>AM046</v>
          </cell>
          <cell r="G457" t="str">
            <v>N2</v>
          </cell>
          <cell r="H457" t="str">
            <v>b2</v>
          </cell>
          <cell r="I457" t="str">
            <v>N2-b2</v>
          </cell>
          <cell r="J457" t="str">
            <v>08</v>
          </cell>
          <cell r="K457" t="str">
            <v>06</v>
          </cell>
        </row>
        <row r="458">
          <cell r="A458" t="str">
            <v>08-07</v>
          </cell>
          <cell r="B458">
            <v>455</v>
          </cell>
          <cell r="C458" t="str">
            <v>C1.AM.08.07</v>
          </cell>
          <cell r="D458" t="str">
            <v>AM</v>
          </cell>
          <cell r="E458" t="str">
            <v>G-067</v>
          </cell>
          <cell r="F458" t="str">
            <v>AM098</v>
          </cell>
          <cell r="G458" t="str">
            <v>N2</v>
          </cell>
          <cell r="H458" t="str">
            <v>b2</v>
          </cell>
          <cell r="I458" t="str">
            <v>N2-b2</v>
          </cell>
          <cell r="J458" t="str">
            <v>08</v>
          </cell>
          <cell r="K458" t="str">
            <v>07</v>
          </cell>
        </row>
        <row r="459">
          <cell r="A459" t="str">
            <v>08-08</v>
          </cell>
          <cell r="B459">
            <v>456</v>
          </cell>
          <cell r="C459" t="str">
            <v>C1.AM.08.08</v>
          </cell>
          <cell r="D459" t="str">
            <v>AM</v>
          </cell>
          <cell r="E459" t="str">
            <v>G-084</v>
          </cell>
          <cell r="F459" t="str">
            <v>AM138</v>
          </cell>
          <cell r="G459" t="str">
            <v>N2</v>
          </cell>
          <cell r="H459" t="str">
            <v>b2</v>
          </cell>
          <cell r="I459" t="str">
            <v>N2-b2</v>
          </cell>
          <cell r="J459" t="str">
            <v>08</v>
          </cell>
          <cell r="K459" t="str">
            <v>08</v>
          </cell>
        </row>
        <row r="460">
          <cell r="A460" t="str">
            <v>08-09</v>
          </cell>
          <cell r="B460">
            <v>457</v>
          </cell>
          <cell r="C460" t="str">
            <v>C1.AM.08.09</v>
          </cell>
          <cell r="D460" t="str">
            <v>AM</v>
          </cell>
          <cell r="E460" t="str">
            <v>G-089</v>
          </cell>
          <cell r="F460" t="str">
            <v>AM144</v>
          </cell>
          <cell r="G460" t="str">
            <v>N2</v>
          </cell>
          <cell r="H460" t="str">
            <v>b2</v>
          </cell>
          <cell r="I460" t="str">
            <v>N2-b2</v>
          </cell>
          <cell r="J460" t="str">
            <v>08</v>
          </cell>
          <cell r="K460" t="str">
            <v>09</v>
          </cell>
        </row>
        <row r="461">
          <cell r="A461" t="str">
            <v>08-10</v>
          </cell>
          <cell r="B461">
            <v>458</v>
          </cell>
          <cell r="C461" t="str">
            <v>C1.AM.08.10</v>
          </cell>
          <cell r="D461" t="str">
            <v>AM</v>
          </cell>
          <cell r="E461" t="str">
            <v>G-016</v>
          </cell>
          <cell r="F461" t="str">
            <v>AM033</v>
          </cell>
          <cell r="G461" t="str">
            <v>N2</v>
          </cell>
          <cell r="H461" t="str">
            <v>b2</v>
          </cell>
          <cell r="I461" t="str">
            <v>N2-b2</v>
          </cell>
          <cell r="J461" t="str">
            <v>08</v>
          </cell>
          <cell r="K461" t="str">
            <v>10</v>
          </cell>
        </row>
        <row r="462">
          <cell r="A462" t="str">
            <v>08-11</v>
          </cell>
          <cell r="B462">
            <v>459</v>
          </cell>
          <cell r="C462" t="str">
            <v>C1.AM.08.11</v>
          </cell>
          <cell r="D462" t="str">
            <v>AM</v>
          </cell>
          <cell r="E462" t="str">
            <v>G-002</v>
          </cell>
          <cell r="F462" t="str">
            <v>Montego</v>
          </cell>
          <cell r="G462" t="str">
            <v>N2</v>
          </cell>
          <cell r="H462" t="str">
            <v>b2</v>
          </cell>
          <cell r="I462" t="str">
            <v>N2-b2</v>
          </cell>
          <cell r="J462" t="str">
            <v>08</v>
          </cell>
          <cell r="K462" t="str">
            <v>11</v>
          </cell>
        </row>
        <row r="463">
          <cell r="A463" t="str">
            <v>08-12</v>
          </cell>
          <cell r="B463">
            <v>460</v>
          </cell>
          <cell r="C463" t="str">
            <v>C1.AM.08.12</v>
          </cell>
          <cell r="D463" t="str">
            <v>AM</v>
          </cell>
          <cell r="E463" t="str">
            <v>G-108</v>
          </cell>
          <cell r="F463" t="str">
            <v>AM174</v>
          </cell>
          <cell r="G463" t="str">
            <v>N2</v>
          </cell>
          <cell r="H463" t="str">
            <v>b2</v>
          </cell>
          <cell r="I463" t="str">
            <v>N2-b2</v>
          </cell>
          <cell r="J463" t="str">
            <v>08</v>
          </cell>
          <cell r="K463" t="str">
            <v>12</v>
          </cell>
        </row>
        <row r="464">
          <cell r="A464" t="str">
            <v>08-13</v>
          </cell>
          <cell r="B464">
            <v>461</v>
          </cell>
          <cell r="C464" t="str">
            <v>C1.AM.08.13</v>
          </cell>
          <cell r="D464" t="str">
            <v>AM</v>
          </cell>
          <cell r="E464" t="str">
            <v>G-098</v>
          </cell>
          <cell r="F464" t="str">
            <v>AM164</v>
          </cell>
          <cell r="G464" t="str">
            <v>N2</v>
          </cell>
          <cell r="H464" t="str">
            <v>b2</v>
          </cell>
          <cell r="I464" t="str">
            <v>N2-b2</v>
          </cell>
          <cell r="J464" t="str">
            <v>08</v>
          </cell>
          <cell r="K464" t="str">
            <v>13</v>
          </cell>
        </row>
        <row r="465">
          <cell r="A465" t="str">
            <v>08-14</v>
          </cell>
          <cell r="B465">
            <v>462</v>
          </cell>
          <cell r="C465" t="str">
            <v>C1.AM.08.14</v>
          </cell>
          <cell r="D465" t="str">
            <v>AM</v>
          </cell>
          <cell r="E465" t="str">
            <v>G-085</v>
          </cell>
          <cell r="F465" t="str">
            <v>AM139</v>
          </cell>
          <cell r="G465" t="str">
            <v>N2</v>
          </cell>
          <cell r="H465" t="str">
            <v>b2</v>
          </cell>
          <cell r="I465" t="str">
            <v>N2-b2</v>
          </cell>
          <cell r="J465" t="str">
            <v>08</v>
          </cell>
          <cell r="K465" t="str">
            <v>14</v>
          </cell>
        </row>
        <row r="466">
          <cell r="A466" t="str">
            <v>08-15</v>
          </cell>
          <cell r="B466">
            <v>463</v>
          </cell>
          <cell r="C466" t="str">
            <v>C1.AM.08.15</v>
          </cell>
          <cell r="D466" t="str">
            <v>AM</v>
          </cell>
          <cell r="E466" t="str">
            <v>G-086</v>
          </cell>
          <cell r="F466" t="str">
            <v>AM140</v>
          </cell>
          <cell r="G466" t="str">
            <v>N2</v>
          </cell>
          <cell r="H466" t="str">
            <v>b2</v>
          </cell>
          <cell r="I466" t="str">
            <v>N2-b2</v>
          </cell>
          <cell r="J466" t="str">
            <v>08</v>
          </cell>
          <cell r="K466" t="str">
            <v>15</v>
          </cell>
        </row>
        <row r="467">
          <cell r="A467" t="str">
            <v>08-16</v>
          </cell>
          <cell r="B467">
            <v>464</v>
          </cell>
          <cell r="C467" t="str">
            <v>C1.AM.08.16</v>
          </cell>
          <cell r="D467" t="str">
            <v>AM</v>
          </cell>
          <cell r="E467" t="str">
            <v>G-011</v>
          </cell>
          <cell r="F467" t="str">
            <v>AM027</v>
          </cell>
          <cell r="G467" t="str">
            <v>N2</v>
          </cell>
          <cell r="H467" t="str">
            <v>b2</v>
          </cell>
          <cell r="I467" t="str">
            <v>N2-b2</v>
          </cell>
          <cell r="J467" t="str">
            <v>08</v>
          </cell>
          <cell r="K467" t="str">
            <v>16</v>
          </cell>
        </row>
        <row r="468">
          <cell r="A468" t="str">
            <v>08-17</v>
          </cell>
          <cell r="B468">
            <v>465</v>
          </cell>
          <cell r="C468" t="str">
            <v>C1.AM.08.17</v>
          </cell>
          <cell r="D468" t="str">
            <v>AM</v>
          </cell>
          <cell r="E468" t="str">
            <v>G-066</v>
          </cell>
          <cell r="F468" t="str">
            <v>AM096</v>
          </cell>
          <cell r="G468" t="str">
            <v>N2</v>
          </cell>
          <cell r="H468" t="str">
            <v>b2</v>
          </cell>
          <cell r="I468" t="str">
            <v>N2-b2</v>
          </cell>
          <cell r="J468" t="str">
            <v>08</v>
          </cell>
          <cell r="K468" t="str">
            <v>17</v>
          </cell>
        </row>
        <row r="469">
          <cell r="A469" t="str">
            <v>08-18</v>
          </cell>
          <cell r="B469">
            <v>466</v>
          </cell>
          <cell r="C469" t="str">
            <v>C1.AM.08.18</v>
          </cell>
          <cell r="D469" t="str">
            <v>AM</v>
          </cell>
          <cell r="E469" t="str">
            <v>G-087</v>
          </cell>
          <cell r="F469" t="str">
            <v>AM141</v>
          </cell>
          <cell r="G469" t="str">
            <v>N2</v>
          </cell>
          <cell r="H469" t="str">
            <v>b2</v>
          </cell>
          <cell r="I469" t="str">
            <v>N2-b2</v>
          </cell>
          <cell r="J469" t="str">
            <v>08</v>
          </cell>
          <cell r="K469" t="str">
            <v>18</v>
          </cell>
        </row>
        <row r="470">
          <cell r="A470" t="str">
            <v>08-19</v>
          </cell>
          <cell r="B470">
            <v>467</v>
          </cell>
          <cell r="C470" t="str">
            <v>C1.AM.08.19</v>
          </cell>
          <cell r="D470" t="str">
            <v>AM</v>
          </cell>
          <cell r="E470" t="str">
            <v>G-102</v>
          </cell>
          <cell r="F470" t="str">
            <v>AM168</v>
          </cell>
          <cell r="G470" t="str">
            <v>N2</v>
          </cell>
          <cell r="H470" t="str">
            <v>b2</v>
          </cell>
          <cell r="I470" t="str">
            <v>N2-b2</v>
          </cell>
          <cell r="J470" t="str">
            <v>08</v>
          </cell>
          <cell r="K470" t="str">
            <v>19</v>
          </cell>
        </row>
        <row r="471">
          <cell r="A471" t="str">
            <v>08-20</v>
          </cell>
          <cell r="B471">
            <v>468</v>
          </cell>
          <cell r="C471" t="str">
            <v>C1.AM.08.20</v>
          </cell>
          <cell r="D471" t="str">
            <v>AM</v>
          </cell>
          <cell r="E471" t="str">
            <v>G-093</v>
          </cell>
          <cell r="F471" t="str">
            <v>AM148</v>
          </cell>
          <cell r="G471" t="str">
            <v>N2</v>
          </cell>
          <cell r="H471" t="str">
            <v>b2</v>
          </cell>
          <cell r="I471" t="str">
            <v>N2-b2</v>
          </cell>
          <cell r="J471" t="str">
            <v>08</v>
          </cell>
          <cell r="K471" t="str">
            <v>20</v>
          </cell>
        </row>
        <row r="472">
          <cell r="A472" t="str">
            <v>08-21</v>
          </cell>
          <cell r="B472">
            <v>469</v>
          </cell>
          <cell r="C472" t="str">
            <v>C1.AM.08.21</v>
          </cell>
          <cell r="D472" t="str">
            <v>AM</v>
          </cell>
          <cell r="E472" t="str">
            <v>G-053</v>
          </cell>
          <cell r="F472" t="str">
            <v>AM082</v>
          </cell>
          <cell r="G472" t="str">
            <v>N2</v>
          </cell>
          <cell r="H472" t="str">
            <v>b2</v>
          </cell>
          <cell r="I472" t="str">
            <v>N2-b2</v>
          </cell>
          <cell r="J472" t="str">
            <v>08</v>
          </cell>
          <cell r="K472" t="str">
            <v>21</v>
          </cell>
        </row>
        <row r="473">
          <cell r="A473" t="str">
            <v>08-22</v>
          </cell>
          <cell r="B473">
            <v>470</v>
          </cell>
          <cell r="C473" t="str">
            <v>C1.AM.08.22</v>
          </cell>
          <cell r="D473" t="str">
            <v>AM</v>
          </cell>
          <cell r="E473" t="str">
            <v>G-124</v>
          </cell>
          <cell r="F473" t="str">
            <v>S-Oase</v>
          </cell>
          <cell r="G473" t="str">
            <v>N2</v>
          </cell>
          <cell r="H473" t="str">
            <v>b2</v>
          </cell>
          <cell r="I473" t="str">
            <v>N2-b2</v>
          </cell>
          <cell r="J473" t="str">
            <v>08</v>
          </cell>
          <cell r="K473" t="str">
            <v>22</v>
          </cell>
        </row>
        <row r="474">
          <cell r="A474" t="str">
            <v>08-23</v>
          </cell>
          <cell r="B474">
            <v>471</v>
          </cell>
          <cell r="C474" t="str">
            <v>C1.AM.08.23</v>
          </cell>
          <cell r="D474" t="str">
            <v>AM</v>
          </cell>
          <cell r="E474" t="str">
            <v>G-069</v>
          </cell>
          <cell r="F474" t="str">
            <v>AM101</v>
          </cell>
          <cell r="G474" t="str">
            <v>N2</v>
          </cell>
          <cell r="H474" t="str">
            <v>b2</v>
          </cell>
          <cell r="I474" t="str">
            <v>N2-b2</v>
          </cell>
          <cell r="J474" t="str">
            <v>08</v>
          </cell>
          <cell r="K474" t="str">
            <v>23</v>
          </cell>
        </row>
        <row r="475">
          <cell r="A475" t="str">
            <v>08-24</v>
          </cell>
          <cell r="B475">
            <v>472</v>
          </cell>
          <cell r="C475" t="str">
            <v>C1.AM.08.24</v>
          </cell>
          <cell r="D475" t="str">
            <v>AM</v>
          </cell>
          <cell r="E475" t="str">
            <v>G-047</v>
          </cell>
          <cell r="F475" t="str">
            <v>AM071</v>
          </cell>
          <cell r="G475" t="str">
            <v>N2</v>
          </cell>
          <cell r="H475" t="str">
            <v>b2</v>
          </cell>
          <cell r="I475" t="str">
            <v>N2-b2</v>
          </cell>
          <cell r="J475" t="str">
            <v>08</v>
          </cell>
          <cell r="K475" t="str">
            <v>24</v>
          </cell>
        </row>
        <row r="476">
          <cell r="A476" t="str">
            <v>08-25</v>
          </cell>
          <cell r="B476">
            <v>473</v>
          </cell>
          <cell r="C476" t="str">
            <v>C1.AM.08.25</v>
          </cell>
          <cell r="D476" t="str">
            <v>AM</v>
          </cell>
          <cell r="E476" t="str">
            <v>G-033</v>
          </cell>
          <cell r="F476" t="str">
            <v>AM056</v>
          </cell>
          <cell r="G476" t="str">
            <v>N2</v>
          </cell>
          <cell r="H476" t="str">
            <v>b2</v>
          </cell>
          <cell r="I476" t="str">
            <v>N2-b2</v>
          </cell>
          <cell r="J476" t="str">
            <v>08</v>
          </cell>
          <cell r="K476" t="str">
            <v>25</v>
          </cell>
        </row>
        <row r="477">
          <cell r="A477" t="str">
            <v>08-26</v>
          </cell>
          <cell r="B477">
            <v>474</v>
          </cell>
          <cell r="C477" t="str">
            <v>C1.AM.08.26</v>
          </cell>
          <cell r="D477" t="str">
            <v>AM</v>
          </cell>
          <cell r="E477" t="str">
            <v>G-042</v>
          </cell>
          <cell r="F477" t="str">
            <v>AM066</v>
          </cell>
          <cell r="G477" t="str">
            <v>N2</v>
          </cell>
          <cell r="H477" t="str">
            <v>b2</v>
          </cell>
          <cell r="I477" t="str">
            <v>N2-b2</v>
          </cell>
          <cell r="J477" t="str">
            <v>08</v>
          </cell>
          <cell r="K477" t="str">
            <v>26</v>
          </cell>
        </row>
        <row r="478">
          <cell r="A478" t="str">
            <v>08-27</v>
          </cell>
          <cell r="B478">
            <v>475</v>
          </cell>
          <cell r="C478" t="str">
            <v>C1.AM.08.27</v>
          </cell>
          <cell r="D478" t="str">
            <v>AM</v>
          </cell>
          <cell r="E478" t="str">
            <v>G-010</v>
          </cell>
          <cell r="F478" t="str">
            <v>AM022</v>
          </cell>
          <cell r="G478" t="str">
            <v>N2</v>
          </cell>
          <cell r="H478" t="str">
            <v>b2</v>
          </cell>
          <cell r="I478" t="str">
            <v>N2-b2</v>
          </cell>
          <cell r="J478" t="str">
            <v>08</v>
          </cell>
          <cell r="K478" t="str">
            <v>27</v>
          </cell>
        </row>
        <row r="479">
          <cell r="A479" t="str">
            <v>08-28</v>
          </cell>
          <cell r="B479">
            <v>476</v>
          </cell>
          <cell r="C479" t="str">
            <v>C1.AM.08.28</v>
          </cell>
          <cell r="D479" t="str">
            <v>AM</v>
          </cell>
          <cell r="E479" t="str">
            <v>G-044</v>
          </cell>
          <cell r="F479" t="str">
            <v>AM068</v>
          </cell>
          <cell r="G479" t="str">
            <v>N2</v>
          </cell>
          <cell r="H479" t="str">
            <v>b2</v>
          </cell>
          <cell r="I479" t="str">
            <v>N2-b2</v>
          </cell>
          <cell r="J479" t="str">
            <v>08</v>
          </cell>
          <cell r="K479" t="str">
            <v>28</v>
          </cell>
        </row>
        <row r="480">
          <cell r="A480" t="str">
            <v>08-29</v>
          </cell>
          <cell r="B480">
            <v>477</v>
          </cell>
          <cell r="C480" t="str">
            <v>C1.AM.08.29</v>
          </cell>
          <cell r="D480" t="str">
            <v>AM</v>
          </cell>
          <cell r="E480" t="str">
            <v>G-111</v>
          </cell>
          <cell r="F480" t="str">
            <v>AM186</v>
          </cell>
          <cell r="G480" t="str">
            <v>N2</v>
          </cell>
          <cell r="H480" t="str">
            <v>b2</v>
          </cell>
          <cell r="I480" t="str">
            <v>N2-b2</v>
          </cell>
          <cell r="J480" t="str">
            <v>08</v>
          </cell>
          <cell r="K480" t="str">
            <v>29</v>
          </cell>
        </row>
        <row r="481">
          <cell r="A481" t="str">
            <v>08-30</v>
          </cell>
          <cell r="B481">
            <v>478</v>
          </cell>
          <cell r="C481" t="str">
            <v>C1.AM.08.30</v>
          </cell>
          <cell r="D481" t="str">
            <v>AM</v>
          </cell>
          <cell r="E481" t="str">
            <v>G-079</v>
          </cell>
          <cell r="F481" t="str">
            <v>AM129</v>
          </cell>
          <cell r="G481" t="str">
            <v>N2</v>
          </cell>
          <cell r="H481" t="str">
            <v>b2</v>
          </cell>
          <cell r="I481" t="str">
            <v>N2-b2</v>
          </cell>
          <cell r="J481" t="str">
            <v>08</v>
          </cell>
          <cell r="K481" t="str">
            <v>30</v>
          </cell>
        </row>
        <row r="482">
          <cell r="A482" t="str">
            <v>08-31</v>
          </cell>
          <cell r="B482">
            <v>479</v>
          </cell>
          <cell r="C482" t="str">
            <v>C1.AM.08.31</v>
          </cell>
          <cell r="D482" t="str">
            <v>AM</v>
          </cell>
          <cell r="E482" t="str">
            <v>G-002</v>
          </cell>
          <cell r="F482" t="str">
            <v>Montego</v>
          </cell>
          <cell r="G482" t="str">
            <v>N2</v>
          </cell>
          <cell r="H482" t="str">
            <v>b2</v>
          </cell>
          <cell r="I482" t="str">
            <v>N2-b2</v>
          </cell>
          <cell r="J482" t="str">
            <v>08</v>
          </cell>
          <cell r="K482" t="str">
            <v>31</v>
          </cell>
        </row>
        <row r="483">
          <cell r="A483" t="str">
            <v>08-32</v>
          </cell>
          <cell r="B483">
            <v>480</v>
          </cell>
          <cell r="C483" t="str">
            <v>C1.AM.08.32</v>
          </cell>
          <cell r="D483" t="str">
            <v>AM</v>
          </cell>
          <cell r="E483" t="str">
            <v>G-046</v>
          </cell>
          <cell r="F483" t="str">
            <v>AM070</v>
          </cell>
          <cell r="G483" t="str">
            <v>N2</v>
          </cell>
          <cell r="H483" t="str">
            <v>b2</v>
          </cell>
          <cell r="I483" t="str">
            <v>N2-b2</v>
          </cell>
          <cell r="J483" t="str">
            <v>08</v>
          </cell>
          <cell r="K483" t="str">
            <v>32</v>
          </cell>
        </row>
        <row r="484">
          <cell r="A484" t="str">
            <v>08-33</v>
          </cell>
          <cell r="B484">
            <v>481</v>
          </cell>
          <cell r="C484" t="str">
            <v>C1.AM.08.33</v>
          </cell>
          <cell r="D484" t="str">
            <v>AM</v>
          </cell>
          <cell r="E484" t="str">
            <v>G-112</v>
          </cell>
          <cell r="F484" t="str">
            <v>AM188</v>
          </cell>
          <cell r="G484" t="str">
            <v>N1</v>
          </cell>
          <cell r="H484" t="str">
            <v>b2</v>
          </cell>
          <cell r="I484" t="str">
            <v>N1-b2</v>
          </cell>
          <cell r="J484" t="str">
            <v>08</v>
          </cell>
          <cell r="K484" t="str">
            <v>33</v>
          </cell>
        </row>
        <row r="485">
          <cell r="A485" t="str">
            <v>08-34</v>
          </cell>
          <cell r="B485">
            <v>482</v>
          </cell>
          <cell r="C485" t="str">
            <v>C1.AM.08.34</v>
          </cell>
          <cell r="D485" t="str">
            <v>AM</v>
          </cell>
          <cell r="E485" t="str">
            <v>G-072</v>
          </cell>
          <cell r="F485" t="str">
            <v>AM109</v>
          </cell>
          <cell r="G485" t="str">
            <v>N1</v>
          </cell>
          <cell r="H485" t="str">
            <v>b2</v>
          </cell>
          <cell r="I485" t="str">
            <v>N1-b2</v>
          </cell>
          <cell r="J485" t="str">
            <v>08</v>
          </cell>
          <cell r="K485" t="str">
            <v>34</v>
          </cell>
        </row>
        <row r="486">
          <cell r="A486" t="str">
            <v>08-35</v>
          </cell>
          <cell r="B486">
            <v>483</v>
          </cell>
          <cell r="C486" t="str">
            <v>C1.AM.08.35</v>
          </cell>
          <cell r="D486" t="str">
            <v>AM</v>
          </cell>
          <cell r="E486" t="str">
            <v>G-099</v>
          </cell>
          <cell r="F486" t="str">
            <v>AM165</v>
          </cell>
          <cell r="G486" t="str">
            <v>N1</v>
          </cell>
          <cell r="H486" t="str">
            <v>b2</v>
          </cell>
          <cell r="I486" t="str">
            <v>N1-b2</v>
          </cell>
          <cell r="J486" t="str">
            <v>08</v>
          </cell>
          <cell r="K486" t="str">
            <v>35</v>
          </cell>
        </row>
        <row r="487">
          <cell r="A487" t="str">
            <v>08-36</v>
          </cell>
          <cell r="B487">
            <v>484</v>
          </cell>
          <cell r="C487" t="str">
            <v>C1.AM.08.36</v>
          </cell>
          <cell r="D487" t="str">
            <v>AM</v>
          </cell>
          <cell r="E487" t="str">
            <v>G-021</v>
          </cell>
          <cell r="F487" t="str">
            <v>AM038</v>
          </cell>
          <cell r="G487" t="str">
            <v>N1</v>
          </cell>
          <cell r="H487" t="str">
            <v>b2</v>
          </cell>
          <cell r="I487" t="str">
            <v>N1-b2</v>
          </cell>
          <cell r="J487" t="str">
            <v>08</v>
          </cell>
          <cell r="K487" t="str">
            <v>36</v>
          </cell>
        </row>
        <row r="488">
          <cell r="A488" t="str">
            <v>08-37</v>
          </cell>
          <cell r="B488">
            <v>485</v>
          </cell>
          <cell r="C488" t="str">
            <v>C1.AM.08.37</v>
          </cell>
          <cell r="D488" t="str">
            <v>AM</v>
          </cell>
          <cell r="E488" t="str">
            <v>G-087</v>
          </cell>
          <cell r="F488" t="str">
            <v>AM141</v>
          </cell>
          <cell r="G488" t="str">
            <v>N1</v>
          </cell>
          <cell r="H488" t="str">
            <v>b2</v>
          </cell>
          <cell r="I488" t="str">
            <v>N1-b2</v>
          </cell>
          <cell r="J488" t="str">
            <v>08</v>
          </cell>
          <cell r="K488" t="str">
            <v>37</v>
          </cell>
        </row>
        <row r="489">
          <cell r="A489" t="str">
            <v>08-38</v>
          </cell>
          <cell r="B489">
            <v>486</v>
          </cell>
          <cell r="C489" t="str">
            <v>C1.AM.08.38</v>
          </cell>
          <cell r="D489" t="str">
            <v>AM</v>
          </cell>
          <cell r="E489" t="str">
            <v>G-063</v>
          </cell>
          <cell r="F489" t="str">
            <v>AM092</v>
          </cell>
          <cell r="G489" t="str">
            <v>N1</v>
          </cell>
          <cell r="H489" t="str">
            <v>b2</v>
          </cell>
          <cell r="I489" t="str">
            <v>N1-b2</v>
          </cell>
          <cell r="J489" t="str">
            <v>08</v>
          </cell>
          <cell r="K489" t="str">
            <v>38</v>
          </cell>
        </row>
        <row r="490">
          <cell r="A490" t="str">
            <v>08-39</v>
          </cell>
          <cell r="B490">
            <v>487</v>
          </cell>
          <cell r="C490" t="str">
            <v>C1.AM.08.39</v>
          </cell>
          <cell r="D490" t="str">
            <v>AM</v>
          </cell>
          <cell r="E490" t="str">
            <v>G-010</v>
          </cell>
          <cell r="F490" t="str">
            <v>AM022</v>
          </cell>
          <cell r="G490" t="str">
            <v>N1</v>
          </cell>
          <cell r="H490" t="str">
            <v>b2</v>
          </cell>
          <cell r="I490" t="str">
            <v>N1-b2</v>
          </cell>
          <cell r="J490" t="str">
            <v>08</v>
          </cell>
          <cell r="K490" t="str">
            <v>39</v>
          </cell>
        </row>
        <row r="491">
          <cell r="A491" t="str">
            <v>08-40</v>
          </cell>
          <cell r="B491">
            <v>488</v>
          </cell>
          <cell r="C491" t="str">
            <v>C1.AM.08.40</v>
          </cell>
          <cell r="D491" t="str">
            <v>AM</v>
          </cell>
          <cell r="E491" t="str">
            <v>G-100</v>
          </cell>
          <cell r="F491" t="str">
            <v>AM166</v>
          </cell>
          <cell r="G491" t="str">
            <v>N1</v>
          </cell>
          <cell r="H491" t="str">
            <v>b2</v>
          </cell>
          <cell r="I491" t="str">
            <v>N1-b2</v>
          </cell>
          <cell r="J491" t="str">
            <v>08</v>
          </cell>
          <cell r="K491" t="str">
            <v>40</v>
          </cell>
        </row>
        <row r="492">
          <cell r="A492" t="str">
            <v>08-41</v>
          </cell>
          <cell r="B492">
            <v>489</v>
          </cell>
          <cell r="C492" t="str">
            <v>C1.AM.08.41</v>
          </cell>
          <cell r="D492" t="str">
            <v>AM</v>
          </cell>
          <cell r="E492" t="str">
            <v>G-078</v>
          </cell>
          <cell r="F492" t="str">
            <v>AM127</v>
          </cell>
          <cell r="G492" t="str">
            <v>N1</v>
          </cell>
          <cell r="H492" t="str">
            <v>b2</v>
          </cell>
          <cell r="I492" t="str">
            <v>N1-b2</v>
          </cell>
          <cell r="J492" t="str">
            <v>08</v>
          </cell>
          <cell r="K492" t="str">
            <v>41</v>
          </cell>
        </row>
        <row r="493">
          <cell r="A493" t="str">
            <v>08-42</v>
          </cell>
          <cell r="B493">
            <v>490</v>
          </cell>
          <cell r="C493" t="str">
            <v>C1.AM.08.42</v>
          </cell>
          <cell r="D493" t="str">
            <v>AM</v>
          </cell>
          <cell r="E493" t="str">
            <v>G-102</v>
          </cell>
          <cell r="F493" t="str">
            <v>AM168</v>
          </cell>
          <cell r="G493" t="str">
            <v>N1</v>
          </cell>
          <cell r="H493" t="str">
            <v>b2</v>
          </cell>
          <cell r="I493" t="str">
            <v>N1-b2</v>
          </cell>
          <cell r="J493" t="str">
            <v>08</v>
          </cell>
          <cell r="K493" t="str">
            <v>42</v>
          </cell>
        </row>
        <row r="494">
          <cell r="A494" t="str">
            <v>08-43</v>
          </cell>
          <cell r="B494">
            <v>491</v>
          </cell>
          <cell r="C494" t="str">
            <v>C1.AM.08.43</v>
          </cell>
          <cell r="D494" t="str">
            <v>AM</v>
          </cell>
          <cell r="E494" t="str">
            <v>G-115</v>
          </cell>
          <cell r="F494" t="str">
            <v>AM195</v>
          </cell>
          <cell r="G494" t="str">
            <v>N1</v>
          </cell>
          <cell r="H494" t="str">
            <v>b2</v>
          </cell>
          <cell r="I494" t="str">
            <v>N1-b2</v>
          </cell>
          <cell r="J494" t="str">
            <v>08</v>
          </cell>
          <cell r="K494" t="str">
            <v>43</v>
          </cell>
        </row>
        <row r="495">
          <cell r="A495" t="str">
            <v>08-44</v>
          </cell>
          <cell r="B495">
            <v>492</v>
          </cell>
          <cell r="C495" t="str">
            <v>C1.AM.08.44</v>
          </cell>
          <cell r="D495" t="str">
            <v>AM</v>
          </cell>
          <cell r="E495" t="str">
            <v>G-105</v>
          </cell>
          <cell r="F495" t="str">
            <v>AM171</v>
          </cell>
          <cell r="G495" t="str">
            <v>N1</v>
          </cell>
          <cell r="H495" t="str">
            <v>b2</v>
          </cell>
          <cell r="I495" t="str">
            <v>N1-b2</v>
          </cell>
          <cell r="J495" t="str">
            <v>08</v>
          </cell>
          <cell r="K495" t="str">
            <v>44</v>
          </cell>
        </row>
        <row r="496">
          <cell r="A496" t="str">
            <v>08-45</v>
          </cell>
          <cell r="B496">
            <v>493</v>
          </cell>
          <cell r="C496" t="str">
            <v>C1.AM.08.45</v>
          </cell>
          <cell r="D496" t="str">
            <v>AM</v>
          </cell>
          <cell r="E496" t="str">
            <v>G-020</v>
          </cell>
          <cell r="F496" t="str">
            <v>AM037</v>
          </cell>
          <cell r="G496" t="str">
            <v>N1</v>
          </cell>
          <cell r="H496" t="str">
            <v>b2</v>
          </cell>
          <cell r="I496" t="str">
            <v>N1-b2</v>
          </cell>
          <cell r="J496" t="str">
            <v>08</v>
          </cell>
          <cell r="K496" t="str">
            <v>45</v>
          </cell>
        </row>
        <row r="497">
          <cell r="A497" t="str">
            <v>08-46</v>
          </cell>
          <cell r="B497">
            <v>494</v>
          </cell>
          <cell r="C497" t="str">
            <v>C1.AM.08.46</v>
          </cell>
          <cell r="D497" t="str">
            <v>AM</v>
          </cell>
          <cell r="E497" t="str">
            <v>G-041</v>
          </cell>
          <cell r="F497" t="str">
            <v>AM064</v>
          </cell>
          <cell r="G497" t="str">
            <v>N1</v>
          </cell>
          <cell r="H497" t="str">
            <v>b2</v>
          </cell>
          <cell r="I497" t="str">
            <v>N1-b2</v>
          </cell>
          <cell r="J497" t="str">
            <v>08</v>
          </cell>
          <cell r="K497" t="str">
            <v>46</v>
          </cell>
        </row>
        <row r="498">
          <cell r="A498" t="str">
            <v>08-47</v>
          </cell>
          <cell r="B498">
            <v>495</v>
          </cell>
          <cell r="C498" t="str">
            <v>C1.AM.08.47</v>
          </cell>
          <cell r="D498" t="str">
            <v>AM</v>
          </cell>
          <cell r="E498" t="str">
            <v>G-089</v>
          </cell>
          <cell r="F498" t="str">
            <v>AM144</v>
          </cell>
          <cell r="G498" t="str">
            <v>N1</v>
          </cell>
          <cell r="H498" t="str">
            <v>b2</v>
          </cell>
          <cell r="I498" t="str">
            <v>N1-b2</v>
          </cell>
          <cell r="J498" t="str">
            <v>08</v>
          </cell>
          <cell r="K498" t="str">
            <v>47</v>
          </cell>
        </row>
        <row r="499">
          <cell r="A499" t="str">
            <v>08-48</v>
          </cell>
          <cell r="B499">
            <v>496</v>
          </cell>
          <cell r="C499" t="str">
            <v>C1.AM.08.48</v>
          </cell>
          <cell r="D499" t="str">
            <v>AM</v>
          </cell>
          <cell r="E499" t="str">
            <v>G-059</v>
          </cell>
          <cell r="F499" t="str">
            <v>AM088</v>
          </cell>
          <cell r="G499" t="str">
            <v>N1</v>
          </cell>
          <cell r="H499" t="str">
            <v>b2</v>
          </cell>
          <cell r="I499" t="str">
            <v>N1-b2</v>
          </cell>
          <cell r="J499" t="str">
            <v>08</v>
          </cell>
          <cell r="K499" t="str">
            <v>48</v>
          </cell>
        </row>
        <row r="500">
          <cell r="A500" t="str">
            <v>08-49</v>
          </cell>
          <cell r="B500">
            <v>497</v>
          </cell>
          <cell r="C500" t="str">
            <v>C1.AM.08.49</v>
          </cell>
          <cell r="D500" t="str">
            <v>AM</v>
          </cell>
          <cell r="E500" t="str">
            <v>G-002</v>
          </cell>
          <cell r="F500" t="str">
            <v>Montego</v>
          </cell>
          <cell r="G500" t="str">
            <v>N1</v>
          </cell>
          <cell r="H500" t="str">
            <v>b2</v>
          </cell>
          <cell r="I500" t="str">
            <v>N1-b2</v>
          </cell>
          <cell r="J500" t="str">
            <v>08</v>
          </cell>
          <cell r="K500" t="str">
            <v>49</v>
          </cell>
        </row>
        <row r="501">
          <cell r="A501" t="str">
            <v>08-50</v>
          </cell>
          <cell r="B501">
            <v>498</v>
          </cell>
          <cell r="C501" t="str">
            <v>C1.AM.08.50</v>
          </cell>
          <cell r="D501" t="str">
            <v>AM</v>
          </cell>
          <cell r="E501" t="str">
            <v>G-026</v>
          </cell>
          <cell r="F501" t="str">
            <v>AM046</v>
          </cell>
          <cell r="G501" t="str">
            <v>N1</v>
          </cell>
          <cell r="H501" t="str">
            <v>b2</v>
          </cell>
          <cell r="I501" t="str">
            <v>N1-b2</v>
          </cell>
          <cell r="J501" t="str">
            <v>08</v>
          </cell>
          <cell r="K501" t="str">
            <v>50</v>
          </cell>
        </row>
        <row r="502">
          <cell r="A502" t="str">
            <v>08-51</v>
          </cell>
          <cell r="B502">
            <v>499</v>
          </cell>
          <cell r="C502" t="str">
            <v>C1.AM.08.51</v>
          </cell>
          <cell r="D502" t="str">
            <v>AM</v>
          </cell>
          <cell r="E502" t="str">
            <v>G-052</v>
          </cell>
          <cell r="F502" t="str">
            <v>AM080</v>
          </cell>
          <cell r="G502" t="str">
            <v>N1</v>
          </cell>
          <cell r="H502" t="str">
            <v>b2</v>
          </cell>
          <cell r="I502" t="str">
            <v>N1-b2</v>
          </cell>
          <cell r="J502" t="str">
            <v>08</v>
          </cell>
          <cell r="K502" t="str">
            <v>51</v>
          </cell>
        </row>
        <row r="503">
          <cell r="A503" t="str">
            <v>08-52</v>
          </cell>
          <cell r="B503">
            <v>500</v>
          </cell>
          <cell r="C503" t="str">
            <v>C1.AM.08.52</v>
          </cell>
          <cell r="D503" t="str">
            <v>AM</v>
          </cell>
          <cell r="E503" t="str">
            <v>G-119</v>
          </cell>
          <cell r="F503" t="str">
            <v>Kurander</v>
          </cell>
          <cell r="G503" t="str">
            <v>N1</v>
          </cell>
          <cell r="H503" t="str">
            <v>b2</v>
          </cell>
          <cell r="I503" t="str">
            <v>N1-b2</v>
          </cell>
          <cell r="J503" t="str">
            <v>08</v>
          </cell>
          <cell r="K503" t="str">
            <v>52</v>
          </cell>
        </row>
        <row r="504">
          <cell r="A504" t="str">
            <v>08-53</v>
          </cell>
          <cell r="B504">
            <v>501</v>
          </cell>
          <cell r="C504" t="str">
            <v>C1.AM.08.53</v>
          </cell>
          <cell r="D504" t="str">
            <v>AM</v>
          </cell>
          <cell r="E504" t="str">
            <v>G-032</v>
          </cell>
          <cell r="F504" t="str">
            <v>AM055</v>
          </cell>
          <cell r="G504" t="str">
            <v>N1</v>
          </cell>
          <cell r="H504" t="str">
            <v>b2</v>
          </cell>
          <cell r="I504" t="str">
            <v>N1-b2</v>
          </cell>
          <cell r="J504" t="str">
            <v>08</v>
          </cell>
          <cell r="K504" t="str">
            <v>53</v>
          </cell>
        </row>
        <row r="505">
          <cell r="A505" t="str">
            <v>08-54</v>
          </cell>
          <cell r="B505">
            <v>502</v>
          </cell>
          <cell r="C505" t="str">
            <v>C1.AM.08.54</v>
          </cell>
          <cell r="D505" t="str">
            <v>AM</v>
          </cell>
          <cell r="E505" t="str">
            <v>G-049</v>
          </cell>
          <cell r="F505" t="str">
            <v>AM074</v>
          </cell>
          <cell r="G505" t="str">
            <v>N1</v>
          </cell>
          <cell r="H505" t="str">
            <v>b2</v>
          </cell>
          <cell r="I505" t="str">
            <v>N1-b2</v>
          </cell>
          <cell r="J505" t="str">
            <v>08</v>
          </cell>
          <cell r="K505" t="str">
            <v>54</v>
          </cell>
        </row>
        <row r="506">
          <cell r="A506" t="str">
            <v>08-55</v>
          </cell>
          <cell r="B506">
            <v>503</v>
          </cell>
          <cell r="C506" t="str">
            <v>C1.AM.08.55</v>
          </cell>
          <cell r="D506" t="str">
            <v>AM</v>
          </cell>
          <cell r="E506" t="str">
            <v>G-071</v>
          </cell>
          <cell r="F506" t="str">
            <v>AM107</v>
          </cell>
          <cell r="G506" t="str">
            <v>N1</v>
          </cell>
          <cell r="H506" t="str">
            <v>b2</v>
          </cell>
          <cell r="I506" t="str">
            <v>N1-b2</v>
          </cell>
          <cell r="J506" t="str">
            <v>08</v>
          </cell>
          <cell r="K506" t="str">
            <v>55</v>
          </cell>
        </row>
        <row r="507">
          <cell r="A507" t="str">
            <v>08-56</v>
          </cell>
          <cell r="B507">
            <v>504</v>
          </cell>
          <cell r="C507" t="str">
            <v>C1.AM.08.56</v>
          </cell>
          <cell r="D507" t="str">
            <v>AM</v>
          </cell>
          <cell r="E507" t="str">
            <v>G-054</v>
          </cell>
          <cell r="F507" t="str">
            <v>AM083</v>
          </cell>
          <cell r="G507" t="str">
            <v>N1</v>
          </cell>
          <cell r="H507" t="str">
            <v>b2</v>
          </cell>
          <cell r="I507" t="str">
            <v>N1-b2</v>
          </cell>
          <cell r="J507" t="str">
            <v>08</v>
          </cell>
          <cell r="K507" t="str">
            <v>56</v>
          </cell>
        </row>
        <row r="508">
          <cell r="A508" t="str">
            <v>08-57</v>
          </cell>
          <cell r="B508">
            <v>505</v>
          </cell>
          <cell r="C508" t="str">
            <v>C1.AM.08.57</v>
          </cell>
          <cell r="D508" t="str">
            <v>AM</v>
          </cell>
          <cell r="E508" t="str">
            <v>G-123</v>
          </cell>
          <cell r="F508" t="str">
            <v>C-California</v>
          </cell>
          <cell r="G508" t="str">
            <v>N1</v>
          </cell>
          <cell r="H508" t="str">
            <v>b2</v>
          </cell>
          <cell r="I508" t="str">
            <v>N1-b2</v>
          </cell>
          <cell r="J508" t="str">
            <v>08</v>
          </cell>
          <cell r="K508" t="str">
            <v>57</v>
          </cell>
        </row>
        <row r="509">
          <cell r="A509" t="str">
            <v>08-58</v>
          </cell>
          <cell r="B509">
            <v>506</v>
          </cell>
          <cell r="C509" t="str">
            <v>C1.AM.08.58</v>
          </cell>
          <cell r="D509" t="str">
            <v>AM</v>
          </cell>
          <cell r="E509" t="str">
            <v>G-015</v>
          </cell>
          <cell r="F509" t="str">
            <v>AM032</v>
          </cell>
          <cell r="G509" t="str">
            <v>N1</v>
          </cell>
          <cell r="H509" t="str">
            <v>b2</v>
          </cell>
          <cell r="I509" t="str">
            <v>N1-b2</v>
          </cell>
          <cell r="J509" t="str">
            <v>08</v>
          </cell>
          <cell r="K509" t="str">
            <v>58</v>
          </cell>
        </row>
        <row r="510">
          <cell r="A510" t="str">
            <v>08-59</v>
          </cell>
          <cell r="B510">
            <v>507</v>
          </cell>
          <cell r="C510" t="str">
            <v>C1.AM.08.59</v>
          </cell>
          <cell r="D510" t="str">
            <v>AM</v>
          </cell>
          <cell r="E510" t="str">
            <v>G-038</v>
          </cell>
          <cell r="F510" t="str">
            <v>AM061</v>
          </cell>
          <cell r="G510" t="str">
            <v>N1</v>
          </cell>
          <cell r="H510" t="str">
            <v>b2</v>
          </cell>
          <cell r="I510" t="str">
            <v>N1-b2</v>
          </cell>
          <cell r="J510" t="str">
            <v>08</v>
          </cell>
          <cell r="K510" t="str">
            <v>59</v>
          </cell>
        </row>
        <row r="511">
          <cell r="A511" t="str">
            <v>08-60</v>
          </cell>
          <cell r="B511">
            <v>508</v>
          </cell>
          <cell r="C511" t="str">
            <v>C1.AM.08.60</v>
          </cell>
          <cell r="D511" t="str">
            <v>AM</v>
          </cell>
          <cell r="E511" t="str">
            <v>G-011</v>
          </cell>
          <cell r="F511" t="str">
            <v>AM027</v>
          </cell>
          <cell r="G511" t="str">
            <v>N1</v>
          </cell>
          <cell r="H511" t="str">
            <v>b2</v>
          </cell>
          <cell r="I511" t="str">
            <v>N1-b2</v>
          </cell>
          <cell r="J511" t="str">
            <v>08</v>
          </cell>
          <cell r="K511" t="str">
            <v>60</v>
          </cell>
        </row>
        <row r="512">
          <cell r="A512" t="str">
            <v>08-61</v>
          </cell>
          <cell r="B512">
            <v>509</v>
          </cell>
          <cell r="C512" t="str">
            <v>C1.AM.08.61</v>
          </cell>
          <cell r="D512" t="str">
            <v>AM</v>
          </cell>
          <cell r="E512" t="str">
            <v>G-029</v>
          </cell>
          <cell r="F512" t="str">
            <v>AM050</v>
          </cell>
          <cell r="G512" t="str">
            <v>N1</v>
          </cell>
          <cell r="H512" t="str">
            <v>b2</v>
          </cell>
          <cell r="I512" t="str">
            <v>N1-b2</v>
          </cell>
          <cell r="J512" t="str">
            <v>08</v>
          </cell>
          <cell r="K512" t="str">
            <v>61</v>
          </cell>
        </row>
        <row r="513">
          <cell r="A513" t="str">
            <v>08-62</v>
          </cell>
          <cell r="B513">
            <v>510</v>
          </cell>
          <cell r="C513" t="str">
            <v>C1.AM.08.62</v>
          </cell>
          <cell r="D513" t="str">
            <v>AM</v>
          </cell>
          <cell r="E513" t="str">
            <v>G-048</v>
          </cell>
          <cell r="F513" t="str">
            <v>AM073</v>
          </cell>
          <cell r="G513" t="str">
            <v>N1</v>
          </cell>
          <cell r="H513" t="str">
            <v>b2</v>
          </cell>
          <cell r="I513" t="str">
            <v>N1-b2</v>
          </cell>
          <cell r="J513" t="str">
            <v>08</v>
          </cell>
          <cell r="K513" t="str">
            <v>62</v>
          </cell>
        </row>
        <row r="514">
          <cell r="A514" t="str">
            <v>08-63</v>
          </cell>
          <cell r="B514">
            <v>511</v>
          </cell>
          <cell r="C514" t="str">
            <v>C1.AM.08.63</v>
          </cell>
          <cell r="D514" t="str">
            <v>AM</v>
          </cell>
          <cell r="E514" t="str">
            <v>G-013</v>
          </cell>
          <cell r="F514" t="str">
            <v>AM030</v>
          </cell>
          <cell r="G514" t="str">
            <v>N1</v>
          </cell>
          <cell r="H514" t="str">
            <v>b2</v>
          </cell>
          <cell r="I514" t="str">
            <v>N1-b2</v>
          </cell>
          <cell r="J514" t="str">
            <v>08</v>
          </cell>
          <cell r="K514" t="str">
            <v>63</v>
          </cell>
        </row>
        <row r="515">
          <cell r="A515" t="str">
            <v>08-64</v>
          </cell>
          <cell r="B515">
            <v>512</v>
          </cell>
          <cell r="C515" t="str">
            <v>C1.AM.08.64</v>
          </cell>
          <cell r="D515" t="str">
            <v>AM</v>
          </cell>
          <cell r="E515" t="str">
            <v>G-068</v>
          </cell>
          <cell r="F515" t="str">
            <v>AM100</v>
          </cell>
          <cell r="G515" t="str">
            <v>N1</v>
          </cell>
          <cell r="H515" t="str">
            <v>b2</v>
          </cell>
          <cell r="I515" t="str">
            <v>N1-b2</v>
          </cell>
          <cell r="J515" t="str">
            <v>08</v>
          </cell>
          <cell r="K515" t="str">
            <v>64</v>
          </cell>
        </row>
        <row r="516">
          <cell r="A516" t="str">
            <v>15-65</v>
          </cell>
          <cell r="B516">
            <v>897</v>
          </cell>
          <cell r="C516" t="str">
            <v>C1.AM.15.65</v>
          </cell>
          <cell r="D516" t="str">
            <v>AM</v>
          </cell>
          <cell r="E516" t="str">
            <v>G-009</v>
          </cell>
          <cell r="F516" t="str">
            <v>AM020</v>
          </cell>
          <cell r="G516" t="str">
            <v>N2</v>
          </cell>
          <cell r="H516" t="str">
            <v>b3</v>
          </cell>
          <cell r="I516" t="str">
            <v>N2-b3</v>
          </cell>
          <cell r="J516">
            <v>15</v>
          </cell>
          <cell r="K516" t="str">
            <v>65</v>
          </cell>
        </row>
        <row r="517">
          <cell r="A517" t="str">
            <v>15-66</v>
          </cell>
          <cell r="B517">
            <v>898</v>
          </cell>
          <cell r="C517" t="str">
            <v>C1.AM.15.66</v>
          </cell>
          <cell r="D517" t="str">
            <v>AM</v>
          </cell>
          <cell r="E517" t="str">
            <v>G-002</v>
          </cell>
          <cell r="F517" t="str">
            <v>Montego</v>
          </cell>
          <cell r="G517" t="str">
            <v>N2</v>
          </cell>
          <cell r="H517" t="str">
            <v>b3</v>
          </cell>
          <cell r="I517" t="str">
            <v>N2-b3</v>
          </cell>
          <cell r="J517">
            <v>15</v>
          </cell>
          <cell r="K517" t="str">
            <v>66</v>
          </cell>
        </row>
        <row r="518">
          <cell r="A518" t="str">
            <v>15-67</v>
          </cell>
          <cell r="B518">
            <v>899</v>
          </cell>
          <cell r="C518" t="str">
            <v>C1.AM.15.67</v>
          </cell>
          <cell r="D518" t="str">
            <v>AM</v>
          </cell>
          <cell r="E518" t="str">
            <v>G-042</v>
          </cell>
          <cell r="F518" t="str">
            <v>AM066</v>
          </cell>
          <cell r="G518" t="str">
            <v>N2</v>
          </cell>
          <cell r="H518" t="str">
            <v>b3</v>
          </cell>
          <cell r="I518" t="str">
            <v>N2-b3</v>
          </cell>
          <cell r="J518">
            <v>15</v>
          </cell>
          <cell r="K518" t="str">
            <v>67</v>
          </cell>
        </row>
        <row r="519">
          <cell r="A519" t="str">
            <v>15-68</v>
          </cell>
          <cell r="B519">
            <v>900</v>
          </cell>
          <cell r="C519" t="str">
            <v>C1.AM.15.68</v>
          </cell>
          <cell r="D519" t="str">
            <v>AM</v>
          </cell>
          <cell r="E519" t="str">
            <v>G-051</v>
          </cell>
          <cell r="F519" t="str">
            <v>AM078</v>
          </cell>
          <cell r="G519" t="str">
            <v>N2</v>
          </cell>
          <cell r="H519" t="str">
            <v>b3</v>
          </cell>
          <cell r="I519" t="str">
            <v>N2-b3</v>
          </cell>
          <cell r="J519">
            <v>15</v>
          </cell>
          <cell r="K519" t="str">
            <v>68</v>
          </cell>
        </row>
        <row r="520">
          <cell r="A520" t="str">
            <v>15-69</v>
          </cell>
          <cell r="B520">
            <v>901</v>
          </cell>
          <cell r="C520" t="str">
            <v>C1.AM.15.69</v>
          </cell>
          <cell r="D520" t="str">
            <v>AM</v>
          </cell>
          <cell r="E520" t="str">
            <v>G-088</v>
          </cell>
          <cell r="F520" t="str">
            <v>AM143</v>
          </cell>
          <cell r="G520" t="str">
            <v>N2</v>
          </cell>
          <cell r="H520" t="str">
            <v>b3</v>
          </cell>
          <cell r="I520" t="str">
            <v>N2-b3</v>
          </cell>
          <cell r="J520">
            <v>15</v>
          </cell>
          <cell r="K520" t="str">
            <v>69</v>
          </cell>
        </row>
        <row r="521">
          <cell r="A521" t="str">
            <v>15-70</v>
          </cell>
          <cell r="B521">
            <v>902</v>
          </cell>
          <cell r="C521" t="str">
            <v>C1.AM.15.70</v>
          </cell>
          <cell r="D521" t="str">
            <v>AM</v>
          </cell>
          <cell r="E521" t="str">
            <v>G-043</v>
          </cell>
          <cell r="F521" t="str">
            <v>AM067</v>
          </cell>
          <cell r="G521" t="str">
            <v>N2</v>
          </cell>
          <cell r="H521" t="str">
            <v>b3</v>
          </cell>
          <cell r="I521" t="str">
            <v>N2-b3</v>
          </cell>
          <cell r="J521">
            <v>15</v>
          </cell>
          <cell r="K521" t="str">
            <v>70</v>
          </cell>
        </row>
        <row r="522">
          <cell r="A522" t="str">
            <v>15-71</v>
          </cell>
          <cell r="B522">
            <v>903</v>
          </cell>
          <cell r="C522" t="str">
            <v>C1.AM.15.71</v>
          </cell>
          <cell r="D522" t="str">
            <v>AM</v>
          </cell>
          <cell r="E522" t="str">
            <v>G-006</v>
          </cell>
          <cell r="F522" t="str">
            <v>AM017</v>
          </cell>
          <cell r="G522" t="str">
            <v>N2</v>
          </cell>
          <cell r="H522" t="str">
            <v>b3</v>
          </cell>
          <cell r="I522" t="str">
            <v>N2-b3</v>
          </cell>
          <cell r="J522">
            <v>15</v>
          </cell>
          <cell r="K522" t="str">
            <v>71</v>
          </cell>
        </row>
        <row r="523">
          <cell r="A523" t="str">
            <v>15-72</v>
          </cell>
          <cell r="B523">
            <v>904</v>
          </cell>
          <cell r="C523" t="str">
            <v>C1.AM.15.72</v>
          </cell>
          <cell r="D523" t="str">
            <v>AM</v>
          </cell>
          <cell r="E523" t="str">
            <v>G-115</v>
          </cell>
          <cell r="F523" t="str">
            <v>AM195</v>
          </cell>
          <cell r="G523" t="str">
            <v>N2</v>
          </cell>
          <cell r="H523" t="str">
            <v>b3</v>
          </cell>
          <cell r="I523" t="str">
            <v>N2-b3</v>
          </cell>
          <cell r="J523">
            <v>15</v>
          </cell>
          <cell r="K523" t="str">
            <v>72</v>
          </cell>
        </row>
        <row r="524">
          <cell r="A524" t="str">
            <v>15-73</v>
          </cell>
          <cell r="B524">
            <v>905</v>
          </cell>
          <cell r="C524" t="str">
            <v>C1.AM.15.73</v>
          </cell>
          <cell r="D524" t="str">
            <v>AM</v>
          </cell>
          <cell r="E524" t="str">
            <v>G-111</v>
          </cell>
          <cell r="F524" t="str">
            <v>AM186</v>
          </cell>
          <cell r="G524" t="str">
            <v>N2</v>
          </cell>
          <cell r="H524" t="str">
            <v>b3</v>
          </cell>
          <cell r="I524" t="str">
            <v>N2-b3</v>
          </cell>
          <cell r="J524">
            <v>15</v>
          </cell>
          <cell r="K524" t="str">
            <v>73</v>
          </cell>
        </row>
        <row r="525">
          <cell r="A525" t="str">
            <v>15-74</v>
          </cell>
          <cell r="B525">
            <v>906</v>
          </cell>
          <cell r="C525" t="str">
            <v>C1.AM.15.74</v>
          </cell>
          <cell r="D525" t="str">
            <v>AM</v>
          </cell>
          <cell r="E525" t="str">
            <v>G-019</v>
          </cell>
          <cell r="F525" t="str">
            <v>AM036</v>
          </cell>
          <cell r="G525" t="str">
            <v>N2</v>
          </cell>
          <cell r="H525" t="str">
            <v>b3</v>
          </cell>
          <cell r="I525" t="str">
            <v>N2-b3</v>
          </cell>
          <cell r="J525">
            <v>15</v>
          </cell>
          <cell r="K525" t="str">
            <v>74</v>
          </cell>
        </row>
        <row r="526">
          <cell r="A526" t="str">
            <v>15-75</v>
          </cell>
          <cell r="B526">
            <v>907</v>
          </cell>
          <cell r="C526" t="str">
            <v>C1.AM.15.75</v>
          </cell>
          <cell r="D526" t="str">
            <v>AM</v>
          </cell>
          <cell r="E526" t="str">
            <v>G-014</v>
          </cell>
          <cell r="F526" t="str">
            <v>AM031</v>
          </cell>
          <cell r="G526" t="str">
            <v>N2</v>
          </cell>
          <cell r="H526" t="str">
            <v>b3</v>
          </cell>
          <cell r="I526" t="str">
            <v>N2-b3</v>
          </cell>
          <cell r="J526">
            <v>15</v>
          </cell>
          <cell r="K526" t="str">
            <v>75</v>
          </cell>
        </row>
        <row r="527">
          <cell r="A527" t="str">
            <v>15-76</v>
          </cell>
          <cell r="B527">
            <v>908</v>
          </cell>
          <cell r="C527" t="str">
            <v>C1.AM.15.76</v>
          </cell>
          <cell r="D527" t="str">
            <v>AM</v>
          </cell>
          <cell r="E527" t="str">
            <v>G-060</v>
          </cell>
          <cell r="F527" t="str">
            <v>AM089</v>
          </cell>
          <cell r="G527" t="str">
            <v>N2</v>
          </cell>
          <cell r="H527" t="str">
            <v>b3</v>
          </cell>
          <cell r="I527" t="str">
            <v>N2-b3</v>
          </cell>
          <cell r="J527">
            <v>15</v>
          </cell>
          <cell r="K527" t="str">
            <v>76</v>
          </cell>
        </row>
        <row r="528">
          <cell r="A528" t="str">
            <v>15-77</v>
          </cell>
          <cell r="B528">
            <v>909</v>
          </cell>
          <cell r="C528" t="str">
            <v>C1.AM.15.77</v>
          </cell>
          <cell r="D528" t="str">
            <v>AM</v>
          </cell>
          <cell r="E528" t="str">
            <v>G-083</v>
          </cell>
          <cell r="F528" t="str">
            <v>AM137</v>
          </cell>
          <cell r="G528" t="str">
            <v>N2</v>
          </cell>
          <cell r="H528" t="str">
            <v>b3</v>
          </cell>
          <cell r="I528" t="str">
            <v>N2-b3</v>
          </cell>
          <cell r="J528">
            <v>15</v>
          </cell>
          <cell r="K528" t="str">
            <v>77</v>
          </cell>
        </row>
        <row r="529">
          <cell r="A529" t="str">
            <v>15-78</v>
          </cell>
          <cell r="B529">
            <v>910</v>
          </cell>
          <cell r="C529" t="str">
            <v>C1.AM.15.78</v>
          </cell>
          <cell r="D529" t="str">
            <v>AM</v>
          </cell>
          <cell r="E529" t="str">
            <v>G-077</v>
          </cell>
          <cell r="F529" t="str">
            <v>AM125</v>
          </cell>
          <cell r="G529" t="str">
            <v>N2</v>
          </cell>
          <cell r="H529" t="str">
            <v>b3</v>
          </cell>
          <cell r="I529" t="str">
            <v>N2-b3</v>
          </cell>
          <cell r="J529">
            <v>15</v>
          </cell>
          <cell r="K529" t="str">
            <v>78</v>
          </cell>
        </row>
        <row r="530">
          <cell r="A530" t="str">
            <v>15-79</v>
          </cell>
          <cell r="B530">
            <v>911</v>
          </cell>
          <cell r="C530" t="str">
            <v>C1.AM.15.79</v>
          </cell>
          <cell r="D530" t="str">
            <v>AM</v>
          </cell>
          <cell r="E530" t="str">
            <v>G-095</v>
          </cell>
          <cell r="F530" t="str">
            <v>AM156</v>
          </cell>
          <cell r="G530" t="str">
            <v>N2</v>
          </cell>
          <cell r="H530" t="str">
            <v>b3</v>
          </cell>
          <cell r="I530" t="str">
            <v>N2-b3</v>
          </cell>
          <cell r="J530">
            <v>15</v>
          </cell>
          <cell r="K530" t="str">
            <v>79</v>
          </cell>
        </row>
        <row r="531">
          <cell r="A531" t="str">
            <v>15-80</v>
          </cell>
          <cell r="B531">
            <v>912</v>
          </cell>
          <cell r="C531" t="str">
            <v>C1.AM.15.80</v>
          </cell>
          <cell r="D531" t="str">
            <v>AM</v>
          </cell>
          <cell r="E531" t="str">
            <v>G-002</v>
          </cell>
          <cell r="F531" t="str">
            <v>Montego</v>
          </cell>
          <cell r="G531" t="str">
            <v>N2</v>
          </cell>
          <cell r="H531" t="str">
            <v>b3</v>
          </cell>
          <cell r="I531" t="str">
            <v>N2-b3</v>
          </cell>
          <cell r="J531">
            <v>15</v>
          </cell>
          <cell r="K531" t="str">
            <v>80</v>
          </cell>
        </row>
        <row r="532">
          <cell r="A532" t="str">
            <v>15-81</v>
          </cell>
          <cell r="B532">
            <v>913</v>
          </cell>
          <cell r="C532" t="str">
            <v>C1.AM.15.81</v>
          </cell>
          <cell r="D532" t="str">
            <v>AM</v>
          </cell>
          <cell r="E532" t="str">
            <v>G-029</v>
          </cell>
          <cell r="F532" t="str">
            <v>AM050</v>
          </cell>
          <cell r="G532" t="str">
            <v>N2</v>
          </cell>
          <cell r="H532" t="str">
            <v>b3</v>
          </cell>
          <cell r="I532" t="str">
            <v>N2-b3</v>
          </cell>
          <cell r="J532">
            <v>15</v>
          </cell>
          <cell r="K532" t="str">
            <v>81</v>
          </cell>
        </row>
        <row r="533">
          <cell r="A533" t="str">
            <v>15-82</v>
          </cell>
          <cell r="B533">
            <v>914</v>
          </cell>
          <cell r="C533" t="str">
            <v>C1.AM.15.82</v>
          </cell>
          <cell r="D533" t="str">
            <v>AM</v>
          </cell>
          <cell r="E533" t="str">
            <v>G-092</v>
          </cell>
          <cell r="F533" t="str">
            <v>AM147</v>
          </cell>
          <cell r="G533" t="str">
            <v>N2</v>
          </cell>
          <cell r="H533" t="str">
            <v>b3</v>
          </cell>
          <cell r="I533" t="str">
            <v>N2-b3</v>
          </cell>
          <cell r="J533">
            <v>15</v>
          </cell>
          <cell r="K533" t="str">
            <v>82</v>
          </cell>
        </row>
        <row r="534">
          <cell r="A534" t="str">
            <v>15-83</v>
          </cell>
          <cell r="B534">
            <v>915</v>
          </cell>
          <cell r="C534" t="str">
            <v>C1.AM.15.83</v>
          </cell>
          <cell r="D534" t="str">
            <v>AM</v>
          </cell>
          <cell r="E534" t="str">
            <v>G-002</v>
          </cell>
          <cell r="F534" t="str">
            <v>Montego</v>
          </cell>
          <cell r="G534" t="str">
            <v>N2</v>
          </cell>
          <cell r="H534" t="str">
            <v>b3</v>
          </cell>
          <cell r="I534" t="str">
            <v>N2-b3</v>
          </cell>
          <cell r="J534">
            <v>15</v>
          </cell>
          <cell r="K534" t="str">
            <v>83</v>
          </cell>
        </row>
        <row r="535">
          <cell r="A535" t="str">
            <v>15-84</v>
          </cell>
          <cell r="B535">
            <v>916</v>
          </cell>
          <cell r="C535" t="str">
            <v>C1.AM.15.84</v>
          </cell>
          <cell r="D535" t="str">
            <v>AM</v>
          </cell>
          <cell r="E535" t="str">
            <v>G-069</v>
          </cell>
          <cell r="F535" t="str">
            <v>AM101</v>
          </cell>
          <cell r="G535" t="str">
            <v>N2</v>
          </cell>
          <cell r="H535" t="str">
            <v>b3</v>
          </cell>
          <cell r="I535" t="str">
            <v>N2-b3</v>
          </cell>
          <cell r="J535">
            <v>15</v>
          </cell>
          <cell r="K535" t="str">
            <v>84</v>
          </cell>
        </row>
        <row r="536">
          <cell r="A536" t="str">
            <v>15-85</v>
          </cell>
          <cell r="B536">
            <v>917</v>
          </cell>
          <cell r="C536" t="str">
            <v>C1.AM.15.85</v>
          </cell>
          <cell r="D536" t="str">
            <v>AM</v>
          </cell>
          <cell r="E536" t="str">
            <v>G-082</v>
          </cell>
          <cell r="F536" t="str">
            <v>AM133</v>
          </cell>
          <cell r="G536" t="str">
            <v>N2</v>
          </cell>
          <cell r="H536" t="str">
            <v>b3</v>
          </cell>
          <cell r="I536" t="str">
            <v>N2-b3</v>
          </cell>
          <cell r="J536">
            <v>15</v>
          </cell>
          <cell r="K536" t="str">
            <v>85</v>
          </cell>
        </row>
        <row r="537">
          <cell r="A537" t="str">
            <v>15-86</v>
          </cell>
          <cell r="B537">
            <v>918</v>
          </cell>
          <cell r="C537" t="str">
            <v>C1.AM.15.86</v>
          </cell>
          <cell r="D537" t="str">
            <v>AM</v>
          </cell>
          <cell r="E537" t="str">
            <v>G-070</v>
          </cell>
          <cell r="F537" t="str">
            <v>AM106</v>
          </cell>
          <cell r="G537" t="str">
            <v>N2</v>
          </cell>
          <cell r="H537" t="str">
            <v>b3</v>
          </cell>
          <cell r="I537" t="str">
            <v>N2-b3</v>
          </cell>
          <cell r="J537">
            <v>15</v>
          </cell>
          <cell r="K537" t="str">
            <v>86</v>
          </cell>
        </row>
        <row r="538">
          <cell r="A538" t="str">
            <v>15-87</v>
          </cell>
          <cell r="B538">
            <v>919</v>
          </cell>
          <cell r="C538" t="str">
            <v>C1.AM.15.87</v>
          </cell>
          <cell r="D538" t="str">
            <v>AM</v>
          </cell>
          <cell r="E538" t="str">
            <v>G-079</v>
          </cell>
          <cell r="F538" t="str">
            <v>AM129</v>
          </cell>
          <cell r="G538" t="str">
            <v>N2</v>
          </cell>
          <cell r="H538" t="str">
            <v>b3</v>
          </cell>
          <cell r="I538" t="str">
            <v>N2-b3</v>
          </cell>
          <cell r="J538">
            <v>15</v>
          </cell>
          <cell r="K538" t="str">
            <v>87</v>
          </cell>
        </row>
        <row r="539">
          <cell r="A539" t="str">
            <v>15-88</v>
          </cell>
          <cell r="B539">
            <v>920</v>
          </cell>
          <cell r="C539" t="str">
            <v>C1.AM.15.88</v>
          </cell>
          <cell r="D539" t="str">
            <v>AM</v>
          </cell>
          <cell r="E539" t="str">
            <v>G-091</v>
          </cell>
          <cell r="F539" t="str">
            <v>AM146</v>
          </cell>
          <cell r="G539" t="str">
            <v>N2</v>
          </cell>
          <cell r="H539" t="str">
            <v>b3</v>
          </cell>
          <cell r="I539" t="str">
            <v>N2-b3</v>
          </cell>
          <cell r="J539">
            <v>15</v>
          </cell>
          <cell r="K539" t="str">
            <v>88</v>
          </cell>
        </row>
        <row r="540">
          <cell r="A540" t="str">
            <v>15-89</v>
          </cell>
          <cell r="B540">
            <v>921</v>
          </cell>
          <cell r="C540" t="str">
            <v>C1.AM.15.89</v>
          </cell>
          <cell r="D540" t="str">
            <v>AM</v>
          </cell>
          <cell r="E540" t="str">
            <v>G-056</v>
          </cell>
          <cell r="F540" t="str">
            <v>AM085</v>
          </cell>
          <cell r="G540" t="str">
            <v>N2</v>
          </cell>
          <cell r="H540" t="str">
            <v>b3</v>
          </cell>
          <cell r="I540" t="str">
            <v>N2-b3</v>
          </cell>
          <cell r="J540">
            <v>15</v>
          </cell>
          <cell r="K540" t="str">
            <v>89</v>
          </cell>
        </row>
        <row r="541">
          <cell r="A541" t="str">
            <v>15-90</v>
          </cell>
          <cell r="B541">
            <v>922</v>
          </cell>
          <cell r="C541" t="str">
            <v>C1.AM.15.90</v>
          </cell>
          <cell r="D541" t="str">
            <v>AM</v>
          </cell>
          <cell r="E541" t="str">
            <v>G-039</v>
          </cell>
          <cell r="F541" t="str">
            <v>AM062</v>
          </cell>
          <cell r="G541" t="str">
            <v>N2</v>
          </cell>
          <cell r="H541" t="str">
            <v>b3</v>
          </cell>
          <cell r="I541" t="str">
            <v>N2-b3</v>
          </cell>
          <cell r="J541">
            <v>15</v>
          </cell>
          <cell r="K541" t="str">
            <v>90</v>
          </cell>
        </row>
        <row r="542">
          <cell r="A542" t="str">
            <v>16-65</v>
          </cell>
          <cell r="B542">
            <v>923</v>
          </cell>
          <cell r="C542" t="str">
            <v>C1.AM.16.65</v>
          </cell>
          <cell r="D542" t="str">
            <v>AM</v>
          </cell>
          <cell r="E542" t="str">
            <v>G-124</v>
          </cell>
          <cell r="F542" t="str">
            <v>S-Oase</v>
          </cell>
          <cell r="G542" t="str">
            <v>N2</v>
          </cell>
          <cell r="H542" t="str">
            <v>b3</v>
          </cell>
          <cell r="I542" t="str">
            <v>N2-b3</v>
          </cell>
          <cell r="J542" t="str">
            <v>16</v>
          </cell>
          <cell r="K542" t="str">
            <v>65</v>
          </cell>
        </row>
        <row r="543">
          <cell r="A543" t="str">
            <v>16-66</v>
          </cell>
          <cell r="B543">
            <v>924</v>
          </cell>
          <cell r="C543" t="str">
            <v>C1.AM.16.66</v>
          </cell>
          <cell r="D543" t="str">
            <v>AM</v>
          </cell>
          <cell r="E543" t="str">
            <v>G-112</v>
          </cell>
          <cell r="F543" t="str">
            <v>AM188</v>
          </cell>
          <cell r="G543" t="str">
            <v>N2</v>
          </cell>
          <cell r="H543" t="str">
            <v>b3</v>
          </cell>
          <cell r="I543" t="str">
            <v>N2-b3</v>
          </cell>
          <cell r="J543" t="str">
            <v>16</v>
          </cell>
          <cell r="K543" t="str">
            <v>66</v>
          </cell>
        </row>
        <row r="544">
          <cell r="A544" t="str">
            <v>16-67</v>
          </cell>
          <cell r="B544">
            <v>925</v>
          </cell>
          <cell r="C544" t="str">
            <v>C1.AM.16.67</v>
          </cell>
          <cell r="D544" t="str">
            <v>AM</v>
          </cell>
          <cell r="E544" t="str">
            <v>G-123</v>
          </cell>
          <cell r="F544" t="str">
            <v>C-California</v>
          </cell>
          <cell r="G544" t="str">
            <v>N2</v>
          </cell>
          <cell r="H544" t="str">
            <v>b3</v>
          </cell>
          <cell r="I544" t="str">
            <v>N2-b3</v>
          </cell>
          <cell r="J544" t="str">
            <v>16</v>
          </cell>
          <cell r="K544" t="str">
            <v>67</v>
          </cell>
        </row>
        <row r="545">
          <cell r="A545" t="str">
            <v>16-68</v>
          </cell>
          <cell r="B545">
            <v>926</v>
          </cell>
          <cell r="C545" t="str">
            <v>C1.AM.16.68</v>
          </cell>
          <cell r="D545" t="str">
            <v>AM</v>
          </cell>
          <cell r="E545" t="str">
            <v>G-118</v>
          </cell>
          <cell r="F545" t="str">
            <v>Colvert</v>
          </cell>
          <cell r="G545" t="str">
            <v>N2</v>
          </cell>
          <cell r="H545" t="str">
            <v>b3</v>
          </cell>
          <cell r="I545" t="str">
            <v>N2-b3</v>
          </cell>
          <cell r="J545" t="str">
            <v>16</v>
          </cell>
          <cell r="K545" t="str">
            <v>68</v>
          </cell>
        </row>
        <row r="546">
          <cell r="A546" t="str">
            <v>16-69</v>
          </cell>
          <cell r="B546">
            <v>927</v>
          </cell>
          <cell r="C546" t="str">
            <v>C1.AM.16.69</v>
          </cell>
          <cell r="D546" t="str">
            <v>AM</v>
          </cell>
          <cell r="E546" t="str">
            <v>G-068</v>
          </cell>
          <cell r="F546" t="str">
            <v>AM100</v>
          </cell>
          <cell r="G546" t="str">
            <v>N2</v>
          </cell>
          <cell r="H546" t="str">
            <v>b3</v>
          </cell>
          <cell r="I546" t="str">
            <v>N2-b3</v>
          </cell>
          <cell r="J546" t="str">
            <v>16</v>
          </cell>
          <cell r="K546" t="str">
            <v>69</v>
          </cell>
        </row>
        <row r="547">
          <cell r="A547" t="str">
            <v>16-70</v>
          </cell>
          <cell r="B547">
            <v>928</v>
          </cell>
          <cell r="C547" t="str">
            <v>C1.AM.16.70</v>
          </cell>
          <cell r="D547" t="str">
            <v>AM</v>
          </cell>
          <cell r="E547" t="str">
            <v>G-114</v>
          </cell>
          <cell r="F547" t="str">
            <v>AM193</v>
          </cell>
          <cell r="G547" t="str">
            <v>N2</v>
          </cell>
          <cell r="H547" t="str">
            <v>b3</v>
          </cell>
          <cell r="I547" t="str">
            <v>N2-b3</v>
          </cell>
          <cell r="J547" t="str">
            <v>16</v>
          </cell>
          <cell r="K547" t="str">
            <v>70</v>
          </cell>
        </row>
        <row r="548">
          <cell r="A548" t="str">
            <v>16-71</v>
          </cell>
          <cell r="B548">
            <v>929</v>
          </cell>
          <cell r="C548" t="str">
            <v>C1.AM.16.71</v>
          </cell>
          <cell r="D548" t="str">
            <v>AM</v>
          </cell>
          <cell r="E548" t="str">
            <v>G-120</v>
          </cell>
          <cell r="F548" t="str">
            <v>Twister</v>
          </cell>
          <cell r="G548" t="str">
            <v>N2</v>
          </cell>
          <cell r="H548" t="str">
            <v>b3</v>
          </cell>
          <cell r="I548" t="str">
            <v>N2-b3</v>
          </cell>
          <cell r="J548" t="str">
            <v>16</v>
          </cell>
          <cell r="K548" t="str">
            <v>71</v>
          </cell>
        </row>
        <row r="549">
          <cell r="A549" t="str">
            <v>16-72</v>
          </cell>
          <cell r="B549">
            <v>930</v>
          </cell>
          <cell r="C549" t="str">
            <v>C1.AM.16.72</v>
          </cell>
          <cell r="D549" t="str">
            <v>AM</v>
          </cell>
          <cell r="E549" t="str">
            <v>G-045</v>
          </cell>
          <cell r="F549" t="str">
            <v>AM069</v>
          </cell>
          <cell r="G549" t="str">
            <v>N2</v>
          </cell>
          <cell r="H549" t="str">
            <v>b3</v>
          </cell>
          <cell r="I549" t="str">
            <v>N2-b3</v>
          </cell>
          <cell r="J549" t="str">
            <v>16</v>
          </cell>
          <cell r="K549" t="str">
            <v>72</v>
          </cell>
        </row>
        <row r="550">
          <cell r="A550" t="str">
            <v>16-73</v>
          </cell>
          <cell r="B550">
            <v>931</v>
          </cell>
          <cell r="C550" t="str">
            <v>C1.AM.16.73</v>
          </cell>
          <cell r="D550" t="str">
            <v>AM</v>
          </cell>
          <cell r="E550" t="str">
            <v>G-096</v>
          </cell>
          <cell r="F550" t="str">
            <v>AM158</v>
          </cell>
          <cell r="G550" t="str">
            <v>N2</v>
          </cell>
          <cell r="H550" t="str">
            <v>b3</v>
          </cell>
          <cell r="I550" t="str">
            <v>N2-b3</v>
          </cell>
          <cell r="J550" t="str">
            <v>16</v>
          </cell>
          <cell r="K550" t="str">
            <v>73</v>
          </cell>
        </row>
        <row r="551">
          <cell r="A551" t="str">
            <v>16-74</v>
          </cell>
          <cell r="B551">
            <v>932</v>
          </cell>
          <cell r="C551" t="str">
            <v>C1.AM.16.74</v>
          </cell>
          <cell r="D551" t="str">
            <v>AM</v>
          </cell>
          <cell r="E551" t="str">
            <v>G-090</v>
          </cell>
          <cell r="F551" t="str">
            <v>AM145</v>
          </cell>
          <cell r="G551" t="str">
            <v>N2</v>
          </cell>
          <cell r="H551" t="str">
            <v>b3</v>
          </cell>
          <cell r="I551" t="str">
            <v>N2-b3</v>
          </cell>
          <cell r="J551" t="str">
            <v>16</v>
          </cell>
          <cell r="K551" t="str">
            <v>74</v>
          </cell>
        </row>
        <row r="552">
          <cell r="A552" t="str">
            <v>16-75</v>
          </cell>
          <cell r="B552">
            <v>933</v>
          </cell>
          <cell r="C552" t="str">
            <v>C1.AM.16.75</v>
          </cell>
          <cell r="D552" t="str">
            <v>AM</v>
          </cell>
          <cell r="E552" t="str">
            <v>G-058</v>
          </cell>
          <cell r="F552" t="str">
            <v>AM087</v>
          </cell>
          <cell r="G552" t="str">
            <v>N2</v>
          </cell>
          <cell r="H552" t="str">
            <v>b3</v>
          </cell>
          <cell r="I552" t="str">
            <v>N2-b3</v>
          </cell>
          <cell r="J552" t="str">
            <v>16</v>
          </cell>
          <cell r="K552" t="str">
            <v>75</v>
          </cell>
        </row>
        <row r="553">
          <cell r="A553" t="str">
            <v>16-76</v>
          </cell>
          <cell r="B553">
            <v>934</v>
          </cell>
          <cell r="C553" t="str">
            <v>C1.AM.16.76</v>
          </cell>
          <cell r="D553" t="str">
            <v>AM</v>
          </cell>
          <cell r="E553" t="str">
            <v>G-028</v>
          </cell>
          <cell r="F553" t="str">
            <v>AM049</v>
          </cell>
          <cell r="G553" t="str">
            <v>N2</v>
          </cell>
          <cell r="H553" t="str">
            <v>b3</v>
          </cell>
          <cell r="I553" t="str">
            <v>N2-b3</v>
          </cell>
          <cell r="J553" t="str">
            <v>16</v>
          </cell>
          <cell r="K553" t="str">
            <v>76</v>
          </cell>
        </row>
        <row r="554">
          <cell r="A554" t="str">
            <v>16-77</v>
          </cell>
          <cell r="B554">
            <v>935</v>
          </cell>
          <cell r="C554" t="str">
            <v>C1.AM.16.77</v>
          </cell>
          <cell r="D554" t="str">
            <v>AM</v>
          </cell>
          <cell r="E554" t="str">
            <v>G-038</v>
          </cell>
          <cell r="F554" t="str">
            <v>AM061</v>
          </cell>
          <cell r="G554" t="str">
            <v>N2</v>
          </cell>
          <cell r="H554" t="str">
            <v>b3</v>
          </cell>
          <cell r="I554" t="str">
            <v>N2-b3</v>
          </cell>
          <cell r="J554" t="str">
            <v>16</v>
          </cell>
          <cell r="K554" t="str">
            <v>77</v>
          </cell>
        </row>
        <row r="555">
          <cell r="A555" t="str">
            <v>16-78</v>
          </cell>
          <cell r="B555">
            <v>936</v>
          </cell>
          <cell r="C555" t="str">
            <v>C1.AM.16.78</v>
          </cell>
          <cell r="D555" t="str">
            <v>AM</v>
          </cell>
          <cell r="E555" t="str">
            <v>G-110</v>
          </cell>
          <cell r="F555" t="str">
            <v>AM185</v>
          </cell>
          <cell r="G555" t="str">
            <v>N2</v>
          </cell>
          <cell r="H555" t="str">
            <v>b3</v>
          </cell>
          <cell r="I555" t="str">
            <v>N2-b3</v>
          </cell>
          <cell r="J555" t="str">
            <v>16</v>
          </cell>
          <cell r="K555" t="str">
            <v>78</v>
          </cell>
        </row>
        <row r="556">
          <cell r="A556" t="str">
            <v>16-79</v>
          </cell>
          <cell r="B556">
            <v>937</v>
          </cell>
          <cell r="C556" t="str">
            <v>C1.AM.16.79</v>
          </cell>
          <cell r="D556" t="str">
            <v>AM</v>
          </cell>
          <cell r="E556" t="str">
            <v>G-055</v>
          </cell>
          <cell r="F556" t="str">
            <v>AM084</v>
          </cell>
          <cell r="G556" t="str">
            <v>N2</v>
          </cell>
          <cell r="H556" t="str">
            <v>b3</v>
          </cell>
          <cell r="I556" t="str">
            <v>N2-b3</v>
          </cell>
          <cell r="J556" t="str">
            <v>16</v>
          </cell>
          <cell r="K556" t="str">
            <v>79</v>
          </cell>
        </row>
        <row r="557">
          <cell r="A557" t="str">
            <v>16-80</v>
          </cell>
          <cell r="B557">
            <v>938</v>
          </cell>
          <cell r="C557" t="str">
            <v>C1.AM.16.80</v>
          </cell>
          <cell r="D557" t="str">
            <v>AM</v>
          </cell>
          <cell r="E557" t="str">
            <v>G-011</v>
          </cell>
          <cell r="F557" t="str">
            <v>AM027</v>
          </cell>
          <cell r="G557" t="str">
            <v>N2</v>
          </cell>
          <cell r="H557" t="str">
            <v>b3</v>
          </cell>
          <cell r="I557" t="str">
            <v>N2-b3</v>
          </cell>
          <cell r="J557" t="str">
            <v>16</v>
          </cell>
          <cell r="K557" t="str">
            <v>80</v>
          </cell>
        </row>
        <row r="558">
          <cell r="A558" t="str">
            <v>16-81</v>
          </cell>
          <cell r="B558">
            <v>939</v>
          </cell>
          <cell r="C558" t="str">
            <v>C1.AM.16.81</v>
          </cell>
          <cell r="D558" t="str">
            <v>AM</v>
          </cell>
          <cell r="E558" t="str">
            <v>G-089</v>
          </cell>
          <cell r="F558" t="str">
            <v>AM144</v>
          </cell>
          <cell r="G558" t="str">
            <v>N2</v>
          </cell>
          <cell r="H558" t="str">
            <v>b3</v>
          </cell>
          <cell r="I558" t="str">
            <v>N2-b3</v>
          </cell>
          <cell r="J558" t="str">
            <v>16</v>
          </cell>
          <cell r="K558" t="str">
            <v>81</v>
          </cell>
        </row>
        <row r="559">
          <cell r="A559" t="str">
            <v>16-82</v>
          </cell>
          <cell r="B559">
            <v>940</v>
          </cell>
          <cell r="C559" t="str">
            <v>C1.AM.16.82</v>
          </cell>
          <cell r="D559" t="str">
            <v>AM</v>
          </cell>
          <cell r="E559" t="str">
            <v>G-012</v>
          </cell>
          <cell r="F559" t="str">
            <v>AM028</v>
          </cell>
          <cell r="G559" t="str">
            <v>N2</v>
          </cell>
          <cell r="H559" t="str">
            <v>b3</v>
          </cell>
          <cell r="I559" t="str">
            <v>N2-b3</v>
          </cell>
          <cell r="J559" t="str">
            <v>16</v>
          </cell>
          <cell r="K559" t="str">
            <v>82</v>
          </cell>
        </row>
        <row r="560">
          <cell r="A560" t="str">
            <v>16-83</v>
          </cell>
          <cell r="B560">
            <v>941</v>
          </cell>
          <cell r="C560" t="str">
            <v>C1.AM.16.83</v>
          </cell>
          <cell r="D560" t="str">
            <v>AM</v>
          </cell>
          <cell r="E560" t="str">
            <v>G-072</v>
          </cell>
          <cell r="F560" t="str">
            <v>AM109</v>
          </cell>
          <cell r="G560" t="str">
            <v>N2</v>
          </cell>
          <cell r="H560" t="str">
            <v>b3</v>
          </cell>
          <cell r="I560" t="str">
            <v>N2-b3</v>
          </cell>
          <cell r="J560" t="str">
            <v>16</v>
          </cell>
          <cell r="K560" t="str">
            <v>83</v>
          </cell>
        </row>
        <row r="561">
          <cell r="A561" t="str">
            <v>16-84</v>
          </cell>
          <cell r="B561">
            <v>942</v>
          </cell>
          <cell r="C561" t="str">
            <v>C1.AM.16.84</v>
          </cell>
          <cell r="D561" t="str">
            <v>AM</v>
          </cell>
          <cell r="E561" t="str">
            <v>G-001</v>
          </cell>
          <cell r="F561" t="str">
            <v>Aviso</v>
          </cell>
          <cell r="G561" t="str">
            <v>N2</v>
          </cell>
          <cell r="H561" t="str">
            <v>b3</v>
          </cell>
          <cell r="I561" t="str">
            <v>N2-b3</v>
          </cell>
          <cell r="J561" t="str">
            <v>16</v>
          </cell>
          <cell r="K561" t="str">
            <v>84</v>
          </cell>
        </row>
        <row r="562">
          <cell r="A562" t="str">
            <v>16-85</v>
          </cell>
          <cell r="B562">
            <v>943</v>
          </cell>
          <cell r="C562" t="str">
            <v>C1.AM.16.85</v>
          </cell>
          <cell r="D562" t="str">
            <v>AM</v>
          </cell>
          <cell r="E562" t="str">
            <v>G-067</v>
          </cell>
          <cell r="F562" t="str">
            <v>AM098</v>
          </cell>
          <cell r="G562" t="str">
            <v>N2</v>
          </cell>
          <cell r="H562" t="str">
            <v>b3</v>
          </cell>
          <cell r="I562" t="str">
            <v>N2-b3</v>
          </cell>
          <cell r="J562" t="str">
            <v>16</v>
          </cell>
          <cell r="K562" t="str">
            <v>85</v>
          </cell>
        </row>
        <row r="563">
          <cell r="A563" t="str">
            <v>16-86</v>
          </cell>
          <cell r="B563">
            <v>944</v>
          </cell>
          <cell r="C563" t="str">
            <v>C1.AM.16.86</v>
          </cell>
          <cell r="D563" t="str">
            <v>AM</v>
          </cell>
          <cell r="E563" t="str">
            <v>G-100</v>
          </cell>
          <cell r="F563" t="str">
            <v>AM166</v>
          </cell>
          <cell r="G563" t="str">
            <v>N2</v>
          </cell>
          <cell r="H563" t="str">
            <v>b3</v>
          </cell>
          <cell r="I563" t="str">
            <v>N2-b3</v>
          </cell>
          <cell r="J563" t="str">
            <v>16</v>
          </cell>
          <cell r="K563" t="str">
            <v>86</v>
          </cell>
        </row>
        <row r="564">
          <cell r="A564" t="str">
            <v>16-87</v>
          </cell>
          <cell r="B564">
            <v>945</v>
          </cell>
          <cell r="C564" t="str">
            <v>C1.AM.16.87</v>
          </cell>
          <cell r="D564" t="str">
            <v>AM</v>
          </cell>
          <cell r="E564" t="str">
            <v>G-025</v>
          </cell>
          <cell r="F564" t="str">
            <v>AM045</v>
          </cell>
          <cell r="G564" t="str">
            <v>N2</v>
          </cell>
          <cell r="H564" t="str">
            <v>b3</v>
          </cell>
          <cell r="I564" t="str">
            <v>N2-b3</v>
          </cell>
          <cell r="J564" t="str">
            <v>16</v>
          </cell>
          <cell r="K564" t="str">
            <v>87</v>
          </cell>
        </row>
        <row r="565">
          <cell r="A565" t="str">
            <v>16-88</v>
          </cell>
          <cell r="B565">
            <v>946</v>
          </cell>
          <cell r="C565" t="str">
            <v>C1.AM.16.88</v>
          </cell>
          <cell r="D565" t="str">
            <v>AM</v>
          </cell>
          <cell r="E565" t="str">
            <v>G-041</v>
          </cell>
          <cell r="F565" t="str">
            <v>AM064</v>
          </cell>
          <cell r="G565" t="str">
            <v>N2</v>
          </cell>
          <cell r="H565" t="str">
            <v>b3</v>
          </cell>
          <cell r="I565" t="str">
            <v>N2-b3</v>
          </cell>
          <cell r="J565" t="str">
            <v>16</v>
          </cell>
          <cell r="K565" t="str">
            <v>88</v>
          </cell>
        </row>
        <row r="566">
          <cell r="A566" t="str">
            <v>16-89</v>
          </cell>
          <cell r="B566">
            <v>947</v>
          </cell>
          <cell r="C566" t="str">
            <v>C1.AM.16.89</v>
          </cell>
          <cell r="D566" t="str">
            <v>AM</v>
          </cell>
          <cell r="E566" t="str">
            <v>G-016</v>
          </cell>
          <cell r="F566" t="str">
            <v>AM033</v>
          </cell>
          <cell r="G566" t="str">
            <v>N2</v>
          </cell>
          <cell r="H566" t="str">
            <v>b3</v>
          </cell>
          <cell r="I566" t="str">
            <v>N2-b3</v>
          </cell>
          <cell r="J566" t="str">
            <v>16</v>
          </cell>
          <cell r="K566" t="str">
            <v>89</v>
          </cell>
        </row>
        <row r="567">
          <cell r="A567" t="str">
            <v>16-90</v>
          </cell>
          <cell r="B567">
            <v>948</v>
          </cell>
          <cell r="C567" t="str">
            <v>C1.AM.16.90</v>
          </cell>
          <cell r="D567" t="str">
            <v>AM</v>
          </cell>
          <cell r="E567" t="str">
            <v>G-117</v>
          </cell>
          <cell r="F567" t="str">
            <v>AM198</v>
          </cell>
          <cell r="G567" t="str">
            <v>N2</v>
          </cell>
          <cell r="H567" t="str">
            <v>b3</v>
          </cell>
          <cell r="I567" t="str">
            <v>N2-b3</v>
          </cell>
          <cell r="J567" t="str">
            <v>16</v>
          </cell>
          <cell r="K567" t="str">
            <v>90</v>
          </cell>
        </row>
        <row r="568">
          <cell r="A568" t="str">
            <v>17-65</v>
          </cell>
          <cell r="B568">
            <v>949</v>
          </cell>
          <cell r="C568" t="str">
            <v>C1.AM.17.65</v>
          </cell>
          <cell r="D568" t="str">
            <v>AM</v>
          </cell>
          <cell r="E568" t="str">
            <v>G-108</v>
          </cell>
          <cell r="F568" t="str">
            <v>AM174</v>
          </cell>
          <cell r="G568" t="str">
            <v>N2</v>
          </cell>
          <cell r="H568" t="str">
            <v>b3</v>
          </cell>
          <cell r="I568" t="str">
            <v>N2-b3</v>
          </cell>
          <cell r="J568">
            <v>17</v>
          </cell>
          <cell r="K568" t="str">
            <v>65</v>
          </cell>
        </row>
        <row r="569">
          <cell r="A569" t="str">
            <v>17-66</v>
          </cell>
          <cell r="B569">
            <v>950</v>
          </cell>
          <cell r="C569" t="str">
            <v>C1.AM.17.66</v>
          </cell>
          <cell r="D569" t="str">
            <v>AM</v>
          </cell>
          <cell r="E569" t="str">
            <v>G-086</v>
          </cell>
          <cell r="F569" t="str">
            <v>AM140</v>
          </cell>
          <cell r="G569" t="str">
            <v>N2</v>
          </cell>
          <cell r="H569" t="str">
            <v>b3</v>
          </cell>
          <cell r="I569" t="str">
            <v>N2-b3</v>
          </cell>
          <cell r="J569">
            <v>17</v>
          </cell>
          <cell r="K569" t="str">
            <v>66</v>
          </cell>
        </row>
        <row r="570">
          <cell r="A570" t="str">
            <v>17-67</v>
          </cell>
          <cell r="B570">
            <v>951</v>
          </cell>
          <cell r="C570" t="str">
            <v>C1.AM.17.67</v>
          </cell>
          <cell r="D570" t="str">
            <v>AM</v>
          </cell>
          <cell r="E570" t="str">
            <v>G-036</v>
          </cell>
          <cell r="F570" t="str">
            <v>AM059</v>
          </cell>
          <cell r="G570" t="str">
            <v>N2</v>
          </cell>
          <cell r="H570" t="str">
            <v>b3</v>
          </cell>
          <cell r="I570" t="str">
            <v>N2-b3</v>
          </cell>
          <cell r="J570">
            <v>17</v>
          </cell>
          <cell r="K570" t="str">
            <v>67</v>
          </cell>
        </row>
        <row r="571">
          <cell r="A571" t="str">
            <v>17-68</v>
          </cell>
          <cell r="B571">
            <v>952</v>
          </cell>
          <cell r="C571" t="str">
            <v>C1.AM.17.68</v>
          </cell>
          <cell r="D571" t="str">
            <v>AM</v>
          </cell>
          <cell r="E571" t="str">
            <v>G-075</v>
          </cell>
          <cell r="F571" t="str">
            <v>AM123</v>
          </cell>
          <cell r="G571" t="str">
            <v>N2</v>
          </cell>
          <cell r="H571" t="str">
            <v>b3</v>
          </cell>
          <cell r="I571" t="str">
            <v>N2-b3</v>
          </cell>
          <cell r="J571">
            <v>17</v>
          </cell>
          <cell r="K571" t="str">
            <v>68</v>
          </cell>
        </row>
        <row r="572">
          <cell r="A572" t="str">
            <v>17-69</v>
          </cell>
          <cell r="B572">
            <v>953</v>
          </cell>
          <cell r="C572" t="str">
            <v>C1.AM.17.69</v>
          </cell>
          <cell r="D572" t="str">
            <v>AM</v>
          </cell>
          <cell r="E572" t="str">
            <v>G-023</v>
          </cell>
          <cell r="F572" t="str">
            <v>AM040</v>
          </cell>
          <cell r="G572" t="str">
            <v>N2</v>
          </cell>
          <cell r="H572" t="str">
            <v>b3</v>
          </cell>
          <cell r="I572" t="str">
            <v>N2-b3</v>
          </cell>
          <cell r="J572">
            <v>17</v>
          </cell>
          <cell r="K572" t="str">
            <v>69</v>
          </cell>
        </row>
        <row r="573">
          <cell r="A573" t="str">
            <v>17-70</v>
          </cell>
          <cell r="B573">
            <v>954</v>
          </cell>
          <cell r="C573" t="str">
            <v>C1.AM.17.70</v>
          </cell>
          <cell r="D573" t="str">
            <v>AM</v>
          </cell>
          <cell r="E573" t="str">
            <v>G-021</v>
          </cell>
          <cell r="F573" t="str">
            <v>AM038</v>
          </cell>
          <cell r="G573" t="str">
            <v>N2</v>
          </cell>
          <cell r="H573" t="str">
            <v>b3</v>
          </cell>
          <cell r="I573" t="str">
            <v>N2-b3</v>
          </cell>
          <cell r="J573">
            <v>17</v>
          </cell>
          <cell r="K573" t="str">
            <v>70</v>
          </cell>
        </row>
        <row r="574">
          <cell r="A574" t="str">
            <v>17-71</v>
          </cell>
          <cell r="B574">
            <v>955</v>
          </cell>
          <cell r="C574" t="str">
            <v>C1.AM.17.71</v>
          </cell>
          <cell r="D574" t="str">
            <v>AM</v>
          </cell>
          <cell r="E574" t="str">
            <v>G-109</v>
          </cell>
          <cell r="F574" t="str">
            <v>AM183</v>
          </cell>
          <cell r="G574" t="str">
            <v>N2</v>
          </cell>
          <cell r="H574" t="str">
            <v>b3</v>
          </cell>
          <cell r="I574" t="str">
            <v>N2-b3</v>
          </cell>
          <cell r="J574">
            <v>17</v>
          </cell>
          <cell r="K574" t="str">
            <v>71</v>
          </cell>
        </row>
        <row r="575">
          <cell r="A575" t="str">
            <v>17-72</v>
          </cell>
          <cell r="B575">
            <v>956</v>
          </cell>
          <cell r="C575" t="str">
            <v>C1.AM.17.72</v>
          </cell>
          <cell r="D575" t="str">
            <v>AM</v>
          </cell>
          <cell r="E575" t="str">
            <v>G-037</v>
          </cell>
          <cell r="F575" t="str">
            <v>AM060</v>
          </cell>
          <cell r="G575" t="str">
            <v>N2</v>
          </cell>
          <cell r="H575" t="str">
            <v>b3</v>
          </cell>
          <cell r="I575" t="str">
            <v>N2-b3</v>
          </cell>
          <cell r="J575">
            <v>17</v>
          </cell>
          <cell r="K575" t="str">
            <v>72</v>
          </cell>
        </row>
        <row r="576">
          <cell r="A576" t="str">
            <v>17-73</v>
          </cell>
          <cell r="B576">
            <v>957</v>
          </cell>
          <cell r="C576" t="str">
            <v>C1.AM.17.73</v>
          </cell>
          <cell r="D576" t="str">
            <v>AM</v>
          </cell>
          <cell r="E576" t="str">
            <v>G-122</v>
          </cell>
          <cell r="F576" t="str">
            <v>L-Liones</v>
          </cell>
          <cell r="G576" t="str">
            <v>N2</v>
          </cell>
          <cell r="H576" t="str">
            <v>b3</v>
          </cell>
          <cell r="I576" t="str">
            <v>N2-b3</v>
          </cell>
          <cell r="J576">
            <v>17</v>
          </cell>
          <cell r="K576" t="str">
            <v>73</v>
          </cell>
        </row>
        <row r="577">
          <cell r="A577" t="str">
            <v>17-74</v>
          </cell>
          <cell r="B577">
            <v>958</v>
          </cell>
          <cell r="C577" t="str">
            <v>C1.AM.17.74</v>
          </cell>
          <cell r="D577" t="str">
            <v>AM</v>
          </cell>
          <cell r="E577" t="str">
            <v>G-026</v>
          </cell>
          <cell r="F577" t="str">
            <v>AM046</v>
          </cell>
          <cell r="G577" t="str">
            <v>N2</v>
          </cell>
          <cell r="H577" t="str">
            <v>b3</v>
          </cell>
          <cell r="I577" t="str">
            <v>N2-b3</v>
          </cell>
          <cell r="J577">
            <v>17</v>
          </cell>
          <cell r="K577" t="str">
            <v>74</v>
          </cell>
        </row>
        <row r="578">
          <cell r="A578" t="str">
            <v>17-75</v>
          </cell>
          <cell r="B578">
            <v>959</v>
          </cell>
          <cell r="C578" t="str">
            <v>C1.AM.17.75</v>
          </cell>
          <cell r="D578" t="str">
            <v>AM</v>
          </cell>
          <cell r="E578" t="str">
            <v>G-076</v>
          </cell>
          <cell r="F578" t="str">
            <v>AM124</v>
          </cell>
          <cell r="G578" t="str">
            <v>N2</v>
          </cell>
          <cell r="H578" t="str">
            <v>b3</v>
          </cell>
          <cell r="I578" t="str">
            <v>N2-b3</v>
          </cell>
          <cell r="J578">
            <v>17</v>
          </cell>
          <cell r="K578" t="str">
            <v>75</v>
          </cell>
        </row>
        <row r="579">
          <cell r="A579" t="str">
            <v>17-76</v>
          </cell>
          <cell r="B579">
            <v>960</v>
          </cell>
          <cell r="C579" t="str">
            <v>C1.AM.17.76</v>
          </cell>
          <cell r="D579" t="str">
            <v>AM</v>
          </cell>
          <cell r="E579" t="str">
            <v>G-094</v>
          </cell>
          <cell r="F579" t="str">
            <v>AM149</v>
          </cell>
          <cell r="G579" t="str">
            <v>N2</v>
          </cell>
          <cell r="H579" t="str">
            <v>b3</v>
          </cell>
          <cell r="I579" t="str">
            <v>N2-b3</v>
          </cell>
          <cell r="J579">
            <v>17</v>
          </cell>
          <cell r="K579" t="str">
            <v>76</v>
          </cell>
        </row>
        <row r="580">
          <cell r="A580" t="str">
            <v>17-77</v>
          </cell>
          <cell r="B580">
            <v>961</v>
          </cell>
          <cell r="C580" t="str">
            <v>C1.AM.17.77</v>
          </cell>
          <cell r="D580" t="str">
            <v>AM</v>
          </cell>
          <cell r="E580" t="str">
            <v>G-001</v>
          </cell>
          <cell r="F580" t="str">
            <v>Aviso</v>
          </cell>
          <cell r="G580" t="str">
            <v>N2</v>
          </cell>
          <cell r="H580" t="str">
            <v>b3</v>
          </cell>
          <cell r="I580" t="str">
            <v>N2-b3</v>
          </cell>
          <cell r="J580">
            <v>17</v>
          </cell>
          <cell r="K580" t="str">
            <v>77</v>
          </cell>
        </row>
        <row r="581">
          <cell r="A581" t="str">
            <v>17-78</v>
          </cell>
          <cell r="B581">
            <v>962</v>
          </cell>
          <cell r="C581" t="str">
            <v>C1.AM.17.78</v>
          </cell>
          <cell r="D581" t="str">
            <v>AM</v>
          </cell>
          <cell r="E581" t="str">
            <v>G-101</v>
          </cell>
          <cell r="F581" t="str">
            <v>AM167</v>
          </cell>
          <cell r="G581" t="str">
            <v>N2</v>
          </cell>
          <cell r="H581" t="str">
            <v>b3</v>
          </cell>
          <cell r="I581" t="str">
            <v>N2-b3</v>
          </cell>
          <cell r="J581">
            <v>17</v>
          </cell>
          <cell r="K581" t="str">
            <v>78</v>
          </cell>
        </row>
        <row r="582">
          <cell r="A582" t="str">
            <v>17-79</v>
          </cell>
          <cell r="B582">
            <v>963</v>
          </cell>
          <cell r="C582" t="str">
            <v>C1.AM.17.79</v>
          </cell>
          <cell r="D582" t="str">
            <v>AM</v>
          </cell>
          <cell r="E582" t="str">
            <v>G-017</v>
          </cell>
          <cell r="F582" t="str">
            <v>AM034</v>
          </cell>
          <cell r="G582" t="str">
            <v>N2</v>
          </cell>
          <cell r="H582" t="str">
            <v>b3</v>
          </cell>
          <cell r="I582" t="str">
            <v>N2-b3</v>
          </cell>
          <cell r="J582">
            <v>17</v>
          </cell>
          <cell r="K582" t="str">
            <v>79</v>
          </cell>
        </row>
        <row r="583">
          <cell r="A583" t="str">
            <v>17-80</v>
          </cell>
          <cell r="B583">
            <v>964</v>
          </cell>
          <cell r="C583" t="str">
            <v>C1.AM.17.80</v>
          </cell>
          <cell r="D583" t="str">
            <v>AM</v>
          </cell>
          <cell r="E583" t="str">
            <v>G-030</v>
          </cell>
          <cell r="F583" t="str">
            <v>AM052</v>
          </cell>
          <cell r="G583" t="str">
            <v>N2</v>
          </cell>
          <cell r="H583" t="str">
            <v>b3</v>
          </cell>
          <cell r="I583" t="str">
            <v>N2-b3</v>
          </cell>
          <cell r="J583">
            <v>17</v>
          </cell>
          <cell r="K583" t="str">
            <v>80</v>
          </cell>
        </row>
        <row r="584">
          <cell r="A584" t="str">
            <v>17-81</v>
          </cell>
          <cell r="B584">
            <v>965</v>
          </cell>
          <cell r="C584" t="str">
            <v>C1.AM.17.81</v>
          </cell>
          <cell r="D584" t="str">
            <v>AM</v>
          </cell>
          <cell r="E584" t="str">
            <v>G-121</v>
          </cell>
          <cell r="F584" t="str">
            <v>Darmor</v>
          </cell>
          <cell r="G584" t="str">
            <v>N2</v>
          </cell>
          <cell r="H584" t="str">
            <v>b3</v>
          </cell>
          <cell r="I584" t="str">
            <v>N2-b3</v>
          </cell>
          <cell r="J584">
            <v>17</v>
          </cell>
          <cell r="K584" t="str">
            <v>81</v>
          </cell>
        </row>
        <row r="585">
          <cell r="A585" t="str">
            <v>17-82</v>
          </cell>
          <cell r="B585">
            <v>966</v>
          </cell>
          <cell r="C585" t="str">
            <v>C1.AM.17.82</v>
          </cell>
          <cell r="D585" t="str">
            <v>AM</v>
          </cell>
          <cell r="E585" t="str">
            <v>G-102</v>
          </cell>
          <cell r="F585" t="str">
            <v>AM168</v>
          </cell>
          <cell r="G585" t="str">
            <v>N2</v>
          </cell>
          <cell r="H585" t="str">
            <v>b3</v>
          </cell>
          <cell r="I585" t="str">
            <v>N2-b3</v>
          </cell>
          <cell r="J585">
            <v>17</v>
          </cell>
          <cell r="K585" t="str">
            <v>82</v>
          </cell>
        </row>
        <row r="586">
          <cell r="A586" t="str">
            <v>17-83</v>
          </cell>
          <cell r="B586">
            <v>967</v>
          </cell>
          <cell r="C586" t="str">
            <v>C1.AM.17.83</v>
          </cell>
          <cell r="D586" t="str">
            <v>AM</v>
          </cell>
          <cell r="E586" t="str">
            <v>G-104</v>
          </cell>
          <cell r="F586" t="str">
            <v>AM170</v>
          </cell>
          <cell r="G586" t="str">
            <v>N2</v>
          </cell>
          <cell r="H586" t="str">
            <v>b3</v>
          </cell>
          <cell r="I586" t="str">
            <v>N2-b3</v>
          </cell>
          <cell r="J586">
            <v>17</v>
          </cell>
          <cell r="K586" t="str">
            <v>83</v>
          </cell>
        </row>
        <row r="587">
          <cell r="A587" t="str">
            <v>17-84</v>
          </cell>
          <cell r="B587">
            <v>968</v>
          </cell>
          <cell r="C587" t="str">
            <v>C1.AM.17.84</v>
          </cell>
          <cell r="D587" t="str">
            <v>AM</v>
          </cell>
          <cell r="E587" t="str">
            <v>G-007</v>
          </cell>
          <cell r="F587" t="str">
            <v>AM018</v>
          </cell>
          <cell r="G587" t="str">
            <v>N2</v>
          </cell>
          <cell r="H587" t="str">
            <v>b3</v>
          </cell>
          <cell r="I587" t="str">
            <v>N2-b3</v>
          </cell>
          <cell r="J587">
            <v>17</v>
          </cell>
          <cell r="K587" t="str">
            <v>84</v>
          </cell>
        </row>
        <row r="588">
          <cell r="A588" t="str">
            <v>17-85</v>
          </cell>
          <cell r="B588">
            <v>969</v>
          </cell>
          <cell r="C588" t="str">
            <v>C1.AM.17.85</v>
          </cell>
          <cell r="D588" t="str">
            <v>AM</v>
          </cell>
          <cell r="E588" t="str">
            <v>G-080</v>
          </cell>
          <cell r="F588" t="str">
            <v>AM130</v>
          </cell>
          <cell r="G588" t="str">
            <v>N2</v>
          </cell>
          <cell r="H588" t="str">
            <v>b3</v>
          </cell>
          <cell r="I588" t="str">
            <v>N2-b3</v>
          </cell>
          <cell r="J588">
            <v>17</v>
          </cell>
          <cell r="K588" t="str">
            <v>85</v>
          </cell>
        </row>
        <row r="589">
          <cell r="A589" t="str">
            <v>17-86</v>
          </cell>
          <cell r="B589">
            <v>970</v>
          </cell>
          <cell r="C589" t="str">
            <v>C1.AM.17.86</v>
          </cell>
          <cell r="D589" t="str">
            <v>AM</v>
          </cell>
          <cell r="E589" t="str">
            <v>G-084</v>
          </cell>
          <cell r="F589" t="str">
            <v>AM138</v>
          </cell>
          <cell r="G589" t="str">
            <v>N2</v>
          </cell>
          <cell r="H589" t="str">
            <v>b3</v>
          </cell>
          <cell r="I589" t="str">
            <v>N2-b3</v>
          </cell>
          <cell r="J589">
            <v>17</v>
          </cell>
          <cell r="K589" t="str">
            <v>86</v>
          </cell>
        </row>
        <row r="590">
          <cell r="A590" t="str">
            <v>17-87</v>
          </cell>
          <cell r="B590">
            <v>971</v>
          </cell>
          <cell r="C590" t="str">
            <v>C1.AM.17.87</v>
          </cell>
          <cell r="D590" t="str">
            <v>AM</v>
          </cell>
          <cell r="E590" t="str">
            <v>G-116</v>
          </cell>
          <cell r="F590" t="str">
            <v>AM197</v>
          </cell>
          <cell r="G590" t="str">
            <v>N2</v>
          </cell>
          <cell r="H590" t="str">
            <v>b3</v>
          </cell>
          <cell r="I590" t="str">
            <v>N2-b3</v>
          </cell>
          <cell r="J590">
            <v>17</v>
          </cell>
          <cell r="K590" t="str">
            <v>87</v>
          </cell>
        </row>
        <row r="591">
          <cell r="A591" t="str">
            <v>17-88</v>
          </cell>
          <cell r="B591">
            <v>972</v>
          </cell>
          <cell r="C591" t="str">
            <v>C1.AM.17.88</v>
          </cell>
          <cell r="D591" t="str">
            <v>AM</v>
          </cell>
          <cell r="E591" t="str">
            <v>G-005</v>
          </cell>
          <cell r="F591" t="str">
            <v>AM016</v>
          </cell>
          <cell r="G591" t="str">
            <v>N2</v>
          </cell>
          <cell r="H591" t="str">
            <v>b3</v>
          </cell>
          <cell r="I591" t="str">
            <v>N2-b3</v>
          </cell>
          <cell r="J591">
            <v>17</v>
          </cell>
          <cell r="K591" t="str">
            <v>88</v>
          </cell>
        </row>
        <row r="592">
          <cell r="A592" t="str">
            <v>17-89</v>
          </cell>
          <cell r="B592">
            <v>973</v>
          </cell>
          <cell r="C592" t="str">
            <v>C1.AM.17.89</v>
          </cell>
          <cell r="D592" t="str">
            <v>AM</v>
          </cell>
          <cell r="E592" t="str">
            <v>G-032</v>
          </cell>
          <cell r="F592" t="str">
            <v>AM055</v>
          </cell>
          <cell r="G592" t="str">
            <v>N2</v>
          </cell>
          <cell r="H592" t="str">
            <v>b3</v>
          </cell>
          <cell r="I592" t="str">
            <v>N2-b3</v>
          </cell>
          <cell r="J592">
            <v>17</v>
          </cell>
          <cell r="K592" t="str">
            <v>89</v>
          </cell>
        </row>
        <row r="593">
          <cell r="A593" t="str">
            <v>17-90</v>
          </cell>
          <cell r="B593">
            <v>974</v>
          </cell>
          <cell r="C593" t="str">
            <v>C1.AM.17.90</v>
          </cell>
          <cell r="D593" t="str">
            <v>AM</v>
          </cell>
          <cell r="E593" t="str">
            <v>G-106</v>
          </cell>
          <cell r="F593" t="str">
            <v>AM172</v>
          </cell>
          <cell r="G593" t="str">
            <v>N2</v>
          </cell>
          <cell r="H593" t="str">
            <v>b3</v>
          </cell>
          <cell r="I593" t="str">
            <v>N2-b3</v>
          </cell>
          <cell r="J593">
            <v>17</v>
          </cell>
          <cell r="K593" t="str">
            <v>90</v>
          </cell>
        </row>
        <row r="594">
          <cell r="A594" t="str">
            <v>18-65</v>
          </cell>
          <cell r="B594">
            <v>975</v>
          </cell>
          <cell r="C594" t="str">
            <v>C1.AM.18.65</v>
          </cell>
          <cell r="D594" t="str">
            <v>AM</v>
          </cell>
          <cell r="E594" t="str">
            <v>G-035</v>
          </cell>
          <cell r="F594" t="str">
            <v>AM058</v>
          </cell>
          <cell r="G594" t="str">
            <v>N2</v>
          </cell>
          <cell r="H594" t="str">
            <v>b3</v>
          </cell>
          <cell r="I594" t="str">
            <v>N2-b3</v>
          </cell>
          <cell r="J594">
            <v>18</v>
          </cell>
          <cell r="K594" t="str">
            <v>65</v>
          </cell>
        </row>
        <row r="595">
          <cell r="A595" t="str">
            <v>18-66</v>
          </cell>
          <cell r="B595">
            <v>976</v>
          </cell>
          <cell r="C595" t="str">
            <v>C1.AM.18.66</v>
          </cell>
          <cell r="D595" t="str">
            <v>AM</v>
          </cell>
          <cell r="E595" t="str">
            <v>G-063</v>
          </cell>
          <cell r="F595" t="str">
            <v>AM092</v>
          </cell>
          <cell r="G595" t="str">
            <v>N2</v>
          </cell>
          <cell r="H595" t="str">
            <v>b3</v>
          </cell>
          <cell r="I595" t="str">
            <v>N2-b3</v>
          </cell>
          <cell r="J595">
            <v>18</v>
          </cell>
          <cell r="K595" t="str">
            <v>66</v>
          </cell>
        </row>
        <row r="596">
          <cell r="A596" t="str">
            <v>18-67</v>
          </cell>
          <cell r="B596">
            <v>977</v>
          </cell>
          <cell r="C596" t="str">
            <v>C1.AM.18.67</v>
          </cell>
          <cell r="D596" t="str">
            <v>AM</v>
          </cell>
          <cell r="E596" t="str">
            <v>G-018</v>
          </cell>
          <cell r="F596" t="str">
            <v>AM035</v>
          </cell>
          <cell r="G596" t="str">
            <v>N2</v>
          </cell>
          <cell r="H596" t="str">
            <v>b3</v>
          </cell>
          <cell r="I596" t="str">
            <v>N2-b3</v>
          </cell>
          <cell r="J596">
            <v>18</v>
          </cell>
          <cell r="K596" t="str">
            <v>67</v>
          </cell>
        </row>
        <row r="597">
          <cell r="A597" t="str">
            <v>18-68</v>
          </cell>
          <cell r="B597">
            <v>978</v>
          </cell>
          <cell r="C597" t="str">
            <v>C1.AM.18.68</v>
          </cell>
          <cell r="D597" t="str">
            <v>AM</v>
          </cell>
          <cell r="E597" t="str">
            <v>G-074</v>
          </cell>
          <cell r="F597" t="str">
            <v>AM120</v>
          </cell>
          <cell r="G597" t="str">
            <v>N2</v>
          </cell>
          <cell r="H597" t="str">
            <v>b3</v>
          </cell>
          <cell r="I597" t="str">
            <v>N2-b3</v>
          </cell>
          <cell r="J597">
            <v>18</v>
          </cell>
          <cell r="K597" t="str">
            <v>68</v>
          </cell>
        </row>
        <row r="598">
          <cell r="A598" t="str">
            <v>18-69</v>
          </cell>
          <cell r="B598">
            <v>979</v>
          </cell>
          <cell r="C598" t="str">
            <v>C1.AM.18.69</v>
          </cell>
          <cell r="D598" t="str">
            <v>AM</v>
          </cell>
          <cell r="E598" t="str">
            <v>G-015</v>
          </cell>
          <cell r="F598" t="str">
            <v>AM032</v>
          </cell>
          <cell r="G598" t="str">
            <v>N2</v>
          </cell>
          <cell r="H598" t="str">
            <v>b3</v>
          </cell>
          <cell r="I598" t="str">
            <v>N2-b3</v>
          </cell>
          <cell r="J598">
            <v>18</v>
          </cell>
          <cell r="K598" t="str">
            <v>69</v>
          </cell>
        </row>
        <row r="599">
          <cell r="A599" t="str">
            <v>18-70</v>
          </cell>
          <cell r="B599">
            <v>980</v>
          </cell>
          <cell r="C599" t="str">
            <v>C1.AM.18.70</v>
          </cell>
          <cell r="D599" t="str">
            <v>AM</v>
          </cell>
          <cell r="E599" t="str">
            <v>G-052</v>
          </cell>
          <cell r="F599" t="str">
            <v>AM080</v>
          </cell>
          <cell r="G599" t="str">
            <v>N2</v>
          </cell>
          <cell r="H599" t="str">
            <v>b3</v>
          </cell>
          <cell r="I599" t="str">
            <v>N2-b3</v>
          </cell>
          <cell r="J599">
            <v>18</v>
          </cell>
          <cell r="K599" t="str">
            <v>70</v>
          </cell>
        </row>
        <row r="600">
          <cell r="A600" t="str">
            <v>18-71</v>
          </cell>
          <cell r="B600">
            <v>981</v>
          </cell>
          <cell r="C600" t="str">
            <v>C1.AM.18.71</v>
          </cell>
          <cell r="D600" t="str">
            <v>AM</v>
          </cell>
          <cell r="E600" t="str">
            <v>G-049</v>
          </cell>
          <cell r="F600" t="str">
            <v>AM074</v>
          </cell>
          <cell r="G600" t="str">
            <v>N2</v>
          </cell>
          <cell r="H600" t="str">
            <v>b3</v>
          </cell>
          <cell r="I600" t="str">
            <v>N2-b3</v>
          </cell>
          <cell r="J600">
            <v>18</v>
          </cell>
          <cell r="K600" t="str">
            <v>71</v>
          </cell>
        </row>
        <row r="601">
          <cell r="A601" t="str">
            <v>18-72</v>
          </cell>
          <cell r="B601">
            <v>982</v>
          </cell>
          <cell r="C601" t="str">
            <v>C1.AM.18.72</v>
          </cell>
          <cell r="D601" t="str">
            <v>AM</v>
          </cell>
          <cell r="E601" t="str">
            <v>G-022</v>
          </cell>
          <cell r="F601" t="str">
            <v>AM039</v>
          </cell>
          <cell r="G601" t="str">
            <v>N2</v>
          </cell>
          <cell r="H601" t="str">
            <v>b3</v>
          </cell>
          <cell r="I601" t="str">
            <v>N2-b3</v>
          </cell>
          <cell r="J601">
            <v>18</v>
          </cell>
          <cell r="K601" t="str">
            <v>72</v>
          </cell>
        </row>
        <row r="602">
          <cell r="A602" t="str">
            <v>18-73</v>
          </cell>
          <cell r="B602">
            <v>983</v>
          </cell>
          <cell r="C602" t="str">
            <v>C1.AM.18.73</v>
          </cell>
          <cell r="D602" t="str">
            <v>AM</v>
          </cell>
          <cell r="E602" t="str">
            <v>G-024</v>
          </cell>
          <cell r="F602" t="str">
            <v>AM042</v>
          </cell>
          <cell r="G602" t="str">
            <v>N2</v>
          </cell>
          <cell r="H602" t="str">
            <v>b3</v>
          </cell>
          <cell r="I602" t="str">
            <v>N2-b3</v>
          </cell>
          <cell r="J602">
            <v>18</v>
          </cell>
          <cell r="K602" t="str">
            <v>73</v>
          </cell>
        </row>
        <row r="603">
          <cell r="A603" t="str">
            <v>18-74</v>
          </cell>
          <cell r="B603">
            <v>984</v>
          </cell>
          <cell r="C603" t="str">
            <v>C1.AM.18.74</v>
          </cell>
          <cell r="D603" t="str">
            <v>AM</v>
          </cell>
          <cell r="E603" t="str">
            <v>G-034</v>
          </cell>
          <cell r="F603" t="str">
            <v>AM057</v>
          </cell>
          <cell r="G603" t="str">
            <v>N2</v>
          </cell>
          <cell r="H603" t="str">
            <v>b3</v>
          </cell>
          <cell r="I603" t="str">
            <v>N2-b3</v>
          </cell>
          <cell r="J603">
            <v>18</v>
          </cell>
          <cell r="K603" t="str">
            <v>74</v>
          </cell>
        </row>
        <row r="604">
          <cell r="A604" t="str">
            <v>18-75</v>
          </cell>
          <cell r="B604">
            <v>985</v>
          </cell>
          <cell r="C604" t="str">
            <v>C1.AM.18.75</v>
          </cell>
          <cell r="D604" t="str">
            <v>AM</v>
          </cell>
          <cell r="E604" t="str">
            <v>G-105</v>
          </cell>
          <cell r="F604" t="str">
            <v>AM171</v>
          </cell>
          <cell r="G604" t="str">
            <v>N2</v>
          </cell>
          <cell r="H604" t="str">
            <v>b3</v>
          </cell>
          <cell r="I604" t="str">
            <v>N2-b3</v>
          </cell>
          <cell r="J604">
            <v>18</v>
          </cell>
          <cell r="K604" t="str">
            <v>75</v>
          </cell>
        </row>
        <row r="605">
          <cell r="A605" t="str">
            <v>18-76</v>
          </cell>
          <cell r="B605">
            <v>986</v>
          </cell>
          <cell r="C605" t="str">
            <v>C1.AM.18.76</v>
          </cell>
          <cell r="D605" t="str">
            <v>AM</v>
          </cell>
          <cell r="E605" t="str">
            <v>G-008</v>
          </cell>
          <cell r="F605" t="str">
            <v>AM019</v>
          </cell>
          <cell r="G605" t="str">
            <v>N2</v>
          </cell>
          <cell r="H605" t="str">
            <v>b3</v>
          </cell>
          <cell r="I605" t="str">
            <v>N2-b3</v>
          </cell>
          <cell r="J605">
            <v>18</v>
          </cell>
          <cell r="K605" t="str">
            <v>76</v>
          </cell>
        </row>
        <row r="606">
          <cell r="A606" t="str">
            <v>18-77</v>
          </cell>
          <cell r="B606">
            <v>987</v>
          </cell>
          <cell r="C606" t="str">
            <v>C1.AM.18.77</v>
          </cell>
          <cell r="D606" t="str">
            <v>AM</v>
          </cell>
          <cell r="E606" t="str">
            <v>G-081</v>
          </cell>
          <cell r="F606" t="str">
            <v>AM131</v>
          </cell>
          <cell r="G606" t="str">
            <v>N2</v>
          </cell>
          <cell r="H606" t="str">
            <v>b3</v>
          </cell>
          <cell r="I606" t="str">
            <v>N2-b3</v>
          </cell>
          <cell r="J606">
            <v>18</v>
          </cell>
          <cell r="K606" t="str">
            <v>77</v>
          </cell>
        </row>
        <row r="607">
          <cell r="A607" t="str">
            <v>18-78</v>
          </cell>
          <cell r="B607">
            <v>988</v>
          </cell>
          <cell r="C607" t="str">
            <v>C1.AM.18.78</v>
          </cell>
          <cell r="D607" t="str">
            <v>AM</v>
          </cell>
          <cell r="E607" t="str">
            <v>G-010</v>
          </cell>
          <cell r="F607" t="str">
            <v>AM022</v>
          </cell>
          <cell r="G607" t="str">
            <v>N2</v>
          </cell>
          <cell r="H607" t="str">
            <v>b3</v>
          </cell>
          <cell r="I607" t="str">
            <v>N2-b3</v>
          </cell>
          <cell r="J607">
            <v>18</v>
          </cell>
          <cell r="K607" t="str">
            <v>78</v>
          </cell>
        </row>
        <row r="608">
          <cell r="A608" t="str">
            <v>18-79</v>
          </cell>
          <cell r="B608">
            <v>989</v>
          </cell>
          <cell r="C608" t="str">
            <v>C1.AM.18.79</v>
          </cell>
          <cell r="D608" t="str">
            <v>AM</v>
          </cell>
          <cell r="E608" t="str">
            <v>G-064</v>
          </cell>
          <cell r="F608" t="str">
            <v>AM093</v>
          </cell>
          <cell r="G608" t="str">
            <v>N2</v>
          </cell>
          <cell r="H608" t="str">
            <v>b3</v>
          </cell>
          <cell r="I608" t="str">
            <v>N2-b3</v>
          </cell>
          <cell r="J608">
            <v>18</v>
          </cell>
          <cell r="K608" t="str">
            <v>79</v>
          </cell>
        </row>
        <row r="609">
          <cell r="A609" t="str">
            <v>18-80</v>
          </cell>
          <cell r="B609">
            <v>990</v>
          </cell>
          <cell r="C609" t="str">
            <v>C1.AM.18.80</v>
          </cell>
          <cell r="D609" t="str">
            <v>AM</v>
          </cell>
          <cell r="E609" t="str">
            <v>G-004</v>
          </cell>
          <cell r="F609" t="str">
            <v>AM015</v>
          </cell>
          <cell r="G609" t="str">
            <v>N2</v>
          </cell>
          <cell r="H609" t="str">
            <v>b3</v>
          </cell>
          <cell r="I609" t="str">
            <v>N2-b3</v>
          </cell>
          <cell r="J609">
            <v>18</v>
          </cell>
          <cell r="K609" t="str">
            <v>80</v>
          </cell>
        </row>
        <row r="610">
          <cell r="A610" t="str">
            <v>18-81</v>
          </cell>
          <cell r="B610">
            <v>991</v>
          </cell>
          <cell r="C610" t="str">
            <v>C1.AM.18.81</v>
          </cell>
          <cell r="D610" t="str">
            <v>AM</v>
          </cell>
          <cell r="E610" t="str">
            <v>G-059</v>
          </cell>
          <cell r="F610" t="str">
            <v>AM088</v>
          </cell>
          <cell r="G610" t="str">
            <v>N2</v>
          </cell>
          <cell r="H610" t="str">
            <v>b3</v>
          </cell>
          <cell r="I610" t="str">
            <v>N2-b3</v>
          </cell>
          <cell r="J610">
            <v>18</v>
          </cell>
          <cell r="K610" t="str">
            <v>81</v>
          </cell>
        </row>
        <row r="611">
          <cell r="A611" t="str">
            <v>18-82</v>
          </cell>
          <cell r="B611">
            <v>992</v>
          </cell>
          <cell r="C611" t="str">
            <v>C1.AM.18.82</v>
          </cell>
          <cell r="D611" t="str">
            <v>AM</v>
          </cell>
          <cell r="E611" t="str">
            <v>G-093</v>
          </cell>
          <cell r="F611" t="str">
            <v>AM148</v>
          </cell>
          <cell r="G611" t="str">
            <v>N2</v>
          </cell>
          <cell r="H611" t="str">
            <v>b3</v>
          </cell>
          <cell r="I611" t="str">
            <v>N2-b3</v>
          </cell>
          <cell r="J611">
            <v>18</v>
          </cell>
          <cell r="K611" t="str">
            <v>82</v>
          </cell>
        </row>
        <row r="612">
          <cell r="A612" t="str">
            <v>18-83</v>
          </cell>
          <cell r="B612">
            <v>993</v>
          </cell>
          <cell r="C612" t="str">
            <v>C1.AM.18.83</v>
          </cell>
          <cell r="D612" t="str">
            <v>AM</v>
          </cell>
          <cell r="E612" t="str">
            <v>G-085</v>
          </cell>
          <cell r="F612" t="str">
            <v>AM139</v>
          </cell>
          <cell r="G612" t="str">
            <v>N2</v>
          </cell>
          <cell r="H612" t="str">
            <v>b3</v>
          </cell>
          <cell r="I612" t="str">
            <v>N2-b3</v>
          </cell>
          <cell r="J612">
            <v>18</v>
          </cell>
          <cell r="K612" t="str">
            <v>83</v>
          </cell>
        </row>
        <row r="613">
          <cell r="A613" t="str">
            <v>18-84</v>
          </cell>
          <cell r="B613">
            <v>994</v>
          </cell>
          <cell r="C613" t="str">
            <v>C1.AM.18.84</v>
          </cell>
          <cell r="D613" t="str">
            <v>AM</v>
          </cell>
          <cell r="E613" t="str">
            <v>G-071</v>
          </cell>
          <cell r="F613" t="str">
            <v>AM107</v>
          </cell>
          <cell r="G613" t="str">
            <v>N2</v>
          </cell>
          <cell r="H613" t="str">
            <v>b3</v>
          </cell>
          <cell r="I613" t="str">
            <v>N2-b3</v>
          </cell>
          <cell r="J613">
            <v>18</v>
          </cell>
          <cell r="K613" t="str">
            <v>84</v>
          </cell>
        </row>
        <row r="614">
          <cell r="A614" t="str">
            <v>18-85</v>
          </cell>
          <cell r="B614">
            <v>995</v>
          </cell>
          <cell r="C614" t="str">
            <v>C1.AM.18.85</v>
          </cell>
          <cell r="D614" t="str">
            <v>AM</v>
          </cell>
          <cell r="E614" t="str">
            <v>G-001</v>
          </cell>
          <cell r="F614" t="str">
            <v>Aviso</v>
          </cell>
          <cell r="G614" t="str">
            <v>N2</v>
          </cell>
          <cell r="H614" t="str">
            <v>b3</v>
          </cell>
          <cell r="I614" t="str">
            <v>N2-b3</v>
          </cell>
          <cell r="J614">
            <v>18</v>
          </cell>
          <cell r="K614" t="str">
            <v>85</v>
          </cell>
        </row>
        <row r="615">
          <cell r="A615" t="str">
            <v>18-86</v>
          </cell>
          <cell r="B615">
            <v>996</v>
          </cell>
          <cell r="C615" t="str">
            <v>C1.AM.18.86</v>
          </cell>
          <cell r="D615" t="str">
            <v>AM</v>
          </cell>
          <cell r="E615" t="str">
            <v>G-046</v>
          </cell>
          <cell r="F615" t="str">
            <v>AM070</v>
          </cell>
          <cell r="G615" t="str">
            <v>N2</v>
          </cell>
          <cell r="H615" t="str">
            <v>b3</v>
          </cell>
          <cell r="I615" t="str">
            <v>N2-b3</v>
          </cell>
          <cell r="J615">
            <v>18</v>
          </cell>
          <cell r="K615" t="str">
            <v>86</v>
          </cell>
        </row>
        <row r="616">
          <cell r="A616" t="str">
            <v>18-87</v>
          </cell>
          <cell r="B616">
            <v>997</v>
          </cell>
          <cell r="C616" t="str">
            <v>C1.AM.18.87</v>
          </cell>
          <cell r="D616" t="str">
            <v>AM</v>
          </cell>
          <cell r="E616" t="str">
            <v>G-066</v>
          </cell>
          <cell r="F616" t="str">
            <v>AM096</v>
          </cell>
          <cell r="G616" t="str">
            <v>N2</v>
          </cell>
          <cell r="H616" t="str">
            <v>b3</v>
          </cell>
          <cell r="I616" t="str">
            <v>N2-b3</v>
          </cell>
          <cell r="J616">
            <v>18</v>
          </cell>
          <cell r="K616" t="str">
            <v>87</v>
          </cell>
        </row>
        <row r="617">
          <cell r="A617" t="str">
            <v>18-88</v>
          </cell>
          <cell r="B617">
            <v>998</v>
          </cell>
          <cell r="C617" t="str">
            <v>C1.AM.18.88</v>
          </cell>
          <cell r="D617" t="str">
            <v>AM</v>
          </cell>
          <cell r="E617" t="str">
            <v>G-098</v>
          </cell>
          <cell r="F617" t="str">
            <v>AM164</v>
          </cell>
          <cell r="G617" t="str">
            <v>N2</v>
          </cell>
          <cell r="H617" t="str">
            <v>b3</v>
          </cell>
          <cell r="I617" t="str">
            <v>N2-b3</v>
          </cell>
          <cell r="J617">
            <v>18</v>
          </cell>
          <cell r="K617" t="str">
            <v>88</v>
          </cell>
        </row>
        <row r="618">
          <cell r="A618" t="str">
            <v>18-89</v>
          </cell>
          <cell r="B618">
            <v>999</v>
          </cell>
          <cell r="C618" t="str">
            <v>C1.AM.18.89</v>
          </cell>
          <cell r="D618" t="str">
            <v>AM</v>
          </cell>
          <cell r="E618" t="str">
            <v>G-103</v>
          </cell>
          <cell r="F618" t="str">
            <v>AM169</v>
          </cell>
          <cell r="G618" t="str">
            <v>N2</v>
          </cell>
          <cell r="H618" t="str">
            <v>b3</v>
          </cell>
          <cell r="I618" t="str">
            <v>N2-b3</v>
          </cell>
          <cell r="J618">
            <v>18</v>
          </cell>
          <cell r="K618" t="str">
            <v>89</v>
          </cell>
        </row>
        <row r="619">
          <cell r="A619" t="str">
            <v>18-90</v>
          </cell>
          <cell r="B619">
            <v>1000</v>
          </cell>
          <cell r="C619" t="str">
            <v>C1.AM.18.90</v>
          </cell>
          <cell r="D619" t="str">
            <v>AM</v>
          </cell>
          <cell r="E619" t="str">
            <v>G-062</v>
          </cell>
          <cell r="F619" t="str">
            <v>AM091</v>
          </cell>
          <cell r="G619" t="str">
            <v>N2</v>
          </cell>
          <cell r="H619" t="str">
            <v>b3</v>
          </cell>
          <cell r="I619" t="str">
            <v>N2-b3</v>
          </cell>
          <cell r="J619">
            <v>18</v>
          </cell>
          <cell r="K619" t="str">
            <v>90</v>
          </cell>
        </row>
        <row r="620">
          <cell r="A620" t="str">
            <v>19-65</v>
          </cell>
          <cell r="B620">
            <v>1001</v>
          </cell>
          <cell r="C620" t="str">
            <v>C1.AM.19.65</v>
          </cell>
          <cell r="D620" t="str">
            <v>AM</v>
          </cell>
          <cell r="E620" t="str">
            <v>G-002</v>
          </cell>
          <cell r="F620" t="str">
            <v>Montego</v>
          </cell>
          <cell r="G620" t="str">
            <v>N2</v>
          </cell>
          <cell r="H620" t="str">
            <v>b3</v>
          </cell>
          <cell r="I620" t="str">
            <v>N2-b3</v>
          </cell>
          <cell r="J620">
            <v>19</v>
          </cell>
          <cell r="K620" t="str">
            <v>65</v>
          </cell>
        </row>
        <row r="621">
          <cell r="A621" t="str">
            <v>19-66</v>
          </cell>
          <cell r="B621">
            <v>1002</v>
          </cell>
          <cell r="C621" t="str">
            <v>C1.AM.19.66</v>
          </cell>
          <cell r="D621" t="str">
            <v>AM</v>
          </cell>
          <cell r="E621" t="str">
            <v>G-047</v>
          </cell>
          <cell r="F621" t="str">
            <v>AM071</v>
          </cell>
          <cell r="G621" t="str">
            <v>N2</v>
          </cell>
          <cell r="H621" t="str">
            <v>b3</v>
          </cell>
          <cell r="I621" t="str">
            <v>N2-b3</v>
          </cell>
          <cell r="J621">
            <v>19</v>
          </cell>
          <cell r="K621" t="str">
            <v>66</v>
          </cell>
        </row>
        <row r="622">
          <cell r="A622" t="str">
            <v>19-67</v>
          </cell>
          <cell r="B622">
            <v>1003</v>
          </cell>
          <cell r="C622" t="str">
            <v>C1.AM.19.67</v>
          </cell>
          <cell r="D622" t="str">
            <v>AM</v>
          </cell>
          <cell r="E622" t="str">
            <v>G-048</v>
          </cell>
          <cell r="F622" t="str">
            <v>AM073</v>
          </cell>
          <cell r="G622" t="str">
            <v>N2</v>
          </cell>
          <cell r="H622" t="str">
            <v>b3</v>
          </cell>
          <cell r="I622" t="str">
            <v>N2-b3</v>
          </cell>
          <cell r="J622">
            <v>19</v>
          </cell>
          <cell r="K622" t="str">
            <v>67</v>
          </cell>
        </row>
        <row r="623">
          <cell r="A623" t="str">
            <v>19-68</v>
          </cell>
          <cell r="B623">
            <v>1004</v>
          </cell>
          <cell r="C623" t="str">
            <v>C1.AM.19.68</v>
          </cell>
          <cell r="D623" t="str">
            <v>AM</v>
          </cell>
          <cell r="E623" t="str">
            <v>G-050</v>
          </cell>
          <cell r="F623" t="str">
            <v>AM076</v>
          </cell>
          <cell r="G623" t="str">
            <v>N2</v>
          </cell>
          <cell r="H623" t="str">
            <v>b3</v>
          </cell>
          <cell r="I623" t="str">
            <v>N2-b3</v>
          </cell>
          <cell r="J623">
            <v>19</v>
          </cell>
          <cell r="K623" t="str">
            <v>68</v>
          </cell>
        </row>
        <row r="624">
          <cell r="A624" t="str">
            <v>19-69</v>
          </cell>
          <cell r="B624">
            <v>1005</v>
          </cell>
          <cell r="C624" t="str">
            <v>C1.AM.19.69</v>
          </cell>
          <cell r="D624" t="str">
            <v>AM</v>
          </cell>
          <cell r="E624" t="str">
            <v>G-003</v>
          </cell>
          <cell r="F624" t="str">
            <v>AM014</v>
          </cell>
          <cell r="G624" t="str">
            <v>N2</v>
          </cell>
          <cell r="H624" t="str">
            <v>b3</v>
          </cell>
          <cell r="I624" t="str">
            <v>N2-b3</v>
          </cell>
          <cell r="J624">
            <v>19</v>
          </cell>
          <cell r="K624" t="str">
            <v>69</v>
          </cell>
        </row>
        <row r="625">
          <cell r="A625" t="str">
            <v>19-70</v>
          </cell>
          <cell r="B625">
            <v>1006</v>
          </cell>
          <cell r="C625" t="str">
            <v>C1.AM.19.70</v>
          </cell>
          <cell r="D625" t="str">
            <v>AM</v>
          </cell>
          <cell r="E625" t="str">
            <v>G-057</v>
          </cell>
          <cell r="F625" t="str">
            <v>AM086</v>
          </cell>
          <cell r="G625" t="str">
            <v>N2</v>
          </cell>
          <cell r="H625" t="str">
            <v>b3</v>
          </cell>
          <cell r="I625" t="str">
            <v>N2-b3</v>
          </cell>
          <cell r="J625">
            <v>19</v>
          </cell>
          <cell r="K625" t="str">
            <v>70</v>
          </cell>
        </row>
        <row r="626">
          <cell r="A626" t="str">
            <v>19-71</v>
          </cell>
          <cell r="B626">
            <v>1007</v>
          </cell>
          <cell r="C626" t="str">
            <v>C1.AM.19.71</v>
          </cell>
          <cell r="D626" t="str">
            <v>AM</v>
          </cell>
          <cell r="E626" t="str">
            <v>G-020</v>
          </cell>
          <cell r="F626" t="str">
            <v>AM037</v>
          </cell>
          <cell r="G626" t="str">
            <v>N2</v>
          </cell>
          <cell r="H626" t="str">
            <v>b3</v>
          </cell>
          <cell r="I626" t="str">
            <v>N2-b3</v>
          </cell>
          <cell r="J626">
            <v>19</v>
          </cell>
          <cell r="K626" t="str">
            <v>71</v>
          </cell>
        </row>
        <row r="627">
          <cell r="A627" t="str">
            <v>19-72</v>
          </cell>
          <cell r="B627">
            <v>1008</v>
          </cell>
          <cell r="C627" t="str">
            <v>C1.AM.19.72</v>
          </cell>
          <cell r="D627" t="str">
            <v>AM</v>
          </cell>
          <cell r="E627" t="str">
            <v>G-097</v>
          </cell>
          <cell r="F627" t="str">
            <v>AM161</v>
          </cell>
          <cell r="G627" t="str">
            <v>N2</v>
          </cell>
          <cell r="H627" t="str">
            <v>b3</v>
          </cell>
          <cell r="I627" t="str">
            <v>N2-b3</v>
          </cell>
          <cell r="J627">
            <v>19</v>
          </cell>
          <cell r="K627" t="str">
            <v>72</v>
          </cell>
        </row>
        <row r="628">
          <cell r="A628" t="str">
            <v>19-73</v>
          </cell>
          <cell r="B628">
            <v>1009</v>
          </cell>
          <cell r="C628" t="str">
            <v>C1.AM.19.73</v>
          </cell>
          <cell r="D628" t="str">
            <v>AM</v>
          </cell>
          <cell r="E628" t="str">
            <v>G-027</v>
          </cell>
          <cell r="F628" t="str">
            <v>AM048</v>
          </cell>
          <cell r="G628" t="str">
            <v>N2</v>
          </cell>
          <cell r="H628" t="str">
            <v>b3</v>
          </cell>
          <cell r="I628" t="str">
            <v>N2-b3</v>
          </cell>
          <cell r="J628">
            <v>19</v>
          </cell>
          <cell r="K628" t="str">
            <v>73</v>
          </cell>
        </row>
        <row r="629">
          <cell r="A629" t="str">
            <v>19-74</v>
          </cell>
          <cell r="B629">
            <v>1010</v>
          </cell>
          <cell r="C629" t="str">
            <v>C1.AM.19.74</v>
          </cell>
          <cell r="D629" t="str">
            <v>AM</v>
          </cell>
          <cell r="E629" t="str">
            <v>G-073</v>
          </cell>
          <cell r="F629" t="str">
            <v>AM111</v>
          </cell>
          <cell r="G629" t="str">
            <v>N2</v>
          </cell>
          <cell r="H629" t="str">
            <v>b3</v>
          </cell>
          <cell r="I629" t="str">
            <v>N2-b3</v>
          </cell>
          <cell r="J629">
            <v>19</v>
          </cell>
          <cell r="K629" t="str">
            <v>74</v>
          </cell>
        </row>
        <row r="630">
          <cell r="A630" t="str">
            <v>19-75</v>
          </cell>
          <cell r="B630">
            <v>1011</v>
          </cell>
          <cell r="C630" t="str">
            <v>C1.AM.19.75</v>
          </cell>
          <cell r="D630" t="str">
            <v>AM</v>
          </cell>
          <cell r="E630" t="str">
            <v>G-054</v>
          </cell>
          <cell r="F630" t="str">
            <v>AM083</v>
          </cell>
          <cell r="G630" t="str">
            <v>N2</v>
          </cell>
          <cell r="H630" t="str">
            <v>b3</v>
          </cell>
          <cell r="I630" t="str">
            <v>N2-b3</v>
          </cell>
          <cell r="J630">
            <v>19</v>
          </cell>
          <cell r="K630" t="str">
            <v>75</v>
          </cell>
        </row>
        <row r="631">
          <cell r="A631" t="str">
            <v>19-76</v>
          </cell>
          <cell r="B631">
            <v>1012</v>
          </cell>
          <cell r="C631" t="str">
            <v>C1.AM.19.76</v>
          </cell>
          <cell r="D631" t="str">
            <v>AM</v>
          </cell>
          <cell r="E631" t="str">
            <v>G-013</v>
          </cell>
          <cell r="F631" t="str">
            <v>AM030</v>
          </cell>
          <cell r="G631" t="str">
            <v>N2</v>
          </cell>
          <cell r="H631" t="str">
            <v>b3</v>
          </cell>
          <cell r="I631" t="str">
            <v>N2-b3</v>
          </cell>
          <cell r="J631">
            <v>19</v>
          </cell>
          <cell r="K631" t="str">
            <v>76</v>
          </cell>
        </row>
        <row r="632">
          <cell r="A632" t="str">
            <v>19-77</v>
          </cell>
          <cell r="B632">
            <v>1013</v>
          </cell>
          <cell r="C632" t="str">
            <v>C1.AM.19.77</v>
          </cell>
          <cell r="D632" t="str">
            <v>AM</v>
          </cell>
          <cell r="E632" t="str">
            <v>G-078</v>
          </cell>
          <cell r="F632" t="str">
            <v>AM127</v>
          </cell>
          <cell r="G632" t="str">
            <v>N2</v>
          </cell>
          <cell r="H632" t="str">
            <v>b3</v>
          </cell>
          <cell r="I632" t="str">
            <v>N2-b3</v>
          </cell>
          <cell r="J632">
            <v>19</v>
          </cell>
          <cell r="K632" t="str">
            <v>77</v>
          </cell>
        </row>
        <row r="633">
          <cell r="A633" t="str">
            <v>19-78</v>
          </cell>
          <cell r="B633">
            <v>1014</v>
          </cell>
          <cell r="C633" t="str">
            <v>C1.AM.19.78</v>
          </cell>
          <cell r="D633" t="str">
            <v>AM</v>
          </cell>
          <cell r="E633" t="str">
            <v>G-065</v>
          </cell>
          <cell r="F633" t="str">
            <v>AM094</v>
          </cell>
          <cell r="G633" t="str">
            <v>N2</v>
          </cell>
          <cell r="H633" t="str">
            <v>b3</v>
          </cell>
          <cell r="I633" t="str">
            <v>N2-b3</v>
          </cell>
          <cell r="J633">
            <v>19</v>
          </cell>
          <cell r="K633" t="str">
            <v>78</v>
          </cell>
        </row>
        <row r="634">
          <cell r="A634" t="str">
            <v>19-79</v>
          </cell>
          <cell r="B634">
            <v>1015</v>
          </cell>
          <cell r="C634" t="str">
            <v>C1.AM.19.79</v>
          </cell>
          <cell r="D634" t="str">
            <v>AM</v>
          </cell>
          <cell r="E634" t="str">
            <v>G-040</v>
          </cell>
          <cell r="F634" t="str">
            <v>AM063</v>
          </cell>
          <cell r="G634" t="str">
            <v>N2</v>
          </cell>
          <cell r="H634" t="str">
            <v>b3</v>
          </cell>
          <cell r="I634" t="str">
            <v>N2-b3</v>
          </cell>
          <cell r="J634">
            <v>19</v>
          </cell>
          <cell r="K634" t="str">
            <v>79</v>
          </cell>
        </row>
        <row r="635">
          <cell r="A635" t="str">
            <v>19-80</v>
          </cell>
          <cell r="B635">
            <v>1016</v>
          </cell>
          <cell r="C635" t="str">
            <v>C1.AM.19.80</v>
          </cell>
          <cell r="D635" t="str">
            <v>AM</v>
          </cell>
          <cell r="E635" t="str">
            <v>G-113</v>
          </cell>
          <cell r="F635" t="str">
            <v>AM189</v>
          </cell>
          <cell r="G635" t="str">
            <v>N2</v>
          </cell>
          <cell r="H635" t="str">
            <v>b3</v>
          </cell>
          <cell r="I635" t="str">
            <v>N2-b3</v>
          </cell>
          <cell r="J635">
            <v>19</v>
          </cell>
          <cell r="K635" t="str">
            <v>80</v>
          </cell>
        </row>
        <row r="636">
          <cell r="A636" t="str">
            <v>19-81</v>
          </cell>
          <cell r="B636">
            <v>1017</v>
          </cell>
          <cell r="C636" t="str">
            <v>C1.AM.19.81</v>
          </cell>
          <cell r="D636" t="str">
            <v>AM</v>
          </cell>
          <cell r="E636" t="str">
            <v>G-061</v>
          </cell>
          <cell r="F636" t="str">
            <v>AM090</v>
          </cell>
          <cell r="G636" t="str">
            <v>N2</v>
          </cell>
          <cell r="H636" t="str">
            <v>b3</v>
          </cell>
          <cell r="I636" t="str">
            <v>N2-b3</v>
          </cell>
          <cell r="J636">
            <v>19</v>
          </cell>
          <cell r="K636" t="str">
            <v>81</v>
          </cell>
        </row>
        <row r="637">
          <cell r="A637" t="str">
            <v>19-82</v>
          </cell>
          <cell r="B637">
            <v>1018</v>
          </cell>
          <cell r="C637" t="str">
            <v>C1.AM.19.82</v>
          </cell>
          <cell r="D637" t="str">
            <v>AM</v>
          </cell>
          <cell r="E637" t="str">
            <v>G-087</v>
          </cell>
          <cell r="F637" t="str">
            <v>AM141</v>
          </cell>
          <cell r="G637" t="str">
            <v>N2</v>
          </cell>
          <cell r="H637" t="str">
            <v>b3</v>
          </cell>
          <cell r="I637" t="str">
            <v>N2-b3</v>
          </cell>
          <cell r="J637">
            <v>19</v>
          </cell>
          <cell r="K637" t="str">
            <v>82</v>
          </cell>
        </row>
        <row r="638">
          <cell r="A638" t="str">
            <v>19-83</v>
          </cell>
          <cell r="B638">
            <v>1019</v>
          </cell>
          <cell r="C638" t="str">
            <v>C1.AM.19.83</v>
          </cell>
          <cell r="D638" t="str">
            <v>AM</v>
          </cell>
          <cell r="E638" t="str">
            <v>G-033</v>
          </cell>
          <cell r="F638" t="str">
            <v>AM056</v>
          </cell>
          <cell r="G638" t="str">
            <v>N2</v>
          </cell>
          <cell r="H638" t="str">
            <v>b3</v>
          </cell>
          <cell r="I638" t="str">
            <v>N2-b3</v>
          </cell>
          <cell r="J638">
            <v>19</v>
          </cell>
          <cell r="K638" t="str">
            <v>83</v>
          </cell>
        </row>
        <row r="639">
          <cell r="A639" t="str">
            <v>19-84</v>
          </cell>
          <cell r="B639">
            <v>1020</v>
          </cell>
          <cell r="C639" t="str">
            <v>C1.AM.19.84</v>
          </cell>
          <cell r="D639" t="str">
            <v>AM</v>
          </cell>
          <cell r="E639" t="str">
            <v>G-031</v>
          </cell>
          <cell r="F639" t="str">
            <v>AM053</v>
          </cell>
          <cell r="G639" t="str">
            <v>N2</v>
          </cell>
          <cell r="H639" t="str">
            <v>b3</v>
          </cell>
          <cell r="I639" t="str">
            <v>N2-b3</v>
          </cell>
          <cell r="J639">
            <v>19</v>
          </cell>
          <cell r="K639" t="str">
            <v>84</v>
          </cell>
        </row>
        <row r="640">
          <cell r="A640" t="str">
            <v>19-85</v>
          </cell>
          <cell r="B640">
            <v>1021</v>
          </cell>
          <cell r="C640" t="str">
            <v>C1.AM.19.85</v>
          </cell>
          <cell r="D640" t="str">
            <v>AM</v>
          </cell>
          <cell r="E640" t="str">
            <v>G-099</v>
          </cell>
          <cell r="F640" t="str">
            <v>AM165</v>
          </cell>
          <cell r="G640" t="str">
            <v>N2</v>
          </cell>
          <cell r="H640" t="str">
            <v>b3</v>
          </cell>
          <cell r="I640" t="str">
            <v>N2-b3</v>
          </cell>
          <cell r="J640">
            <v>19</v>
          </cell>
          <cell r="K640" t="str">
            <v>85</v>
          </cell>
        </row>
        <row r="641">
          <cell r="A641" t="str">
            <v>19-86</v>
          </cell>
          <cell r="B641">
            <v>1022</v>
          </cell>
          <cell r="C641" t="str">
            <v>C1.AM.19.86</v>
          </cell>
          <cell r="D641" t="str">
            <v>AM</v>
          </cell>
          <cell r="E641" t="str">
            <v>G-001</v>
          </cell>
          <cell r="F641" t="str">
            <v>Aviso</v>
          </cell>
          <cell r="G641" t="str">
            <v>N2</v>
          </cell>
          <cell r="H641" t="str">
            <v>b3</v>
          </cell>
          <cell r="I641" t="str">
            <v>N2-b3</v>
          </cell>
          <cell r="J641">
            <v>19</v>
          </cell>
          <cell r="K641" t="str">
            <v>86</v>
          </cell>
        </row>
        <row r="642">
          <cell r="A642" t="str">
            <v>19-87</v>
          </cell>
          <cell r="B642">
            <v>1023</v>
          </cell>
          <cell r="C642" t="str">
            <v>C1.AM.19.87</v>
          </cell>
          <cell r="D642" t="str">
            <v>AM</v>
          </cell>
          <cell r="E642" t="str">
            <v>G-044</v>
          </cell>
          <cell r="F642" t="str">
            <v>AM068</v>
          </cell>
          <cell r="G642" t="str">
            <v>N2</v>
          </cell>
          <cell r="H642" t="str">
            <v>b3</v>
          </cell>
          <cell r="I642" t="str">
            <v>N2-b3</v>
          </cell>
          <cell r="J642">
            <v>19</v>
          </cell>
          <cell r="K642" t="str">
            <v>87</v>
          </cell>
        </row>
        <row r="643">
          <cell r="A643" t="str">
            <v>19-88</v>
          </cell>
          <cell r="B643">
            <v>1024</v>
          </cell>
          <cell r="C643" t="str">
            <v>C1.AM.19.88</v>
          </cell>
          <cell r="D643" t="str">
            <v>AM</v>
          </cell>
          <cell r="E643" t="str">
            <v>G-053</v>
          </cell>
          <cell r="F643" t="str">
            <v>AM082</v>
          </cell>
          <cell r="G643" t="str">
            <v>N2</v>
          </cell>
          <cell r="H643" t="str">
            <v>b3</v>
          </cell>
          <cell r="I643" t="str">
            <v>N2-b3</v>
          </cell>
          <cell r="J643">
            <v>19</v>
          </cell>
          <cell r="K643" t="str">
            <v>88</v>
          </cell>
        </row>
        <row r="644">
          <cell r="A644" t="str">
            <v>19-89</v>
          </cell>
          <cell r="B644">
            <v>1025</v>
          </cell>
          <cell r="C644" t="str">
            <v>C1.AM.19.89</v>
          </cell>
          <cell r="D644" t="str">
            <v>AM</v>
          </cell>
          <cell r="E644" t="str">
            <v>G-119</v>
          </cell>
          <cell r="F644" t="str">
            <v>Kurander</v>
          </cell>
          <cell r="G644" t="str">
            <v>N2</v>
          </cell>
          <cell r="H644" t="str">
            <v>b3</v>
          </cell>
          <cell r="I644" t="str">
            <v>N2-b3</v>
          </cell>
          <cell r="J644">
            <v>19</v>
          </cell>
          <cell r="K644" t="str">
            <v>89</v>
          </cell>
        </row>
        <row r="645">
          <cell r="A645" t="str">
            <v>19-90</v>
          </cell>
          <cell r="B645">
            <v>1026</v>
          </cell>
          <cell r="C645" t="str">
            <v>C1.AM.19.90</v>
          </cell>
          <cell r="D645" t="str">
            <v>AM</v>
          </cell>
          <cell r="E645" t="str">
            <v>G-107</v>
          </cell>
          <cell r="F645" t="str">
            <v>AM173</v>
          </cell>
          <cell r="G645" t="str">
            <v>N2</v>
          </cell>
          <cell r="H645" t="str">
            <v>b3</v>
          </cell>
          <cell r="I645" t="str">
            <v>N2-b3</v>
          </cell>
          <cell r="J645">
            <v>19</v>
          </cell>
          <cell r="K645" t="str">
            <v>90</v>
          </cell>
        </row>
        <row r="646">
          <cell r="A646" t="str">
            <v>20-65</v>
          </cell>
          <cell r="B646">
            <v>1027</v>
          </cell>
          <cell r="C646" t="str">
            <v>C1.AM.20.65</v>
          </cell>
          <cell r="D646" t="str">
            <v>AM</v>
          </cell>
          <cell r="E646" t="str">
            <v>G-067</v>
          </cell>
          <cell r="F646" t="str">
            <v>AM098</v>
          </cell>
          <cell r="G646" t="str">
            <v>N1</v>
          </cell>
          <cell r="H646" t="str">
            <v>b3</v>
          </cell>
          <cell r="I646" t="str">
            <v>N1-b3</v>
          </cell>
          <cell r="J646">
            <v>20</v>
          </cell>
          <cell r="K646" t="str">
            <v>65</v>
          </cell>
        </row>
        <row r="647">
          <cell r="A647" t="str">
            <v>20-66</v>
          </cell>
          <cell r="B647">
            <v>1028</v>
          </cell>
          <cell r="C647" t="str">
            <v>C1.AM.20.66</v>
          </cell>
          <cell r="D647" t="str">
            <v>AM</v>
          </cell>
          <cell r="E647" t="str">
            <v>G-027</v>
          </cell>
          <cell r="F647" t="str">
            <v>AM048</v>
          </cell>
          <cell r="G647" t="str">
            <v>N1</v>
          </cell>
          <cell r="H647" t="str">
            <v>b3</v>
          </cell>
          <cell r="I647" t="str">
            <v>N1-b3</v>
          </cell>
          <cell r="J647">
            <v>20</v>
          </cell>
          <cell r="K647" t="str">
            <v>66</v>
          </cell>
        </row>
        <row r="648">
          <cell r="A648" t="str">
            <v>20-67</v>
          </cell>
          <cell r="B648">
            <v>1029</v>
          </cell>
          <cell r="C648" t="str">
            <v>C1.AM.20.67</v>
          </cell>
          <cell r="D648" t="str">
            <v>AM</v>
          </cell>
          <cell r="E648" t="str">
            <v>G-069</v>
          </cell>
          <cell r="F648" t="str">
            <v>AM101</v>
          </cell>
          <cell r="G648" t="str">
            <v>N1</v>
          </cell>
          <cell r="H648" t="str">
            <v>b3</v>
          </cell>
          <cell r="I648" t="str">
            <v>N1-b3</v>
          </cell>
          <cell r="J648">
            <v>20</v>
          </cell>
          <cell r="K648" t="str">
            <v>67</v>
          </cell>
        </row>
        <row r="649">
          <cell r="A649" t="str">
            <v>20-68</v>
          </cell>
          <cell r="B649">
            <v>1030</v>
          </cell>
          <cell r="C649" t="str">
            <v>C1.AM.20.68</v>
          </cell>
          <cell r="D649" t="str">
            <v>AM</v>
          </cell>
          <cell r="E649" t="str">
            <v>G-042</v>
          </cell>
          <cell r="F649" t="str">
            <v>AM066</v>
          </cell>
          <cell r="G649" t="str">
            <v>N1</v>
          </cell>
          <cell r="H649" t="str">
            <v>b3</v>
          </cell>
          <cell r="I649" t="str">
            <v>N1-b3</v>
          </cell>
          <cell r="J649">
            <v>20</v>
          </cell>
          <cell r="K649" t="str">
            <v>68</v>
          </cell>
        </row>
        <row r="650">
          <cell r="A650" t="str">
            <v>20-69</v>
          </cell>
          <cell r="B650">
            <v>1031</v>
          </cell>
          <cell r="C650" t="str">
            <v>C1.AM.20.69</v>
          </cell>
          <cell r="D650" t="str">
            <v>AM</v>
          </cell>
          <cell r="E650" t="str">
            <v>G-114</v>
          </cell>
          <cell r="F650" t="str">
            <v>AM193</v>
          </cell>
          <cell r="G650" t="str">
            <v>N1</v>
          </cell>
          <cell r="H650" t="str">
            <v>b3</v>
          </cell>
          <cell r="I650" t="str">
            <v>N1-b3</v>
          </cell>
          <cell r="J650">
            <v>20</v>
          </cell>
          <cell r="K650" t="str">
            <v>69</v>
          </cell>
        </row>
        <row r="651">
          <cell r="A651" t="str">
            <v>20-70</v>
          </cell>
          <cell r="B651">
            <v>1032</v>
          </cell>
          <cell r="C651" t="str">
            <v>C1.AM.20.70</v>
          </cell>
          <cell r="D651" t="str">
            <v>AM</v>
          </cell>
          <cell r="E651" t="str">
            <v>G-101</v>
          </cell>
          <cell r="F651" t="str">
            <v>AM167</v>
          </cell>
          <cell r="G651" t="str">
            <v>N1</v>
          </cell>
          <cell r="H651" t="str">
            <v>b3</v>
          </cell>
          <cell r="I651" t="str">
            <v>N1-b3</v>
          </cell>
          <cell r="J651">
            <v>20</v>
          </cell>
          <cell r="K651" t="str">
            <v>70</v>
          </cell>
        </row>
        <row r="652">
          <cell r="A652" t="str">
            <v>20-71</v>
          </cell>
          <cell r="B652">
            <v>1033</v>
          </cell>
          <cell r="C652" t="str">
            <v>C1.AM.20.71</v>
          </cell>
          <cell r="D652" t="str">
            <v>AM</v>
          </cell>
          <cell r="E652" t="str">
            <v>G-003</v>
          </cell>
          <cell r="F652" t="str">
            <v>AM014</v>
          </cell>
          <cell r="G652" t="str">
            <v>N1</v>
          </cell>
          <cell r="H652" t="str">
            <v>b3</v>
          </cell>
          <cell r="I652" t="str">
            <v>N1-b3</v>
          </cell>
          <cell r="J652">
            <v>20</v>
          </cell>
          <cell r="K652" t="str">
            <v>71</v>
          </cell>
        </row>
        <row r="653">
          <cell r="A653" t="str">
            <v>20-72</v>
          </cell>
          <cell r="B653">
            <v>1034</v>
          </cell>
          <cell r="C653" t="str">
            <v>C1.AM.20.72</v>
          </cell>
          <cell r="D653" t="str">
            <v>AM</v>
          </cell>
          <cell r="E653" t="str">
            <v>G-058</v>
          </cell>
          <cell r="F653" t="str">
            <v>AM087</v>
          </cell>
          <cell r="G653" t="str">
            <v>N1</v>
          </cell>
          <cell r="H653" t="str">
            <v>b3</v>
          </cell>
          <cell r="I653" t="str">
            <v>N1-b3</v>
          </cell>
          <cell r="J653">
            <v>20</v>
          </cell>
          <cell r="K653" t="str">
            <v>72</v>
          </cell>
        </row>
        <row r="654">
          <cell r="A654" t="str">
            <v>20-73</v>
          </cell>
          <cell r="B654">
            <v>1035</v>
          </cell>
          <cell r="C654" t="str">
            <v>C1.AM.20.73</v>
          </cell>
          <cell r="D654" t="str">
            <v>AM</v>
          </cell>
          <cell r="E654" t="str">
            <v>G-001</v>
          </cell>
          <cell r="F654" t="str">
            <v>Aviso</v>
          </cell>
          <cell r="G654" t="str">
            <v>N1</v>
          </cell>
          <cell r="H654" t="str">
            <v>b3</v>
          </cell>
          <cell r="I654" t="str">
            <v>N1-b3</v>
          </cell>
          <cell r="J654">
            <v>20</v>
          </cell>
          <cell r="K654" t="str">
            <v>73</v>
          </cell>
        </row>
        <row r="655">
          <cell r="A655" t="str">
            <v>20-74</v>
          </cell>
          <cell r="B655">
            <v>1036</v>
          </cell>
          <cell r="C655" t="str">
            <v>C1.AM.20.74</v>
          </cell>
          <cell r="D655" t="str">
            <v>AM</v>
          </cell>
          <cell r="E655" t="str">
            <v>G-043</v>
          </cell>
          <cell r="F655" t="str">
            <v>AM067</v>
          </cell>
          <cell r="G655" t="str">
            <v>N1</v>
          </cell>
          <cell r="H655" t="str">
            <v>b3</v>
          </cell>
          <cell r="I655" t="str">
            <v>N1-b3</v>
          </cell>
          <cell r="J655">
            <v>20</v>
          </cell>
          <cell r="K655" t="str">
            <v>74</v>
          </cell>
        </row>
        <row r="656">
          <cell r="A656" t="str">
            <v>20-75</v>
          </cell>
          <cell r="B656">
            <v>1037</v>
          </cell>
          <cell r="C656" t="str">
            <v>C1.AM.20.75</v>
          </cell>
          <cell r="D656" t="str">
            <v>AM</v>
          </cell>
          <cell r="E656" t="str">
            <v>G-016</v>
          </cell>
          <cell r="F656" t="str">
            <v>AM033</v>
          </cell>
          <cell r="G656" t="str">
            <v>N1</v>
          </cell>
          <cell r="H656" t="str">
            <v>b3</v>
          </cell>
          <cell r="I656" t="str">
            <v>N1-b3</v>
          </cell>
          <cell r="J656">
            <v>20</v>
          </cell>
          <cell r="K656" t="str">
            <v>75</v>
          </cell>
        </row>
        <row r="657">
          <cell r="A657" t="str">
            <v>20-76</v>
          </cell>
          <cell r="B657">
            <v>1038</v>
          </cell>
          <cell r="C657" t="str">
            <v>C1.AM.20.76</v>
          </cell>
          <cell r="D657" t="str">
            <v>AM</v>
          </cell>
          <cell r="E657" t="str">
            <v>G-022</v>
          </cell>
          <cell r="F657" t="str">
            <v>AM039</v>
          </cell>
          <cell r="G657" t="str">
            <v>N1</v>
          </cell>
          <cell r="H657" t="str">
            <v>b3</v>
          </cell>
          <cell r="I657" t="str">
            <v>N1-b3</v>
          </cell>
          <cell r="J657">
            <v>20</v>
          </cell>
          <cell r="K657" t="str">
            <v>76</v>
          </cell>
        </row>
        <row r="658">
          <cell r="A658" t="str">
            <v>20-77</v>
          </cell>
          <cell r="B658">
            <v>1039</v>
          </cell>
          <cell r="C658" t="str">
            <v>C1.AM.20.77</v>
          </cell>
          <cell r="D658" t="str">
            <v>AM</v>
          </cell>
          <cell r="E658" t="str">
            <v>G-002</v>
          </cell>
          <cell r="F658" t="str">
            <v>Montego</v>
          </cell>
          <cell r="G658" t="str">
            <v>N1</v>
          </cell>
          <cell r="H658" t="str">
            <v>b3</v>
          </cell>
          <cell r="I658" t="str">
            <v>N1-b3</v>
          </cell>
          <cell r="J658">
            <v>20</v>
          </cell>
          <cell r="K658" t="str">
            <v>77</v>
          </cell>
        </row>
        <row r="659">
          <cell r="A659" t="str">
            <v>20-78</v>
          </cell>
          <cell r="B659">
            <v>1040</v>
          </cell>
          <cell r="C659" t="str">
            <v>C1.AM.20.78</v>
          </cell>
          <cell r="D659" t="str">
            <v>AM</v>
          </cell>
          <cell r="E659" t="str">
            <v>G-020</v>
          </cell>
          <cell r="F659" t="str">
            <v>AM037</v>
          </cell>
          <cell r="G659" t="str">
            <v>N1</v>
          </cell>
          <cell r="H659" t="str">
            <v>b3</v>
          </cell>
          <cell r="I659" t="str">
            <v>N1-b3</v>
          </cell>
          <cell r="J659">
            <v>20</v>
          </cell>
          <cell r="K659" t="str">
            <v>78</v>
          </cell>
        </row>
        <row r="660">
          <cell r="A660" t="str">
            <v>20-79</v>
          </cell>
          <cell r="B660">
            <v>1041</v>
          </cell>
          <cell r="C660" t="str">
            <v>C1.AM.20.79</v>
          </cell>
          <cell r="D660" t="str">
            <v>AM</v>
          </cell>
          <cell r="E660" t="str">
            <v>G-062</v>
          </cell>
          <cell r="F660" t="str">
            <v>AM091</v>
          </cell>
          <cell r="G660" t="str">
            <v>N1</v>
          </cell>
          <cell r="H660" t="str">
            <v>b3</v>
          </cell>
          <cell r="I660" t="str">
            <v>N1-b3</v>
          </cell>
          <cell r="J660">
            <v>20</v>
          </cell>
          <cell r="K660" t="str">
            <v>79</v>
          </cell>
        </row>
        <row r="661">
          <cell r="A661" t="str">
            <v>20-80</v>
          </cell>
          <cell r="B661">
            <v>1042</v>
          </cell>
          <cell r="C661" t="str">
            <v>C1.AM.20.80</v>
          </cell>
          <cell r="D661" t="str">
            <v>AM</v>
          </cell>
          <cell r="E661" t="str">
            <v>G-093</v>
          </cell>
          <cell r="F661" t="str">
            <v>AM148</v>
          </cell>
          <cell r="G661" t="str">
            <v>N1</v>
          </cell>
          <cell r="H661" t="str">
            <v>b3</v>
          </cell>
          <cell r="I661" t="str">
            <v>N1-b3</v>
          </cell>
          <cell r="J661">
            <v>20</v>
          </cell>
          <cell r="K661" t="str">
            <v>80</v>
          </cell>
        </row>
        <row r="662">
          <cell r="A662" t="str">
            <v>20-81</v>
          </cell>
          <cell r="B662">
            <v>1043</v>
          </cell>
          <cell r="C662" t="str">
            <v>C1.AM.20.81</v>
          </cell>
          <cell r="D662" t="str">
            <v>AM</v>
          </cell>
          <cell r="E662" t="str">
            <v>G-070</v>
          </cell>
          <cell r="F662" t="str">
            <v>AM106</v>
          </cell>
          <cell r="G662" t="str">
            <v>N1</v>
          </cell>
          <cell r="H662" t="str">
            <v>b3</v>
          </cell>
          <cell r="I662" t="str">
            <v>N1-b3</v>
          </cell>
          <cell r="J662">
            <v>20</v>
          </cell>
          <cell r="K662" t="str">
            <v>81</v>
          </cell>
        </row>
        <row r="663">
          <cell r="A663" t="str">
            <v>20-82</v>
          </cell>
          <cell r="B663">
            <v>1044</v>
          </cell>
          <cell r="C663" t="str">
            <v>C1.AM.20.82</v>
          </cell>
          <cell r="D663" t="str">
            <v>AM</v>
          </cell>
          <cell r="E663" t="str">
            <v>G-100</v>
          </cell>
          <cell r="F663" t="str">
            <v>AM166</v>
          </cell>
          <cell r="G663" t="str">
            <v>N1</v>
          </cell>
          <cell r="H663" t="str">
            <v>b3</v>
          </cell>
          <cell r="I663" t="str">
            <v>N1-b3</v>
          </cell>
          <cell r="J663">
            <v>20</v>
          </cell>
          <cell r="K663" t="str">
            <v>82</v>
          </cell>
        </row>
        <row r="664">
          <cell r="A664" t="str">
            <v>20-83</v>
          </cell>
          <cell r="B664">
            <v>1045</v>
          </cell>
          <cell r="C664" t="str">
            <v>C1.AM.20.83</v>
          </cell>
          <cell r="D664" t="str">
            <v>AM</v>
          </cell>
          <cell r="E664" t="str">
            <v>G-108</v>
          </cell>
          <cell r="F664" t="str">
            <v>AM174</v>
          </cell>
          <cell r="G664" t="str">
            <v>N1</v>
          </cell>
          <cell r="H664" t="str">
            <v>b3</v>
          </cell>
          <cell r="I664" t="str">
            <v>N1-b3</v>
          </cell>
          <cell r="J664">
            <v>20</v>
          </cell>
          <cell r="K664" t="str">
            <v>83</v>
          </cell>
        </row>
        <row r="665">
          <cell r="A665" t="str">
            <v>20-84</v>
          </cell>
          <cell r="B665">
            <v>1046</v>
          </cell>
          <cell r="C665" t="str">
            <v>C1.AM.20.84</v>
          </cell>
          <cell r="D665" t="str">
            <v>AM</v>
          </cell>
          <cell r="E665" t="str">
            <v>G-037</v>
          </cell>
          <cell r="F665" t="str">
            <v>AM060</v>
          </cell>
          <cell r="G665" t="str">
            <v>N1</v>
          </cell>
          <cell r="H665" t="str">
            <v>b3</v>
          </cell>
          <cell r="I665" t="str">
            <v>N1-b3</v>
          </cell>
          <cell r="J665">
            <v>20</v>
          </cell>
          <cell r="K665" t="str">
            <v>84</v>
          </cell>
        </row>
        <row r="666">
          <cell r="A666" t="str">
            <v>20-85</v>
          </cell>
          <cell r="B666">
            <v>1047</v>
          </cell>
          <cell r="C666" t="str">
            <v>C1.AM.20.85</v>
          </cell>
          <cell r="D666" t="str">
            <v>AM</v>
          </cell>
          <cell r="E666" t="str">
            <v>G-029</v>
          </cell>
          <cell r="F666" t="str">
            <v>AM050</v>
          </cell>
          <cell r="G666" t="str">
            <v>N1</v>
          </cell>
          <cell r="H666" t="str">
            <v>b3</v>
          </cell>
          <cell r="I666" t="str">
            <v>N1-b3</v>
          </cell>
          <cell r="J666">
            <v>20</v>
          </cell>
          <cell r="K666" t="str">
            <v>85</v>
          </cell>
        </row>
        <row r="667">
          <cell r="A667" t="str">
            <v>20-86</v>
          </cell>
          <cell r="B667">
            <v>1048</v>
          </cell>
          <cell r="C667" t="str">
            <v>C1.AM.20.86</v>
          </cell>
          <cell r="D667" t="str">
            <v>AM</v>
          </cell>
          <cell r="E667" t="str">
            <v>G-097</v>
          </cell>
          <cell r="F667" t="str">
            <v>AM161</v>
          </cell>
          <cell r="G667" t="str">
            <v>N1</v>
          </cell>
          <cell r="H667" t="str">
            <v>b3</v>
          </cell>
          <cell r="I667" t="str">
            <v>N1-b3</v>
          </cell>
          <cell r="J667">
            <v>20</v>
          </cell>
          <cell r="K667" t="str">
            <v>86</v>
          </cell>
        </row>
        <row r="668">
          <cell r="A668" t="str">
            <v>20-87</v>
          </cell>
          <cell r="B668">
            <v>1049</v>
          </cell>
          <cell r="C668" t="str">
            <v>C1.AM.20.87</v>
          </cell>
          <cell r="D668" t="str">
            <v>AM</v>
          </cell>
          <cell r="E668" t="str">
            <v>G-045</v>
          </cell>
          <cell r="F668" t="str">
            <v>AM069</v>
          </cell>
          <cell r="G668" t="str">
            <v>N1</v>
          </cell>
          <cell r="H668" t="str">
            <v>b3</v>
          </cell>
          <cell r="I668" t="str">
            <v>N1-b3</v>
          </cell>
          <cell r="J668">
            <v>20</v>
          </cell>
          <cell r="K668" t="str">
            <v>87</v>
          </cell>
        </row>
        <row r="669">
          <cell r="A669" t="str">
            <v>20-88</v>
          </cell>
          <cell r="B669">
            <v>1050</v>
          </cell>
          <cell r="C669" t="str">
            <v>C1.AM.20.88</v>
          </cell>
          <cell r="D669" t="str">
            <v>AM</v>
          </cell>
          <cell r="E669" t="str">
            <v>G-056</v>
          </cell>
          <cell r="F669" t="str">
            <v>AM085</v>
          </cell>
          <cell r="G669" t="str">
            <v>N1</v>
          </cell>
          <cell r="H669" t="str">
            <v>b3</v>
          </cell>
          <cell r="I669" t="str">
            <v>N1-b3</v>
          </cell>
          <cell r="J669">
            <v>20</v>
          </cell>
          <cell r="K669" t="str">
            <v>88</v>
          </cell>
        </row>
        <row r="670">
          <cell r="A670" t="str">
            <v>20-89</v>
          </cell>
          <cell r="B670">
            <v>1051</v>
          </cell>
          <cell r="C670" t="str">
            <v>C1.AM.20.89</v>
          </cell>
          <cell r="D670" t="str">
            <v>AM</v>
          </cell>
          <cell r="E670" t="str">
            <v>G-028</v>
          </cell>
          <cell r="F670" t="str">
            <v>AM049</v>
          </cell>
          <cell r="G670" t="str">
            <v>N1</v>
          </cell>
          <cell r="H670" t="str">
            <v>b3</v>
          </cell>
          <cell r="I670" t="str">
            <v>N1-b3</v>
          </cell>
          <cell r="J670">
            <v>20</v>
          </cell>
          <cell r="K670" t="str">
            <v>89</v>
          </cell>
        </row>
        <row r="671">
          <cell r="A671" t="str">
            <v>20-90</v>
          </cell>
          <cell r="B671">
            <v>1052</v>
          </cell>
          <cell r="C671" t="str">
            <v>C1.AM.20.90</v>
          </cell>
          <cell r="D671" t="str">
            <v>AM</v>
          </cell>
          <cell r="E671" t="str">
            <v>G-090</v>
          </cell>
          <cell r="F671" t="str">
            <v>AM145</v>
          </cell>
          <cell r="G671" t="str">
            <v>N1</v>
          </cell>
          <cell r="H671" t="str">
            <v>b3</v>
          </cell>
          <cell r="I671" t="str">
            <v>N1-b3</v>
          </cell>
          <cell r="J671">
            <v>20</v>
          </cell>
          <cell r="K671" t="str">
            <v>90</v>
          </cell>
        </row>
        <row r="672">
          <cell r="A672" t="str">
            <v>21-65</v>
          </cell>
          <cell r="B672">
            <v>1053</v>
          </cell>
          <cell r="C672" t="str">
            <v>C1.AM.21.65</v>
          </cell>
          <cell r="D672" t="str">
            <v>AM</v>
          </cell>
          <cell r="E672" t="str">
            <v>G-002</v>
          </cell>
          <cell r="F672" t="str">
            <v>Montego</v>
          </cell>
          <cell r="G672" t="str">
            <v>N1</v>
          </cell>
          <cell r="H672" t="str">
            <v>b3</v>
          </cell>
          <cell r="I672" t="str">
            <v>N1-b3</v>
          </cell>
          <cell r="J672">
            <v>21</v>
          </cell>
          <cell r="K672" t="str">
            <v>65</v>
          </cell>
        </row>
        <row r="673">
          <cell r="A673" t="str">
            <v>21-66</v>
          </cell>
          <cell r="B673">
            <v>1054</v>
          </cell>
          <cell r="C673" t="str">
            <v>C1.AM.21.66</v>
          </cell>
          <cell r="D673" t="str">
            <v>AM</v>
          </cell>
          <cell r="E673" t="str">
            <v>G-041</v>
          </cell>
          <cell r="F673" t="str">
            <v>AM064</v>
          </cell>
          <cell r="G673" t="str">
            <v>N1</v>
          </cell>
          <cell r="H673" t="str">
            <v>b3</v>
          </cell>
          <cell r="I673" t="str">
            <v>N1-b3</v>
          </cell>
          <cell r="J673">
            <v>21</v>
          </cell>
          <cell r="K673" t="str">
            <v>66</v>
          </cell>
        </row>
        <row r="674">
          <cell r="A674" t="str">
            <v>21-67</v>
          </cell>
          <cell r="B674">
            <v>1055</v>
          </cell>
          <cell r="C674" t="str">
            <v>C1.AM.21.67</v>
          </cell>
          <cell r="D674" t="str">
            <v>AM</v>
          </cell>
          <cell r="E674" t="str">
            <v>G-044</v>
          </cell>
          <cell r="F674" t="str">
            <v>AM068</v>
          </cell>
          <cell r="G674" t="str">
            <v>N1</v>
          </cell>
          <cell r="H674" t="str">
            <v>b3</v>
          </cell>
          <cell r="I674" t="str">
            <v>N1-b3</v>
          </cell>
          <cell r="J674">
            <v>21</v>
          </cell>
          <cell r="K674" t="str">
            <v>67</v>
          </cell>
        </row>
        <row r="675">
          <cell r="A675" t="str">
            <v>21-68</v>
          </cell>
          <cell r="B675">
            <v>1056</v>
          </cell>
          <cell r="C675" t="str">
            <v>C1.AM.21.68</v>
          </cell>
          <cell r="D675" t="str">
            <v>AM</v>
          </cell>
          <cell r="E675" t="str">
            <v>G-032</v>
          </cell>
          <cell r="F675" t="str">
            <v>AM055</v>
          </cell>
          <cell r="G675" t="str">
            <v>N1</v>
          </cell>
          <cell r="H675" t="str">
            <v>b3</v>
          </cell>
          <cell r="I675" t="str">
            <v>N1-b3</v>
          </cell>
          <cell r="J675">
            <v>21</v>
          </cell>
          <cell r="K675" t="str">
            <v>68</v>
          </cell>
        </row>
        <row r="676">
          <cell r="A676" t="str">
            <v>21-69</v>
          </cell>
          <cell r="B676">
            <v>1057</v>
          </cell>
          <cell r="C676" t="str">
            <v>C1.AM.21.69</v>
          </cell>
          <cell r="D676" t="str">
            <v>AM</v>
          </cell>
          <cell r="E676" t="str">
            <v>G-104</v>
          </cell>
          <cell r="F676" t="str">
            <v>AM170</v>
          </cell>
          <cell r="G676" t="str">
            <v>N1</v>
          </cell>
          <cell r="H676" t="str">
            <v>b3</v>
          </cell>
          <cell r="I676" t="str">
            <v>N1-b3</v>
          </cell>
          <cell r="J676">
            <v>21</v>
          </cell>
          <cell r="K676" t="str">
            <v>69</v>
          </cell>
        </row>
        <row r="677">
          <cell r="A677" t="str">
            <v>21-70</v>
          </cell>
          <cell r="B677">
            <v>1058</v>
          </cell>
          <cell r="C677" t="str">
            <v>C1.AM.21.70</v>
          </cell>
          <cell r="D677" t="str">
            <v>AM</v>
          </cell>
          <cell r="E677" t="str">
            <v>G-116</v>
          </cell>
          <cell r="F677" t="str">
            <v>AM197</v>
          </cell>
          <cell r="G677" t="str">
            <v>N1</v>
          </cell>
          <cell r="H677" t="str">
            <v>b3</v>
          </cell>
          <cell r="I677" t="str">
            <v>N1-b3</v>
          </cell>
          <cell r="J677">
            <v>21</v>
          </cell>
          <cell r="K677" t="str">
            <v>70</v>
          </cell>
        </row>
        <row r="678">
          <cell r="A678" t="str">
            <v>21-71</v>
          </cell>
          <cell r="B678">
            <v>1059</v>
          </cell>
          <cell r="C678" t="str">
            <v>C1.AM.21.71</v>
          </cell>
          <cell r="D678" t="str">
            <v>AM</v>
          </cell>
          <cell r="E678" t="str">
            <v>G-075</v>
          </cell>
          <cell r="F678" t="str">
            <v>AM123</v>
          </cell>
          <cell r="G678" t="str">
            <v>N1</v>
          </cell>
          <cell r="H678" t="str">
            <v>b3</v>
          </cell>
          <cell r="I678" t="str">
            <v>N1-b3</v>
          </cell>
          <cell r="J678">
            <v>21</v>
          </cell>
          <cell r="K678" t="str">
            <v>71</v>
          </cell>
        </row>
        <row r="679">
          <cell r="A679" t="str">
            <v>21-72</v>
          </cell>
          <cell r="B679">
            <v>1060</v>
          </cell>
          <cell r="C679" t="str">
            <v>C1.AM.21.72</v>
          </cell>
          <cell r="D679" t="str">
            <v>AM</v>
          </cell>
          <cell r="E679" t="str">
            <v>G-086</v>
          </cell>
          <cell r="F679" t="str">
            <v>AM140</v>
          </cell>
          <cell r="G679" t="str">
            <v>N1</v>
          </cell>
          <cell r="H679" t="str">
            <v>b3</v>
          </cell>
          <cell r="I679" t="str">
            <v>N1-b3</v>
          </cell>
          <cell r="J679">
            <v>21</v>
          </cell>
          <cell r="K679" t="str">
            <v>72</v>
          </cell>
        </row>
        <row r="680">
          <cell r="A680" t="str">
            <v>21-73</v>
          </cell>
          <cell r="B680">
            <v>1061</v>
          </cell>
          <cell r="C680" t="str">
            <v>C1.AM.21.73</v>
          </cell>
          <cell r="D680" t="str">
            <v>AM</v>
          </cell>
          <cell r="E680" t="str">
            <v>G-021</v>
          </cell>
          <cell r="F680" t="str">
            <v>AM038</v>
          </cell>
          <cell r="G680" t="str">
            <v>N1</v>
          </cell>
          <cell r="H680" t="str">
            <v>b3</v>
          </cell>
          <cell r="I680" t="str">
            <v>N1-b3</v>
          </cell>
          <cell r="J680">
            <v>21</v>
          </cell>
          <cell r="K680" t="str">
            <v>73</v>
          </cell>
        </row>
        <row r="681">
          <cell r="A681" t="str">
            <v>21-74</v>
          </cell>
          <cell r="B681">
            <v>1062</v>
          </cell>
          <cell r="C681" t="str">
            <v>C1.AM.21.74</v>
          </cell>
          <cell r="D681" t="str">
            <v>AM</v>
          </cell>
          <cell r="E681" t="str">
            <v>G-001</v>
          </cell>
          <cell r="F681" t="str">
            <v>Aviso</v>
          </cell>
          <cell r="G681" t="str">
            <v>N1</v>
          </cell>
          <cell r="H681" t="str">
            <v>b3</v>
          </cell>
          <cell r="I681" t="str">
            <v>N1-b3</v>
          </cell>
          <cell r="J681">
            <v>21</v>
          </cell>
          <cell r="K681" t="str">
            <v>74</v>
          </cell>
        </row>
        <row r="682">
          <cell r="A682" t="str">
            <v>21-75</v>
          </cell>
          <cell r="B682">
            <v>1063</v>
          </cell>
          <cell r="C682" t="str">
            <v>C1.AM.21.75</v>
          </cell>
          <cell r="D682" t="str">
            <v>AM</v>
          </cell>
          <cell r="E682" t="str">
            <v>G-074</v>
          </cell>
          <cell r="F682" t="str">
            <v>AM120</v>
          </cell>
          <cell r="G682" t="str">
            <v>N1</v>
          </cell>
          <cell r="H682" t="str">
            <v>b3</v>
          </cell>
          <cell r="I682" t="str">
            <v>N1-b3</v>
          </cell>
          <cell r="J682">
            <v>21</v>
          </cell>
          <cell r="K682" t="str">
            <v>75</v>
          </cell>
        </row>
        <row r="683">
          <cell r="A683" t="str">
            <v>21-76</v>
          </cell>
          <cell r="B683">
            <v>1064</v>
          </cell>
          <cell r="C683" t="str">
            <v>C1.AM.21.76</v>
          </cell>
          <cell r="D683" t="str">
            <v>AM</v>
          </cell>
          <cell r="E683" t="str">
            <v>G-050</v>
          </cell>
          <cell r="F683" t="str">
            <v>AM076</v>
          </cell>
          <cell r="G683" t="str">
            <v>N1</v>
          </cell>
          <cell r="H683" t="str">
            <v>b3</v>
          </cell>
          <cell r="I683" t="str">
            <v>N1-b3</v>
          </cell>
          <cell r="J683">
            <v>21</v>
          </cell>
          <cell r="K683" t="str">
            <v>76</v>
          </cell>
        </row>
        <row r="684">
          <cell r="A684" t="str">
            <v>21-77</v>
          </cell>
          <cell r="B684">
            <v>1065</v>
          </cell>
          <cell r="C684" t="str">
            <v>C1.AM.21.77</v>
          </cell>
          <cell r="D684" t="str">
            <v>AM</v>
          </cell>
          <cell r="E684" t="str">
            <v>G-001</v>
          </cell>
          <cell r="F684" t="str">
            <v>Aviso</v>
          </cell>
          <cell r="G684" t="str">
            <v>N1</v>
          </cell>
          <cell r="H684" t="str">
            <v>b3</v>
          </cell>
          <cell r="I684" t="str">
            <v>N1-b3</v>
          </cell>
          <cell r="J684">
            <v>21</v>
          </cell>
          <cell r="K684" t="str">
            <v>77</v>
          </cell>
        </row>
        <row r="685">
          <cell r="A685" t="str">
            <v>21-78</v>
          </cell>
          <cell r="B685">
            <v>1066</v>
          </cell>
          <cell r="C685" t="str">
            <v>C1.AM.21.78</v>
          </cell>
          <cell r="D685" t="str">
            <v>AM</v>
          </cell>
          <cell r="E685" t="str">
            <v>G-026</v>
          </cell>
          <cell r="F685" t="str">
            <v>AM046</v>
          </cell>
          <cell r="G685" t="str">
            <v>N1</v>
          </cell>
          <cell r="H685" t="str">
            <v>b3</v>
          </cell>
          <cell r="I685" t="str">
            <v>N1-b3</v>
          </cell>
          <cell r="J685">
            <v>21</v>
          </cell>
          <cell r="K685" t="str">
            <v>78</v>
          </cell>
        </row>
        <row r="686">
          <cell r="A686" t="str">
            <v>21-79</v>
          </cell>
          <cell r="B686">
            <v>1067</v>
          </cell>
          <cell r="C686" t="str">
            <v>C1.AM.21.79</v>
          </cell>
          <cell r="D686" t="str">
            <v>AM</v>
          </cell>
          <cell r="E686" t="str">
            <v>G-030</v>
          </cell>
          <cell r="F686" t="str">
            <v>AM052</v>
          </cell>
          <cell r="G686" t="str">
            <v>N1</v>
          </cell>
          <cell r="H686" t="str">
            <v>b3</v>
          </cell>
          <cell r="I686" t="str">
            <v>N1-b3</v>
          </cell>
          <cell r="J686">
            <v>21</v>
          </cell>
          <cell r="K686" t="str">
            <v>79</v>
          </cell>
        </row>
        <row r="687">
          <cell r="A687" t="str">
            <v>21-80</v>
          </cell>
          <cell r="B687">
            <v>1068</v>
          </cell>
          <cell r="C687" t="str">
            <v>C1.AM.21.80</v>
          </cell>
          <cell r="D687" t="str">
            <v>AM</v>
          </cell>
          <cell r="E687" t="str">
            <v>G-122</v>
          </cell>
          <cell r="F687" t="str">
            <v>L-Liones</v>
          </cell>
          <cell r="G687" t="str">
            <v>N1</v>
          </cell>
          <cell r="H687" t="str">
            <v>b3</v>
          </cell>
          <cell r="I687" t="str">
            <v>N1-b3</v>
          </cell>
          <cell r="J687">
            <v>21</v>
          </cell>
          <cell r="K687" t="str">
            <v>80</v>
          </cell>
        </row>
        <row r="688">
          <cell r="A688" t="str">
            <v>21-81</v>
          </cell>
          <cell r="B688">
            <v>1069</v>
          </cell>
          <cell r="C688" t="str">
            <v>C1.AM.21.81</v>
          </cell>
          <cell r="D688" t="str">
            <v>AM</v>
          </cell>
          <cell r="E688" t="str">
            <v>G-053</v>
          </cell>
          <cell r="F688" t="str">
            <v>AM082</v>
          </cell>
          <cell r="G688" t="str">
            <v>N1</v>
          </cell>
          <cell r="H688" t="str">
            <v>b3</v>
          </cell>
          <cell r="I688" t="str">
            <v>N1-b3</v>
          </cell>
          <cell r="J688">
            <v>21</v>
          </cell>
          <cell r="K688" t="str">
            <v>81</v>
          </cell>
        </row>
        <row r="689">
          <cell r="A689" t="str">
            <v>21-82</v>
          </cell>
          <cell r="B689">
            <v>1070</v>
          </cell>
          <cell r="C689" t="str">
            <v>C1.AM.21.82</v>
          </cell>
          <cell r="D689" t="str">
            <v>AM</v>
          </cell>
          <cell r="E689" t="str">
            <v>G-034</v>
          </cell>
          <cell r="F689" t="str">
            <v>AM057</v>
          </cell>
          <cell r="G689" t="str">
            <v>N1</v>
          </cell>
          <cell r="H689" t="str">
            <v>b3</v>
          </cell>
          <cell r="I689" t="str">
            <v>N1-b3</v>
          </cell>
          <cell r="J689">
            <v>21</v>
          </cell>
          <cell r="K689" t="str">
            <v>82</v>
          </cell>
        </row>
        <row r="690">
          <cell r="A690" t="str">
            <v>21-83</v>
          </cell>
          <cell r="B690">
            <v>1071</v>
          </cell>
          <cell r="C690" t="str">
            <v>C1.AM.21.83</v>
          </cell>
          <cell r="D690" t="str">
            <v>AM</v>
          </cell>
          <cell r="E690" t="str">
            <v>G-084</v>
          </cell>
          <cell r="F690" t="str">
            <v>AM138</v>
          </cell>
          <cell r="G690" t="str">
            <v>N1</v>
          </cell>
          <cell r="H690" t="str">
            <v>b3</v>
          </cell>
          <cell r="I690" t="str">
            <v>N1-b3</v>
          </cell>
          <cell r="J690">
            <v>21</v>
          </cell>
          <cell r="K690" t="str">
            <v>83</v>
          </cell>
        </row>
        <row r="691">
          <cell r="A691" t="str">
            <v>21-84</v>
          </cell>
          <cell r="B691">
            <v>1072</v>
          </cell>
          <cell r="C691" t="str">
            <v>C1.AM.21.84</v>
          </cell>
          <cell r="D691" t="str">
            <v>AM</v>
          </cell>
          <cell r="E691" t="str">
            <v>G-066</v>
          </cell>
          <cell r="F691" t="str">
            <v>AM096</v>
          </cell>
          <cell r="G691" t="str">
            <v>N1</v>
          </cell>
          <cell r="H691" t="str">
            <v>b3</v>
          </cell>
          <cell r="I691" t="str">
            <v>N1-b3</v>
          </cell>
          <cell r="J691">
            <v>21</v>
          </cell>
          <cell r="K691" t="str">
            <v>84</v>
          </cell>
        </row>
        <row r="692">
          <cell r="A692" t="str">
            <v>21-85</v>
          </cell>
          <cell r="B692">
            <v>1073</v>
          </cell>
          <cell r="C692" t="str">
            <v>C1.AM.21.85</v>
          </cell>
          <cell r="D692" t="str">
            <v>AM</v>
          </cell>
          <cell r="E692" t="str">
            <v>G-009</v>
          </cell>
          <cell r="F692" t="str">
            <v>AM020</v>
          </cell>
          <cell r="G692" t="str">
            <v>N1</v>
          </cell>
          <cell r="H692" t="str">
            <v>b3</v>
          </cell>
          <cell r="I692" t="str">
            <v>N1-b3</v>
          </cell>
          <cell r="J692">
            <v>21</v>
          </cell>
          <cell r="K692" t="str">
            <v>85</v>
          </cell>
        </row>
        <row r="693">
          <cell r="A693" t="str">
            <v>21-86</v>
          </cell>
          <cell r="B693">
            <v>1074</v>
          </cell>
          <cell r="C693" t="str">
            <v>C1.AM.21.86</v>
          </cell>
          <cell r="D693" t="str">
            <v>AM</v>
          </cell>
          <cell r="E693" t="str">
            <v>G-048</v>
          </cell>
          <cell r="F693" t="str">
            <v>AM073</v>
          </cell>
          <cell r="G693" t="str">
            <v>N1</v>
          </cell>
          <cell r="H693" t="str">
            <v>b3</v>
          </cell>
          <cell r="I693" t="str">
            <v>N1-b3</v>
          </cell>
          <cell r="J693">
            <v>21</v>
          </cell>
          <cell r="K693" t="str">
            <v>86</v>
          </cell>
        </row>
        <row r="694">
          <cell r="A694" t="str">
            <v>21-87</v>
          </cell>
          <cell r="B694">
            <v>1075</v>
          </cell>
          <cell r="C694" t="str">
            <v>C1.AM.21.87</v>
          </cell>
          <cell r="D694" t="str">
            <v>AM</v>
          </cell>
          <cell r="E694" t="str">
            <v>G-121</v>
          </cell>
          <cell r="F694" t="str">
            <v>Darmor</v>
          </cell>
          <cell r="G694" t="str">
            <v>N1</v>
          </cell>
          <cell r="H694" t="str">
            <v>b3</v>
          </cell>
          <cell r="I694" t="str">
            <v>N1-b3</v>
          </cell>
          <cell r="J694">
            <v>21</v>
          </cell>
          <cell r="K694" t="str">
            <v>87</v>
          </cell>
        </row>
        <row r="695">
          <cell r="A695" t="str">
            <v>21-88</v>
          </cell>
          <cell r="B695">
            <v>1076</v>
          </cell>
          <cell r="C695" t="str">
            <v>C1.AM.21.88</v>
          </cell>
          <cell r="D695" t="str">
            <v>AM</v>
          </cell>
          <cell r="E695" t="str">
            <v>G-092</v>
          </cell>
          <cell r="F695" t="str">
            <v>AM147</v>
          </cell>
          <cell r="G695" t="str">
            <v>N1</v>
          </cell>
          <cell r="H695" t="str">
            <v>b3</v>
          </cell>
          <cell r="I695" t="str">
            <v>N1-b3</v>
          </cell>
          <cell r="J695">
            <v>21</v>
          </cell>
          <cell r="K695" t="str">
            <v>88</v>
          </cell>
        </row>
        <row r="696">
          <cell r="A696" t="str">
            <v>21-89</v>
          </cell>
          <cell r="B696">
            <v>1077</v>
          </cell>
          <cell r="C696" t="str">
            <v>C1.AM.21.89</v>
          </cell>
          <cell r="D696" t="str">
            <v>AM</v>
          </cell>
          <cell r="E696" t="str">
            <v>G-019</v>
          </cell>
          <cell r="F696" t="str">
            <v>AM036</v>
          </cell>
          <cell r="G696" t="str">
            <v>N1</v>
          </cell>
          <cell r="H696" t="str">
            <v>b3</v>
          </cell>
          <cell r="I696" t="str">
            <v>N1-b3</v>
          </cell>
          <cell r="J696">
            <v>21</v>
          </cell>
          <cell r="K696" t="str">
            <v>89</v>
          </cell>
        </row>
        <row r="697">
          <cell r="A697" t="str">
            <v>21-90</v>
          </cell>
          <cell r="B697">
            <v>1078</v>
          </cell>
          <cell r="C697" t="str">
            <v>C1.AM.21.90</v>
          </cell>
          <cell r="D697" t="str">
            <v>AM</v>
          </cell>
          <cell r="E697" t="str">
            <v>G-002</v>
          </cell>
          <cell r="F697" t="str">
            <v>Montego</v>
          </cell>
          <cell r="G697" t="str">
            <v>N1</v>
          </cell>
          <cell r="H697" t="str">
            <v>b3</v>
          </cell>
          <cell r="I697" t="str">
            <v>N1-b3</v>
          </cell>
          <cell r="J697">
            <v>21</v>
          </cell>
          <cell r="K697" t="str">
            <v>90</v>
          </cell>
        </row>
        <row r="698">
          <cell r="A698" t="str">
            <v>22-65</v>
          </cell>
          <cell r="B698">
            <v>1079</v>
          </cell>
          <cell r="C698" t="str">
            <v>C1.AM.22.65</v>
          </cell>
          <cell r="D698" t="str">
            <v>AM</v>
          </cell>
          <cell r="E698" t="str">
            <v>G-073</v>
          </cell>
          <cell r="F698" t="str">
            <v>AM111</v>
          </cell>
          <cell r="G698" t="str">
            <v>N1</v>
          </cell>
          <cell r="H698" t="str">
            <v>b3</v>
          </cell>
          <cell r="I698" t="str">
            <v>N1-b3</v>
          </cell>
          <cell r="J698">
            <v>22</v>
          </cell>
          <cell r="K698" t="str">
            <v>65</v>
          </cell>
        </row>
        <row r="699">
          <cell r="A699" t="str">
            <v>22-66</v>
          </cell>
          <cell r="B699">
            <v>1080</v>
          </cell>
          <cell r="C699" t="str">
            <v>C1.AM.22.66</v>
          </cell>
          <cell r="D699" t="str">
            <v>AM</v>
          </cell>
          <cell r="E699" t="str">
            <v>G-055</v>
          </cell>
          <cell r="F699" t="str">
            <v>AM084</v>
          </cell>
          <cell r="G699" t="str">
            <v>N1</v>
          </cell>
          <cell r="H699" t="str">
            <v>b3</v>
          </cell>
          <cell r="I699" t="str">
            <v>N1-b3</v>
          </cell>
          <cell r="J699">
            <v>22</v>
          </cell>
          <cell r="K699" t="str">
            <v>66</v>
          </cell>
        </row>
        <row r="700">
          <cell r="A700" t="str">
            <v>22-67</v>
          </cell>
          <cell r="B700">
            <v>1081</v>
          </cell>
          <cell r="C700" t="str">
            <v>C1.AM.22.67</v>
          </cell>
          <cell r="D700" t="str">
            <v>AM</v>
          </cell>
          <cell r="E700" t="str">
            <v>G-039</v>
          </cell>
          <cell r="F700" t="str">
            <v>AM062</v>
          </cell>
          <cell r="G700" t="str">
            <v>N1</v>
          </cell>
          <cell r="H700" t="str">
            <v>b3</v>
          </cell>
          <cell r="I700" t="str">
            <v>N1-b3</v>
          </cell>
          <cell r="J700">
            <v>22</v>
          </cell>
          <cell r="K700" t="str">
            <v>67</v>
          </cell>
        </row>
        <row r="701">
          <cell r="A701" t="str">
            <v>22-68</v>
          </cell>
          <cell r="B701">
            <v>1082</v>
          </cell>
          <cell r="C701" t="str">
            <v>C1.AM.22.68</v>
          </cell>
          <cell r="D701" t="str">
            <v>AM</v>
          </cell>
          <cell r="E701" t="str">
            <v>G-109</v>
          </cell>
          <cell r="F701" t="str">
            <v>AM183</v>
          </cell>
          <cell r="G701" t="str">
            <v>N1</v>
          </cell>
          <cell r="H701" t="str">
            <v>b3</v>
          </cell>
          <cell r="I701" t="str">
            <v>N1-b3</v>
          </cell>
          <cell r="J701">
            <v>22</v>
          </cell>
          <cell r="K701" t="str">
            <v>68</v>
          </cell>
        </row>
        <row r="702">
          <cell r="A702" t="str">
            <v>22-69</v>
          </cell>
          <cell r="B702">
            <v>1083</v>
          </cell>
          <cell r="C702" t="str">
            <v>C1.AM.22.69</v>
          </cell>
          <cell r="D702" t="str">
            <v>AM</v>
          </cell>
          <cell r="E702" t="str">
            <v>G-049</v>
          </cell>
          <cell r="F702" t="str">
            <v>AM074</v>
          </cell>
          <cell r="G702" t="str">
            <v>N1</v>
          </cell>
          <cell r="H702" t="str">
            <v>b3</v>
          </cell>
          <cell r="I702" t="str">
            <v>N1-b3</v>
          </cell>
          <cell r="J702">
            <v>22</v>
          </cell>
          <cell r="K702" t="str">
            <v>69</v>
          </cell>
        </row>
        <row r="703">
          <cell r="A703" t="str">
            <v>22-70</v>
          </cell>
          <cell r="B703">
            <v>1084</v>
          </cell>
          <cell r="C703" t="str">
            <v>C1.AM.22.70</v>
          </cell>
          <cell r="D703" t="str">
            <v>AM</v>
          </cell>
          <cell r="E703" t="str">
            <v>G-014</v>
          </cell>
          <cell r="F703" t="str">
            <v>AM031</v>
          </cell>
          <cell r="G703" t="str">
            <v>N1</v>
          </cell>
          <cell r="H703" t="str">
            <v>b3</v>
          </cell>
          <cell r="I703" t="str">
            <v>N1-b3</v>
          </cell>
          <cell r="J703">
            <v>22</v>
          </cell>
          <cell r="K703" t="str">
            <v>70</v>
          </cell>
        </row>
        <row r="704">
          <cell r="A704" t="str">
            <v>22-71</v>
          </cell>
          <cell r="B704">
            <v>1085</v>
          </cell>
          <cell r="C704" t="str">
            <v>C1.AM.22.71</v>
          </cell>
          <cell r="D704" t="str">
            <v>AM</v>
          </cell>
          <cell r="E704" t="str">
            <v>G-087</v>
          </cell>
          <cell r="F704" t="str">
            <v>AM141</v>
          </cell>
          <cell r="G704" t="str">
            <v>N1</v>
          </cell>
          <cell r="H704" t="str">
            <v>b3</v>
          </cell>
          <cell r="I704" t="str">
            <v>N1-b3</v>
          </cell>
          <cell r="J704">
            <v>22</v>
          </cell>
          <cell r="K704" t="str">
            <v>71</v>
          </cell>
        </row>
        <row r="705">
          <cell r="A705" t="str">
            <v>22-72</v>
          </cell>
          <cell r="B705">
            <v>1086</v>
          </cell>
          <cell r="C705" t="str">
            <v>C1.AM.22.72</v>
          </cell>
          <cell r="D705" t="str">
            <v>AM</v>
          </cell>
          <cell r="E705" t="str">
            <v>G-103</v>
          </cell>
          <cell r="F705" t="str">
            <v>AM169</v>
          </cell>
          <cell r="G705" t="str">
            <v>N1</v>
          </cell>
          <cell r="H705" t="str">
            <v>b3</v>
          </cell>
          <cell r="I705" t="str">
            <v>N1-b3</v>
          </cell>
          <cell r="J705">
            <v>22</v>
          </cell>
          <cell r="K705" t="str">
            <v>72</v>
          </cell>
        </row>
        <row r="706">
          <cell r="A706" t="str">
            <v>22-73</v>
          </cell>
          <cell r="B706">
            <v>1087</v>
          </cell>
          <cell r="C706" t="str">
            <v>C1.AM.22.73</v>
          </cell>
          <cell r="D706" t="str">
            <v>AM</v>
          </cell>
          <cell r="E706" t="str">
            <v>G-007</v>
          </cell>
          <cell r="F706" t="str">
            <v>AM018</v>
          </cell>
          <cell r="G706" t="str">
            <v>N1</v>
          </cell>
          <cell r="H706" t="str">
            <v>b3</v>
          </cell>
          <cell r="I706" t="str">
            <v>N1-b3</v>
          </cell>
          <cell r="J706">
            <v>22</v>
          </cell>
          <cell r="K706" t="str">
            <v>73</v>
          </cell>
        </row>
        <row r="707">
          <cell r="A707" t="str">
            <v>22-74</v>
          </cell>
          <cell r="B707">
            <v>1088</v>
          </cell>
          <cell r="C707" t="str">
            <v>C1.AM.22.74</v>
          </cell>
          <cell r="D707" t="str">
            <v>AM</v>
          </cell>
          <cell r="E707" t="str">
            <v>G-102</v>
          </cell>
          <cell r="F707" t="str">
            <v>AM168</v>
          </cell>
          <cell r="G707" t="str">
            <v>N1</v>
          </cell>
          <cell r="H707" t="str">
            <v>b3</v>
          </cell>
          <cell r="I707" t="str">
            <v>N1-b3</v>
          </cell>
          <cell r="J707">
            <v>22</v>
          </cell>
          <cell r="K707" t="str">
            <v>74</v>
          </cell>
        </row>
        <row r="708">
          <cell r="A708" t="str">
            <v>22-75</v>
          </cell>
          <cell r="B708">
            <v>1089</v>
          </cell>
          <cell r="C708" t="str">
            <v>C1.AM.22.75</v>
          </cell>
          <cell r="D708" t="str">
            <v>AM</v>
          </cell>
          <cell r="E708" t="str">
            <v>G-113</v>
          </cell>
          <cell r="F708" t="str">
            <v>AM189</v>
          </cell>
          <cell r="G708" t="str">
            <v>N1</v>
          </cell>
          <cell r="H708" t="str">
            <v>b3</v>
          </cell>
          <cell r="I708" t="str">
            <v>N1-b3</v>
          </cell>
          <cell r="J708">
            <v>22</v>
          </cell>
          <cell r="K708" t="str">
            <v>75</v>
          </cell>
        </row>
        <row r="709">
          <cell r="A709" t="str">
            <v>22-76</v>
          </cell>
          <cell r="B709">
            <v>1090</v>
          </cell>
          <cell r="C709" t="str">
            <v>C1.AM.22.76</v>
          </cell>
          <cell r="D709" t="str">
            <v>AM</v>
          </cell>
          <cell r="E709" t="str">
            <v>G-107</v>
          </cell>
          <cell r="F709" t="str">
            <v>AM173</v>
          </cell>
          <cell r="G709" t="str">
            <v>N1</v>
          </cell>
          <cell r="H709" t="str">
            <v>b3</v>
          </cell>
          <cell r="I709" t="str">
            <v>N1-b3</v>
          </cell>
          <cell r="J709">
            <v>22</v>
          </cell>
          <cell r="K709" t="str">
            <v>76</v>
          </cell>
        </row>
        <row r="710">
          <cell r="A710" t="str">
            <v>22-77</v>
          </cell>
          <cell r="B710">
            <v>1091</v>
          </cell>
          <cell r="C710" t="str">
            <v>C1.AM.22.77</v>
          </cell>
          <cell r="D710" t="str">
            <v>AM</v>
          </cell>
          <cell r="E710" t="str">
            <v>G-112</v>
          </cell>
          <cell r="F710" t="str">
            <v>AM188</v>
          </cell>
          <cell r="G710" t="str">
            <v>N1</v>
          </cell>
          <cell r="H710" t="str">
            <v>b3</v>
          </cell>
          <cell r="I710" t="str">
            <v>N1-b3</v>
          </cell>
          <cell r="J710">
            <v>22</v>
          </cell>
          <cell r="K710" t="str">
            <v>77</v>
          </cell>
        </row>
        <row r="711">
          <cell r="A711" t="str">
            <v>22-78</v>
          </cell>
          <cell r="B711">
            <v>1092</v>
          </cell>
          <cell r="C711" t="str">
            <v>C1.AM.22.78</v>
          </cell>
          <cell r="D711" t="str">
            <v>AM</v>
          </cell>
          <cell r="E711" t="str">
            <v>G-002</v>
          </cell>
          <cell r="F711" t="str">
            <v>Montego</v>
          </cell>
          <cell r="G711" t="str">
            <v>N1</v>
          </cell>
          <cell r="H711" t="str">
            <v>b3</v>
          </cell>
          <cell r="I711" t="str">
            <v>N1-b3</v>
          </cell>
          <cell r="J711">
            <v>22</v>
          </cell>
          <cell r="K711" t="str">
            <v>78</v>
          </cell>
        </row>
        <row r="712">
          <cell r="A712" t="str">
            <v>22-79</v>
          </cell>
          <cell r="B712">
            <v>1093</v>
          </cell>
          <cell r="C712" t="str">
            <v>C1.AM.22.79</v>
          </cell>
          <cell r="D712" t="str">
            <v>AM</v>
          </cell>
          <cell r="E712" t="str">
            <v>G-060</v>
          </cell>
          <cell r="F712" t="str">
            <v>AM089</v>
          </cell>
          <cell r="G712" t="str">
            <v>N1</v>
          </cell>
          <cell r="H712" t="str">
            <v>b3</v>
          </cell>
          <cell r="I712" t="str">
            <v>N1-b3</v>
          </cell>
          <cell r="J712">
            <v>22</v>
          </cell>
          <cell r="K712" t="str">
            <v>79</v>
          </cell>
        </row>
        <row r="713">
          <cell r="A713" t="str">
            <v>22-80</v>
          </cell>
          <cell r="B713">
            <v>1094</v>
          </cell>
          <cell r="C713" t="str">
            <v>C1.AM.22.80</v>
          </cell>
          <cell r="D713" t="str">
            <v>AM</v>
          </cell>
          <cell r="E713" t="str">
            <v>G-081</v>
          </cell>
          <cell r="F713" t="str">
            <v>AM131</v>
          </cell>
          <cell r="G713" t="str">
            <v>N1</v>
          </cell>
          <cell r="H713" t="str">
            <v>b3</v>
          </cell>
          <cell r="I713" t="str">
            <v>N1-b3</v>
          </cell>
          <cell r="J713">
            <v>22</v>
          </cell>
          <cell r="K713" t="str">
            <v>80</v>
          </cell>
        </row>
        <row r="714">
          <cell r="A714" t="str">
            <v>22-81</v>
          </cell>
          <cell r="B714">
            <v>1095</v>
          </cell>
          <cell r="C714" t="str">
            <v>C1.AM.22.81</v>
          </cell>
          <cell r="D714" t="str">
            <v>AM</v>
          </cell>
          <cell r="E714" t="str">
            <v>G-071</v>
          </cell>
          <cell r="F714" t="str">
            <v>AM107</v>
          </cell>
          <cell r="G714" t="str">
            <v>N1</v>
          </cell>
          <cell r="H714" t="str">
            <v>b3</v>
          </cell>
          <cell r="I714" t="str">
            <v>N1-b3</v>
          </cell>
          <cell r="J714">
            <v>22</v>
          </cell>
          <cell r="K714" t="str">
            <v>81</v>
          </cell>
        </row>
        <row r="715">
          <cell r="A715" t="str">
            <v>22-82</v>
          </cell>
          <cell r="B715">
            <v>1096</v>
          </cell>
          <cell r="C715" t="str">
            <v>C1.AM.22.82</v>
          </cell>
          <cell r="D715" t="str">
            <v>AM</v>
          </cell>
          <cell r="E715" t="str">
            <v>G-061</v>
          </cell>
          <cell r="F715" t="str">
            <v>AM090</v>
          </cell>
          <cell r="G715" t="str">
            <v>N1</v>
          </cell>
          <cell r="H715" t="str">
            <v>b3</v>
          </cell>
          <cell r="I715" t="str">
            <v>N1-b3</v>
          </cell>
          <cell r="J715">
            <v>22</v>
          </cell>
          <cell r="K715" t="str">
            <v>82</v>
          </cell>
        </row>
        <row r="716">
          <cell r="A716" t="str">
            <v>22-83</v>
          </cell>
          <cell r="B716">
            <v>1097</v>
          </cell>
          <cell r="C716" t="str">
            <v>C1.AM.22.83</v>
          </cell>
          <cell r="D716" t="str">
            <v>AM</v>
          </cell>
          <cell r="E716" t="str">
            <v>G-057</v>
          </cell>
          <cell r="F716" t="str">
            <v>AM086</v>
          </cell>
          <cell r="G716" t="str">
            <v>N1</v>
          </cell>
          <cell r="H716" t="str">
            <v>b3</v>
          </cell>
          <cell r="I716" t="str">
            <v>N1-b3</v>
          </cell>
          <cell r="J716">
            <v>22</v>
          </cell>
          <cell r="K716" t="str">
            <v>83</v>
          </cell>
        </row>
        <row r="717">
          <cell r="A717" t="str">
            <v>22-84</v>
          </cell>
          <cell r="B717">
            <v>1098</v>
          </cell>
          <cell r="C717" t="str">
            <v>C1.AM.22.84</v>
          </cell>
          <cell r="D717" t="str">
            <v>AM</v>
          </cell>
          <cell r="E717" t="str">
            <v>G-111</v>
          </cell>
          <cell r="F717" t="str">
            <v>AM186</v>
          </cell>
          <cell r="G717" t="str">
            <v>N1</v>
          </cell>
          <cell r="H717" t="str">
            <v>b3</v>
          </cell>
          <cell r="I717" t="str">
            <v>N1-b3</v>
          </cell>
          <cell r="J717">
            <v>22</v>
          </cell>
          <cell r="K717" t="str">
            <v>84</v>
          </cell>
        </row>
        <row r="718">
          <cell r="A718" t="str">
            <v>22-85</v>
          </cell>
          <cell r="B718">
            <v>1099</v>
          </cell>
          <cell r="C718" t="str">
            <v>C1.AM.22.85</v>
          </cell>
          <cell r="D718" t="str">
            <v>AM</v>
          </cell>
          <cell r="E718" t="str">
            <v>G-076</v>
          </cell>
          <cell r="F718" t="str">
            <v>AM124</v>
          </cell>
          <cell r="G718" t="str">
            <v>N1</v>
          </cell>
          <cell r="H718" t="str">
            <v>b3</v>
          </cell>
          <cell r="I718" t="str">
            <v>N1-b3</v>
          </cell>
          <cell r="J718">
            <v>22</v>
          </cell>
          <cell r="K718" t="str">
            <v>85</v>
          </cell>
        </row>
        <row r="719">
          <cell r="A719" t="str">
            <v>22-86</v>
          </cell>
          <cell r="B719">
            <v>1100</v>
          </cell>
          <cell r="C719" t="str">
            <v>C1.AM.22.86</v>
          </cell>
          <cell r="D719" t="str">
            <v>AM</v>
          </cell>
          <cell r="E719" t="str">
            <v>G-025</v>
          </cell>
          <cell r="F719" t="str">
            <v>AM045</v>
          </cell>
          <cell r="G719" t="str">
            <v>N1</v>
          </cell>
          <cell r="H719" t="str">
            <v>b3</v>
          </cell>
          <cell r="I719" t="str">
            <v>N1-b3</v>
          </cell>
          <cell r="J719">
            <v>22</v>
          </cell>
          <cell r="K719" t="str">
            <v>86</v>
          </cell>
        </row>
        <row r="720">
          <cell r="A720" t="str">
            <v>22-87</v>
          </cell>
          <cell r="B720">
            <v>1101</v>
          </cell>
          <cell r="C720" t="str">
            <v>C1.AM.22.87</v>
          </cell>
          <cell r="D720" t="str">
            <v>AM</v>
          </cell>
          <cell r="E720" t="str">
            <v>G-036</v>
          </cell>
          <cell r="F720" t="str">
            <v>AM059</v>
          </cell>
          <cell r="G720" t="str">
            <v>N1</v>
          </cell>
          <cell r="H720" t="str">
            <v>b3</v>
          </cell>
          <cell r="I720" t="str">
            <v>N1-b3</v>
          </cell>
          <cell r="J720">
            <v>22</v>
          </cell>
          <cell r="K720" t="str">
            <v>87</v>
          </cell>
        </row>
        <row r="721">
          <cell r="A721" t="str">
            <v>22-88</v>
          </cell>
          <cell r="B721">
            <v>1102</v>
          </cell>
          <cell r="C721" t="str">
            <v>C1.AM.22.88</v>
          </cell>
          <cell r="D721" t="str">
            <v>AM</v>
          </cell>
          <cell r="E721" t="str">
            <v>G-004</v>
          </cell>
          <cell r="F721" t="str">
            <v>AM015</v>
          </cell>
          <cell r="G721" t="str">
            <v>N1</v>
          </cell>
          <cell r="H721" t="str">
            <v>b3</v>
          </cell>
          <cell r="I721" t="str">
            <v>N1-b3</v>
          </cell>
          <cell r="J721">
            <v>22</v>
          </cell>
          <cell r="K721" t="str">
            <v>88</v>
          </cell>
        </row>
        <row r="722">
          <cell r="A722" t="str">
            <v>22-89</v>
          </cell>
          <cell r="B722">
            <v>1103</v>
          </cell>
          <cell r="C722" t="str">
            <v>C1.AM.22.89</v>
          </cell>
          <cell r="D722" t="str">
            <v>AM</v>
          </cell>
          <cell r="E722" t="str">
            <v>G-096</v>
          </cell>
          <cell r="F722" t="str">
            <v>AM158</v>
          </cell>
          <cell r="G722" t="str">
            <v>N1</v>
          </cell>
          <cell r="H722" t="str">
            <v>b3</v>
          </cell>
          <cell r="I722" t="str">
            <v>N1-b3</v>
          </cell>
          <cell r="J722">
            <v>22</v>
          </cell>
          <cell r="K722" t="str">
            <v>89</v>
          </cell>
        </row>
        <row r="723">
          <cell r="A723" t="str">
            <v>22-90</v>
          </cell>
          <cell r="B723">
            <v>1104</v>
          </cell>
          <cell r="C723" t="str">
            <v>C1.AM.22.90</v>
          </cell>
          <cell r="D723" t="str">
            <v>AM</v>
          </cell>
          <cell r="E723" t="str">
            <v>G-115</v>
          </cell>
          <cell r="F723" t="str">
            <v>AM195</v>
          </cell>
          <cell r="G723" t="str">
            <v>N1</v>
          </cell>
          <cell r="H723" t="str">
            <v>b3</v>
          </cell>
          <cell r="I723" t="str">
            <v>N1-b3</v>
          </cell>
          <cell r="J723">
            <v>22</v>
          </cell>
          <cell r="K723" t="str">
            <v>90</v>
          </cell>
        </row>
        <row r="724">
          <cell r="A724" t="str">
            <v>23-65</v>
          </cell>
          <cell r="B724">
            <v>1105</v>
          </cell>
          <cell r="C724" t="str">
            <v>C1.AM.23.65</v>
          </cell>
          <cell r="D724" t="str">
            <v>AM</v>
          </cell>
          <cell r="E724" t="str">
            <v>G-091</v>
          </cell>
          <cell r="F724" t="str">
            <v>AM146</v>
          </cell>
          <cell r="G724" t="str">
            <v>N1</v>
          </cell>
          <cell r="H724" t="str">
            <v>b3</v>
          </cell>
          <cell r="I724" t="str">
            <v>N1-b3</v>
          </cell>
          <cell r="J724">
            <v>23</v>
          </cell>
          <cell r="K724" t="str">
            <v>65</v>
          </cell>
        </row>
        <row r="725">
          <cell r="A725" t="str">
            <v>23-66</v>
          </cell>
          <cell r="B725">
            <v>1106</v>
          </cell>
          <cell r="C725" t="str">
            <v>C1.AM.23.66</v>
          </cell>
          <cell r="D725" t="str">
            <v>AM</v>
          </cell>
          <cell r="E725" t="str">
            <v>G-118</v>
          </cell>
          <cell r="F725" t="str">
            <v>Colvert</v>
          </cell>
          <cell r="G725" t="str">
            <v>N1</v>
          </cell>
          <cell r="H725" t="str">
            <v>b3</v>
          </cell>
          <cell r="I725" t="str">
            <v>N1-b3</v>
          </cell>
          <cell r="J725">
            <v>23</v>
          </cell>
          <cell r="K725" t="str">
            <v>66</v>
          </cell>
        </row>
        <row r="726">
          <cell r="A726" t="str">
            <v>23-67</v>
          </cell>
          <cell r="B726">
            <v>1107</v>
          </cell>
          <cell r="C726" t="str">
            <v>C1.AM.23.67</v>
          </cell>
          <cell r="D726" t="str">
            <v>AM</v>
          </cell>
          <cell r="E726" t="str">
            <v>G-054</v>
          </cell>
          <cell r="F726" t="str">
            <v>AM083</v>
          </cell>
          <cell r="G726" t="str">
            <v>N1</v>
          </cell>
          <cell r="H726" t="str">
            <v>b3</v>
          </cell>
          <cell r="I726" t="str">
            <v>N1-b3</v>
          </cell>
          <cell r="J726">
            <v>23</v>
          </cell>
          <cell r="K726" t="str">
            <v>67</v>
          </cell>
        </row>
        <row r="727">
          <cell r="A727" t="str">
            <v>23-68</v>
          </cell>
          <cell r="B727">
            <v>1108</v>
          </cell>
          <cell r="C727" t="str">
            <v>C1.AM.23.68</v>
          </cell>
          <cell r="D727" t="str">
            <v>AM</v>
          </cell>
          <cell r="E727" t="str">
            <v>G-095</v>
          </cell>
          <cell r="F727" t="str">
            <v>AM156</v>
          </cell>
          <cell r="G727" t="str">
            <v>N1</v>
          </cell>
          <cell r="H727" t="str">
            <v>b3</v>
          </cell>
          <cell r="I727" t="str">
            <v>N1-b3</v>
          </cell>
          <cell r="J727">
            <v>23</v>
          </cell>
          <cell r="K727" t="str">
            <v>68</v>
          </cell>
        </row>
        <row r="728">
          <cell r="A728" t="str">
            <v>23-69</v>
          </cell>
          <cell r="B728">
            <v>1109</v>
          </cell>
          <cell r="C728" t="str">
            <v>C1.AM.23.69</v>
          </cell>
          <cell r="D728" t="str">
            <v>AM</v>
          </cell>
          <cell r="E728" t="str">
            <v>G-047</v>
          </cell>
          <cell r="F728" t="str">
            <v>AM071</v>
          </cell>
          <cell r="G728" t="str">
            <v>N1</v>
          </cell>
          <cell r="H728" t="str">
            <v>b3</v>
          </cell>
          <cell r="I728" t="str">
            <v>N1-b3</v>
          </cell>
          <cell r="J728">
            <v>23</v>
          </cell>
          <cell r="K728" t="str">
            <v>69</v>
          </cell>
        </row>
        <row r="729">
          <cell r="A729" t="str">
            <v>23-70</v>
          </cell>
          <cell r="B729">
            <v>1110</v>
          </cell>
          <cell r="C729" t="str">
            <v>C1.AM.23.70</v>
          </cell>
          <cell r="D729" t="str">
            <v>AM</v>
          </cell>
          <cell r="E729" t="str">
            <v>G-059</v>
          </cell>
          <cell r="F729" t="str">
            <v>AM088</v>
          </cell>
          <cell r="G729" t="str">
            <v>N1</v>
          </cell>
          <cell r="H729" t="str">
            <v>b3</v>
          </cell>
          <cell r="I729" t="str">
            <v>N1-b3</v>
          </cell>
          <cell r="J729">
            <v>23</v>
          </cell>
          <cell r="K729" t="str">
            <v>70</v>
          </cell>
        </row>
        <row r="730">
          <cell r="A730" t="str">
            <v>23-71</v>
          </cell>
          <cell r="B730">
            <v>1111</v>
          </cell>
          <cell r="C730" t="str">
            <v>C1.AM.23.71</v>
          </cell>
          <cell r="D730" t="str">
            <v>AM</v>
          </cell>
          <cell r="E730" t="str">
            <v>G-031</v>
          </cell>
          <cell r="F730" t="str">
            <v>AM053</v>
          </cell>
          <cell r="G730" t="str">
            <v>N1</v>
          </cell>
          <cell r="H730" t="str">
            <v>b3</v>
          </cell>
          <cell r="I730" t="str">
            <v>N1-b3</v>
          </cell>
          <cell r="J730">
            <v>23</v>
          </cell>
          <cell r="K730" t="str">
            <v>71</v>
          </cell>
        </row>
        <row r="731">
          <cell r="A731" t="str">
            <v>23-72</v>
          </cell>
          <cell r="B731">
            <v>1112</v>
          </cell>
          <cell r="C731" t="str">
            <v>C1.AM.23.72</v>
          </cell>
          <cell r="D731" t="str">
            <v>AM</v>
          </cell>
          <cell r="E731" t="str">
            <v>G-024</v>
          </cell>
          <cell r="F731" t="str">
            <v>AM042</v>
          </cell>
          <cell r="G731" t="str">
            <v>N1</v>
          </cell>
          <cell r="H731" t="str">
            <v>b3</v>
          </cell>
          <cell r="I731" t="str">
            <v>N1-b3</v>
          </cell>
          <cell r="J731">
            <v>23</v>
          </cell>
          <cell r="K731" t="str">
            <v>72</v>
          </cell>
        </row>
        <row r="732">
          <cell r="A732" t="str">
            <v>23-73</v>
          </cell>
          <cell r="B732">
            <v>1113</v>
          </cell>
          <cell r="C732" t="str">
            <v>C1.AM.23.73</v>
          </cell>
          <cell r="D732" t="str">
            <v>AM</v>
          </cell>
          <cell r="E732" t="str">
            <v>G-006</v>
          </cell>
          <cell r="F732" t="str">
            <v>AM017</v>
          </cell>
          <cell r="G732" t="str">
            <v>N1</v>
          </cell>
          <cell r="H732" t="str">
            <v>b3</v>
          </cell>
          <cell r="I732" t="str">
            <v>N1-b3</v>
          </cell>
          <cell r="J732">
            <v>23</v>
          </cell>
          <cell r="K732" t="str">
            <v>73</v>
          </cell>
        </row>
        <row r="733">
          <cell r="A733" t="str">
            <v>23-74</v>
          </cell>
          <cell r="B733">
            <v>1114</v>
          </cell>
          <cell r="C733" t="str">
            <v>C1.AM.23.74</v>
          </cell>
          <cell r="D733" t="str">
            <v>AM</v>
          </cell>
          <cell r="E733" t="str">
            <v>G-079</v>
          </cell>
          <cell r="F733" t="str">
            <v>AM129</v>
          </cell>
          <cell r="G733" t="str">
            <v>N1</v>
          </cell>
          <cell r="H733" t="str">
            <v>b3</v>
          </cell>
          <cell r="I733" t="str">
            <v>N1-b3</v>
          </cell>
          <cell r="J733">
            <v>23</v>
          </cell>
          <cell r="K733" t="str">
            <v>74</v>
          </cell>
        </row>
        <row r="734">
          <cell r="A734" t="str">
            <v>23-75</v>
          </cell>
          <cell r="B734">
            <v>1115</v>
          </cell>
          <cell r="C734" t="str">
            <v>C1.AM.23.75</v>
          </cell>
          <cell r="D734" t="str">
            <v>AM</v>
          </cell>
          <cell r="E734" t="str">
            <v>G-046</v>
          </cell>
          <cell r="F734" t="str">
            <v>AM070</v>
          </cell>
          <cell r="G734" t="str">
            <v>N1</v>
          </cell>
          <cell r="H734" t="str">
            <v>b3</v>
          </cell>
          <cell r="I734" t="str">
            <v>N1-b3</v>
          </cell>
          <cell r="J734">
            <v>23</v>
          </cell>
          <cell r="K734" t="str">
            <v>75</v>
          </cell>
        </row>
        <row r="735">
          <cell r="A735" t="str">
            <v>23-76</v>
          </cell>
          <cell r="B735">
            <v>1116</v>
          </cell>
          <cell r="C735" t="str">
            <v>C1.AM.23.76</v>
          </cell>
          <cell r="D735" t="str">
            <v>AM</v>
          </cell>
          <cell r="E735" t="str">
            <v>G-094</v>
          </cell>
          <cell r="F735" t="str">
            <v>AM149</v>
          </cell>
          <cell r="G735" t="str">
            <v>N1</v>
          </cell>
          <cell r="H735" t="str">
            <v>b3</v>
          </cell>
          <cell r="I735" t="str">
            <v>N1-b3</v>
          </cell>
          <cell r="J735">
            <v>23</v>
          </cell>
          <cell r="K735" t="str">
            <v>76</v>
          </cell>
        </row>
        <row r="736">
          <cell r="A736" t="str">
            <v>23-77</v>
          </cell>
          <cell r="B736">
            <v>1117</v>
          </cell>
          <cell r="C736" t="str">
            <v>C1.AM.23.77</v>
          </cell>
          <cell r="D736" t="str">
            <v>AM</v>
          </cell>
          <cell r="E736" t="str">
            <v>G-013</v>
          </cell>
          <cell r="F736" t="str">
            <v>AM030</v>
          </cell>
          <cell r="G736" t="str">
            <v>N1</v>
          </cell>
          <cell r="H736" t="str">
            <v>b3</v>
          </cell>
          <cell r="I736" t="str">
            <v>N1-b3</v>
          </cell>
          <cell r="J736">
            <v>23</v>
          </cell>
          <cell r="K736" t="str">
            <v>77</v>
          </cell>
        </row>
        <row r="737">
          <cell r="A737" t="str">
            <v>23-78</v>
          </cell>
          <cell r="B737">
            <v>1118</v>
          </cell>
          <cell r="C737" t="str">
            <v>C1.AM.23.78</v>
          </cell>
          <cell r="D737" t="str">
            <v>AM</v>
          </cell>
          <cell r="E737" t="str">
            <v>G-033</v>
          </cell>
          <cell r="F737" t="str">
            <v>AM056</v>
          </cell>
          <cell r="G737" t="str">
            <v>N1</v>
          </cell>
          <cell r="H737" t="str">
            <v>b3</v>
          </cell>
          <cell r="I737" t="str">
            <v>N1-b3</v>
          </cell>
          <cell r="J737">
            <v>23</v>
          </cell>
          <cell r="K737" t="str">
            <v>78</v>
          </cell>
        </row>
        <row r="738">
          <cell r="A738" t="str">
            <v>23-79</v>
          </cell>
          <cell r="B738">
            <v>1119</v>
          </cell>
          <cell r="C738" t="str">
            <v>C1.AM.23.79</v>
          </cell>
          <cell r="D738" t="str">
            <v>AM</v>
          </cell>
          <cell r="E738" t="str">
            <v>G-098</v>
          </cell>
          <cell r="F738" t="str">
            <v>AM164</v>
          </cell>
          <cell r="G738" t="str">
            <v>N1</v>
          </cell>
          <cell r="H738" t="str">
            <v>b3</v>
          </cell>
          <cell r="I738" t="str">
            <v>N1-b3</v>
          </cell>
          <cell r="J738">
            <v>23</v>
          </cell>
          <cell r="K738" t="str">
            <v>79</v>
          </cell>
        </row>
        <row r="739">
          <cell r="A739" t="str">
            <v>23-80</v>
          </cell>
          <cell r="B739">
            <v>1120</v>
          </cell>
          <cell r="C739" t="str">
            <v>C1.AM.23.80</v>
          </cell>
          <cell r="D739" t="str">
            <v>AM</v>
          </cell>
          <cell r="E739" t="str">
            <v>G-052</v>
          </cell>
          <cell r="F739" t="str">
            <v>AM080</v>
          </cell>
          <cell r="G739" t="str">
            <v>N1</v>
          </cell>
          <cell r="H739" t="str">
            <v>b3</v>
          </cell>
          <cell r="I739" t="str">
            <v>N1-b3</v>
          </cell>
          <cell r="J739">
            <v>23</v>
          </cell>
          <cell r="K739" t="str">
            <v>80</v>
          </cell>
        </row>
        <row r="740">
          <cell r="A740" t="str">
            <v>23-81</v>
          </cell>
          <cell r="B740">
            <v>1121</v>
          </cell>
          <cell r="C740" t="str">
            <v>C1.AM.23.81</v>
          </cell>
          <cell r="D740" t="str">
            <v>AM</v>
          </cell>
          <cell r="E740" t="str">
            <v>G-106</v>
          </cell>
          <cell r="F740" t="str">
            <v>AM172</v>
          </cell>
          <cell r="G740" t="str">
            <v>N1</v>
          </cell>
          <cell r="H740" t="str">
            <v>b3</v>
          </cell>
          <cell r="I740" t="str">
            <v>N1-b3</v>
          </cell>
          <cell r="J740">
            <v>23</v>
          </cell>
          <cell r="K740" t="str">
            <v>81</v>
          </cell>
        </row>
        <row r="741">
          <cell r="A741" t="str">
            <v>23-82</v>
          </cell>
          <cell r="B741">
            <v>1122</v>
          </cell>
          <cell r="C741" t="str">
            <v>C1.AM.23.82</v>
          </cell>
          <cell r="D741" t="str">
            <v>AM</v>
          </cell>
          <cell r="E741" t="str">
            <v>G-123</v>
          </cell>
          <cell r="F741" t="str">
            <v>C-California</v>
          </cell>
          <cell r="G741" t="str">
            <v>N1</v>
          </cell>
          <cell r="H741" t="str">
            <v>b3</v>
          </cell>
          <cell r="I741" t="str">
            <v>N1-b3</v>
          </cell>
          <cell r="J741">
            <v>23</v>
          </cell>
          <cell r="K741" t="str">
            <v>82</v>
          </cell>
        </row>
        <row r="742">
          <cell r="A742" t="str">
            <v>23-83</v>
          </cell>
          <cell r="B742">
            <v>1123</v>
          </cell>
          <cell r="C742" t="str">
            <v>C1.AM.23.83</v>
          </cell>
          <cell r="D742" t="str">
            <v>AM</v>
          </cell>
          <cell r="E742" t="str">
            <v>G-078</v>
          </cell>
          <cell r="F742" t="str">
            <v>AM127</v>
          </cell>
          <cell r="G742" t="str">
            <v>N1</v>
          </cell>
          <cell r="H742" t="str">
            <v>b3</v>
          </cell>
          <cell r="I742" t="str">
            <v>N1-b3</v>
          </cell>
          <cell r="J742">
            <v>23</v>
          </cell>
          <cell r="K742" t="str">
            <v>83</v>
          </cell>
        </row>
        <row r="743">
          <cell r="A743" t="str">
            <v>23-84</v>
          </cell>
          <cell r="B743">
            <v>1124</v>
          </cell>
          <cell r="C743" t="str">
            <v>C1.AM.23.84</v>
          </cell>
          <cell r="D743" t="str">
            <v>AM</v>
          </cell>
          <cell r="E743" t="str">
            <v>G-068</v>
          </cell>
          <cell r="F743" t="str">
            <v>AM100</v>
          </cell>
          <cell r="G743" t="str">
            <v>N1</v>
          </cell>
          <cell r="H743" t="str">
            <v>b3</v>
          </cell>
          <cell r="I743" t="str">
            <v>N1-b3</v>
          </cell>
          <cell r="J743">
            <v>23</v>
          </cell>
          <cell r="K743" t="str">
            <v>84</v>
          </cell>
        </row>
        <row r="744">
          <cell r="A744" t="str">
            <v>23-85</v>
          </cell>
          <cell r="B744">
            <v>1125</v>
          </cell>
          <cell r="C744" t="str">
            <v>C1.AM.23.85</v>
          </cell>
          <cell r="D744" t="str">
            <v>AM</v>
          </cell>
          <cell r="E744" t="str">
            <v>G-012</v>
          </cell>
          <cell r="F744" t="str">
            <v>AM028</v>
          </cell>
          <cell r="G744" t="str">
            <v>N1</v>
          </cell>
          <cell r="H744" t="str">
            <v>b3</v>
          </cell>
          <cell r="I744" t="str">
            <v>N1-b3</v>
          </cell>
          <cell r="J744">
            <v>23</v>
          </cell>
          <cell r="K744" t="str">
            <v>85</v>
          </cell>
        </row>
        <row r="745">
          <cell r="A745" t="str">
            <v>23-86</v>
          </cell>
          <cell r="B745">
            <v>1126</v>
          </cell>
          <cell r="C745" t="str">
            <v>C1.AM.23.86</v>
          </cell>
          <cell r="D745" t="str">
            <v>AM</v>
          </cell>
          <cell r="E745" t="str">
            <v>G-080</v>
          </cell>
          <cell r="F745" t="str">
            <v>AM130</v>
          </cell>
          <cell r="G745" t="str">
            <v>N1</v>
          </cell>
          <cell r="H745" t="str">
            <v>b3</v>
          </cell>
          <cell r="I745" t="str">
            <v>N1-b3</v>
          </cell>
          <cell r="J745">
            <v>23</v>
          </cell>
          <cell r="K745" t="str">
            <v>86</v>
          </cell>
        </row>
        <row r="746">
          <cell r="A746" t="str">
            <v>23-87</v>
          </cell>
          <cell r="B746">
            <v>1127</v>
          </cell>
          <cell r="C746" t="str">
            <v>C1.AM.23.87</v>
          </cell>
          <cell r="D746" t="str">
            <v>AM</v>
          </cell>
          <cell r="E746" t="str">
            <v>G-120</v>
          </cell>
          <cell r="F746" t="str">
            <v>Twister</v>
          </cell>
          <cell r="G746" t="str">
            <v>N1</v>
          </cell>
          <cell r="H746" t="str">
            <v>b3</v>
          </cell>
          <cell r="I746" t="str">
            <v>N1-b3</v>
          </cell>
          <cell r="J746">
            <v>23</v>
          </cell>
          <cell r="K746" t="str">
            <v>87</v>
          </cell>
        </row>
        <row r="747">
          <cell r="A747" t="str">
            <v>23-88</v>
          </cell>
          <cell r="B747">
            <v>1128</v>
          </cell>
          <cell r="C747" t="str">
            <v>C1.AM.23.88</v>
          </cell>
          <cell r="D747" t="str">
            <v>AM</v>
          </cell>
          <cell r="E747" t="str">
            <v>G-051</v>
          </cell>
          <cell r="F747" t="str">
            <v>AM078</v>
          </cell>
          <cell r="G747" t="str">
            <v>N1</v>
          </cell>
          <cell r="H747" t="str">
            <v>b3</v>
          </cell>
          <cell r="I747" t="str">
            <v>N1-b3</v>
          </cell>
          <cell r="J747">
            <v>23</v>
          </cell>
          <cell r="K747" t="str">
            <v>88</v>
          </cell>
        </row>
        <row r="748">
          <cell r="A748" t="str">
            <v>23-89</v>
          </cell>
          <cell r="B748">
            <v>1129</v>
          </cell>
          <cell r="C748" t="str">
            <v>C1.AM.23.89</v>
          </cell>
          <cell r="D748" t="str">
            <v>AM</v>
          </cell>
          <cell r="E748" t="str">
            <v>G-001</v>
          </cell>
          <cell r="F748" t="str">
            <v>Aviso</v>
          </cell>
          <cell r="G748" t="str">
            <v>N1</v>
          </cell>
          <cell r="H748" t="str">
            <v>b3</v>
          </cell>
          <cell r="I748" t="str">
            <v>N1-b3</v>
          </cell>
          <cell r="J748">
            <v>23</v>
          </cell>
          <cell r="K748" t="str">
            <v>89</v>
          </cell>
        </row>
        <row r="749">
          <cell r="A749" t="str">
            <v>23-90</v>
          </cell>
          <cell r="B749">
            <v>1130</v>
          </cell>
          <cell r="C749" t="str">
            <v>C1.AM.23.90</v>
          </cell>
          <cell r="D749" t="str">
            <v>AM</v>
          </cell>
          <cell r="E749" t="str">
            <v>G-088</v>
          </cell>
          <cell r="F749" t="str">
            <v>AM143</v>
          </cell>
          <cell r="G749" t="str">
            <v>N1</v>
          </cell>
          <cell r="H749" t="str">
            <v>b3</v>
          </cell>
          <cell r="I749" t="str">
            <v>N1-b3</v>
          </cell>
          <cell r="J749">
            <v>23</v>
          </cell>
          <cell r="K749" t="str">
            <v>90</v>
          </cell>
        </row>
        <row r="750">
          <cell r="A750" t="str">
            <v>24-65</v>
          </cell>
          <cell r="B750">
            <v>1131</v>
          </cell>
          <cell r="C750" t="str">
            <v>C1.AM.24.65</v>
          </cell>
          <cell r="D750" t="str">
            <v>AM</v>
          </cell>
          <cell r="E750" t="str">
            <v>G-082</v>
          </cell>
          <cell r="F750" t="str">
            <v>AM133</v>
          </cell>
          <cell r="G750" t="str">
            <v>N1</v>
          </cell>
          <cell r="H750" t="str">
            <v>b3</v>
          </cell>
          <cell r="I750" t="str">
            <v>N1-b3</v>
          </cell>
          <cell r="J750">
            <v>24</v>
          </cell>
          <cell r="K750" t="str">
            <v>65</v>
          </cell>
        </row>
        <row r="751">
          <cell r="A751" t="str">
            <v>24-66</v>
          </cell>
          <cell r="B751">
            <v>1132</v>
          </cell>
          <cell r="C751" t="str">
            <v>C1.AM.24.66</v>
          </cell>
          <cell r="D751" t="str">
            <v>AM</v>
          </cell>
          <cell r="E751" t="str">
            <v>G-119</v>
          </cell>
          <cell r="F751" t="str">
            <v>Kurander</v>
          </cell>
          <cell r="G751" t="str">
            <v>N1</v>
          </cell>
          <cell r="H751" t="str">
            <v>b3</v>
          </cell>
          <cell r="I751" t="str">
            <v>N1-b3</v>
          </cell>
          <cell r="J751">
            <v>24</v>
          </cell>
          <cell r="K751" t="str">
            <v>66</v>
          </cell>
        </row>
        <row r="752">
          <cell r="A752" t="str">
            <v>24-67</v>
          </cell>
          <cell r="B752">
            <v>1133</v>
          </cell>
          <cell r="C752" t="str">
            <v>C1.AM.24.67</v>
          </cell>
          <cell r="D752" t="str">
            <v>AM</v>
          </cell>
          <cell r="E752" t="str">
            <v>G-105</v>
          </cell>
          <cell r="F752" t="str">
            <v>AM171</v>
          </cell>
          <cell r="G752" t="str">
            <v>N1</v>
          </cell>
          <cell r="H752" t="str">
            <v>b3</v>
          </cell>
          <cell r="I752" t="str">
            <v>N1-b3</v>
          </cell>
          <cell r="J752">
            <v>24</v>
          </cell>
          <cell r="K752" t="str">
            <v>67</v>
          </cell>
        </row>
        <row r="753">
          <cell r="A753" t="str">
            <v>24-68</v>
          </cell>
          <cell r="B753">
            <v>1134</v>
          </cell>
          <cell r="C753" t="str">
            <v>C1.AM.24.68</v>
          </cell>
          <cell r="D753" t="str">
            <v>AM</v>
          </cell>
          <cell r="E753" t="str">
            <v>G-099</v>
          </cell>
          <cell r="F753" t="str">
            <v>AM165</v>
          </cell>
          <cell r="G753" t="str">
            <v>N1</v>
          </cell>
          <cell r="H753" t="str">
            <v>b3</v>
          </cell>
          <cell r="I753" t="str">
            <v>N1-b3</v>
          </cell>
          <cell r="J753">
            <v>24</v>
          </cell>
          <cell r="K753" t="str">
            <v>68</v>
          </cell>
        </row>
        <row r="754">
          <cell r="A754" t="str">
            <v>24-69</v>
          </cell>
          <cell r="B754">
            <v>1135</v>
          </cell>
          <cell r="C754" t="str">
            <v>C1.AM.24.69</v>
          </cell>
          <cell r="D754" t="str">
            <v>AM</v>
          </cell>
          <cell r="E754" t="str">
            <v>G-040</v>
          </cell>
          <cell r="F754" t="str">
            <v>AM063</v>
          </cell>
          <cell r="G754" t="str">
            <v>N1</v>
          </cell>
          <cell r="H754" t="str">
            <v>b3</v>
          </cell>
          <cell r="I754" t="str">
            <v>N1-b3</v>
          </cell>
          <cell r="J754">
            <v>24</v>
          </cell>
          <cell r="K754" t="str">
            <v>69</v>
          </cell>
        </row>
        <row r="755">
          <cell r="A755" t="str">
            <v>24-70</v>
          </cell>
          <cell r="B755">
            <v>1136</v>
          </cell>
          <cell r="C755" t="str">
            <v>C1.AM.24.70</v>
          </cell>
          <cell r="D755" t="str">
            <v>AM</v>
          </cell>
          <cell r="E755" t="str">
            <v>G-005</v>
          </cell>
          <cell r="F755" t="str">
            <v>AM016</v>
          </cell>
          <cell r="G755" t="str">
            <v>N1</v>
          </cell>
          <cell r="H755" t="str">
            <v>b3</v>
          </cell>
          <cell r="I755" t="str">
            <v>N1-b3</v>
          </cell>
          <cell r="J755">
            <v>24</v>
          </cell>
          <cell r="K755" t="str">
            <v>70</v>
          </cell>
        </row>
        <row r="756">
          <cell r="A756" t="str">
            <v>24-71</v>
          </cell>
          <cell r="B756">
            <v>1137</v>
          </cell>
          <cell r="C756" t="str">
            <v>C1.AM.24.71</v>
          </cell>
          <cell r="D756" t="str">
            <v>AM</v>
          </cell>
          <cell r="E756" t="str">
            <v>G-017</v>
          </cell>
          <cell r="F756" t="str">
            <v>AM034</v>
          </cell>
          <cell r="G756" t="str">
            <v>N1</v>
          </cell>
          <cell r="H756" t="str">
            <v>b3</v>
          </cell>
          <cell r="I756" t="str">
            <v>N1-b3</v>
          </cell>
          <cell r="J756">
            <v>24</v>
          </cell>
          <cell r="K756" t="str">
            <v>71</v>
          </cell>
        </row>
        <row r="757">
          <cell r="A757" t="str">
            <v>24-72</v>
          </cell>
          <cell r="B757">
            <v>1138</v>
          </cell>
          <cell r="C757" t="str">
            <v>C1.AM.24.72</v>
          </cell>
          <cell r="D757" t="str">
            <v>AM</v>
          </cell>
          <cell r="E757" t="str">
            <v>G-008</v>
          </cell>
          <cell r="F757" t="str">
            <v>AM019</v>
          </cell>
          <cell r="G757" t="str">
            <v>N1</v>
          </cell>
          <cell r="H757" t="str">
            <v>b3</v>
          </cell>
          <cell r="I757" t="str">
            <v>N1-b3</v>
          </cell>
          <cell r="J757">
            <v>24</v>
          </cell>
          <cell r="K757" t="str">
            <v>72</v>
          </cell>
        </row>
        <row r="758">
          <cell r="A758" t="str">
            <v>24-73</v>
          </cell>
          <cell r="B758">
            <v>1139</v>
          </cell>
          <cell r="C758" t="str">
            <v>C1.AM.24.73</v>
          </cell>
          <cell r="D758" t="str">
            <v>AM</v>
          </cell>
          <cell r="E758" t="str">
            <v>G-077</v>
          </cell>
          <cell r="F758" t="str">
            <v>AM125</v>
          </cell>
          <cell r="G758" t="str">
            <v>N1</v>
          </cell>
          <cell r="H758" t="str">
            <v>b3</v>
          </cell>
          <cell r="I758" t="str">
            <v>N1-b3</v>
          </cell>
          <cell r="J758">
            <v>24</v>
          </cell>
          <cell r="K758" t="str">
            <v>73</v>
          </cell>
        </row>
        <row r="759">
          <cell r="A759" t="str">
            <v>24-74</v>
          </cell>
          <cell r="B759">
            <v>1140</v>
          </cell>
          <cell r="C759" t="str">
            <v>C1.AM.24.74</v>
          </cell>
          <cell r="D759" t="str">
            <v>AM</v>
          </cell>
          <cell r="E759" t="str">
            <v>G-064</v>
          </cell>
          <cell r="F759" t="str">
            <v>AM093</v>
          </cell>
          <cell r="G759" t="str">
            <v>N1</v>
          </cell>
          <cell r="H759" t="str">
            <v>b3</v>
          </cell>
          <cell r="I759" t="str">
            <v>N1-b3</v>
          </cell>
          <cell r="J759">
            <v>24</v>
          </cell>
          <cell r="K759" t="str">
            <v>74</v>
          </cell>
        </row>
        <row r="760">
          <cell r="A760" t="str">
            <v>24-75</v>
          </cell>
          <cell r="B760">
            <v>1141</v>
          </cell>
          <cell r="C760" t="str">
            <v>C1.AM.24.75</v>
          </cell>
          <cell r="D760" t="str">
            <v>AM</v>
          </cell>
          <cell r="E760" t="str">
            <v>G-018</v>
          </cell>
          <cell r="F760" t="str">
            <v>AM035</v>
          </cell>
          <cell r="G760" t="str">
            <v>N1</v>
          </cell>
          <cell r="H760" t="str">
            <v>b3</v>
          </cell>
          <cell r="I760" t="str">
            <v>N1-b3</v>
          </cell>
          <cell r="J760">
            <v>24</v>
          </cell>
          <cell r="K760" t="str">
            <v>75</v>
          </cell>
        </row>
        <row r="761">
          <cell r="A761" t="str">
            <v>24-76</v>
          </cell>
          <cell r="B761">
            <v>1142</v>
          </cell>
          <cell r="C761" t="str">
            <v>C1.AM.24.76</v>
          </cell>
          <cell r="D761" t="str">
            <v>AM</v>
          </cell>
          <cell r="E761" t="str">
            <v>G-083</v>
          </cell>
          <cell r="F761" t="str">
            <v>AM137</v>
          </cell>
          <cell r="G761" t="str">
            <v>N1</v>
          </cell>
          <cell r="H761" t="str">
            <v>b3</v>
          </cell>
          <cell r="I761" t="str">
            <v>N1-b3</v>
          </cell>
          <cell r="J761">
            <v>24</v>
          </cell>
          <cell r="K761" t="str">
            <v>76</v>
          </cell>
        </row>
        <row r="762">
          <cell r="A762" t="str">
            <v>24-77</v>
          </cell>
          <cell r="B762">
            <v>1143</v>
          </cell>
          <cell r="C762" t="str">
            <v>C1.AM.24.77</v>
          </cell>
          <cell r="D762" t="str">
            <v>AM</v>
          </cell>
          <cell r="E762" t="str">
            <v>G-035</v>
          </cell>
          <cell r="F762" t="str">
            <v>AM058</v>
          </cell>
          <cell r="G762" t="str">
            <v>N1</v>
          </cell>
          <cell r="H762" t="str">
            <v>b3</v>
          </cell>
          <cell r="I762" t="str">
            <v>N1-b3</v>
          </cell>
          <cell r="J762">
            <v>24</v>
          </cell>
          <cell r="K762" t="str">
            <v>77</v>
          </cell>
        </row>
        <row r="763">
          <cell r="A763" t="str">
            <v>24-78</v>
          </cell>
          <cell r="B763">
            <v>1144</v>
          </cell>
          <cell r="C763" t="str">
            <v>C1.AM.24.78</v>
          </cell>
          <cell r="D763" t="str">
            <v>AM</v>
          </cell>
          <cell r="E763" t="str">
            <v>G-124</v>
          </cell>
          <cell r="F763" t="str">
            <v>S-Oase</v>
          </cell>
          <cell r="G763" t="str">
            <v>N1</v>
          </cell>
          <cell r="H763" t="str">
            <v>b3</v>
          </cell>
          <cell r="I763" t="str">
            <v>N1-b3</v>
          </cell>
          <cell r="J763">
            <v>24</v>
          </cell>
          <cell r="K763" t="str">
            <v>78</v>
          </cell>
        </row>
        <row r="764">
          <cell r="A764" t="str">
            <v>24-79</v>
          </cell>
          <cell r="B764">
            <v>1145</v>
          </cell>
          <cell r="C764" t="str">
            <v>C1.AM.24.79</v>
          </cell>
          <cell r="D764" t="str">
            <v>AM</v>
          </cell>
          <cell r="E764" t="str">
            <v>G-085</v>
          </cell>
          <cell r="F764" t="str">
            <v>AM139</v>
          </cell>
          <cell r="G764" t="str">
            <v>N1</v>
          </cell>
          <cell r="H764" t="str">
            <v>b3</v>
          </cell>
          <cell r="I764" t="str">
            <v>N1-b3</v>
          </cell>
          <cell r="J764">
            <v>24</v>
          </cell>
          <cell r="K764" t="str">
            <v>79</v>
          </cell>
        </row>
        <row r="765">
          <cell r="A765" t="str">
            <v>24-80</v>
          </cell>
          <cell r="B765">
            <v>1146</v>
          </cell>
          <cell r="C765" t="str">
            <v>C1.AM.24.80</v>
          </cell>
          <cell r="D765" t="str">
            <v>AM</v>
          </cell>
          <cell r="E765" t="str">
            <v>G-065</v>
          </cell>
          <cell r="F765" t="str">
            <v>AM094</v>
          </cell>
          <cell r="G765" t="str">
            <v>N1</v>
          </cell>
          <cell r="H765" t="str">
            <v>b3</v>
          </cell>
          <cell r="I765" t="str">
            <v>N1-b3</v>
          </cell>
          <cell r="J765">
            <v>24</v>
          </cell>
          <cell r="K765" t="str">
            <v>80</v>
          </cell>
        </row>
        <row r="766">
          <cell r="A766" t="str">
            <v>24-81</v>
          </cell>
          <cell r="B766">
            <v>1147</v>
          </cell>
          <cell r="C766" t="str">
            <v>C1.AM.24.81</v>
          </cell>
          <cell r="D766" t="str">
            <v>AM</v>
          </cell>
          <cell r="E766" t="str">
            <v>G-072</v>
          </cell>
          <cell r="F766" t="str">
            <v>AM109</v>
          </cell>
          <cell r="G766" t="str">
            <v>N1</v>
          </cell>
          <cell r="H766" t="str">
            <v>b3</v>
          </cell>
          <cell r="I766" t="str">
            <v>N1-b3</v>
          </cell>
          <cell r="J766">
            <v>24</v>
          </cell>
          <cell r="K766" t="str">
            <v>81</v>
          </cell>
        </row>
        <row r="767">
          <cell r="A767" t="str">
            <v>24-82</v>
          </cell>
          <cell r="B767">
            <v>1148</v>
          </cell>
          <cell r="C767" t="str">
            <v>C1.AM.24.82</v>
          </cell>
          <cell r="D767" t="str">
            <v>AM</v>
          </cell>
          <cell r="E767" t="str">
            <v>G-023</v>
          </cell>
          <cell r="F767" t="str">
            <v>AM040</v>
          </cell>
          <cell r="G767" t="str">
            <v>N1</v>
          </cell>
          <cell r="H767" t="str">
            <v>b3</v>
          </cell>
          <cell r="I767" t="str">
            <v>N1-b3</v>
          </cell>
          <cell r="J767">
            <v>24</v>
          </cell>
          <cell r="K767" t="str">
            <v>82</v>
          </cell>
        </row>
        <row r="768">
          <cell r="A768" t="str">
            <v>24-83</v>
          </cell>
          <cell r="B768">
            <v>1149</v>
          </cell>
          <cell r="C768" t="str">
            <v>C1.AM.24.83</v>
          </cell>
          <cell r="D768" t="str">
            <v>AM</v>
          </cell>
          <cell r="E768" t="str">
            <v>G-015</v>
          </cell>
          <cell r="F768" t="str">
            <v>AM032</v>
          </cell>
          <cell r="G768" t="str">
            <v>N1</v>
          </cell>
          <cell r="H768" t="str">
            <v>b3</v>
          </cell>
          <cell r="I768" t="str">
            <v>N1-b3</v>
          </cell>
          <cell r="J768">
            <v>24</v>
          </cell>
          <cell r="K768" t="str">
            <v>83</v>
          </cell>
        </row>
        <row r="769">
          <cell r="A769" t="str">
            <v>24-84</v>
          </cell>
          <cell r="B769">
            <v>1150</v>
          </cell>
          <cell r="C769" t="str">
            <v>C1.AM.24.84</v>
          </cell>
          <cell r="D769" t="str">
            <v>AM</v>
          </cell>
          <cell r="E769" t="str">
            <v>G-010</v>
          </cell>
          <cell r="F769" t="str">
            <v>AM022</v>
          </cell>
          <cell r="G769" t="str">
            <v>N1</v>
          </cell>
          <cell r="H769" t="str">
            <v>b3</v>
          </cell>
          <cell r="I769" t="str">
            <v>N1-b3</v>
          </cell>
          <cell r="J769">
            <v>24</v>
          </cell>
          <cell r="K769" t="str">
            <v>84</v>
          </cell>
        </row>
        <row r="770">
          <cell r="A770" t="str">
            <v>24-85</v>
          </cell>
          <cell r="B770">
            <v>1151</v>
          </cell>
          <cell r="C770" t="str">
            <v>C1.AM.24.85</v>
          </cell>
          <cell r="D770" t="str">
            <v>AM</v>
          </cell>
          <cell r="E770" t="str">
            <v>G-063</v>
          </cell>
          <cell r="F770" t="str">
            <v>AM092</v>
          </cell>
          <cell r="G770" t="str">
            <v>N1</v>
          </cell>
          <cell r="H770" t="str">
            <v>b3</v>
          </cell>
          <cell r="I770" t="str">
            <v>N1-b3</v>
          </cell>
          <cell r="J770">
            <v>24</v>
          </cell>
          <cell r="K770" t="str">
            <v>85</v>
          </cell>
        </row>
        <row r="771">
          <cell r="A771" t="str">
            <v>24-86</v>
          </cell>
          <cell r="B771">
            <v>1152</v>
          </cell>
          <cell r="C771" t="str">
            <v>C1.AM.24.86</v>
          </cell>
          <cell r="D771" t="str">
            <v>AM</v>
          </cell>
          <cell r="E771" t="str">
            <v>G-117</v>
          </cell>
          <cell r="F771" t="str">
            <v>AM198</v>
          </cell>
          <cell r="G771" t="str">
            <v>N1</v>
          </cell>
          <cell r="H771" t="str">
            <v>b3</v>
          </cell>
          <cell r="I771" t="str">
            <v>N1-b3</v>
          </cell>
          <cell r="J771">
            <v>24</v>
          </cell>
          <cell r="K771" t="str">
            <v>86</v>
          </cell>
        </row>
        <row r="772">
          <cell r="A772" t="str">
            <v>24-87</v>
          </cell>
          <cell r="B772">
            <v>1153</v>
          </cell>
          <cell r="C772" t="str">
            <v>C1.AM.24.87</v>
          </cell>
          <cell r="D772" t="str">
            <v>AM</v>
          </cell>
          <cell r="E772" t="str">
            <v>G-038</v>
          </cell>
          <cell r="F772" t="str">
            <v>AM061</v>
          </cell>
          <cell r="G772" t="str">
            <v>N1</v>
          </cell>
          <cell r="H772" t="str">
            <v>b3</v>
          </cell>
          <cell r="I772" t="str">
            <v>N1-b3</v>
          </cell>
          <cell r="J772">
            <v>24</v>
          </cell>
          <cell r="K772" t="str">
            <v>87</v>
          </cell>
        </row>
        <row r="773">
          <cell r="A773" t="str">
            <v>24-88</v>
          </cell>
          <cell r="B773">
            <v>1154</v>
          </cell>
          <cell r="C773" t="str">
            <v>C1.AM.24.88</v>
          </cell>
          <cell r="D773" t="str">
            <v>AM</v>
          </cell>
          <cell r="E773" t="str">
            <v>G-089</v>
          </cell>
          <cell r="F773" t="str">
            <v>AM144</v>
          </cell>
          <cell r="G773" t="str">
            <v>N1</v>
          </cell>
          <cell r="H773" t="str">
            <v>b3</v>
          </cell>
          <cell r="I773" t="str">
            <v>N1-b3</v>
          </cell>
          <cell r="J773">
            <v>24</v>
          </cell>
          <cell r="K773" t="str">
            <v>88</v>
          </cell>
        </row>
        <row r="774">
          <cell r="A774" t="str">
            <v>24-89</v>
          </cell>
          <cell r="B774">
            <v>1155</v>
          </cell>
          <cell r="C774" t="str">
            <v>C1.AM.24.89</v>
          </cell>
          <cell r="D774" t="str">
            <v>AM</v>
          </cell>
          <cell r="E774" t="str">
            <v>G-011</v>
          </cell>
          <cell r="F774" t="str">
            <v>AM027</v>
          </cell>
          <cell r="G774" t="str">
            <v>N1</v>
          </cell>
          <cell r="H774" t="str">
            <v>b3</v>
          </cell>
          <cell r="I774" t="str">
            <v>N1-b3</v>
          </cell>
          <cell r="J774">
            <v>24</v>
          </cell>
          <cell r="K774" t="str">
            <v>89</v>
          </cell>
        </row>
        <row r="775">
          <cell r="A775" t="str">
            <v>24-90</v>
          </cell>
          <cell r="B775">
            <v>1156</v>
          </cell>
          <cell r="C775" t="str">
            <v>C1.AM.24.90</v>
          </cell>
          <cell r="D775" t="str">
            <v>AM</v>
          </cell>
          <cell r="E775" t="str">
            <v>G-110</v>
          </cell>
          <cell r="F775" t="str">
            <v>AM185</v>
          </cell>
          <cell r="G775" t="str">
            <v>N1</v>
          </cell>
          <cell r="H775" t="str">
            <v>b3</v>
          </cell>
          <cell r="I775" t="str">
            <v>N1-b3</v>
          </cell>
          <cell r="J775">
            <v>24</v>
          </cell>
          <cell r="K775" t="str">
            <v>90</v>
          </cell>
        </row>
        <row r="776">
          <cell r="A776" t="str">
            <v>09-01</v>
          </cell>
          <cell r="B776">
            <v>513</v>
          </cell>
          <cell r="C776" t="str">
            <v>C1.DK.09.01</v>
          </cell>
          <cell r="D776" t="str">
            <v>DK</v>
          </cell>
          <cell r="E776" t="str">
            <v>G-126</v>
          </cell>
          <cell r="F776" t="str">
            <v>Express</v>
          </cell>
          <cell r="G776" t="str">
            <v>N1</v>
          </cell>
          <cell r="H776" t="str">
            <v>b1</v>
          </cell>
          <cell r="I776" t="str">
            <v>N1-b1</v>
          </cell>
          <cell r="J776" t="str">
            <v>09</v>
          </cell>
          <cell r="K776" t="str">
            <v>01</v>
          </cell>
        </row>
        <row r="777">
          <cell r="A777" t="str">
            <v>09-02</v>
          </cell>
          <cell r="B777">
            <v>514</v>
          </cell>
          <cell r="C777" t="str">
            <v>C1.DK.09.02</v>
          </cell>
          <cell r="D777" t="str">
            <v>DK</v>
          </cell>
          <cell r="E777" t="str">
            <v>G-147</v>
          </cell>
          <cell r="F777" t="str">
            <v>DK039</v>
          </cell>
          <cell r="G777" t="str">
            <v>N1</v>
          </cell>
          <cell r="H777" t="str">
            <v>b1</v>
          </cell>
          <cell r="I777" t="str">
            <v>N1-b1</v>
          </cell>
          <cell r="J777" t="str">
            <v>09</v>
          </cell>
          <cell r="K777" t="str">
            <v>02</v>
          </cell>
        </row>
        <row r="778">
          <cell r="A778" t="str">
            <v>09-03</v>
          </cell>
          <cell r="B778">
            <v>515</v>
          </cell>
          <cell r="C778" t="str">
            <v>C1.DK.09.03</v>
          </cell>
          <cell r="D778" t="str">
            <v>DK</v>
          </cell>
          <cell r="E778" t="str">
            <v>G-208</v>
          </cell>
          <cell r="F778" t="str">
            <v>DK152</v>
          </cell>
          <cell r="G778" t="str">
            <v>N1</v>
          </cell>
          <cell r="H778" t="str">
            <v>b1</v>
          </cell>
          <cell r="I778" t="str">
            <v>N1-b1</v>
          </cell>
          <cell r="J778" t="str">
            <v>09</v>
          </cell>
          <cell r="K778" t="str">
            <v>03</v>
          </cell>
        </row>
        <row r="779">
          <cell r="A779" t="str">
            <v>09-04</v>
          </cell>
          <cell r="B779">
            <v>516</v>
          </cell>
          <cell r="C779" t="str">
            <v>C1.DK.09.04</v>
          </cell>
          <cell r="D779" t="str">
            <v>DK</v>
          </cell>
          <cell r="E779" t="str">
            <v>G-134</v>
          </cell>
          <cell r="F779" t="str">
            <v>DK017</v>
          </cell>
          <cell r="G779" t="str">
            <v>N1</v>
          </cell>
          <cell r="H779" t="str">
            <v>b1</v>
          </cell>
          <cell r="I779" t="str">
            <v>N1-b1</v>
          </cell>
          <cell r="J779" t="str">
            <v>09</v>
          </cell>
          <cell r="K779" t="str">
            <v>04</v>
          </cell>
        </row>
        <row r="780">
          <cell r="A780" t="str">
            <v>09-05</v>
          </cell>
          <cell r="B780">
            <v>517</v>
          </cell>
          <cell r="C780" t="str">
            <v>C1.DK.09.05</v>
          </cell>
          <cell r="D780" t="str">
            <v>DK</v>
          </cell>
          <cell r="E780" t="str">
            <v>G-141</v>
          </cell>
          <cell r="F780" t="str">
            <v>DK030</v>
          </cell>
          <cell r="G780" t="str">
            <v>N1</v>
          </cell>
          <cell r="H780" t="str">
            <v>b1</v>
          </cell>
          <cell r="I780" t="str">
            <v>N1-b1</v>
          </cell>
          <cell r="J780" t="str">
            <v>09</v>
          </cell>
          <cell r="K780" t="str">
            <v>05</v>
          </cell>
        </row>
        <row r="781">
          <cell r="A781" t="str">
            <v>09-06</v>
          </cell>
          <cell r="B781">
            <v>518</v>
          </cell>
          <cell r="C781" t="str">
            <v>C1.DK.09.06</v>
          </cell>
          <cell r="D781" t="str">
            <v>DK</v>
          </cell>
          <cell r="E781" t="str">
            <v>G-150</v>
          </cell>
          <cell r="F781" t="str">
            <v>DK044</v>
          </cell>
          <cell r="G781" t="str">
            <v>N1</v>
          </cell>
          <cell r="H781" t="str">
            <v>b1</v>
          </cell>
          <cell r="I781" t="str">
            <v>N1-b1</v>
          </cell>
          <cell r="J781" t="str">
            <v>09</v>
          </cell>
          <cell r="K781" t="str">
            <v>06</v>
          </cell>
        </row>
        <row r="782">
          <cell r="A782" t="str">
            <v>09-07</v>
          </cell>
          <cell r="B782">
            <v>519</v>
          </cell>
          <cell r="C782" t="str">
            <v>C1.DK.09.07</v>
          </cell>
          <cell r="D782" t="str">
            <v>DK</v>
          </cell>
          <cell r="E782" t="str">
            <v>G-153</v>
          </cell>
          <cell r="F782" t="str">
            <v>DK049</v>
          </cell>
          <cell r="G782" t="str">
            <v>N1</v>
          </cell>
          <cell r="H782" t="str">
            <v>b1</v>
          </cell>
          <cell r="I782" t="str">
            <v>N1-b1</v>
          </cell>
          <cell r="J782" t="str">
            <v>09</v>
          </cell>
          <cell r="K782" t="str">
            <v>07</v>
          </cell>
        </row>
        <row r="783">
          <cell r="A783" t="str">
            <v>09-08</v>
          </cell>
          <cell r="B783">
            <v>520</v>
          </cell>
          <cell r="C783" t="str">
            <v>C1.DK.09.08</v>
          </cell>
          <cell r="D783" t="str">
            <v>DK</v>
          </cell>
          <cell r="E783" t="str">
            <v>G-211</v>
          </cell>
          <cell r="F783" t="str">
            <v>Colvert2</v>
          </cell>
          <cell r="G783" t="str">
            <v>N1</v>
          </cell>
          <cell r="H783" t="str">
            <v>b1</v>
          </cell>
          <cell r="I783" t="str">
            <v>N1-b1</v>
          </cell>
          <cell r="J783" t="str">
            <v>09</v>
          </cell>
          <cell r="K783" t="str">
            <v>08</v>
          </cell>
        </row>
        <row r="784">
          <cell r="A784" t="str">
            <v>09-09</v>
          </cell>
          <cell r="B784">
            <v>521</v>
          </cell>
          <cell r="C784" t="str">
            <v>C1.DK.09.09</v>
          </cell>
          <cell r="D784" t="str">
            <v>DK</v>
          </cell>
          <cell r="E784" t="str">
            <v>G-125</v>
          </cell>
          <cell r="F784" t="str">
            <v>Tenor</v>
          </cell>
          <cell r="G784" t="str">
            <v>N1</v>
          </cell>
          <cell r="H784" t="str">
            <v>b1</v>
          </cell>
          <cell r="I784" t="str">
            <v>N1-b1</v>
          </cell>
          <cell r="J784" t="str">
            <v>09</v>
          </cell>
          <cell r="K784" t="str">
            <v>09</v>
          </cell>
        </row>
        <row r="785">
          <cell r="A785" t="str">
            <v>09-10</v>
          </cell>
          <cell r="B785">
            <v>522</v>
          </cell>
          <cell r="C785" t="str">
            <v>C1.DK.09.10</v>
          </cell>
          <cell r="D785" t="str">
            <v>DK</v>
          </cell>
          <cell r="E785" t="str">
            <v>G-162</v>
          </cell>
          <cell r="F785" t="str">
            <v>DK066</v>
          </cell>
          <cell r="G785" t="str">
            <v>N1</v>
          </cell>
          <cell r="H785" t="str">
            <v>b1</v>
          </cell>
          <cell r="I785" t="str">
            <v>N1-b1</v>
          </cell>
          <cell r="J785" t="str">
            <v>09</v>
          </cell>
          <cell r="K785" t="str">
            <v>10</v>
          </cell>
        </row>
        <row r="786">
          <cell r="A786" t="str">
            <v>09-11</v>
          </cell>
          <cell r="B786">
            <v>523</v>
          </cell>
          <cell r="C786" t="str">
            <v>C1.DK.09.11</v>
          </cell>
          <cell r="D786" t="str">
            <v>DK</v>
          </cell>
          <cell r="E786" t="str">
            <v>G-184</v>
          </cell>
          <cell r="F786" t="str">
            <v>DK108</v>
          </cell>
          <cell r="G786" t="str">
            <v>N1</v>
          </cell>
          <cell r="H786" t="str">
            <v>b1</v>
          </cell>
          <cell r="I786" t="str">
            <v>N1-b1</v>
          </cell>
          <cell r="J786" t="str">
            <v>09</v>
          </cell>
          <cell r="K786" t="str">
            <v>11</v>
          </cell>
        </row>
        <row r="787">
          <cell r="A787" t="str">
            <v>09-12</v>
          </cell>
          <cell r="B787">
            <v>524</v>
          </cell>
          <cell r="C787" t="str">
            <v>C1.DK.09.12</v>
          </cell>
          <cell r="D787" t="str">
            <v>DK</v>
          </cell>
          <cell r="E787" t="str">
            <v>G-198</v>
          </cell>
          <cell r="F787" t="str">
            <v>DK138</v>
          </cell>
          <cell r="G787" t="str">
            <v>N1</v>
          </cell>
          <cell r="H787" t="str">
            <v>b1</v>
          </cell>
          <cell r="I787" t="str">
            <v>N1-b1</v>
          </cell>
          <cell r="J787" t="str">
            <v>09</v>
          </cell>
          <cell r="K787" t="str">
            <v>12</v>
          </cell>
        </row>
        <row r="788">
          <cell r="A788" t="str">
            <v>09-13</v>
          </cell>
          <cell r="B788">
            <v>525</v>
          </cell>
          <cell r="C788" t="str">
            <v>C1.DK.09.13</v>
          </cell>
          <cell r="D788" t="str">
            <v>DK</v>
          </cell>
          <cell r="E788" t="str">
            <v>G-174</v>
          </cell>
          <cell r="F788" t="str">
            <v>DK086</v>
          </cell>
          <cell r="G788" t="str">
            <v>N1</v>
          </cell>
          <cell r="H788" t="str">
            <v>b1</v>
          </cell>
          <cell r="I788" t="str">
            <v>N1-b1</v>
          </cell>
          <cell r="J788" t="str">
            <v>09</v>
          </cell>
          <cell r="K788" t="str">
            <v>13</v>
          </cell>
        </row>
        <row r="789">
          <cell r="A789" t="str">
            <v>09-14</v>
          </cell>
          <cell r="B789">
            <v>526</v>
          </cell>
          <cell r="C789" t="str">
            <v>C1.DK.09.14</v>
          </cell>
          <cell r="D789" t="str">
            <v>DK</v>
          </cell>
          <cell r="E789" t="str">
            <v>G-186</v>
          </cell>
          <cell r="F789" t="str">
            <v>DK110</v>
          </cell>
          <cell r="G789" t="str">
            <v>N1</v>
          </cell>
          <cell r="H789" t="str">
            <v>b1</v>
          </cell>
          <cell r="I789" t="str">
            <v>N1-b1</v>
          </cell>
          <cell r="J789" t="str">
            <v>09</v>
          </cell>
          <cell r="K789" t="str">
            <v>14</v>
          </cell>
        </row>
        <row r="790">
          <cell r="A790" t="str">
            <v>09-15</v>
          </cell>
          <cell r="B790">
            <v>527</v>
          </cell>
          <cell r="C790" t="str">
            <v>C1.DK.09.15</v>
          </cell>
          <cell r="D790" t="str">
            <v>DK</v>
          </cell>
          <cell r="E790" t="str">
            <v>G-215</v>
          </cell>
          <cell r="F790" t="str">
            <v>L-Liones2</v>
          </cell>
          <cell r="G790" t="str">
            <v>N1</v>
          </cell>
          <cell r="H790" t="str">
            <v>b1</v>
          </cell>
          <cell r="I790" t="str">
            <v>N1-b1</v>
          </cell>
          <cell r="J790" t="str">
            <v>09</v>
          </cell>
          <cell r="K790" t="str">
            <v>15</v>
          </cell>
        </row>
        <row r="791">
          <cell r="A791" t="str">
            <v>09-16</v>
          </cell>
          <cell r="B791">
            <v>528</v>
          </cell>
          <cell r="C791" t="str">
            <v>C1.DK.09.16</v>
          </cell>
          <cell r="D791" t="str">
            <v>DK</v>
          </cell>
          <cell r="E791" t="str">
            <v>G-126</v>
          </cell>
          <cell r="F791" t="str">
            <v>Express</v>
          </cell>
          <cell r="G791" t="str">
            <v>N1</v>
          </cell>
          <cell r="H791" t="str">
            <v>b1</v>
          </cell>
          <cell r="I791" t="str">
            <v>N1-b1</v>
          </cell>
          <cell r="J791" t="str">
            <v>09</v>
          </cell>
          <cell r="K791" t="str">
            <v>16</v>
          </cell>
        </row>
        <row r="792">
          <cell r="A792" t="str">
            <v>09-17</v>
          </cell>
          <cell r="B792">
            <v>529</v>
          </cell>
          <cell r="C792" t="str">
            <v>C1.DK.09.17</v>
          </cell>
          <cell r="D792" t="str">
            <v>DK</v>
          </cell>
          <cell r="E792" t="str">
            <v>G-132</v>
          </cell>
          <cell r="F792" t="str">
            <v>DK013</v>
          </cell>
          <cell r="G792" t="str">
            <v>N1</v>
          </cell>
          <cell r="H792" t="str">
            <v>b1</v>
          </cell>
          <cell r="I792" t="str">
            <v>N1-b1</v>
          </cell>
          <cell r="J792" t="str">
            <v>09</v>
          </cell>
          <cell r="K792" t="str">
            <v>17</v>
          </cell>
        </row>
        <row r="793">
          <cell r="A793" t="str">
            <v>09-18</v>
          </cell>
          <cell r="B793">
            <v>530</v>
          </cell>
          <cell r="C793" t="str">
            <v>C1.DK.09.18</v>
          </cell>
          <cell r="D793" t="str">
            <v>DK</v>
          </cell>
          <cell r="E793" t="str">
            <v>G-187</v>
          </cell>
          <cell r="F793" t="str">
            <v>DK112</v>
          </cell>
          <cell r="G793" t="str">
            <v>N1</v>
          </cell>
          <cell r="H793" t="str">
            <v>b1</v>
          </cell>
          <cell r="I793" t="str">
            <v>N1-b1</v>
          </cell>
          <cell r="J793" t="str">
            <v>09</v>
          </cell>
          <cell r="K793" t="str">
            <v>18</v>
          </cell>
        </row>
        <row r="794">
          <cell r="A794" t="str">
            <v>09-19</v>
          </cell>
          <cell r="B794">
            <v>531</v>
          </cell>
          <cell r="C794" t="str">
            <v>C1.DK.09.19</v>
          </cell>
          <cell r="D794" t="str">
            <v>DK</v>
          </cell>
          <cell r="E794" t="str">
            <v>G-167</v>
          </cell>
          <cell r="F794" t="str">
            <v>DK075</v>
          </cell>
          <cell r="G794" t="str">
            <v>N1</v>
          </cell>
          <cell r="H794" t="str">
            <v>b1</v>
          </cell>
          <cell r="I794" t="str">
            <v>N1-b1</v>
          </cell>
          <cell r="J794" t="str">
            <v>09</v>
          </cell>
          <cell r="K794" t="str">
            <v>19</v>
          </cell>
        </row>
        <row r="795">
          <cell r="A795" t="str">
            <v>09-20</v>
          </cell>
          <cell r="B795">
            <v>532</v>
          </cell>
          <cell r="C795" t="str">
            <v>C1.DK.09.20</v>
          </cell>
          <cell r="D795" t="str">
            <v>DK</v>
          </cell>
          <cell r="E795" t="str">
            <v>G-140</v>
          </cell>
          <cell r="F795" t="str">
            <v>DK029</v>
          </cell>
          <cell r="G795" t="str">
            <v>N1</v>
          </cell>
          <cell r="H795" t="str">
            <v>b1</v>
          </cell>
          <cell r="I795" t="str">
            <v>N1-b1</v>
          </cell>
          <cell r="J795" t="str">
            <v>09</v>
          </cell>
          <cell r="K795" t="str">
            <v>20</v>
          </cell>
        </row>
        <row r="796">
          <cell r="A796" t="str">
            <v>09-21</v>
          </cell>
          <cell r="B796">
            <v>533</v>
          </cell>
          <cell r="C796" t="str">
            <v>C1.DK.09.21</v>
          </cell>
          <cell r="D796" t="str">
            <v>DK</v>
          </cell>
          <cell r="E796" t="str">
            <v>G-142</v>
          </cell>
          <cell r="F796" t="str">
            <v>DK031</v>
          </cell>
          <cell r="G796" t="str">
            <v>N1</v>
          </cell>
          <cell r="H796" t="str">
            <v>b1</v>
          </cell>
          <cell r="I796" t="str">
            <v>N1-b1</v>
          </cell>
          <cell r="J796" t="str">
            <v>09</v>
          </cell>
          <cell r="K796" t="str">
            <v>21</v>
          </cell>
        </row>
        <row r="797">
          <cell r="A797" t="str">
            <v>09-22</v>
          </cell>
          <cell r="B797">
            <v>534</v>
          </cell>
          <cell r="C797" t="str">
            <v>C1.DK.09.22</v>
          </cell>
          <cell r="D797" t="str">
            <v>DK</v>
          </cell>
          <cell r="E797" t="str">
            <v>G-194</v>
          </cell>
          <cell r="F797" t="str">
            <v>DK128</v>
          </cell>
          <cell r="G797" t="str">
            <v>N1</v>
          </cell>
          <cell r="H797" t="str">
            <v>b1</v>
          </cell>
          <cell r="I797" t="str">
            <v>N1-b1</v>
          </cell>
          <cell r="J797" t="str">
            <v>09</v>
          </cell>
          <cell r="K797" t="str">
            <v>22</v>
          </cell>
        </row>
        <row r="798">
          <cell r="A798" t="str">
            <v>09-23</v>
          </cell>
          <cell r="B798">
            <v>535</v>
          </cell>
          <cell r="C798" t="str">
            <v>C1.DK.09.23</v>
          </cell>
          <cell r="D798" t="str">
            <v>DK</v>
          </cell>
          <cell r="E798" t="str">
            <v>G-176</v>
          </cell>
          <cell r="F798" t="str">
            <v>DK093</v>
          </cell>
          <cell r="G798" t="str">
            <v>N1</v>
          </cell>
          <cell r="H798" t="str">
            <v>b1</v>
          </cell>
          <cell r="I798" t="str">
            <v>N1-b1</v>
          </cell>
          <cell r="J798" t="str">
            <v>09</v>
          </cell>
          <cell r="K798" t="str">
            <v>23</v>
          </cell>
        </row>
        <row r="799">
          <cell r="A799" t="str">
            <v>09-24</v>
          </cell>
          <cell r="B799">
            <v>536</v>
          </cell>
          <cell r="C799" t="str">
            <v>C1.DK.09.24</v>
          </cell>
          <cell r="D799" t="str">
            <v>DK</v>
          </cell>
          <cell r="E799" t="str">
            <v>G-188</v>
          </cell>
          <cell r="F799" t="str">
            <v>DK113</v>
          </cell>
          <cell r="G799" t="str">
            <v>N1</v>
          </cell>
          <cell r="H799" t="str">
            <v>b1</v>
          </cell>
          <cell r="I799" t="str">
            <v>N1-b1</v>
          </cell>
          <cell r="J799" t="str">
            <v>09</v>
          </cell>
          <cell r="K799" t="str">
            <v>24</v>
          </cell>
        </row>
        <row r="800">
          <cell r="A800" t="str">
            <v>09-25</v>
          </cell>
          <cell r="B800">
            <v>537</v>
          </cell>
          <cell r="C800" t="str">
            <v>C1.DK.09.25</v>
          </cell>
          <cell r="D800" t="str">
            <v>DK</v>
          </cell>
          <cell r="E800" t="str">
            <v>G-125</v>
          </cell>
          <cell r="F800" t="str">
            <v>Tenor</v>
          </cell>
          <cell r="G800" t="str">
            <v>N1</v>
          </cell>
          <cell r="H800" t="str">
            <v>b1</v>
          </cell>
          <cell r="I800" t="str">
            <v>N1-b1</v>
          </cell>
          <cell r="J800" t="str">
            <v>09</v>
          </cell>
          <cell r="K800" t="str">
            <v>25</v>
          </cell>
        </row>
        <row r="801">
          <cell r="A801" t="str">
            <v>09-26</v>
          </cell>
          <cell r="B801">
            <v>538</v>
          </cell>
          <cell r="C801" t="str">
            <v>C1.DK.09.26</v>
          </cell>
          <cell r="D801" t="str">
            <v>DK</v>
          </cell>
          <cell r="E801" t="str">
            <v>G-185</v>
          </cell>
          <cell r="F801" t="str">
            <v>DK109</v>
          </cell>
          <cell r="G801" t="str">
            <v>N1</v>
          </cell>
          <cell r="H801" t="str">
            <v>b1</v>
          </cell>
          <cell r="I801" t="str">
            <v>N1-b1</v>
          </cell>
          <cell r="J801" t="str">
            <v>09</v>
          </cell>
          <cell r="K801" t="str">
            <v>26</v>
          </cell>
        </row>
        <row r="802">
          <cell r="A802" t="str">
            <v>09-27</v>
          </cell>
          <cell r="B802">
            <v>539</v>
          </cell>
          <cell r="C802" t="str">
            <v>C1.DK.09.27</v>
          </cell>
          <cell r="D802" t="str">
            <v>DK</v>
          </cell>
          <cell r="E802" t="str">
            <v>G-154</v>
          </cell>
          <cell r="F802" t="str">
            <v>DK052</v>
          </cell>
          <cell r="G802" t="str">
            <v>N1</v>
          </cell>
          <cell r="H802" t="str">
            <v>b1</v>
          </cell>
          <cell r="I802" t="str">
            <v>N1-b1</v>
          </cell>
          <cell r="J802" t="str">
            <v>09</v>
          </cell>
          <cell r="K802" t="str">
            <v>27</v>
          </cell>
        </row>
        <row r="803">
          <cell r="A803" t="str">
            <v>09-28</v>
          </cell>
          <cell r="B803">
            <v>540</v>
          </cell>
          <cell r="C803" t="str">
            <v>C1.DK.09.28</v>
          </cell>
          <cell r="D803" t="str">
            <v>DK</v>
          </cell>
          <cell r="E803" t="str">
            <v>G-145</v>
          </cell>
          <cell r="F803" t="str">
            <v>DK037</v>
          </cell>
          <cell r="G803" t="str">
            <v>N1</v>
          </cell>
          <cell r="H803" t="str">
            <v>b1</v>
          </cell>
          <cell r="I803" t="str">
            <v>N1-b1</v>
          </cell>
          <cell r="J803" t="str">
            <v>09</v>
          </cell>
          <cell r="K803" t="str">
            <v>28</v>
          </cell>
        </row>
        <row r="804">
          <cell r="A804" t="str">
            <v>09-29</v>
          </cell>
          <cell r="B804">
            <v>541</v>
          </cell>
          <cell r="C804" t="str">
            <v>C1.DK.09.29</v>
          </cell>
          <cell r="D804" t="str">
            <v>DK</v>
          </cell>
          <cell r="E804" t="str">
            <v>G-169</v>
          </cell>
          <cell r="F804" t="str">
            <v>DK080</v>
          </cell>
          <cell r="G804" t="str">
            <v>N1</v>
          </cell>
          <cell r="H804" t="str">
            <v>b1</v>
          </cell>
          <cell r="I804" t="str">
            <v>N1-b1</v>
          </cell>
          <cell r="J804" t="str">
            <v>09</v>
          </cell>
          <cell r="K804" t="str">
            <v>29</v>
          </cell>
        </row>
        <row r="805">
          <cell r="A805" t="str">
            <v>09-30</v>
          </cell>
          <cell r="B805">
            <v>542</v>
          </cell>
          <cell r="C805" t="str">
            <v>C1.DK.09.30</v>
          </cell>
          <cell r="D805" t="str">
            <v>DK</v>
          </cell>
          <cell r="E805" t="str">
            <v>G-210</v>
          </cell>
          <cell r="F805" t="str">
            <v>DK154</v>
          </cell>
          <cell r="G805" t="str">
            <v>N1</v>
          </cell>
          <cell r="H805" t="str">
            <v>b1</v>
          </cell>
          <cell r="I805" t="str">
            <v>N1-b1</v>
          </cell>
          <cell r="J805" t="str">
            <v>09</v>
          </cell>
          <cell r="K805" t="str">
            <v>30</v>
          </cell>
        </row>
        <row r="806">
          <cell r="A806" t="str">
            <v>09-31</v>
          </cell>
          <cell r="B806">
            <v>543</v>
          </cell>
          <cell r="C806" t="str">
            <v>C1.DK.09.31</v>
          </cell>
          <cell r="D806" t="str">
            <v>DK</v>
          </cell>
          <cell r="E806" t="str">
            <v>G-125</v>
          </cell>
          <cell r="F806" t="str">
            <v>Tenor</v>
          </cell>
          <cell r="G806" t="str">
            <v>N1</v>
          </cell>
          <cell r="H806" t="str">
            <v>b1</v>
          </cell>
          <cell r="I806" t="str">
            <v>N1-b1</v>
          </cell>
          <cell r="J806" t="str">
            <v>09</v>
          </cell>
          <cell r="K806" t="str">
            <v>31</v>
          </cell>
        </row>
        <row r="807">
          <cell r="A807" t="str">
            <v>09-32</v>
          </cell>
          <cell r="B807">
            <v>544</v>
          </cell>
          <cell r="C807" t="str">
            <v>C1.DK.09.32</v>
          </cell>
          <cell r="D807" t="str">
            <v>DK</v>
          </cell>
          <cell r="E807" t="str">
            <v>G-133</v>
          </cell>
          <cell r="F807" t="str">
            <v>DK016</v>
          </cell>
          <cell r="G807" t="str">
            <v>N1</v>
          </cell>
          <cell r="H807" t="str">
            <v>b1</v>
          </cell>
          <cell r="I807" t="str">
            <v>N1-b1</v>
          </cell>
          <cell r="J807" t="str">
            <v>09</v>
          </cell>
          <cell r="K807" t="str">
            <v>32</v>
          </cell>
        </row>
        <row r="808">
          <cell r="A808" t="str">
            <v>09-33</v>
          </cell>
          <cell r="B808">
            <v>545</v>
          </cell>
          <cell r="C808" t="str">
            <v>C1.DK.09.33</v>
          </cell>
          <cell r="D808" t="str">
            <v>DK</v>
          </cell>
          <cell r="E808" t="str">
            <v>G-201</v>
          </cell>
          <cell r="F808" t="str">
            <v>DK143</v>
          </cell>
          <cell r="G808" t="str">
            <v>N2</v>
          </cell>
          <cell r="H808" t="str">
            <v>b1</v>
          </cell>
          <cell r="I808" t="str">
            <v>N2-b1</v>
          </cell>
          <cell r="J808" t="str">
            <v>09</v>
          </cell>
          <cell r="K808" t="str">
            <v>33</v>
          </cell>
        </row>
        <row r="809">
          <cell r="A809" t="str">
            <v>09-34</v>
          </cell>
          <cell r="B809">
            <v>546</v>
          </cell>
          <cell r="C809" t="str">
            <v>C1.DK.09.34</v>
          </cell>
          <cell r="D809" t="str">
            <v>DK</v>
          </cell>
          <cell r="E809" t="str">
            <v>G-172</v>
          </cell>
          <cell r="F809" t="str">
            <v>DK084</v>
          </cell>
          <cell r="G809" t="str">
            <v>N2</v>
          </cell>
          <cell r="H809" t="str">
            <v>b1</v>
          </cell>
          <cell r="I809" t="str">
            <v>N2-b1</v>
          </cell>
          <cell r="J809" t="str">
            <v>09</v>
          </cell>
          <cell r="K809" t="str">
            <v>34</v>
          </cell>
        </row>
        <row r="810">
          <cell r="A810" t="str">
            <v>09-35</v>
          </cell>
          <cell r="B810">
            <v>547</v>
          </cell>
          <cell r="C810" t="str">
            <v>C1.DK.09.35</v>
          </cell>
          <cell r="D810" t="str">
            <v>DK</v>
          </cell>
          <cell r="E810" t="str">
            <v>G-151</v>
          </cell>
          <cell r="F810" t="str">
            <v>DK045</v>
          </cell>
          <cell r="G810" t="str">
            <v>N2</v>
          </cell>
          <cell r="H810" t="str">
            <v>b1</v>
          </cell>
          <cell r="I810" t="str">
            <v>N2-b1</v>
          </cell>
          <cell r="J810" t="str">
            <v>09</v>
          </cell>
          <cell r="K810" t="str">
            <v>35</v>
          </cell>
        </row>
        <row r="811">
          <cell r="A811" t="str">
            <v>09-36</v>
          </cell>
          <cell r="B811">
            <v>548</v>
          </cell>
          <cell r="C811" t="str">
            <v>C1.DK.09.36</v>
          </cell>
          <cell r="D811" t="str">
            <v>DK</v>
          </cell>
          <cell r="E811" t="str">
            <v>G-134</v>
          </cell>
          <cell r="F811" t="str">
            <v>DK017</v>
          </cell>
          <cell r="G811" t="str">
            <v>N2</v>
          </cell>
          <cell r="H811" t="str">
            <v>b1</v>
          </cell>
          <cell r="I811" t="str">
            <v>N2-b1</v>
          </cell>
          <cell r="J811" t="str">
            <v>09</v>
          </cell>
          <cell r="K811" t="str">
            <v>36</v>
          </cell>
        </row>
        <row r="812">
          <cell r="A812" t="str">
            <v>09-37</v>
          </cell>
          <cell r="B812">
            <v>549</v>
          </cell>
          <cell r="C812" t="str">
            <v>C1.DK.09.37</v>
          </cell>
          <cell r="D812" t="str">
            <v>DK</v>
          </cell>
          <cell r="E812" t="str">
            <v>G-182</v>
          </cell>
          <cell r="F812" t="str">
            <v>DK103</v>
          </cell>
          <cell r="G812" t="str">
            <v>N2</v>
          </cell>
          <cell r="H812" t="str">
            <v>b1</v>
          </cell>
          <cell r="I812" t="str">
            <v>N2-b1</v>
          </cell>
          <cell r="J812" t="str">
            <v>09</v>
          </cell>
          <cell r="K812" t="str">
            <v>37</v>
          </cell>
        </row>
        <row r="813">
          <cell r="A813" t="str">
            <v>09-38</v>
          </cell>
          <cell r="B813">
            <v>550</v>
          </cell>
          <cell r="C813" t="str">
            <v>C1.DK.09.38</v>
          </cell>
          <cell r="D813" t="str">
            <v>DK</v>
          </cell>
          <cell r="E813" t="str">
            <v>G-136</v>
          </cell>
          <cell r="F813" t="str">
            <v>DK020</v>
          </cell>
          <cell r="G813" t="str">
            <v>N2</v>
          </cell>
          <cell r="H813" t="str">
            <v>b1</v>
          </cell>
          <cell r="I813" t="str">
            <v>N2-b1</v>
          </cell>
          <cell r="J813" t="str">
            <v>09</v>
          </cell>
          <cell r="K813" t="str">
            <v>38</v>
          </cell>
        </row>
        <row r="814">
          <cell r="A814" t="str">
            <v>09-39</v>
          </cell>
          <cell r="B814">
            <v>551</v>
          </cell>
          <cell r="C814" t="str">
            <v>C1.DK.09.39</v>
          </cell>
          <cell r="D814" t="str">
            <v>DK</v>
          </cell>
          <cell r="E814" t="str">
            <v>G-193</v>
          </cell>
          <cell r="F814" t="str">
            <v>DK124</v>
          </cell>
          <cell r="G814" t="str">
            <v>N2</v>
          </cell>
          <cell r="H814" t="str">
            <v>b1</v>
          </cell>
          <cell r="I814" t="str">
            <v>N2-b1</v>
          </cell>
          <cell r="J814" t="str">
            <v>09</v>
          </cell>
          <cell r="K814" t="str">
            <v>39</v>
          </cell>
        </row>
        <row r="815">
          <cell r="A815" t="str">
            <v>09-40</v>
          </cell>
          <cell r="B815">
            <v>552</v>
          </cell>
          <cell r="C815" t="str">
            <v>C1.DK.09.40</v>
          </cell>
          <cell r="D815" t="str">
            <v>DK</v>
          </cell>
          <cell r="E815" t="str">
            <v>G-139</v>
          </cell>
          <cell r="F815" t="str">
            <v>DK024</v>
          </cell>
          <cell r="G815" t="str">
            <v>N2</v>
          </cell>
          <cell r="H815" t="str">
            <v>b1</v>
          </cell>
          <cell r="I815" t="str">
            <v>N2-b1</v>
          </cell>
          <cell r="J815" t="str">
            <v>09</v>
          </cell>
          <cell r="K815" t="str">
            <v>40</v>
          </cell>
        </row>
        <row r="816">
          <cell r="A816" t="str">
            <v>09-41</v>
          </cell>
          <cell r="B816">
            <v>553</v>
          </cell>
          <cell r="C816" t="str">
            <v>C1.DK.09.41</v>
          </cell>
          <cell r="D816" t="str">
            <v>DK</v>
          </cell>
          <cell r="E816" t="str">
            <v>G-215</v>
          </cell>
          <cell r="F816" t="str">
            <v>L-Liones2</v>
          </cell>
          <cell r="G816" t="str">
            <v>N2</v>
          </cell>
          <cell r="H816" t="str">
            <v>b1</v>
          </cell>
          <cell r="I816" t="str">
            <v>N2-b1</v>
          </cell>
          <cell r="J816" t="str">
            <v>09</v>
          </cell>
          <cell r="K816" t="str">
            <v>41</v>
          </cell>
        </row>
        <row r="817">
          <cell r="A817" t="str">
            <v>09-42</v>
          </cell>
          <cell r="B817">
            <v>554</v>
          </cell>
          <cell r="C817" t="str">
            <v>C1.DK.09.42</v>
          </cell>
          <cell r="D817" t="str">
            <v>DK</v>
          </cell>
          <cell r="E817" t="str">
            <v>G-175</v>
          </cell>
          <cell r="F817" t="str">
            <v>DK091</v>
          </cell>
          <cell r="G817" t="str">
            <v>N2</v>
          </cell>
          <cell r="H817" t="str">
            <v>b1</v>
          </cell>
          <cell r="I817" t="str">
            <v>N2-b1</v>
          </cell>
          <cell r="J817" t="str">
            <v>09</v>
          </cell>
          <cell r="K817" t="str">
            <v>42</v>
          </cell>
        </row>
        <row r="818">
          <cell r="A818" t="str">
            <v>09-43</v>
          </cell>
          <cell r="B818">
            <v>555</v>
          </cell>
          <cell r="C818" t="str">
            <v>C1.DK.09.43</v>
          </cell>
          <cell r="D818" t="str">
            <v>DK</v>
          </cell>
          <cell r="E818" t="str">
            <v>G-167</v>
          </cell>
          <cell r="F818" t="str">
            <v>DK075</v>
          </cell>
          <cell r="G818" t="str">
            <v>N2</v>
          </cell>
          <cell r="H818" t="str">
            <v>b1</v>
          </cell>
          <cell r="I818" t="str">
            <v>N2-b1</v>
          </cell>
          <cell r="J818" t="str">
            <v>09</v>
          </cell>
          <cell r="K818" t="str">
            <v>43</v>
          </cell>
        </row>
        <row r="819">
          <cell r="A819" t="str">
            <v>09-44</v>
          </cell>
          <cell r="B819">
            <v>556</v>
          </cell>
          <cell r="C819" t="str">
            <v>C1.DK.09.44</v>
          </cell>
          <cell r="D819" t="str">
            <v>DK</v>
          </cell>
          <cell r="E819" t="str">
            <v>G-213</v>
          </cell>
          <cell r="F819" t="str">
            <v>Twister2</v>
          </cell>
          <cell r="G819" t="str">
            <v>N2</v>
          </cell>
          <cell r="H819" t="str">
            <v>b1</v>
          </cell>
          <cell r="I819" t="str">
            <v>N2-b1</v>
          </cell>
          <cell r="J819" t="str">
            <v>09</v>
          </cell>
          <cell r="K819" t="str">
            <v>44</v>
          </cell>
        </row>
        <row r="820">
          <cell r="A820" t="str">
            <v>09-45</v>
          </cell>
          <cell r="B820">
            <v>557</v>
          </cell>
          <cell r="C820" t="str">
            <v>C1.DK.09.45</v>
          </cell>
          <cell r="D820" t="str">
            <v>DK</v>
          </cell>
          <cell r="E820" t="str">
            <v>G-196</v>
          </cell>
          <cell r="F820" t="str">
            <v>DK135</v>
          </cell>
          <cell r="G820" t="str">
            <v>N2</v>
          </cell>
          <cell r="H820" t="str">
            <v>b1</v>
          </cell>
          <cell r="I820" t="str">
            <v>N2-b1</v>
          </cell>
          <cell r="J820" t="str">
            <v>09</v>
          </cell>
          <cell r="K820" t="str">
            <v>45</v>
          </cell>
        </row>
        <row r="821">
          <cell r="A821" t="str">
            <v>09-46</v>
          </cell>
          <cell r="B821">
            <v>558</v>
          </cell>
          <cell r="C821" t="str">
            <v>C1.DK.09.46</v>
          </cell>
          <cell r="D821" t="str">
            <v>DK</v>
          </cell>
          <cell r="E821" t="str">
            <v>G-155</v>
          </cell>
          <cell r="F821" t="str">
            <v>DK053</v>
          </cell>
          <cell r="G821" t="str">
            <v>N2</v>
          </cell>
          <cell r="H821" t="str">
            <v>b1</v>
          </cell>
          <cell r="I821" t="str">
            <v>N2-b1</v>
          </cell>
          <cell r="J821" t="str">
            <v>09</v>
          </cell>
          <cell r="K821" t="str">
            <v>46</v>
          </cell>
        </row>
        <row r="822">
          <cell r="A822" t="str">
            <v>09-47</v>
          </cell>
          <cell r="B822">
            <v>559</v>
          </cell>
          <cell r="C822" t="str">
            <v>C1.DK.09.47</v>
          </cell>
          <cell r="D822" t="str">
            <v>DK</v>
          </cell>
          <cell r="E822" t="str">
            <v>G-189</v>
          </cell>
          <cell r="F822" t="str">
            <v>DK116</v>
          </cell>
          <cell r="G822" t="str">
            <v>N2</v>
          </cell>
          <cell r="H822" t="str">
            <v>b1</v>
          </cell>
          <cell r="I822" t="str">
            <v>N2-b1</v>
          </cell>
          <cell r="J822" t="str">
            <v>09</v>
          </cell>
          <cell r="K822" t="str">
            <v>47</v>
          </cell>
        </row>
        <row r="823">
          <cell r="A823" t="str">
            <v>09-48</v>
          </cell>
          <cell r="B823">
            <v>560</v>
          </cell>
          <cell r="C823" t="str">
            <v>C1.DK.09.48</v>
          </cell>
          <cell r="D823" t="str">
            <v>DK</v>
          </cell>
          <cell r="E823" t="str">
            <v>G-125</v>
          </cell>
          <cell r="F823" t="str">
            <v>Tenor</v>
          </cell>
          <cell r="G823" t="str">
            <v>N2</v>
          </cell>
          <cell r="H823" t="str">
            <v>b1</v>
          </cell>
          <cell r="I823" t="str">
            <v>N2-b1</v>
          </cell>
          <cell r="J823" t="str">
            <v>09</v>
          </cell>
          <cell r="K823" t="str">
            <v>48</v>
          </cell>
        </row>
        <row r="824">
          <cell r="A824" t="str">
            <v>09-49</v>
          </cell>
          <cell r="B824">
            <v>561</v>
          </cell>
          <cell r="C824" t="str">
            <v>C1.DK.09.49</v>
          </cell>
          <cell r="D824" t="str">
            <v>DK</v>
          </cell>
          <cell r="E824" t="str">
            <v>G-173</v>
          </cell>
          <cell r="F824" t="str">
            <v>DK085</v>
          </cell>
          <cell r="G824" t="str">
            <v>N2</v>
          </cell>
          <cell r="H824" t="str">
            <v>b1</v>
          </cell>
          <cell r="I824" t="str">
            <v>N2-b1</v>
          </cell>
          <cell r="J824" t="str">
            <v>09</v>
          </cell>
          <cell r="K824" t="str">
            <v>49</v>
          </cell>
        </row>
        <row r="825">
          <cell r="A825" t="str">
            <v>09-50</v>
          </cell>
          <cell r="B825">
            <v>562</v>
          </cell>
          <cell r="C825" t="str">
            <v>C1.DK.09.50</v>
          </cell>
          <cell r="D825" t="str">
            <v>DK</v>
          </cell>
          <cell r="E825" t="str">
            <v>G-154</v>
          </cell>
          <cell r="F825" t="str">
            <v>DK052</v>
          </cell>
          <cell r="G825" t="str">
            <v>N2</v>
          </cell>
          <cell r="H825" t="str">
            <v>b1</v>
          </cell>
          <cell r="I825" t="str">
            <v>N2-b1</v>
          </cell>
          <cell r="J825" t="str">
            <v>09</v>
          </cell>
          <cell r="K825" t="str">
            <v>50</v>
          </cell>
        </row>
        <row r="826">
          <cell r="A826" t="str">
            <v>09-51</v>
          </cell>
          <cell r="B826">
            <v>563</v>
          </cell>
          <cell r="C826" t="str">
            <v>C1.DK.09.51</v>
          </cell>
          <cell r="D826" t="str">
            <v>DK</v>
          </cell>
          <cell r="E826" t="str">
            <v>G-194</v>
          </cell>
          <cell r="F826" t="str">
            <v>DK128</v>
          </cell>
          <cell r="G826" t="str">
            <v>N2</v>
          </cell>
          <cell r="H826" t="str">
            <v>b1</v>
          </cell>
          <cell r="I826" t="str">
            <v>N2-b1</v>
          </cell>
          <cell r="J826" t="str">
            <v>09</v>
          </cell>
          <cell r="K826" t="str">
            <v>51</v>
          </cell>
        </row>
        <row r="827">
          <cell r="A827" t="str">
            <v>09-52</v>
          </cell>
          <cell r="B827">
            <v>564</v>
          </cell>
          <cell r="C827" t="str">
            <v>C1.DK.09.52</v>
          </cell>
          <cell r="D827" t="str">
            <v>DK</v>
          </cell>
          <cell r="E827" t="str">
            <v>G-150</v>
          </cell>
          <cell r="F827" t="str">
            <v>DK044</v>
          </cell>
          <cell r="G827" t="str">
            <v>N2</v>
          </cell>
          <cell r="H827" t="str">
            <v>b1</v>
          </cell>
          <cell r="I827" t="str">
            <v>N2-b1</v>
          </cell>
          <cell r="J827" t="str">
            <v>09</v>
          </cell>
          <cell r="K827" t="str">
            <v>52</v>
          </cell>
        </row>
        <row r="828">
          <cell r="A828" t="str">
            <v>09-53</v>
          </cell>
          <cell r="B828">
            <v>565</v>
          </cell>
          <cell r="C828" t="str">
            <v>C1.DK.09.53</v>
          </cell>
          <cell r="D828" t="str">
            <v>DK</v>
          </cell>
          <cell r="E828" t="str">
            <v>G-195</v>
          </cell>
          <cell r="F828" t="str">
            <v>DK133</v>
          </cell>
          <cell r="G828" t="str">
            <v>N2</v>
          </cell>
          <cell r="H828" t="str">
            <v>b1</v>
          </cell>
          <cell r="I828" t="str">
            <v>N2-b1</v>
          </cell>
          <cell r="J828" t="str">
            <v>09</v>
          </cell>
          <cell r="K828" t="str">
            <v>53</v>
          </cell>
        </row>
        <row r="829">
          <cell r="A829" t="str">
            <v>09-54</v>
          </cell>
          <cell r="B829">
            <v>566</v>
          </cell>
          <cell r="C829" t="str">
            <v>C1.DK.09.54</v>
          </cell>
          <cell r="D829" t="str">
            <v>DK</v>
          </cell>
          <cell r="E829" t="str">
            <v>G-142</v>
          </cell>
          <cell r="F829" t="str">
            <v>DK031</v>
          </cell>
          <cell r="G829" t="str">
            <v>N2</v>
          </cell>
          <cell r="H829" t="str">
            <v>b1</v>
          </cell>
          <cell r="I829" t="str">
            <v>N2-b1</v>
          </cell>
          <cell r="J829" t="str">
            <v>09</v>
          </cell>
          <cell r="K829" t="str">
            <v>54</v>
          </cell>
        </row>
        <row r="830">
          <cell r="A830" t="str">
            <v>09-55</v>
          </cell>
          <cell r="B830">
            <v>567</v>
          </cell>
          <cell r="C830" t="str">
            <v>C1.DK.09.55</v>
          </cell>
          <cell r="D830" t="str">
            <v>DK</v>
          </cell>
          <cell r="E830" t="str">
            <v>G-161</v>
          </cell>
          <cell r="F830" t="str">
            <v>DK064</v>
          </cell>
          <cell r="G830" t="str">
            <v>N2</v>
          </cell>
          <cell r="H830" t="str">
            <v>b1</v>
          </cell>
          <cell r="I830" t="str">
            <v>N2-b1</v>
          </cell>
          <cell r="J830" t="str">
            <v>09</v>
          </cell>
          <cell r="K830" t="str">
            <v>55</v>
          </cell>
        </row>
        <row r="831">
          <cell r="A831" t="str">
            <v>09-56</v>
          </cell>
          <cell r="B831">
            <v>568</v>
          </cell>
          <cell r="C831" t="str">
            <v>C1.DK.09.56</v>
          </cell>
          <cell r="D831" t="str">
            <v>DK</v>
          </cell>
          <cell r="E831" t="str">
            <v>G-185</v>
          </cell>
          <cell r="F831" t="str">
            <v>DK109</v>
          </cell>
          <cell r="G831" t="str">
            <v>N2</v>
          </cell>
          <cell r="H831" t="str">
            <v>b1</v>
          </cell>
          <cell r="I831" t="str">
            <v>N2-b1</v>
          </cell>
          <cell r="J831" t="str">
            <v>09</v>
          </cell>
          <cell r="K831" t="str">
            <v>56</v>
          </cell>
        </row>
        <row r="832">
          <cell r="A832" t="str">
            <v>09-57</v>
          </cell>
          <cell r="B832">
            <v>569</v>
          </cell>
          <cell r="C832" t="str">
            <v>C1.DK.09.57</v>
          </cell>
          <cell r="D832" t="str">
            <v>DK</v>
          </cell>
          <cell r="E832" t="str">
            <v>G-146</v>
          </cell>
          <cell r="F832" t="str">
            <v>DK038</v>
          </cell>
          <cell r="G832" t="str">
            <v>N2</v>
          </cell>
          <cell r="H832" t="str">
            <v>b1</v>
          </cell>
          <cell r="I832" t="str">
            <v>N2-b1</v>
          </cell>
          <cell r="J832" t="str">
            <v>09</v>
          </cell>
          <cell r="K832" t="str">
            <v>57</v>
          </cell>
        </row>
        <row r="833">
          <cell r="A833" t="str">
            <v>09-58</v>
          </cell>
          <cell r="B833">
            <v>570</v>
          </cell>
          <cell r="C833" t="str">
            <v>C1.DK.09.58</v>
          </cell>
          <cell r="D833" t="str">
            <v>DK</v>
          </cell>
          <cell r="E833" t="str">
            <v>G-210</v>
          </cell>
          <cell r="F833" t="str">
            <v>DK154</v>
          </cell>
          <cell r="G833" t="str">
            <v>N2</v>
          </cell>
          <cell r="H833" t="str">
            <v>b1</v>
          </cell>
          <cell r="I833" t="str">
            <v>N2-b1</v>
          </cell>
          <cell r="J833" t="str">
            <v>09</v>
          </cell>
          <cell r="K833" t="str">
            <v>58</v>
          </cell>
        </row>
        <row r="834">
          <cell r="A834" t="str">
            <v>09-59</v>
          </cell>
          <cell r="B834">
            <v>571</v>
          </cell>
          <cell r="C834" t="str">
            <v>C1.DK.09.59</v>
          </cell>
          <cell r="D834" t="str">
            <v>DK</v>
          </cell>
          <cell r="E834" t="str">
            <v>G-132</v>
          </cell>
          <cell r="F834" t="str">
            <v>DK013</v>
          </cell>
          <cell r="G834" t="str">
            <v>N2</v>
          </cell>
          <cell r="H834" t="str">
            <v>b1</v>
          </cell>
          <cell r="I834" t="str">
            <v>N2-b1</v>
          </cell>
          <cell r="J834" t="str">
            <v>09</v>
          </cell>
          <cell r="K834" t="str">
            <v>59</v>
          </cell>
        </row>
        <row r="835">
          <cell r="A835" t="str">
            <v>09-60</v>
          </cell>
          <cell r="B835">
            <v>572</v>
          </cell>
          <cell r="C835" t="str">
            <v>C1.DK.09.60</v>
          </cell>
          <cell r="D835" t="str">
            <v>DK</v>
          </cell>
          <cell r="E835" t="str">
            <v>G-183</v>
          </cell>
          <cell r="F835" t="str">
            <v>DK107</v>
          </cell>
          <cell r="G835" t="str">
            <v>N2</v>
          </cell>
          <cell r="H835" t="str">
            <v>b1</v>
          </cell>
          <cell r="I835" t="str">
            <v>N2-b1</v>
          </cell>
          <cell r="J835" t="str">
            <v>09</v>
          </cell>
          <cell r="K835" t="str">
            <v>60</v>
          </cell>
        </row>
        <row r="836">
          <cell r="A836" t="str">
            <v>09-61</v>
          </cell>
          <cell r="B836">
            <v>573</v>
          </cell>
          <cell r="C836" t="str">
            <v>C1.DK.09.61</v>
          </cell>
          <cell r="D836" t="str">
            <v>DK</v>
          </cell>
          <cell r="E836" t="str">
            <v>G-174</v>
          </cell>
          <cell r="F836" t="str">
            <v>DK086</v>
          </cell>
          <cell r="G836" t="str">
            <v>N2</v>
          </cell>
          <cell r="H836" t="str">
            <v>b1</v>
          </cell>
          <cell r="I836" t="str">
            <v>N2-b1</v>
          </cell>
          <cell r="J836" t="str">
            <v>09</v>
          </cell>
          <cell r="K836" t="str">
            <v>61</v>
          </cell>
        </row>
        <row r="837">
          <cell r="A837" t="str">
            <v>09-62</v>
          </cell>
          <cell r="B837">
            <v>574</v>
          </cell>
          <cell r="C837" t="str">
            <v>C1.DK.09.62</v>
          </cell>
          <cell r="D837" t="str">
            <v>DK</v>
          </cell>
          <cell r="E837" t="str">
            <v>G-216</v>
          </cell>
          <cell r="F837" t="str">
            <v>C-California2</v>
          </cell>
          <cell r="G837" t="str">
            <v>N2</v>
          </cell>
          <cell r="H837" t="str">
            <v>b1</v>
          </cell>
          <cell r="I837" t="str">
            <v>N2-b1</v>
          </cell>
          <cell r="J837" t="str">
            <v>09</v>
          </cell>
          <cell r="K837" t="str">
            <v>62</v>
          </cell>
        </row>
        <row r="838">
          <cell r="A838" t="str">
            <v>09-63</v>
          </cell>
          <cell r="B838">
            <v>575</v>
          </cell>
          <cell r="C838" t="str">
            <v>C1.DK.09.63</v>
          </cell>
          <cell r="D838" t="str">
            <v>DK</v>
          </cell>
          <cell r="E838" t="str">
            <v>G-169</v>
          </cell>
          <cell r="F838" t="str">
            <v>DK080</v>
          </cell>
          <cell r="G838" t="str">
            <v>N2</v>
          </cell>
          <cell r="H838" t="str">
            <v>b1</v>
          </cell>
          <cell r="I838" t="str">
            <v>N2-b1</v>
          </cell>
          <cell r="J838" t="str">
            <v>09</v>
          </cell>
          <cell r="K838" t="str">
            <v>63</v>
          </cell>
        </row>
        <row r="839">
          <cell r="A839" t="str">
            <v>09-64</v>
          </cell>
          <cell r="B839">
            <v>576</v>
          </cell>
          <cell r="C839" t="str">
            <v>C1.DK.09.64</v>
          </cell>
          <cell r="D839" t="str">
            <v>DK</v>
          </cell>
          <cell r="E839" t="str">
            <v>G-153</v>
          </cell>
          <cell r="F839" t="str">
            <v>DK049</v>
          </cell>
          <cell r="G839" t="str">
            <v>N2</v>
          </cell>
          <cell r="H839" t="str">
            <v>b1</v>
          </cell>
          <cell r="I839" t="str">
            <v>N2-b1</v>
          </cell>
          <cell r="J839" t="str">
            <v>09</v>
          </cell>
          <cell r="K839" t="str">
            <v>64</v>
          </cell>
        </row>
        <row r="840">
          <cell r="A840" t="str">
            <v>10-01</v>
          </cell>
          <cell r="B840">
            <v>577</v>
          </cell>
          <cell r="C840" t="str">
            <v>C1.DK.10.01</v>
          </cell>
          <cell r="D840" t="str">
            <v>DK</v>
          </cell>
          <cell r="E840" t="str">
            <v>G-149</v>
          </cell>
          <cell r="F840" t="str">
            <v>DK042</v>
          </cell>
          <cell r="G840" t="str">
            <v>N1</v>
          </cell>
          <cell r="H840" t="str">
            <v>b1</v>
          </cell>
          <cell r="I840" t="str">
            <v>N1-b1</v>
          </cell>
          <cell r="J840">
            <v>10</v>
          </cell>
          <cell r="K840" t="str">
            <v>01</v>
          </cell>
        </row>
        <row r="841">
          <cell r="A841" t="str">
            <v>10-02</v>
          </cell>
          <cell r="B841">
            <v>578</v>
          </cell>
          <cell r="C841" t="str">
            <v>C1.DK.10.02</v>
          </cell>
          <cell r="D841" t="str">
            <v>DK</v>
          </cell>
          <cell r="E841" t="str">
            <v>G-209</v>
          </cell>
          <cell r="F841" t="str">
            <v>DK153</v>
          </cell>
          <cell r="G841" t="str">
            <v>N1</v>
          </cell>
          <cell r="H841" t="str">
            <v>b1</v>
          </cell>
          <cell r="I841" t="str">
            <v>N1-b1</v>
          </cell>
          <cell r="J841">
            <v>10</v>
          </cell>
          <cell r="K841" t="str">
            <v>02</v>
          </cell>
        </row>
        <row r="842">
          <cell r="A842" t="str">
            <v>10-03</v>
          </cell>
          <cell r="B842">
            <v>579</v>
          </cell>
          <cell r="C842" t="str">
            <v>C1.DK.10.03</v>
          </cell>
          <cell r="D842" t="str">
            <v>DK</v>
          </cell>
          <cell r="E842" t="str">
            <v>G-196</v>
          </cell>
          <cell r="F842" t="str">
            <v>DK135</v>
          </cell>
          <cell r="G842" t="str">
            <v>N1</v>
          </cell>
          <cell r="H842" t="str">
            <v>b1</v>
          </cell>
          <cell r="I842" t="str">
            <v>N1-b1</v>
          </cell>
          <cell r="J842">
            <v>10</v>
          </cell>
          <cell r="K842" t="str">
            <v>03</v>
          </cell>
        </row>
        <row r="843">
          <cell r="A843" t="str">
            <v>10-04</v>
          </cell>
          <cell r="B843">
            <v>580</v>
          </cell>
          <cell r="C843" t="str">
            <v>C1.DK.10.04</v>
          </cell>
          <cell r="D843" t="str">
            <v>DK</v>
          </cell>
          <cell r="E843" t="str">
            <v>G-200</v>
          </cell>
          <cell r="F843" t="str">
            <v>DK142</v>
          </cell>
          <cell r="G843" t="str">
            <v>N1</v>
          </cell>
          <cell r="H843" t="str">
            <v>b1</v>
          </cell>
          <cell r="I843" t="str">
            <v>N1-b1</v>
          </cell>
          <cell r="J843">
            <v>10</v>
          </cell>
          <cell r="K843" t="str">
            <v>04</v>
          </cell>
        </row>
        <row r="844">
          <cell r="A844" t="str">
            <v>10-05</v>
          </cell>
          <cell r="B844">
            <v>581</v>
          </cell>
          <cell r="C844" t="str">
            <v>C1.DK.10.05</v>
          </cell>
          <cell r="D844" t="str">
            <v>DK</v>
          </cell>
          <cell r="E844" t="str">
            <v>G-189</v>
          </cell>
          <cell r="F844" t="str">
            <v>DK116</v>
          </cell>
          <cell r="G844" t="str">
            <v>N1</v>
          </cell>
          <cell r="H844" t="str">
            <v>b1</v>
          </cell>
          <cell r="I844" t="str">
            <v>N1-b1</v>
          </cell>
          <cell r="J844">
            <v>10</v>
          </cell>
          <cell r="K844" t="str">
            <v>05</v>
          </cell>
        </row>
        <row r="845">
          <cell r="A845" t="str">
            <v>10-06</v>
          </cell>
          <cell r="B845">
            <v>582</v>
          </cell>
          <cell r="C845" t="str">
            <v>C1.DK.10.06</v>
          </cell>
          <cell r="D845" t="str">
            <v>DK</v>
          </cell>
          <cell r="E845" t="str">
            <v>G-175</v>
          </cell>
          <cell r="F845" t="str">
            <v>DK091</v>
          </cell>
          <cell r="G845" t="str">
            <v>N1</v>
          </cell>
          <cell r="H845" t="str">
            <v>b1</v>
          </cell>
          <cell r="I845" t="str">
            <v>N1-b1</v>
          </cell>
          <cell r="J845">
            <v>10</v>
          </cell>
          <cell r="K845" t="str">
            <v>06</v>
          </cell>
        </row>
        <row r="846">
          <cell r="A846" t="str">
            <v>10-07</v>
          </cell>
          <cell r="B846">
            <v>583</v>
          </cell>
          <cell r="C846" t="str">
            <v>C1.DK.10.07</v>
          </cell>
          <cell r="D846" t="str">
            <v>DK</v>
          </cell>
          <cell r="E846" t="str">
            <v>G-139</v>
          </cell>
          <cell r="F846" t="str">
            <v>DK024</v>
          </cell>
          <cell r="G846" t="str">
            <v>N1</v>
          </cell>
          <cell r="H846" t="str">
            <v>b1</v>
          </cell>
          <cell r="I846" t="str">
            <v>N1-b1</v>
          </cell>
          <cell r="J846">
            <v>10</v>
          </cell>
          <cell r="K846" t="str">
            <v>07</v>
          </cell>
        </row>
        <row r="847">
          <cell r="A847" t="str">
            <v>10-08</v>
          </cell>
          <cell r="B847">
            <v>584</v>
          </cell>
          <cell r="C847" t="str">
            <v>C1.DK.10.08</v>
          </cell>
          <cell r="D847" t="str">
            <v>DK</v>
          </cell>
          <cell r="E847" t="str">
            <v>G-158</v>
          </cell>
          <cell r="F847" t="str">
            <v>DK058</v>
          </cell>
          <cell r="G847" t="str">
            <v>N1</v>
          </cell>
          <cell r="H847" t="str">
            <v>b1</v>
          </cell>
          <cell r="I847" t="str">
            <v>N1-b1</v>
          </cell>
          <cell r="J847">
            <v>10</v>
          </cell>
          <cell r="K847" t="str">
            <v>08</v>
          </cell>
        </row>
        <row r="848">
          <cell r="A848" t="str">
            <v>10-09</v>
          </cell>
          <cell r="B848">
            <v>585</v>
          </cell>
          <cell r="C848" t="str">
            <v>C1.DK.10.09</v>
          </cell>
          <cell r="D848" t="str">
            <v>DK</v>
          </cell>
          <cell r="E848" t="str">
            <v>G-190</v>
          </cell>
          <cell r="F848" t="str">
            <v>DK117</v>
          </cell>
          <cell r="G848" t="str">
            <v>N1</v>
          </cell>
          <cell r="H848" t="str">
            <v>b1</v>
          </cell>
          <cell r="I848" t="str">
            <v>N1-b1</v>
          </cell>
          <cell r="J848">
            <v>10</v>
          </cell>
          <cell r="K848" t="str">
            <v>09</v>
          </cell>
        </row>
        <row r="849">
          <cell r="A849" t="str">
            <v>10-10</v>
          </cell>
          <cell r="B849">
            <v>586</v>
          </cell>
          <cell r="C849" t="str">
            <v>C1.DK.10.10</v>
          </cell>
          <cell r="D849" t="str">
            <v>DK</v>
          </cell>
          <cell r="E849" t="str">
            <v>G-202</v>
          </cell>
          <cell r="F849" t="str">
            <v>DK144</v>
          </cell>
          <cell r="G849" t="str">
            <v>N1</v>
          </cell>
          <cell r="H849" t="str">
            <v>b1</v>
          </cell>
          <cell r="I849" t="str">
            <v>N1-b1</v>
          </cell>
          <cell r="J849">
            <v>10</v>
          </cell>
          <cell r="K849" t="str">
            <v>10</v>
          </cell>
        </row>
        <row r="850">
          <cell r="A850" t="str">
            <v>10-11</v>
          </cell>
          <cell r="B850">
            <v>587</v>
          </cell>
          <cell r="C850" t="str">
            <v>C1.DK.10.11</v>
          </cell>
          <cell r="D850" t="str">
            <v>DK</v>
          </cell>
          <cell r="E850" t="str">
            <v>G-126</v>
          </cell>
          <cell r="F850" t="str">
            <v>Express</v>
          </cell>
          <cell r="G850" t="str">
            <v>N1</v>
          </cell>
          <cell r="H850" t="str">
            <v>b1</v>
          </cell>
          <cell r="I850" t="str">
            <v>N1-b1</v>
          </cell>
          <cell r="J850">
            <v>10</v>
          </cell>
          <cell r="K850" t="str">
            <v>11</v>
          </cell>
        </row>
        <row r="851">
          <cell r="A851" t="str">
            <v>10-12</v>
          </cell>
          <cell r="B851">
            <v>588</v>
          </cell>
          <cell r="C851" t="str">
            <v>C1.DK.10.12</v>
          </cell>
          <cell r="D851" t="str">
            <v>DK</v>
          </cell>
          <cell r="E851" t="str">
            <v>G-182</v>
          </cell>
          <cell r="F851" t="str">
            <v>DK103</v>
          </cell>
          <cell r="G851" t="str">
            <v>N1</v>
          </cell>
          <cell r="H851" t="str">
            <v>b1</v>
          </cell>
          <cell r="I851" t="str">
            <v>N1-b1</v>
          </cell>
          <cell r="J851">
            <v>10</v>
          </cell>
          <cell r="K851" t="str">
            <v>12</v>
          </cell>
        </row>
        <row r="852">
          <cell r="A852" t="str">
            <v>10-13</v>
          </cell>
          <cell r="B852">
            <v>589</v>
          </cell>
          <cell r="C852" t="str">
            <v>C1.DK.10.13</v>
          </cell>
          <cell r="D852" t="str">
            <v>DK</v>
          </cell>
          <cell r="E852" t="str">
            <v>G-138</v>
          </cell>
          <cell r="F852" t="str">
            <v>DK023</v>
          </cell>
          <cell r="G852" t="str">
            <v>N1</v>
          </cell>
          <cell r="H852" t="str">
            <v>b1</v>
          </cell>
          <cell r="I852" t="str">
            <v>N1-b1</v>
          </cell>
          <cell r="J852">
            <v>10</v>
          </cell>
          <cell r="K852" t="str">
            <v>13</v>
          </cell>
        </row>
        <row r="853">
          <cell r="A853" t="str">
            <v>10-14</v>
          </cell>
          <cell r="B853">
            <v>590</v>
          </cell>
          <cell r="C853" t="str">
            <v>C1.DK.10.14</v>
          </cell>
          <cell r="D853" t="str">
            <v>DK</v>
          </cell>
          <cell r="E853" t="str">
            <v>G-168</v>
          </cell>
          <cell r="F853" t="str">
            <v>DK079</v>
          </cell>
          <cell r="G853" t="str">
            <v>N1</v>
          </cell>
          <cell r="H853" t="str">
            <v>b1</v>
          </cell>
          <cell r="I853" t="str">
            <v>N1-b1</v>
          </cell>
          <cell r="J853">
            <v>10</v>
          </cell>
          <cell r="K853" t="str">
            <v>14</v>
          </cell>
        </row>
        <row r="854">
          <cell r="A854" t="str">
            <v>10-15</v>
          </cell>
          <cell r="B854">
            <v>591</v>
          </cell>
          <cell r="C854" t="str">
            <v>C1.DK.10.15</v>
          </cell>
          <cell r="D854" t="str">
            <v>DK</v>
          </cell>
          <cell r="E854" t="str">
            <v>G-191</v>
          </cell>
          <cell r="F854" t="str">
            <v>DK119</v>
          </cell>
          <cell r="G854" t="str">
            <v>N1</v>
          </cell>
          <cell r="H854" t="str">
            <v>b1</v>
          </cell>
          <cell r="I854" t="str">
            <v>N1-b1</v>
          </cell>
          <cell r="J854">
            <v>10</v>
          </cell>
          <cell r="K854" t="str">
            <v>15</v>
          </cell>
        </row>
        <row r="855">
          <cell r="A855" t="str">
            <v>10-16</v>
          </cell>
          <cell r="B855">
            <v>592</v>
          </cell>
          <cell r="C855" t="str">
            <v>C1.DK.10.16</v>
          </cell>
          <cell r="D855" t="str">
            <v>DK</v>
          </cell>
          <cell r="E855" t="str">
            <v>G-164</v>
          </cell>
          <cell r="F855" t="str">
            <v>DK069</v>
          </cell>
          <cell r="G855" t="str">
            <v>N1</v>
          </cell>
          <cell r="H855" t="str">
            <v>b1</v>
          </cell>
          <cell r="I855" t="str">
            <v>N1-b1</v>
          </cell>
          <cell r="J855">
            <v>10</v>
          </cell>
          <cell r="K855" t="str">
            <v>16</v>
          </cell>
        </row>
        <row r="856">
          <cell r="A856" t="str">
            <v>10-17</v>
          </cell>
          <cell r="B856">
            <v>593</v>
          </cell>
          <cell r="C856" t="str">
            <v>C1.DK.10.17</v>
          </cell>
          <cell r="D856" t="str">
            <v>DK</v>
          </cell>
          <cell r="E856" t="str">
            <v>G-172</v>
          </cell>
          <cell r="F856" t="str">
            <v>DK084</v>
          </cell>
          <cell r="G856" t="str">
            <v>N1</v>
          </cell>
          <cell r="H856" t="str">
            <v>b1</v>
          </cell>
          <cell r="I856" t="str">
            <v>N1-b1</v>
          </cell>
          <cell r="J856">
            <v>10</v>
          </cell>
          <cell r="K856" t="str">
            <v>17</v>
          </cell>
        </row>
        <row r="857">
          <cell r="A857" t="str">
            <v>10-18</v>
          </cell>
          <cell r="B857">
            <v>594</v>
          </cell>
          <cell r="C857" t="str">
            <v>C1.DK.10.18</v>
          </cell>
          <cell r="D857" t="str">
            <v>DK</v>
          </cell>
          <cell r="E857" t="str">
            <v>G-136</v>
          </cell>
          <cell r="F857" t="str">
            <v>DK020</v>
          </cell>
          <cell r="G857" t="str">
            <v>N1</v>
          </cell>
          <cell r="H857" t="str">
            <v>b1</v>
          </cell>
          <cell r="I857" t="str">
            <v>N1-b1</v>
          </cell>
          <cell r="J857">
            <v>10</v>
          </cell>
          <cell r="K857" t="str">
            <v>18</v>
          </cell>
        </row>
        <row r="858">
          <cell r="A858" t="str">
            <v>10-19</v>
          </cell>
          <cell r="B858">
            <v>595</v>
          </cell>
          <cell r="C858" t="str">
            <v>C1.DK.10.19</v>
          </cell>
          <cell r="D858" t="str">
            <v>DK</v>
          </cell>
          <cell r="E858" t="str">
            <v>G-143</v>
          </cell>
          <cell r="F858" t="str">
            <v>DK035</v>
          </cell>
          <cell r="G858" t="str">
            <v>N1</v>
          </cell>
          <cell r="H858" t="str">
            <v>b1</v>
          </cell>
          <cell r="I858" t="str">
            <v>N1-b1</v>
          </cell>
          <cell r="J858">
            <v>10</v>
          </cell>
          <cell r="K858" t="str">
            <v>19</v>
          </cell>
        </row>
        <row r="859">
          <cell r="A859" t="str">
            <v>10-20</v>
          </cell>
          <cell r="B859">
            <v>596</v>
          </cell>
          <cell r="C859" t="str">
            <v>C1.DK.10.20</v>
          </cell>
          <cell r="D859" t="str">
            <v>DK</v>
          </cell>
          <cell r="E859" t="str">
            <v>G-130</v>
          </cell>
          <cell r="F859" t="str">
            <v>DK011</v>
          </cell>
          <cell r="G859" t="str">
            <v>N1</v>
          </cell>
          <cell r="H859" t="str">
            <v>b1</v>
          </cell>
          <cell r="I859" t="str">
            <v>N1-b1</v>
          </cell>
          <cell r="J859">
            <v>10</v>
          </cell>
          <cell r="K859" t="str">
            <v>20</v>
          </cell>
        </row>
        <row r="860">
          <cell r="A860" t="str">
            <v>10-21</v>
          </cell>
          <cell r="B860">
            <v>597</v>
          </cell>
          <cell r="C860" t="str">
            <v>C1.DK.10.21</v>
          </cell>
          <cell r="D860" t="str">
            <v>DK</v>
          </cell>
          <cell r="E860" t="str">
            <v>G-131</v>
          </cell>
          <cell r="F860" t="str">
            <v>DK012</v>
          </cell>
          <cell r="G860" t="str">
            <v>N1</v>
          </cell>
          <cell r="H860" t="str">
            <v>b1</v>
          </cell>
          <cell r="I860" t="str">
            <v>N1-b1</v>
          </cell>
          <cell r="J860">
            <v>10</v>
          </cell>
          <cell r="K860" t="str">
            <v>21</v>
          </cell>
        </row>
        <row r="861">
          <cell r="A861" t="str">
            <v>10-22</v>
          </cell>
          <cell r="B861">
            <v>598</v>
          </cell>
          <cell r="C861" t="str">
            <v>C1.DK.10.22</v>
          </cell>
          <cell r="D861" t="str">
            <v>DK</v>
          </cell>
          <cell r="E861" t="str">
            <v>G-157</v>
          </cell>
          <cell r="F861" t="str">
            <v>DK057</v>
          </cell>
          <cell r="G861" t="str">
            <v>N1</v>
          </cell>
          <cell r="H861" t="str">
            <v>b1</v>
          </cell>
          <cell r="I861" t="str">
            <v>N1-b1</v>
          </cell>
          <cell r="J861">
            <v>10</v>
          </cell>
          <cell r="K861" t="str">
            <v>22</v>
          </cell>
        </row>
        <row r="862">
          <cell r="A862" t="str">
            <v>10-23</v>
          </cell>
          <cell r="B862">
            <v>599</v>
          </cell>
          <cell r="C862" t="str">
            <v>C1.DK.10.23</v>
          </cell>
          <cell r="D862" t="str">
            <v>DK</v>
          </cell>
          <cell r="E862" t="str">
            <v>G-159</v>
          </cell>
          <cell r="F862" t="str">
            <v>DK061</v>
          </cell>
          <cell r="G862" t="str">
            <v>N1</v>
          </cell>
          <cell r="H862" t="str">
            <v>b1</v>
          </cell>
          <cell r="I862" t="str">
            <v>N1-b1</v>
          </cell>
          <cell r="J862">
            <v>10</v>
          </cell>
          <cell r="K862" t="str">
            <v>23</v>
          </cell>
        </row>
        <row r="863">
          <cell r="A863" t="str">
            <v>10-24</v>
          </cell>
          <cell r="B863">
            <v>600</v>
          </cell>
          <cell r="C863" t="str">
            <v>C1.DK.10.24</v>
          </cell>
          <cell r="D863" t="str">
            <v>DK</v>
          </cell>
          <cell r="E863" t="str">
            <v>G-148</v>
          </cell>
          <cell r="F863" t="str">
            <v>DK041</v>
          </cell>
          <cell r="G863" t="str">
            <v>N1</v>
          </cell>
          <cell r="H863" t="str">
            <v>b1</v>
          </cell>
          <cell r="I863" t="str">
            <v>N1-b1</v>
          </cell>
          <cell r="J863">
            <v>10</v>
          </cell>
          <cell r="K863" t="str">
            <v>24</v>
          </cell>
        </row>
        <row r="864">
          <cell r="A864" t="str">
            <v>10-25</v>
          </cell>
          <cell r="B864">
            <v>601</v>
          </cell>
          <cell r="C864" t="str">
            <v>C1.DK.10.25</v>
          </cell>
          <cell r="D864" t="str">
            <v>DK</v>
          </cell>
          <cell r="E864" t="str">
            <v>G-165</v>
          </cell>
          <cell r="F864" t="str">
            <v>DK071</v>
          </cell>
          <cell r="G864" t="str">
            <v>N1</v>
          </cell>
          <cell r="H864" t="str">
            <v>b1</v>
          </cell>
          <cell r="I864" t="str">
            <v>N1-b1</v>
          </cell>
          <cell r="J864">
            <v>10</v>
          </cell>
          <cell r="K864" t="str">
            <v>25</v>
          </cell>
        </row>
        <row r="865">
          <cell r="A865" t="str">
            <v>10-26</v>
          </cell>
          <cell r="B865">
            <v>602</v>
          </cell>
          <cell r="C865" t="str">
            <v>C1.DK.10.26</v>
          </cell>
          <cell r="D865" t="str">
            <v>DK</v>
          </cell>
          <cell r="E865" t="str">
            <v>G-180</v>
          </cell>
          <cell r="F865" t="str">
            <v>DK098</v>
          </cell>
          <cell r="G865" t="str">
            <v>N1</v>
          </cell>
          <cell r="H865" t="str">
            <v>b1</v>
          </cell>
          <cell r="I865" t="str">
            <v>N1-b1</v>
          </cell>
          <cell r="J865">
            <v>10</v>
          </cell>
          <cell r="K865" t="str">
            <v>26</v>
          </cell>
        </row>
        <row r="866">
          <cell r="A866" t="str">
            <v>10-27</v>
          </cell>
          <cell r="B866">
            <v>603</v>
          </cell>
          <cell r="C866" t="str">
            <v>C1.DK.10.27</v>
          </cell>
          <cell r="D866" t="str">
            <v>DK</v>
          </cell>
          <cell r="E866" t="str">
            <v>G-201</v>
          </cell>
          <cell r="F866" t="str">
            <v>DK143</v>
          </cell>
          <cell r="G866" t="str">
            <v>N1</v>
          </cell>
          <cell r="H866" t="str">
            <v>b1</v>
          </cell>
          <cell r="I866" t="str">
            <v>N1-b1</v>
          </cell>
          <cell r="J866">
            <v>10</v>
          </cell>
          <cell r="K866" t="str">
            <v>27</v>
          </cell>
        </row>
        <row r="867">
          <cell r="A867" t="str">
            <v>10-28</v>
          </cell>
          <cell r="B867">
            <v>604</v>
          </cell>
          <cell r="C867" t="str">
            <v>C1.DK.10.28</v>
          </cell>
          <cell r="D867" t="str">
            <v>DK</v>
          </cell>
          <cell r="E867" t="str">
            <v>G-173</v>
          </cell>
          <cell r="F867" t="str">
            <v>DK085</v>
          </cell>
          <cell r="G867" t="str">
            <v>N1</v>
          </cell>
          <cell r="H867" t="str">
            <v>b1</v>
          </cell>
          <cell r="I867" t="str">
            <v>N1-b1</v>
          </cell>
          <cell r="J867">
            <v>10</v>
          </cell>
          <cell r="K867" t="str">
            <v>28</v>
          </cell>
        </row>
        <row r="868">
          <cell r="A868" t="str">
            <v>10-29</v>
          </cell>
          <cell r="B868">
            <v>605</v>
          </cell>
          <cell r="C868" t="str">
            <v>C1.DK.10.29</v>
          </cell>
          <cell r="D868" t="str">
            <v>DK</v>
          </cell>
          <cell r="E868" t="str">
            <v>G-206</v>
          </cell>
          <cell r="F868" t="str">
            <v>DK148</v>
          </cell>
          <cell r="G868" t="str">
            <v>N1</v>
          </cell>
          <cell r="H868" t="str">
            <v>b1</v>
          </cell>
          <cell r="I868" t="str">
            <v>N1-b1</v>
          </cell>
          <cell r="J868">
            <v>10</v>
          </cell>
          <cell r="K868" t="str">
            <v>29</v>
          </cell>
        </row>
        <row r="869">
          <cell r="A869" t="str">
            <v>10-30</v>
          </cell>
          <cell r="B869">
            <v>606</v>
          </cell>
          <cell r="C869" t="str">
            <v>C1.DK.10.30</v>
          </cell>
          <cell r="D869" t="str">
            <v>DK</v>
          </cell>
          <cell r="E869" t="str">
            <v>G-192</v>
          </cell>
          <cell r="F869" t="str">
            <v>DK121</v>
          </cell>
          <cell r="G869" t="str">
            <v>N1</v>
          </cell>
          <cell r="H869" t="str">
            <v>b1</v>
          </cell>
          <cell r="I869" t="str">
            <v>N1-b1</v>
          </cell>
          <cell r="J869">
            <v>10</v>
          </cell>
          <cell r="K869" t="str">
            <v>30</v>
          </cell>
        </row>
        <row r="870">
          <cell r="A870" t="str">
            <v>10-31</v>
          </cell>
          <cell r="B870">
            <v>607</v>
          </cell>
          <cell r="C870" t="str">
            <v>C1.DK.10.31</v>
          </cell>
          <cell r="D870" t="str">
            <v>DK</v>
          </cell>
          <cell r="E870" t="str">
            <v>G-151</v>
          </cell>
          <cell r="F870" t="str">
            <v>DK045</v>
          </cell>
          <cell r="G870" t="str">
            <v>N1</v>
          </cell>
          <cell r="H870" t="str">
            <v>b1</v>
          </cell>
          <cell r="I870" t="str">
            <v>N1-b1</v>
          </cell>
          <cell r="J870">
            <v>10</v>
          </cell>
          <cell r="K870" t="str">
            <v>31</v>
          </cell>
        </row>
        <row r="871">
          <cell r="A871" t="str">
            <v>10-32</v>
          </cell>
          <cell r="B871">
            <v>608</v>
          </cell>
          <cell r="C871" t="str">
            <v>C1.DK.10.32</v>
          </cell>
          <cell r="D871" t="str">
            <v>DK</v>
          </cell>
          <cell r="E871" t="str">
            <v>G-155</v>
          </cell>
          <cell r="F871" t="str">
            <v>DK053</v>
          </cell>
          <cell r="G871" t="str">
            <v>N1</v>
          </cell>
          <cell r="H871" t="str">
            <v>b1</v>
          </cell>
          <cell r="I871" t="str">
            <v>N1-b1</v>
          </cell>
          <cell r="J871">
            <v>10</v>
          </cell>
          <cell r="K871" t="str">
            <v>32</v>
          </cell>
        </row>
        <row r="872">
          <cell r="A872" t="str">
            <v>10-33</v>
          </cell>
          <cell r="B872">
            <v>609</v>
          </cell>
          <cell r="C872" t="str">
            <v>C1.DK.10.33</v>
          </cell>
          <cell r="D872" t="str">
            <v>DK</v>
          </cell>
          <cell r="E872" t="str">
            <v>G-170</v>
          </cell>
          <cell r="F872" t="str">
            <v>DK081</v>
          </cell>
          <cell r="G872" t="str">
            <v>N2</v>
          </cell>
          <cell r="H872" t="str">
            <v>b1</v>
          </cell>
          <cell r="I872" t="str">
            <v>N2-b1</v>
          </cell>
          <cell r="J872">
            <v>10</v>
          </cell>
          <cell r="K872" t="str">
            <v>33</v>
          </cell>
        </row>
        <row r="873">
          <cell r="A873" t="str">
            <v>10-34</v>
          </cell>
          <cell r="B873">
            <v>610</v>
          </cell>
          <cell r="C873" t="str">
            <v>C1.DK.10.34</v>
          </cell>
          <cell r="D873" t="str">
            <v>DK</v>
          </cell>
          <cell r="E873" t="str">
            <v>G-199</v>
          </cell>
          <cell r="F873" t="str">
            <v>DK140</v>
          </cell>
          <cell r="G873" t="str">
            <v>N2</v>
          </cell>
          <cell r="H873" t="str">
            <v>b1</v>
          </cell>
          <cell r="I873" t="str">
            <v>N2-b1</v>
          </cell>
          <cell r="J873">
            <v>10</v>
          </cell>
          <cell r="K873" t="str">
            <v>34</v>
          </cell>
        </row>
        <row r="874">
          <cell r="A874" t="str">
            <v>10-35</v>
          </cell>
          <cell r="B874">
            <v>611</v>
          </cell>
          <cell r="C874" t="str">
            <v>C1.DK.10.35</v>
          </cell>
          <cell r="D874" t="str">
            <v>DK</v>
          </cell>
          <cell r="E874" t="str">
            <v>G-129</v>
          </cell>
          <cell r="F874" t="str">
            <v>DK008</v>
          </cell>
          <cell r="G874" t="str">
            <v>N2</v>
          </cell>
          <cell r="H874" t="str">
            <v>b1</v>
          </cell>
          <cell r="I874" t="str">
            <v>N2-b1</v>
          </cell>
          <cell r="J874">
            <v>10</v>
          </cell>
          <cell r="K874" t="str">
            <v>35</v>
          </cell>
        </row>
        <row r="875">
          <cell r="A875" t="str">
            <v>10-36</v>
          </cell>
          <cell r="B875">
            <v>612</v>
          </cell>
          <cell r="C875" t="str">
            <v>C1.DK.10.36</v>
          </cell>
          <cell r="D875" t="str">
            <v>DK</v>
          </cell>
          <cell r="E875" t="str">
            <v>G-165</v>
          </cell>
          <cell r="F875" t="str">
            <v>DK071</v>
          </cell>
          <cell r="G875" t="str">
            <v>N2</v>
          </cell>
          <cell r="H875" t="str">
            <v>b1</v>
          </cell>
          <cell r="I875" t="str">
            <v>N2-b1</v>
          </cell>
          <cell r="J875">
            <v>10</v>
          </cell>
          <cell r="K875" t="str">
            <v>36</v>
          </cell>
        </row>
        <row r="876">
          <cell r="A876" t="str">
            <v>10-37</v>
          </cell>
          <cell r="B876">
            <v>613</v>
          </cell>
          <cell r="C876" t="str">
            <v>C1.DK.10.37</v>
          </cell>
          <cell r="D876" t="str">
            <v>DK</v>
          </cell>
          <cell r="E876" t="str">
            <v>G-137</v>
          </cell>
          <cell r="F876" t="str">
            <v>DK021</v>
          </cell>
          <cell r="G876" t="str">
            <v>N2</v>
          </cell>
          <cell r="H876" t="str">
            <v>b1</v>
          </cell>
          <cell r="I876" t="str">
            <v>N2-b1</v>
          </cell>
          <cell r="J876">
            <v>10</v>
          </cell>
          <cell r="K876" t="str">
            <v>37</v>
          </cell>
        </row>
        <row r="877">
          <cell r="A877" t="str">
            <v>10-38</v>
          </cell>
          <cell r="B877">
            <v>614</v>
          </cell>
          <cell r="C877" t="str">
            <v>C1.DK.10.38</v>
          </cell>
          <cell r="D877" t="str">
            <v>DK</v>
          </cell>
          <cell r="E877" t="str">
            <v>G-162</v>
          </cell>
          <cell r="F877" t="str">
            <v>DK066</v>
          </cell>
          <cell r="G877" t="str">
            <v>N2</v>
          </cell>
          <cell r="H877" t="str">
            <v>b1</v>
          </cell>
          <cell r="I877" t="str">
            <v>N2-b1</v>
          </cell>
          <cell r="J877">
            <v>10</v>
          </cell>
          <cell r="K877" t="str">
            <v>38</v>
          </cell>
        </row>
        <row r="878">
          <cell r="A878" t="str">
            <v>10-39</v>
          </cell>
          <cell r="B878">
            <v>615</v>
          </cell>
          <cell r="C878" t="str">
            <v>C1.DK.10.39</v>
          </cell>
          <cell r="D878" t="str">
            <v>DK</v>
          </cell>
          <cell r="E878" t="str">
            <v>G-138</v>
          </cell>
          <cell r="F878" t="str">
            <v>DK023</v>
          </cell>
          <cell r="G878" t="str">
            <v>N2</v>
          </cell>
          <cell r="H878" t="str">
            <v>b1</v>
          </cell>
          <cell r="I878" t="str">
            <v>N2-b1</v>
          </cell>
          <cell r="J878">
            <v>10</v>
          </cell>
          <cell r="K878" t="str">
            <v>39</v>
          </cell>
        </row>
        <row r="879">
          <cell r="A879" t="str">
            <v>10-40</v>
          </cell>
          <cell r="B879">
            <v>616</v>
          </cell>
          <cell r="C879" t="str">
            <v>C1.DK.10.40</v>
          </cell>
          <cell r="D879" t="str">
            <v>DK</v>
          </cell>
          <cell r="E879" t="str">
            <v>G-191</v>
          </cell>
          <cell r="F879" t="str">
            <v>DK119</v>
          </cell>
          <cell r="G879" t="str">
            <v>N2</v>
          </cell>
          <cell r="H879" t="str">
            <v>b1</v>
          </cell>
          <cell r="I879" t="str">
            <v>N2-b1</v>
          </cell>
          <cell r="J879">
            <v>10</v>
          </cell>
          <cell r="K879" t="str">
            <v>40</v>
          </cell>
        </row>
        <row r="880">
          <cell r="A880" t="str">
            <v>10-41</v>
          </cell>
          <cell r="B880">
            <v>617</v>
          </cell>
          <cell r="C880" t="str">
            <v>C1.DK.10.41</v>
          </cell>
          <cell r="D880" t="str">
            <v>DK</v>
          </cell>
          <cell r="E880" t="str">
            <v>G-206</v>
          </cell>
          <cell r="F880" t="str">
            <v>DK148</v>
          </cell>
          <cell r="G880" t="str">
            <v>N2</v>
          </cell>
          <cell r="H880" t="str">
            <v>b1</v>
          </cell>
          <cell r="I880" t="str">
            <v>N2-b1</v>
          </cell>
          <cell r="J880">
            <v>10</v>
          </cell>
          <cell r="K880" t="str">
            <v>41</v>
          </cell>
        </row>
        <row r="881">
          <cell r="A881" t="str">
            <v>10-42</v>
          </cell>
          <cell r="B881">
            <v>618</v>
          </cell>
          <cell r="C881" t="str">
            <v>C1.DK.10.42</v>
          </cell>
          <cell r="D881" t="str">
            <v>DK</v>
          </cell>
          <cell r="E881" t="str">
            <v>G-168</v>
          </cell>
          <cell r="F881" t="str">
            <v>DK079</v>
          </cell>
          <cell r="G881" t="str">
            <v>N2</v>
          </cell>
          <cell r="H881" t="str">
            <v>b1</v>
          </cell>
          <cell r="I881" t="str">
            <v>N2-b1</v>
          </cell>
          <cell r="J881">
            <v>10</v>
          </cell>
          <cell r="K881" t="str">
            <v>42</v>
          </cell>
        </row>
        <row r="882">
          <cell r="A882" t="str">
            <v>10-43</v>
          </cell>
          <cell r="B882">
            <v>619</v>
          </cell>
          <cell r="C882" t="str">
            <v>C1.DK.10.43</v>
          </cell>
          <cell r="D882" t="str">
            <v>DK</v>
          </cell>
          <cell r="E882" t="str">
            <v>G-186</v>
          </cell>
          <cell r="F882" t="str">
            <v>DK110</v>
          </cell>
          <cell r="G882" t="str">
            <v>N2</v>
          </cell>
          <cell r="H882" t="str">
            <v>b1</v>
          </cell>
          <cell r="I882" t="str">
            <v>N2-b1</v>
          </cell>
          <cell r="J882">
            <v>10</v>
          </cell>
          <cell r="K882" t="str">
            <v>43</v>
          </cell>
        </row>
        <row r="883">
          <cell r="A883" t="str">
            <v>10-44</v>
          </cell>
          <cell r="B883">
            <v>620</v>
          </cell>
          <cell r="C883" t="str">
            <v>C1.DK.10.44</v>
          </cell>
          <cell r="D883" t="str">
            <v>DK</v>
          </cell>
          <cell r="E883" t="str">
            <v>G-147</v>
          </cell>
          <cell r="F883" t="str">
            <v>DK039</v>
          </cell>
          <cell r="G883" t="str">
            <v>N2</v>
          </cell>
          <cell r="H883" t="str">
            <v>b1</v>
          </cell>
          <cell r="I883" t="str">
            <v>N2-b1</v>
          </cell>
          <cell r="J883">
            <v>10</v>
          </cell>
          <cell r="K883" t="str">
            <v>44</v>
          </cell>
        </row>
        <row r="884">
          <cell r="A884" t="str">
            <v>10-45</v>
          </cell>
          <cell r="B884">
            <v>621</v>
          </cell>
          <cell r="C884" t="str">
            <v>C1.DK.10.45</v>
          </cell>
          <cell r="D884" t="str">
            <v>DK</v>
          </cell>
          <cell r="E884" t="str">
            <v>G-197</v>
          </cell>
          <cell r="F884" t="str">
            <v>DK137</v>
          </cell>
          <cell r="G884" t="str">
            <v>N2</v>
          </cell>
          <cell r="H884" t="str">
            <v>b1</v>
          </cell>
          <cell r="I884" t="str">
            <v>N2-b1</v>
          </cell>
          <cell r="J884">
            <v>10</v>
          </cell>
          <cell r="K884" t="str">
            <v>45</v>
          </cell>
        </row>
        <row r="885">
          <cell r="A885" t="str">
            <v>10-46</v>
          </cell>
          <cell r="B885">
            <v>622</v>
          </cell>
          <cell r="C885" t="str">
            <v>C1.DK.10.46</v>
          </cell>
          <cell r="D885" t="str">
            <v>DK</v>
          </cell>
          <cell r="E885" t="str">
            <v>G-144</v>
          </cell>
          <cell r="F885" t="str">
            <v>DK036</v>
          </cell>
          <cell r="G885" t="str">
            <v>N2</v>
          </cell>
          <cell r="H885" t="str">
            <v>b1</v>
          </cell>
          <cell r="I885" t="str">
            <v>N2-b1</v>
          </cell>
          <cell r="J885">
            <v>10</v>
          </cell>
          <cell r="K885" t="str">
            <v>46</v>
          </cell>
        </row>
        <row r="886">
          <cell r="A886" t="str">
            <v>10-47</v>
          </cell>
          <cell r="B886">
            <v>623</v>
          </cell>
          <cell r="C886" t="str">
            <v>C1.DK.10.47</v>
          </cell>
          <cell r="D886" t="str">
            <v>DK</v>
          </cell>
          <cell r="E886" t="str">
            <v>G-166</v>
          </cell>
          <cell r="F886" t="str">
            <v>DK074</v>
          </cell>
          <cell r="G886" t="str">
            <v>N2</v>
          </cell>
          <cell r="H886" t="str">
            <v>b1</v>
          </cell>
          <cell r="I886" t="str">
            <v>N2-b1</v>
          </cell>
          <cell r="J886">
            <v>10</v>
          </cell>
          <cell r="K886" t="str">
            <v>47</v>
          </cell>
        </row>
        <row r="887">
          <cell r="A887" t="str">
            <v>10-48</v>
          </cell>
          <cell r="B887">
            <v>624</v>
          </cell>
          <cell r="C887" t="str">
            <v>C1.DK.10.48</v>
          </cell>
          <cell r="D887" t="str">
            <v>DK</v>
          </cell>
          <cell r="E887" t="str">
            <v>G-126</v>
          </cell>
          <cell r="F887" t="str">
            <v>Express</v>
          </cell>
          <cell r="G887" t="str">
            <v>N2</v>
          </cell>
          <cell r="H887" t="str">
            <v>b1</v>
          </cell>
          <cell r="I887" t="str">
            <v>N2-b1</v>
          </cell>
          <cell r="J887">
            <v>10</v>
          </cell>
          <cell r="K887" t="str">
            <v>48</v>
          </cell>
        </row>
        <row r="888">
          <cell r="A888" t="str">
            <v>10-49</v>
          </cell>
          <cell r="B888">
            <v>625</v>
          </cell>
          <cell r="C888" t="str">
            <v>C1.DK.10.49</v>
          </cell>
          <cell r="D888" t="str">
            <v>DK</v>
          </cell>
          <cell r="E888" t="str">
            <v>G-203</v>
          </cell>
          <cell r="F888" t="str">
            <v>DK145</v>
          </cell>
          <cell r="G888" t="str">
            <v>N2</v>
          </cell>
          <cell r="H888" t="str">
            <v>b1</v>
          </cell>
          <cell r="I888" t="str">
            <v>N2-b1</v>
          </cell>
          <cell r="J888">
            <v>10</v>
          </cell>
          <cell r="K888" t="str">
            <v>49</v>
          </cell>
        </row>
        <row r="889">
          <cell r="A889" t="str">
            <v>10-50</v>
          </cell>
          <cell r="B889">
            <v>626</v>
          </cell>
          <cell r="C889" t="str">
            <v>C1.DK.10.50</v>
          </cell>
          <cell r="D889" t="str">
            <v>DK</v>
          </cell>
          <cell r="E889" t="str">
            <v>G-126</v>
          </cell>
          <cell r="F889" t="str">
            <v>Express</v>
          </cell>
          <cell r="G889" t="str">
            <v>N2</v>
          </cell>
          <cell r="H889" t="str">
            <v>b1</v>
          </cell>
          <cell r="I889" t="str">
            <v>N2-b1</v>
          </cell>
          <cell r="J889">
            <v>10</v>
          </cell>
          <cell r="K889" t="str">
            <v>50</v>
          </cell>
        </row>
        <row r="890">
          <cell r="A890" t="str">
            <v>10-51</v>
          </cell>
          <cell r="B890">
            <v>627</v>
          </cell>
          <cell r="C890" t="str">
            <v>C1.DK.10.51</v>
          </cell>
          <cell r="D890" t="str">
            <v>DK</v>
          </cell>
          <cell r="E890" t="str">
            <v>G-164</v>
          </cell>
          <cell r="F890" t="str">
            <v>DK069</v>
          </cell>
          <cell r="G890" t="str">
            <v>N2</v>
          </cell>
          <cell r="H890" t="str">
            <v>b1</v>
          </cell>
          <cell r="I890" t="str">
            <v>N2-b1</v>
          </cell>
          <cell r="J890">
            <v>10</v>
          </cell>
          <cell r="K890" t="str">
            <v>51</v>
          </cell>
        </row>
        <row r="891">
          <cell r="A891" t="str">
            <v>10-52</v>
          </cell>
          <cell r="B891">
            <v>628</v>
          </cell>
          <cell r="C891" t="str">
            <v>C1.DK.10.52</v>
          </cell>
          <cell r="D891" t="str">
            <v>DK</v>
          </cell>
          <cell r="E891" t="str">
            <v>G-157</v>
          </cell>
          <cell r="F891" t="str">
            <v>DK057</v>
          </cell>
          <cell r="G891" t="str">
            <v>N2</v>
          </cell>
          <cell r="H891" t="str">
            <v>b1</v>
          </cell>
          <cell r="I891" t="str">
            <v>N2-b1</v>
          </cell>
          <cell r="J891">
            <v>10</v>
          </cell>
          <cell r="K891" t="str">
            <v>52</v>
          </cell>
        </row>
        <row r="892">
          <cell r="A892" t="str">
            <v>10-53</v>
          </cell>
          <cell r="B892">
            <v>629</v>
          </cell>
          <cell r="C892" t="str">
            <v>C1.DK.10.53</v>
          </cell>
          <cell r="D892" t="str">
            <v>DK</v>
          </cell>
          <cell r="E892" t="str">
            <v>G-176</v>
          </cell>
          <cell r="F892" t="str">
            <v>DK093</v>
          </cell>
          <cell r="G892" t="str">
            <v>N2</v>
          </cell>
          <cell r="H892" t="str">
            <v>b1</v>
          </cell>
          <cell r="I892" t="str">
            <v>N2-b1</v>
          </cell>
          <cell r="J892">
            <v>10</v>
          </cell>
          <cell r="K892" t="str">
            <v>53</v>
          </cell>
        </row>
        <row r="893">
          <cell r="A893" t="str">
            <v>10-54</v>
          </cell>
          <cell r="B893">
            <v>630</v>
          </cell>
          <cell r="C893" t="str">
            <v>C1.DK.10.54</v>
          </cell>
          <cell r="D893" t="str">
            <v>DK</v>
          </cell>
          <cell r="E893" t="str">
            <v>G-204</v>
          </cell>
          <cell r="F893" t="str">
            <v>DK146</v>
          </cell>
          <cell r="G893" t="str">
            <v>N2</v>
          </cell>
          <cell r="H893" t="str">
            <v>b1</v>
          </cell>
          <cell r="I893" t="str">
            <v>N2-b1</v>
          </cell>
          <cell r="J893">
            <v>10</v>
          </cell>
          <cell r="K893" t="str">
            <v>54</v>
          </cell>
        </row>
        <row r="894">
          <cell r="A894" t="str">
            <v>10-55</v>
          </cell>
          <cell r="B894">
            <v>631</v>
          </cell>
          <cell r="C894" t="str">
            <v>C1.DK.10.55</v>
          </cell>
          <cell r="D894" t="str">
            <v>DK</v>
          </cell>
          <cell r="E894" t="str">
            <v>G-163</v>
          </cell>
          <cell r="F894" t="str">
            <v>DK068</v>
          </cell>
          <cell r="G894" t="str">
            <v>N2</v>
          </cell>
          <cell r="H894" t="str">
            <v>b1</v>
          </cell>
          <cell r="I894" t="str">
            <v>N2-b1</v>
          </cell>
          <cell r="J894">
            <v>10</v>
          </cell>
          <cell r="K894" t="str">
            <v>55</v>
          </cell>
        </row>
        <row r="895">
          <cell r="A895" t="str">
            <v>10-56</v>
          </cell>
          <cell r="B895">
            <v>632</v>
          </cell>
          <cell r="C895" t="str">
            <v>C1.DK.10.56</v>
          </cell>
          <cell r="D895" t="str">
            <v>DK</v>
          </cell>
          <cell r="E895" t="str">
            <v>G-125</v>
          </cell>
          <cell r="F895" t="str">
            <v>Tenor</v>
          </cell>
          <cell r="G895" t="str">
            <v>N2</v>
          </cell>
          <cell r="H895" t="str">
            <v>b1</v>
          </cell>
          <cell r="I895" t="str">
            <v>N2-b1</v>
          </cell>
          <cell r="J895">
            <v>10</v>
          </cell>
          <cell r="K895" t="str">
            <v>56</v>
          </cell>
        </row>
        <row r="896">
          <cell r="A896" t="str">
            <v>10-57</v>
          </cell>
          <cell r="B896">
            <v>633</v>
          </cell>
          <cell r="C896" t="str">
            <v>C1.DK.10.57</v>
          </cell>
          <cell r="D896" t="str">
            <v>DK</v>
          </cell>
          <cell r="E896" t="str">
            <v>G-207</v>
          </cell>
          <cell r="F896" t="str">
            <v>DK149</v>
          </cell>
          <cell r="G896" t="str">
            <v>N2</v>
          </cell>
          <cell r="H896" t="str">
            <v>b1</v>
          </cell>
          <cell r="I896" t="str">
            <v>N2-b1</v>
          </cell>
          <cell r="J896">
            <v>10</v>
          </cell>
          <cell r="K896" t="str">
            <v>57</v>
          </cell>
        </row>
        <row r="897">
          <cell r="A897" t="str">
            <v>10-58</v>
          </cell>
          <cell r="B897">
            <v>634</v>
          </cell>
          <cell r="C897" t="str">
            <v>C1.DK.10.58</v>
          </cell>
          <cell r="D897" t="str">
            <v>DK</v>
          </cell>
          <cell r="E897" t="str">
            <v>G-214</v>
          </cell>
          <cell r="F897" t="str">
            <v>Darmor2</v>
          </cell>
          <cell r="G897" t="str">
            <v>N2</v>
          </cell>
          <cell r="H897" t="str">
            <v>b1</v>
          </cell>
          <cell r="I897" t="str">
            <v>N2-b1</v>
          </cell>
          <cell r="J897">
            <v>10</v>
          </cell>
          <cell r="K897" t="str">
            <v>58</v>
          </cell>
        </row>
        <row r="898">
          <cell r="A898" t="str">
            <v>10-59</v>
          </cell>
          <cell r="B898">
            <v>635</v>
          </cell>
          <cell r="C898" t="str">
            <v>C1.DK.10.59</v>
          </cell>
          <cell r="D898" t="str">
            <v>DK</v>
          </cell>
          <cell r="E898" t="str">
            <v>G-205</v>
          </cell>
          <cell r="F898" t="str">
            <v>DK147</v>
          </cell>
          <cell r="G898" t="str">
            <v>N2</v>
          </cell>
          <cell r="H898" t="str">
            <v>b1</v>
          </cell>
          <cell r="I898" t="str">
            <v>N2-b1</v>
          </cell>
          <cell r="J898">
            <v>10</v>
          </cell>
          <cell r="K898" t="str">
            <v>59</v>
          </cell>
        </row>
        <row r="899">
          <cell r="A899" t="str">
            <v>10-60</v>
          </cell>
          <cell r="B899">
            <v>636</v>
          </cell>
          <cell r="C899" t="str">
            <v>C1.DK.10.60</v>
          </cell>
          <cell r="D899" t="str">
            <v>DK</v>
          </cell>
          <cell r="E899" t="str">
            <v>G-171</v>
          </cell>
          <cell r="F899" t="str">
            <v>DK082</v>
          </cell>
          <cell r="G899" t="str">
            <v>N2</v>
          </cell>
          <cell r="H899" t="str">
            <v>b1</v>
          </cell>
          <cell r="I899" t="str">
            <v>N2-b1</v>
          </cell>
          <cell r="J899">
            <v>10</v>
          </cell>
          <cell r="K899" t="str">
            <v>60</v>
          </cell>
        </row>
        <row r="900">
          <cell r="A900" t="str">
            <v>10-61</v>
          </cell>
          <cell r="B900">
            <v>637</v>
          </cell>
          <cell r="C900" t="str">
            <v>C1.DK.10.61</v>
          </cell>
          <cell r="D900" t="str">
            <v>DK</v>
          </cell>
          <cell r="E900" t="str">
            <v>G-145</v>
          </cell>
          <cell r="F900" t="str">
            <v>DK037</v>
          </cell>
          <cell r="G900" t="str">
            <v>N2</v>
          </cell>
          <cell r="H900" t="str">
            <v>b1</v>
          </cell>
          <cell r="I900" t="str">
            <v>N2-b1</v>
          </cell>
          <cell r="J900">
            <v>10</v>
          </cell>
          <cell r="K900" t="str">
            <v>61</v>
          </cell>
        </row>
        <row r="901">
          <cell r="A901" t="str">
            <v>10-62</v>
          </cell>
          <cell r="B901">
            <v>638</v>
          </cell>
          <cell r="C901" t="str">
            <v>C1.DK.10.62</v>
          </cell>
          <cell r="D901" t="str">
            <v>DK</v>
          </cell>
          <cell r="E901" t="str">
            <v>G-149</v>
          </cell>
          <cell r="F901" t="str">
            <v>DK042</v>
          </cell>
          <cell r="G901" t="str">
            <v>N2</v>
          </cell>
          <cell r="H901" t="str">
            <v>b1</v>
          </cell>
          <cell r="I901" t="str">
            <v>N2-b1</v>
          </cell>
          <cell r="J901">
            <v>10</v>
          </cell>
          <cell r="K901" t="str">
            <v>62</v>
          </cell>
        </row>
        <row r="902">
          <cell r="A902" t="str">
            <v>10-63</v>
          </cell>
          <cell r="B902">
            <v>639</v>
          </cell>
          <cell r="C902" t="str">
            <v>C1.DK.10.63</v>
          </cell>
          <cell r="D902" t="str">
            <v>DK</v>
          </cell>
          <cell r="E902" t="str">
            <v>G-126</v>
          </cell>
          <cell r="F902" t="str">
            <v>Express</v>
          </cell>
          <cell r="G902" t="str">
            <v>N2</v>
          </cell>
          <cell r="H902" t="str">
            <v>b1</v>
          </cell>
          <cell r="I902" t="str">
            <v>N2-b1</v>
          </cell>
          <cell r="J902">
            <v>10</v>
          </cell>
          <cell r="K902" t="str">
            <v>63</v>
          </cell>
        </row>
        <row r="903">
          <cell r="A903" t="str">
            <v>10-64</v>
          </cell>
          <cell r="B903">
            <v>640</v>
          </cell>
          <cell r="C903" t="str">
            <v>C1.DK.10.64</v>
          </cell>
          <cell r="D903" t="str">
            <v>DK</v>
          </cell>
          <cell r="E903" t="str">
            <v>G-127</v>
          </cell>
          <cell r="F903" t="str">
            <v>DK001</v>
          </cell>
          <cell r="G903" t="str">
            <v>N2</v>
          </cell>
          <cell r="H903" t="str">
            <v>b1</v>
          </cell>
          <cell r="I903" t="str">
            <v>N2-b1</v>
          </cell>
          <cell r="J903">
            <v>10</v>
          </cell>
          <cell r="K903" t="str">
            <v>64</v>
          </cell>
        </row>
        <row r="904">
          <cell r="A904" t="str">
            <v>11-01</v>
          </cell>
          <cell r="B904">
            <v>641</v>
          </cell>
          <cell r="C904" t="str">
            <v>C1.DK.11.01</v>
          </cell>
          <cell r="D904" t="str">
            <v>DK</v>
          </cell>
          <cell r="E904" t="str">
            <v>G-203</v>
          </cell>
          <cell r="F904" t="str">
            <v>DK145</v>
          </cell>
          <cell r="G904" t="str">
            <v>N1</v>
          </cell>
          <cell r="H904" t="str">
            <v>b1</v>
          </cell>
          <cell r="I904" t="str">
            <v>N1-b1</v>
          </cell>
          <cell r="J904">
            <v>11</v>
          </cell>
          <cell r="K904" t="str">
            <v>01</v>
          </cell>
        </row>
        <row r="905">
          <cell r="A905" t="str">
            <v>11-02</v>
          </cell>
          <cell r="B905">
            <v>642</v>
          </cell>
          <cell r="C905" t="str">
            <v>C1.DK.11.02</v>
          </cell>
          <cell r="D905" t="str">
            <v>DK</v>
          </cell>
          <cell r="E905" t="str">
            <v>G-213</v>
          </cell>
          <cell r="F905" t="str">
            <v>Twister2</v>
          </cell>
          <cell r="G905" t="str">
            <v>N1</v>
          </cell>
          <cell r="H905" t="str">
            <v>b1</v>
          </cell>
          <cell r="I905" t="str">
            <v>N1-b1</v>
          </cell>
          <cell r="J905">
            <v>11</v>
          </cell>
          <cell r="K905" t="str">
            <v>02</v>
          </cell>
        </row>
        <row r="906">
          <cell r="A906" t="str">
            <v>11-03</v>
          </cell>
          <cell r="B906">
            <v>643</v>
          </cell>
          <cell r="C906" t="str">
            <v>C1.DK.11.03</v>
          </cell>
          <cell r="D906" t="str">
            <v>DK</v>
          </cell>
          <cell r="E906" t="str">
            <v>G-152</v>
          </cell>
          <cell r="F906" t="str">
            <v>DK046</v>
          </cell>
          <cell r="G906" t="str">
            <v>N1</v>
          </cell>
          <cell r="H906" t="str">
            <v>b1</v>
          </cell>
          <cell r="I906" t="str">
            <v>N1-b1</v>
          </cell>
          <cell r="J906">
            <v>11</v>
          </cell>
          <cell r="K906" t="str">
            <v>03</v>
          </cell>
        </row>
        <row r="907">
          <cell r="A907" t="str">
            <v>11-04</v>
          </cell>
          <cell r="B907">
            <v>644</v>
          </cell>
          <cell r="C907" t="str">
            <v>C1.DK.11.04</v>
          </cell>
          <cell r="D907" t="str">
            <v>DK</v>
          </cell>
          <cell r="E907" t="str">
            <v>G-199</v>
          </cell>
          <cell r="F907" t="str">
            <v>DK140</v>
          </cell>
          <cell r="G907" t="str">
            <v>N1</v>
          </cell>
          <cell r="H907" t="str">
            <v>b1</v>
          </cell>
          <cell r="I907" t="str">
            <v>N1-b1</v>
          </cell>
          <cell r="J907">
            <v>11</v>
          </cell>
          <cell r="K907" t="str">
            <v>04</v>
          </cell>
        </row>
        <row r="908">
          <cell r="A908" t="str">
            <v>11-05</v>
          </cell>
          <cell r="B908">
            <v>645</v>
          </cell>
          <cell r="C908" t="str">
            <v>C1.DK.11.05</v>
          </cell>
          <cell r="D908" t="str">
            <v>DK</v>
          </cell>
          <cell r="E908" t="str">
            <v>G-207</v>
          </cell>
          <cell r="F908" t="str">
            <v>DK149</v>
          </cell>
          <cell r="G908" t="str">
            <v>N1</v>
          </cell>
          <cell r="H908" t="str">
            <v>b1</v>
          </cell>
          <cell r="I908" t="str">
            <v>N1-b1</v>
          </cell>
          <cell r="J908">
            <v>11</v>
          </cell>
          <cell r="K908" t="str">
            <v>05</v>
          </cell>
        </row>
        <row r="909">
          <cell r="A909" t="str">
            <v>11-06</v>
          </cell>
          <cell r="B909">
            <v>646</v>
          </cell>
          <cell r="C909" t="str">
            <v>C1.DK.11.06</v>
          </cell>
          <cell r="D909" t="str">
            <v>DK</v>
          </cell>
          <cell r="E909" t="str">
            <v>G-214</v>
          </cell>
          <cell r="F909" t="str">
            <v>Darmor2</v>
          </cell>
          <cell r="G909" t="str">
            <v>N1</v>
          </cell>
          <cell r="H909" t="str">
            <v>b1</v>
          </cell>
          <cell r="I909" t="str">
            <v>N1-b1</v>
          </cell>
          <cell r="J909">
            <v>11</v>
          </cell>
          <cell r="K909" t="str">
            <v>06</v>
          </cell>
        </row>
        <row r="910">
          <cell r="A910" t="str">
            <v>11-07</v>
          </cell>
          <cell r="B910">
            <v>647</v>
          </cell>
          <cell r="C910" t="str">
            <v>C1.DK.11.07</v>
          </cell>
          <cell r="D910" t="str">
            <v>DK</v>
          </cell>
          <cell r="E910" t="str">
            <v>G-160</v>
          </cell>
          <cell r="F910" t="str">
            <v>DK063</v>
          </cell>
          <cell r="G910" t="str">
            <v>N1</v>
          </cell>
          <cell r="H910" t="str">
            <v>b1</v>
          </cell>
          <cell r="I910" t="str">
            <v>N1-b1</v>
          </cell>
          <cell r="J910">
            <v>11</v>
          </cell>
          <cell r="K910" t="str">
            <v>07</v>
          </cell>
        </row>
        <row r="911">
          <cell r="A911" t="str">
            <v>11-08</v>
          </cell>
          <cell r="B911">
            <v>648</v>
          </cell>
          <cell r="C911" t="str">
            <v>C1.DK.11.08</v>
          </cell>
          <cell r="D911" t="str">
            <v>DK</v>
          </cell>
          <cell r="E911" t="str">
            <v>G-195</v>
          </cell>
          <cell r="F911" t="str">
            <v>DK133</v>
          </cell>
          <cell r="G911" t="str">
            <v>N1</v>
          </cell>
          <cell r="H911" t="str">
            <v>b1</v>
          </cell>
          <cell r="I911" t="str">
            <v>N1-b1</v>
          </cell>
          <cell r="J911">
            <v>11</v>
          </cell>
          <cell r="K911" t="str">
            <v>08</v>
          </cell>
        </row>
        <row r="912">
          <cell r="A912" t="str">
            <v>11-09</v>
          </cell>
          <cell r="B912">
            <v>649</v>
          </cell>
          <cell r="C912" t="str">
            <v>C1.DK.11.09</v>
          </cell>
          <cell r="D912" t="str">
            <v>DK</v>
          </cell>
          <cell r="E912" t="str">
            <v>G-128</v>
          </cell>
          <cell r="F912" t="str">
            <v>DK007</v>
          </cell>
          <cell r="G912" t="str">
            <v>N1</v>
          </cell>
          <cell r="H912" t="str">
            <v>b1</v>
          </cell>
          <cell r="I912" t="str">
            <v>N1-b1</v>
          </cell>
          <cell r="J912">
            <v>11</v>
          </cell>
          <cell r="K912" t="str">
            <v>09</v>
          </cell>
        </row>
        <row r="913">
          <cell r="A913" t="str">
            <v>11-10</v>
          </cell>
          <cell r="B913">
            <v>650</v>
          </cell>
          <cell r="C913" t="str">
            <v>C1.DK.11.10</v>
          </cell>
          <cell r="D913" t="str">
            <v>DK</v>
          </cell>
          <cell r="E913" t="str">
            <v>G-205</v>
          </cell>
          <cell r="F913" t="str">
            <v>DK147</v>
          </cell>
          <cell r="G913" t="str">
            <v>N1</v>
          </cell>
          <cell r="H913" t="str">
            <v>b1</v>
          </cell>
          <cell r="I913" t="str">
            <v>N1-b1</v>
          </cell>
          <cell r="J913">
            <v>11</v>
          </cell>
          <cell r="K913" t="str">
            <v>10</v>
          </cell>
        </row>
        <row r="914">
          <cell r="A914" t="str">
            <v>11-11</v>
          </cell>
          <cell r="B914">
            <v>651</v>
          </cell>
          <cell r="C914" t="str">
            <v>C1.DK.11.11</v>
          </cell>
          <cell r="D914" t="str">
            <v>DK</v>
          </cell>
          <cell r="E914" t="str">
            <v>G-161</v>
          </cell>
          <cell r="F914" t="str">
            <v>DK064</v>
          </cell>
          <cell r="G914" t="str">
            <v>N1</v>
          </cell>
          <cell r="H914" t="str">
            <v>b1</v>
          </cell>
          <cell r="I914" t="str">
            <v>N1-b1</v>
          </cell>
          <cell r="J914">
            <v>11</v>
          </cell>
          <cell r="K914" t="str">
            <v>11</v>
          </cell>
        </row>
        <row r="915">
          <cell r="A915" t="str">
            <v>11-12</v>
          </cell>
          <cell r="B915">
            <v>652</v>
          </cell>
          <cell r="C915" t="str">
            <v>C1.DK.11.12</v>
          </cell>
          <cell r="D915" t="str">
            <v>DK</v>
          </cell>
          <cell r="E915" t="str">
            <v>G-177</v>
          </cell>
          <cell r="F915" t="str">
            <v>DK094</v>
          </cell>
          <cell r="G915" t="str">
            <v>N1</v>
          </cell>
          <cell r="H915" t="str">
            <v>b1</v>
          </cell>
          <cell r="I915" t="str">
            <v>N1-b1</v>
          </cell>
          <cell r="J915">
            <v>11</v>
          </cell>
          <cell r="K915" t="str">
            <v>12</v>
          </cell>
        </row>
        <row r="916">
          <cell r="A916" t="str">
            <v>11-13</v>
          </cell>
          <cell r="B916">
            <v>653</v>
          </cell>
          <cell r="C916" t="str">
            <v>C1.DK.11.13</v>
          </cell>
          <cell r="D916" t="str">
            <v>DK</v>
          </cell>
          <cell r="E916" t="str">
            <v>G-179</v>
          </cell>
          <cell r="F916" t="str">
            <v>DK096</v>
          </cell>
          <cell r="G916" t="str">
            <v>N1</v>
          </cell>
          <cell r="H916" t="str">
            <v>b1</v>
          </cell>
          <cell r="I916" t="str">
            <v>N1-b1</v>
          </cell>
          <cell r="J916">
            <v>11</v>
          </cell>
          <cell r="K916" t="str">
            <v>13</v>
          </cell>
        </row>
        <row r="917">
          <cell r="A917" t="str">
            <v>11-14</v>
          </cell>
          <cell r="B917">
            <v>654</v>
          </cell>
          <cell r="C917" t="str">
            <v>C1.DK.11.14</v>
          </cell>
          <cell r="D917" t="str">
            <v>DK</v>
          </cell>
          <cell r="E917" t="str">
            <v>G-166</v>
          </cell>
          <cell r="F917" t="str">
            <v>DK074</v>
          </cell>
          <cell r="G917" t="str">
            <v>N1</v>
          </cell>
          <cell r="H917" t="str">
            <v>b1</v>
          </cell>
          <cell r="I917" t="str">
            <v>N1-b1</v>
          </cell>
          <cell r="J917">
            <v>11</v>
          </cell>
          <cell r="K917" t="str">
            <v>14</v>
          </cell>
        </row>
        <row r="918">
          <cell r="A918" t="str">
            <v>11-15</v>
          </cell>
          <cell r="B918">
            <v>655</v>
          </cell>
          <cell r="C918" t="str">
            <v>C1.DK.11.15</v>
          </cell>
          <cell r="D918" t="str">
            <v>DK</v>
          </cell>
          <cell r="E918" t="str">
            <v>G-183</v>
          </cell>
          <cell r="F918" t="str">
            <v>DK107</v>
          </cell>
          <cell r="G918" t="str">
            <v>N1</v>
          </cell>
          <cell r="H918" t="str">
            <v>b1</v>
          </cell>
          <cell r="I918" t="str">
            <v>N1-b1</v>
          </cell>
          <cell r="J918">
            <v>11</v>
          </cell>
          <cell r="K918" t="str">
            <v>15</v>
          </cell>
        </row>
        <row r="919">
          <cell r="A919" t="str">
            <v>11-16</v>
          </cell>
          <cell r="B919">
            <v>656</v>
          </cell>
          <cell r="C919" t="str">
            <v>C1.DK.11.16</v>
          </cell>
          <cell r="D919" t="str">
            <v>DK</v>
          </cell>
          <cell r="E919" t="str">
            <v>G-193</v>
          </cell>
          <cell r="F919" t="str">
            <v>DK124</v>
          </cell>
          <cell r="G919" t="str">
            <v>N1</v>
          </cell>
          <cell r="H919" t="str">
            <v>b1</v>
          </cell>
          <cell r="I919" t="str">
            <v>N1-b1</v>
          </cell>
          <cell r="J919">
            <v>11</v>
          </cell>
          <cell r="K919" t="str">
            <v>16</v>
          </cell>
        </row>
        <row r="920">
          <cell r="A920" t="str">
            <v>11-17</v>
          </cell>
          <cell r="B920">
            <v>657</v>
          </cell>
          <cell r="C920" t="str">
            <v>C1.DK.11.17</v>
          </cell>
          <cell r="D920" t="str">
            <v>DK</v>
          </cell>
          <cell r="E920" t="str">
            <v>G-171</v>
          </cell>
          <cell r="F920" t="str">
            <v>DK082</v>
          </cell>
          <cell r="G920" t="str">
            <v>N1</v>
          </cell>
          <cell r="H920" t="str">
            <v>b1</v>
          </cell>
          <cell r="I920" t="str">
            <v>N1-b1</v>
          </cell>
          <cell r="J920">
            <v>11</v>
          </cell>
          <cell r="K920" t="str">
            <v>17</v>
          </cell>
        </row>
        <row r="921">
          <cell r="A921" t="str">
            <v>11-18</v>
          </cell>
          <cell r="B921">
            <v>658</v>
          </cell>
          <cell r="C921" t="str">
            <v>C1.DK.11.18</v>
          </cell>
          <cell r="D921" t="str">
            <v>DK</v>
          </cell>
          <cell r="E921" t="str">
            <v>G-146</v>
          </cell>
          <cell r="F921" t="str">
            <v>DK038</v>
          </cell>
          <cell r="G921" t="str">
            <v>N1</v>
          </cell>
          <cell r="H921" t="str">
            <v>b1</v>
          </cell>
          <cell r="I921" t="str">
            <v>N1-b1</v>
          </cell>
          <cell r="J921">
            <v>11</v>
          </cell>
          <cell r="K921" t="str">
            <v>18</v>
          </cell>
        </row>
        <row r="922">
          <cell r="A922" t="str">
            <v>11-19</v>
          </cell>
          <cell r="B922">
            <v>659</v>
          </cell>
          <cell r="C922" t="str">
            <v>C1.DK.11.19</v>
          </cell>
          <cell r="D922" t="str">
            <v>DK</v>
          </cell>
          <cell r="E922" t="str">
            <v>G-204</v>
          </cell>
          <cell r="F922" t="str">
            <v>DK146</v>
          </cell>
          <cell r="G922" t="str">
            <v>N1</v>
          </cell>
          <cell r="H922" t="str">
            <v>b1</v>
          </cell>
          <cell r="I922" t="str">
            <v>N1-b1</v>
          </cell>
          <cell r="J922">
            <v>11</v>
          </cell>
          <cell r="K922" t="str">
            <v>19</v>
          </cell>
        </row>
        <row r="923">
          <cell r="A923" t="str">
            <v>11-20</v>
          </cell>
          <cell r="B923">
            <v>660</v>
          </cell>
          <cell r="C923" t="str">
            <v>C1.DK.11.20</v>
          </cell>
          <cell r="D923" t="str">
            <v>DK</v>
          </cell>
          <cell r="E923" t="str">
            <v>G-135</v>
          </cell>
          <cell r="F923" t="str">
            <v>DK018</v>
          </cell>
          <cell r="G923" t="str">
            <v>N1</v>
          </cell>
          <cell r="H923" t="str">
            <v>b1</v>
          </cell>
          <cell r="I923" t="str">
            <v>N1-b1</v>
          </cell>
          <cell r="J923">
            <v>11</v>
          </cell>
          <cell r="K923" t="str">
            <v>20</v>
          </cell>
        </row>
        <row r="924">
          <cell r="A924" t="str">
            <v>11-21</v>
          </cell>
          <cell r="B924">
            <v>661</v>
          </cell>
          <cell r="C924" t="str">
            <v>C1.DK.11.21</v>
          </cell>
          <cell r="D924" t="str">
            <v>DK</v>
          </cell>
          <cell r="E924" t="str">
            <v>G-129</v>
          </cell>
          <cell r="F924" t="str">
            <v>DK008</v>
          </cell>
          <cell r="G924" t="str">
            <v>N1</v>
          </cell>
          <cell r="H924" t="str">
            <v>b1</v>
          </cell>
          <cell r="I924" t="str">
            <v>N1-b1</v>
          </cell>
          <cell r="J924">
            <v>11</v>
          </cell>
          <cell r="K924" t="str">
            <v>21</v>
          </cell>
        </row>
        <row r="925">
          <cell r="A925" t="str">
            <v>11-22</v>
          </cell>
          <cell r="B925">
            <v>662</v>
          </cell>
          <cell r="C925" t="str">
            <v>C1.DK.11.22</v>
          </cell>
          <cell r="D925" t="str">
            <v>DK</v>
          </cell>
          <cell r="E925" t="str">
            <v>G-216</v>
          </cell>
          <cell r="F925" t="str">
            <v>C-California2</v>
          </cell>
          <cell r="G925" t="str">
            <v>N1</v>
          </cell>
          <cell r="H925" t="str">
            <v>b1</v>
          </cell>
          <cell r="I925" t="str">
            <v>N1-b1</v>
          </cell>
          <cell r="J925">
            <v>11</v>
          </cell>
          <cell r="K925" t="str">
            <v>22</v>
          </cell>
        </row>
        <row r="926">
          <cell r="A926" t="str">
            <v>11-23</v>
          </cell>
          <cell r="B926">
            <v>663</v>
          </cell>
          <cell r="C926" t="str">
            <v>C1.DK.11.23</v>
          </cell>
          <cell r="D926" t="str">
            <v>DK</v>
          </cell>
          <cell r="E926" t="str">
            <v>G-178</v>
          </cell>
          <cell r="F926" t="str">
            <v>DK095</v>
          </cell>
          <cell r="G926" t="str">
            <v>N1</v>
          </cell>
          <cell r="H926" t="str">
            <v>b1</v>
          </cell>
          <cell r="I926" t="str">
            <v>N1-b1</v>
          </cell>
          <cell r="J926">
            <v>11</v>
          </cell>
          <cell r="K926" t="str">
            <v>23</v>
          </cell>
        </row>
        <row r="927">
          <cell r="A927" t="str">
            <v>11-24</v>
          </cell>
          <cell r="B927">
            <v>664</v>
          </cell>
          <cell r="C927" t="str">
            <v>C1.DK.11.24</v>
          </cell>
          <cell r="D927" t="str">
            <v>DK</v>
          </cell>
          <cell r="E927" t="str">
            <v>G-170</v>
          </cell>
          <cell r="F927" t="str">
            <v>DK081</v>
          </cell>
          <cell r="G927" t="str">
            <v>N1</v>
          </cell>
          <cell r="H927" t="str">
            <v>b1</v>
          </cell>
          <cell r="I927" t="str">
            <v>N1-b1</v>
          </cell>
          <cell r="J927">
            <v>11</v>
          </cell>
          <cell r="K927" t="str">
            <v>24</v>
          </cell>
        </row>
        <row r="928">
          <cell r="A928" t="str">
            <v>11-25</v>
          </cell>
          <cell r="B928">
            <v>665</v>
          </cell>
          <cell r="C928" t="str">
            <v>C1.DK.11.25</v>
          </cell>
          <cell r="D928" t="str">
            <v>DK</v>
          </cell>
          <cell r="E928" t="str">
            <v>G-197</v>
          </cell>
          <cell r="F928" t="str">
            <v>DK137</v>
          </cell>
          <cell r="G928" t="str">
            <v>N1</v>
          </cell>
          <cell r="H928" t="str">
            <v>b1</v>
          </cell>
          <cell r="I928" t="str">
            <v>N1-b1</v>
          </cell>
          <cell r="J928">
            <v>11</v>
          </cell>
          <cell r="K928" t="str">
            <v>25</v>
          </cell>
        </row>
        <row r="929">
          <cell r="A929" t="str">
            <v>11-26</v>
          </cell>
          <cell r="B929">
            <v>666</v>
          </cell>
          <cell r="C929" t="str">
            <v>C1.DK.11.26</v>
          </cell>
          <cell r="D929" t="str">
            <v>DK</v>
          </cell>
          <cell r="E929" t="str">
            <v>G-137</v>
          </cell>
          <cell r="F929" t="str">
            <v>DK021</v>
          </cell>
          <cell r="G929" t="str">
            <v>N1</v>
          </cell>
          <cell r="H929" t="str">
            <v>b1</v>
          </cell>
          <cell r="I929" t="str">
            <v>N1-b1</v>
          </cell>
          <cell r="J929">
            <v>11</v>
          </cell>
          <cell r="K929" t="str">
            <v>26</v>
          </cell>
        </row>
        <row r="930">
          <cell r="A930" t="str">
            <v>11-27</v>
          </cell>
          <cell r="B930">
            <v>667</v>
          </cell>
          <cell r="C930" t="str">
            <v>C1.DK.11.27</v>
          </cell>
          <cell r="D930" t="str">
            <v>DK</v>
          </cell>
          <cell r="E930" t="str">
            <v>G-212</v>
          </cell>
          <cell r="F930" t="str">
            <v>Kurander2</v>
          </cell>
          <cell r="G930" t="str">
            <v>N1</v>
          </cell>
          <cell r="H930" t="str">
            <v>b1</v>
          </cell>
          <cell r="I930" t="str">
            <v>N1-b1</v>
          </cell>
          <cell r="J930">
            <v>11</v>
          </cell>
          <cell r="K930" t="str">
            <v>27</v>
          </cell>
        </row>
        <row r="931">
          <cell r="A931" t="str">
            <v>11-28</v>
          </cell>
          <cell r="B931">
            <v>668</v>
          </cell>
          <cell r="C931" t="str">
            <v>C1.DK.11.28</v>
          </cell>
          <cell r="D931" t="str">
            <v>DK</v>
          </cell>
          <cell r="E931" t="str">
            <v>G-163</v>
          </cell>
          <cell r="F931" t="str">
            <v>DK068</v>
          </cell>
          <cell r="G931" t="str">
            <v>N1</v>
          </cell>
          <cell r="H931" t="str">
            <v>b1</v>
          </cell>
          <cell r="I931" t="str">
            <v>N1-b1</v>
          </cell>
          <cell r="J931">
            <v>11</v>
          </cell>
          <cell r="K931" t="str">
            <v>28</v>
          </cell>
        </row>
        <row r="932">
          <cell r="A932" t="str">
            <v>11-29</v>
          </cell>
          <cell r="B932">
            <v>669</v>
          </cell>
          <cell r="C932" t="str">
            <v>C1.DK.11.29</v>
          </cell>
          <cell r="D932" t="str">
            <v>DK</v>
          </cell>
          <cell r="E932" t="str">
            <v>G-181</v>
          </cell>
          <cell r="F932" t="str">
            <v>DK101</v>
          </cell>
          <cell r="G932" t="str">
            <v>N1</v>
          </cell>
          <cell r="H932" t="str">
            <v>b1</v>
          </cell>
          <cell r="I932" t="str">
            <v>N1-b1</v>
          </cell>
          <cell r="J932">
            <v>11</v>
          </cell>
          <cell r="K932" t="str">
            <v>29</v>
          </cell>
        </row>
        <row r="933">
          <cell r="A933" t="str">
            <v>11-30</v>
          </cell>
          <cell r="B933">
            <v>670</v>
          </cell>
          <cell r="C933" t="str">
            <v>C1.DK.11.30</v>
          </cell>
          <cell r="D933" t="str">
            <v>DK</v>
          </cell>
          <cell r="E933" t="str">
            <v>G-127</v>
          </cell>
          <cell r="F933" t="str">
            <v>DK001</v>
          </cell>
          <cell r="G933" t="str">
            <v>N1</v>
          </cell>
          <cell r="H933" t="str">
            <v>b1</v>
          </cell>
          <cell r="I933" t="str">
            <v>N1-b1</v>
          </cell>
          <cell r="J933">
            <v>11</v>
          </cell>
          <cell r="K933" t="str">
            <v>30</v>
          </cell>
        </row>
        <row r="934">
          <cell r="A934" t="str">
            <v>11-31</v>
          </cell>
          <cell r="B934">
            <v>671</v>
          </cell>
          <cell r="C934" t="str">
            <v>C1.DK.11.31</v>
          </cell>
          <cell r="D934" t="str">
            <v>DK</v>
          </cell>
          <cell r="E934" t="str">
            <v>G-156</v>
          </cell>
          <cell r="F934" t="str">
            <v>DK055</v>
          </cell>
          <cell r="G934" t="str">
            <v>N1</v>
          </cell>
          <cell r="H934" t="str">
            <v>b1</v>
          </cell>
          <cell r="I934" t="str">
            <v>N1-b1</v>
          </cell>
          <cell r="J934">
            <v>11</v>
          </cell>
          <cell r="K934" t="str">
            <v>31</v>
          </cell>
        </row>
        <row r="935">
          <cell r="A935" t="str">
            <v>11-32</v>
          </cell>
          <cell r="B935">
            <v>672</v>
          </cell>
          <cell r="C935" t="str">
            <v>C1.DK.11.32</v>
          </cell>
          <cell r="D935" t="str">
            <v>DK</v>
          </cell>
          <cell r="E935" t="str">
            <v>G-144</v>
          </cell>
          <cell r="F935" t="str">
            <v>DK036</v>
          </cell>
          <cell r="G935" t="str">
            <v>N1</v>
          </cell>
          <cell r="H935" t="str">
            <v>b1</v>
          </cell>
          <cell r="I935" t="str">
            <v>N1-b1</v>
          </cell>
          <cell r="J935">
            <v>11</v>
          </cell>
          <cell r="K935" t="str">
            <v>32</v>
          </cell>
        </row>
        <row r="936">
          <cell r="A936" t="str">
            <v>11-33</v>
          </cell>
          <cell r="B936">
            <v>673</v>
          </cell>
          <cell r="C936" t="str">
            <v>C1.DK.11.33</v>
          </cell>
          <cell r="D936" t="str">
            <v>DK</v>
          </cell>
          <cell r="E936" t="str">
            <v>G-131</v>
          </cell>
          <cell r="F936" t="str">
            <v>DK012</v>
          </cell>
          <cell r="G936" t="str">
            <v>N2</v>
          </cell>
          <cell r="H936" t="str">
            <v>b1</v>
          </cell>
          <cell r="I936" t="str">
            <v>N2-b1</v>
          </cell>
          <cell r="J936">
            <v>11</v>
          </cell>
          <cell r="K936" t="str">
            <v>33</v>
          </cell>
        </row>
        <row r="937">
          <cell r="A937" t="str">
            <v>11-34</v>
          </cell>
          <cell r="B937">
            <v>674</v>
          </cell>
          <cell r="C937" t="str">
            <v>C1.DK.11.34</v>
          </cell>
          <cell r="D937" t="str">
            <v>DK</v>
          </cell>
          <cell r="E937" t="str">
            <v>G-141</v>
          </cell>
          <cell r="F937" t="str">
            <v>DK030</v>
          </cell>
          <cell r="G937" t="str">
            <v>N2</v>
          </cell>
          <cell r="H937" t="str">
            <v>b1</v>
          </cell>
          <cell r="I937" t="str">
            <v>N2-b1</v>
          </cell>
          <cell r="J937">
            <v>11</v>
          </cell>
          <cell r="K937" t="str">
            <v>34</v>
          </cell>
        </row>
        <row r="938">
          <cell r="A938" t="str">
            <v>11-35</v>
          </cell>
          <cell r="B938">
            <v>675</v>
          </cell>
          <cell r="C938" t="str">
            <v>C1.DK.11.35</v>
          </cell>
          <cell r="D938" t="str">
            <v>DK</v>
          </cell>
          <cell r="E938" t="str">
            <v>G-148</v>
          </cell>
          <cell r="F938" t="str">
            <v>DK041</v>
          </cell>
          <cell r="G938" t="str">
            <v>N2</v>
          </cell>
          <cell r="H938" t="str">
            <v>b1</v>
          </cell>
          <cell r="I938" t="str">
            <v>N2-b1</v>
          </cell>
          <cell r="J938">
            <v>11</v>
          </cell>
          <cell r="K938" t="str">
            <v>35</v>
          </cell>
        </row>
        <row r="939">
          <cell r="A939" t="str">
            <v>11-36</v>
          </cell>
          <cell r="B939">
            <v>676</v>
          </cell>
          <cell r="C939" t="str">
            <v>C1.DK.11.36</v>
          </cell>
          <cell r="D939" t="str">
            <v>DK</v>
          </cell>
          <cell r="E939" t="str">
            <v>G-180</v>
          </cell>
          <cell r="F939" t="str">
            <v>DK098</v>
          </cell>
          <cell r="G939" t="str">
            <v>N2</v>
          </cell>
          <cell r="H939" t="str">
            <v>b1</v>
          </cell>
          <cell r="I939" t="str">
            <v>N2-b1</v>
          </cell>
          <cell r="J939">
            <v>11</v>
          </cell>
          <cell r="K939" t="str">
            <v>36</v>
          </cell>
        </row>
        <row r="940">
          <cell r="A940" t="str">
            <v>11-37</v>
          </cell>
          <cell r="B940">
            <v>677</v>
          </cell>
          <cell r="C940" t="str">
            <v>C1.DK.11.37</v>
          </cell>
          <cell r="D940" t="str">
            <v>DK</v>
          </cell>
          <cell r="E940" t="str">
            <v>G-143</v>
          </cell>
          <cell r="F940" t="str">
            <v>DK035</v>
          </cell>
          <cell r="G940" t="str">
            <v>N2</v>
          </cell>
          <cell r="H940" t="str">
            <v>b1</v>
          </cell>
          <cell r="I940" t="str">
            <v>N2-b1</v>
          </cell>
          <cell r="J940">
            <v>11</v>
          </cell>
          <cell r="K940" t="str">
            <v>37</v>
          </cell>
        </row>
        <row r="941">
          <cell r="A941" t="str">
            <v>11-38</v>
          </cell>
          <cell r="B941">
            <v>678</v>
          </cell>
          <cell r="C941" t="str">
            <v>C1.DK.11.38</v>
          </cell>
          <cell r="D941" t="str">
            <v>DK</v>
          </cell>
          <cell r="E941" t="str">
            <v>G-190</v>
          </cell>
          <cell r="F941" t="str">
            <v>DK117</v>
          </cell>
          <cell r="G941" t="str">
            <v>N2</v>
          </cell>
          <cell r="H941" t="str">
            <v>b1</v>
          </cell>
          <cell r="I941" t="str">
            <v>N2-b1</v>
          </cell>
          <cell r="J941">
            <v>11</v>
          </cell>
          <cell r="K941" t="str">
            <v>38</v>
          </cell>
        </row>
        <row r="942">
          <cell r="A942" t="str">
            <v>11-39</v>
          </cell>
          <cell r="B942">
            <v>679</v>
          </cell>
          <cell r="C942" t="str">
            <v>C1.DK.11.39</v>
          </cell>
          <cell r="D942" t="str">
            <v>DK</v>
          </cell>
          <cell r="E942" t="str">
            <v>G-158</v>
          </cell>
          <cell r="F942" t="str">
            <v>DK058</v>
          </cell>
          <cell r="G942" t="str">
            <v>N2</v>
          </cell>
          <cell r="H942" t="str">
            <v>b1</v>
          </cell>
          <cell r="I942" t="str">
            <v>N2-b1</v>
          </cell>
          <cell r="J942">
            <v>11</v>
          </cell>
          <cell r="K942" t="str">
            <v>39</v>
          </cell>
        </row>
        <row r="943">
          <cell r="A943" t="str">
            <v>11-40</v>
          </cell>
          <cell r="B943">
            <v>680</v>
          </cell>
          <cell r="C943" t="str">
            <v>C1.DK.11.40</v>
          </cell>
          <cell r="D943" t="str">
            <v>DK</v>
          </cell>
          <cell r="E943" t="str">
            <v>G-187</v>
          </cell>
          <cell r="F943" t="str">
            <v>DK112</v>
          </cell>
          <cell r="G943" t="str">
            <v>N2</v>
          </cell>
          <cell r="H943" t="str">
            <v>b1</v>
          </cell>
          <cell r="I943" t="str">
            <v>N2-b1</v>
          </cell>
          <cell r="J943">
            <v>11</v>
          </cell>
          <cell r="K943" t="str">
            <v>40</v>
          </cell>
        </row>
        <row r="944">
          <cell r="A944" t="str">
            <v>11-41</v>
          </cell>
          <cell r="B944">
            <v>681</v>
          </cell>
          <cell r="C944" t="str">
            <v>C1.DK.11.41</v>
          </cell>
          <cell r="D944" t="str">
            <v>DK</v>
          </cell>
          <cell r="E944" t="str">
            <v>G-128</v>
          </cell>
          <cell r="F944" t="str">
            <v>DK007</v>
          </cell>
          <cell r="G944" t="str">
            <v>N2</v>
          </cell>
          <cell r="H944" t="str">
            <v>b1</v>
          </cell>
          <cell r="I944" t="str">
            <v>N2-b1</v>
          </cell>
          <cell r="J944">
            <v>11</v>
          </cell>
          <cell r="K944" t="str">
            <v>41</v>
          </cell>
        </row>
        <row r="945">
          <cell r="A945" t="str">
            <v>11-42</v>
          </cell>
          <cell r="B945">
            <v>682</v>
          </cell>
          <cell r="C945" t="str">
            <v>C1.DK.11.42</v>
          </cell>
          <cell r="D945" t="str">
            <v>DK</v>
          </cell>
          <cell r="E945" t="str">
            <v>G-178</v>
          </cell>
          <cell r="F945" t="str">
            <v>DK095</v>
          </cell>
          <cell r="G945" t="str">
            <v>N2</v>
          </cell>
          <cell r="H945" t="str">
            <v>b1</v>
          </cell>
          <cell r="I945" t="str">
            <v>N2-b1</v>
          </cell>
          <cell r="J945">
            <v>11</v>
          </cell>
          <cell r="K945" t="str">
            <v>42</v>
          </cell>
        </row>
        <row r="946">
          <cell r="A946" t="str">
            <v>11-43</v>
          </cell>
          <cell r="B946">
            <v>683</v>
          </cell>
          <cell r="C946" t="str">
            <v>C1.DK.11.43</v>
          </cell>
          <cell r="D946" t="str">
            <v>DK</v>
          </cell>
          <cell r="E946" t="str">
            <v>G-212</v>
          </cell>
          <cell r="F946" t="str">
            <v>Kurander2</v>
          </cell>
          <cell r="G946" t="str">
            <v>N2</v>
          </cell>
          <cell r="H946" t="str">
            <v>b1</v>
          </cell>
          <cell r="I946" t="str">
            <v>N2-b1</v>
          </cell>
          <cell r="J946">
            <v>11</v>
          </cell>
          <cell r="K946" t="str">
            <v>43</v>
          </cell>
        </row>
        <row r="947">
          <cell r="A947" t="str">
            <v>11-44</v>
          </cell>
          <cell r="B947">
            <v>684</v>
          </cell>
          <cell r="C947" t="str">
            <v>C1.DK.11.44</v>
          </cell>
          <cell r="D947" t="str">
            <v>DK</v>
          </cell>
          <cell r="E947" t="str">
            <v>G-135</v>
          </cell>
          <cell r="F947" t="str">
            <v>DK018</v>
          </cell>
          <cell r="G947" t="str">
            <v>N2</v>
          </cell>
          <cell r="H947" t="str">
            <v>b1</v>
          </cell>
          <cell r="I947" t="str">
            <v>N2-b1</v>
          </cell>
          <cell r="J947">
            <v>11</v>
          </cell>
          <cell r="K947" t="str">
            <v>44</v>
          </cell>
        </row>
        <row r="948">
          <cell r="A948" t="str">
            <v>11-45</v>
          </cell>
          <cell r="B948">
            <v>685</v>
          </cell>
          <cell r="C948" t="str">
            <v>C1.DK.11.45</v>
          </cell>
          <cell r="D948" t="str">
            <v>DK</v>
          </cell>
          <cell r="E948" t="str">
            <v>G-140</v>
          </cell>
          <cell r="F948" t="str">
            <v>DK029</v>
          </cell>
          <cell r="G948" t="str">
            <v>N2</v>
          </cell>
          <cell r="H948" t="str">
            <v>b1</v>
          </cell>
          <cell r="I948" t="str">
            <v>N2-b1</v>
          </cell>
          <cell r="J948">
            <v>11</v>
          </cell>
          <cell r="K948" t="str">
            <v>45</v>
          </cell>
        </row>
        <row r="949">
          <cell r="A949" t="str">
            <v>11-46</v>
          </cell>
          <cell r="B949">
            <v>686</v>
          </cell>
          <cell r="C949" t="str">
            <v>C1.DK.11.46</v>
          </cell>
          <cell r="D949" t="str">
            <v>DK</v>
          </cell>
          <cell r="E949" t="str">
            <v>G-208</v>
          </cell>
          <cell r="F949" t="str">
            <v>DK152</v>
          </cell>
          <cell r="G949" t="str">
            <v>N2</v>
          </cell>
          <cell r="H949" t="str">
            <v>b1</v>
          </cell>
          <cell r="I949" t="str">
            <v>N2-b1</v>
          </cell>
          <cell r="J949">
            <v>11</v>
          </cell>
          <cell r="K949" t="str">
            <v>46</v>
          </cell>
        </row>
        <row r="950">
          <cell r="A950" t="str">
            <v>11-47</v>
          </cell>
          <cell r="B950">
            <v>687</v>
          </cell>
          <cell r="C950" t="str">
            <v>C1.DK.11.47</v>
          </cell>
          <cell r="D950" t="str">
            <v>DK</v>
          </cell>
          <cell r="E950" t="str">
            <v>G-211</v>
          </cell>
          <cell r="F950" t="str">
            <v>Colvert2</v>
          </cell>
          <cell r="G950" t="str">
            <v>N2</v>
          </cell>
          <cell r="H950" t="str">
            <v>b1</v>
          </cell>
          <cell r="I950" t="str">
            <v>N2-b1</v>
          </cell>
          <cell r="J950">
            <v>11</v>
          </cell>
          <cell r="K950" t="str">
            <v>47</v>
          </cell>
        </row>
        <row r="951">
          <cell r="A951" t="str">
            <v>11-48</v>
          </cell>
          <cell r="B951">
            <v>688</v>
          </cell>
          <cell r="C951" t="str">
            <v>C1.DK.11.48</v>
          </cell>
          <cell r="D951" t="str">
            <v>DK</v>
          </cell>
          <cell r="E951" t="str">
            <v>G-177</v>
          </cell>
          <cell r="F951" t="str">
            <v>DK094</v>
          </cell>
          <cell r="G951" t="str">
            <v>N2</v>
          </cell>
          <cell r="H951" t="str">
            <v>b1</v>
          </cell>
          <cell r="I951" t="str">
            <v>N2-b1</v>
          </cell>
          <cell r="J951">
            <v>11</v>
          </cell>
          <cell r="K951" t="str">
            <v>48</v>
          </cell>
        </row>
        <row r="952">
          <cell r="A952" t="str">
            <v>11-49</v>
          </cell>
          <cell r="B952">
            <v>689</v>
          </cell>
          <cell r="C952" t="str">
            <v>C1.DK.11.49</v>
          </cell>
          <cell r="D952" t="str">
            <v>DK</v>
          </cell>
          <cell r="E952" t="str">
            <v>G-181</v>
          </cell>
          <cell r="F952" t="str">
            <v>DK101</v>
          </cell>
          <cell r="G952" t="str">
            <v>N2</v>
          </cell>
          <cell r="H952" t="str">
            <v>b1</v>
          </cell>
          <cell r="I952" t="str">
            <v>N2-b1</v>
          </cell>
          <cell r="J952">
            <v>11</v>
          </cell>
          <cell r="K952" t="str">
            <v>49</v>
          </cell>
        </row>
        <row r="953">
          <cell r="A953" t="str">
            <v>11-50</v>
          </cell>
          <cell r="B953">
            <v>690</v>
          </cell>
          <cell r="C953" t="str">
            <v>C1.DK.11.50</v>
          </cell>
          <cell r="D953" t="str">
            <v>DK</v>
          </cell>
          <cell r="E953" t="str">
            <v>G-133</v>
          </cell>
          <cell r="F953" t="str">
            <v>DK016</v>
          </cell>
          <cell r="G953" t="str">
            <v>N2</v>
          </cell>
          <cell r="H953" t="str">
            <v>b1</v>
          </cell>
          <cell r="I953" t="str">
            <v>N2-b1</v>
          </cell>
          <cell r="J953">
            <v>11</v>
          </cell>
          <cell r="K953" t="str">
            <v>50</v>
          </cell>
        </row>
        <row r="954">
          <cell r="A954" t="str">
            <v>11-51</v>
          </cell>
          <cell r="B954">
            <v>691</v>
          </cell>
          <cell r="C954" t="str">
            <v>C1.DK.11.51</v>
          </cell>
          <cell r="D954" t="str">
            <v>DK</v>
          </cell>
          <cell r="E954" t="str">
            <v>G-188</v>
          </cell>
          <cell r="F954" t="str">
            <v>DK113</v>
          </cell>
          <cell r="G954" t="str">
            <v>N2</v>
          </cell>
          <cell r="H954" t="str">
            <v>b1</v>
          </cell>
          <cell r="I954" t="str">
            <v>N2-b1</v>
          </cell>
          <cell r="J954">
            <v>11</v>
          </cell>
          <cell r="K954" t="str">
            <v>51</v>
          </cell>
        </row>
        <row r="955">
          <cell r="A955" t="str">
            <v>11-52</v>
          </cell>
          <cell r="B955">
            <v>692</v>
          </cell>
          <cell r="C955" t="str">
            <v>C1.DK.11.52</v>
          </cell>
          <cell r="D955" t="str">
            <v>DK</v>
          </cell>
          <cell r="E955" t="str">
            <v>G-152</v>
          </cell>
          <cell r="F955" t="str">
            <v>DK046</v>
          </cell>
          <cell r="G955" t="str">
            <v>N2</v>
          </cell>
          <cell r="H955" t="str">
            <v>b1</v>
          </cell>
          <cell r="I955" t="str">
            <v>N2-b1</v>
          </cell>
          <cell r="J955">
            <v>11</v>
          </cell>
          <cell r="K955" t="str">
            <v>52</v>
          </cell>
        </row>
        <row r="956">
          <cell r="A956" t="str">
            <v>11-53</v>
          </cell>
          <cell r="B956">
            <v>693</v>
          </cell>
          <cell r="C956" t="str">
            <v>C1.DK.11.53</v>
          </cell>
          <cell r="D956" t="str">
            <v>DK</v>
          </cell>
          <cell r="E956" t="str">
            <v>G-156</v>
          </cell>
          <cell r="F956" t="str">
            <v>DK055</v>
          </cell>
          <cell r="G956" t="str">
            <v>N2</v>
          </cell>
          <cell r="H956" t="str">
            <v>b1</v>
          </cell>
          <cell r="I956" t="str">
            <v>N2-b1</v>
          </cell>
          <cell r="J956">
            <v>11</v>
          </cell>
          <cell r="K956" t="str">
            <v>53</v>
          </cell>
        </row>
        <row r="957">
          <cell r="A957" t="str">
            <v>11-54</v>
          </cell>
          <cell r="B957">
            <v>694</v>
          </cell>
          <cell r="C957" t="str">
            <v>C1.DK.11.54</v>
          </cell>
          <cell r="D957" t="str">
            <v>DK</v>
          </cell>
          <cell r="E957" t="str">
            <v>G-184</v>
          </cell>
          <cell r="F957" t="str">
            <v>DK108</v>
          </cell>
          <cell r="G957" t="str">
            <v>N2</v>
          </cell>
          <cell r="H957" t="str">
            <v>b1</v>
          </cell>
          <cell r="I957" t="str">
            <v>N2-b1</v>
          </cell>
          <cell r="J957">
            <v>11</v>
          </cell>
          <cell r="K957" t="str">
            <v>54</v>
          </cell>
        </row>
        <row r="958">
          <cell r="A958" t="str">
            <v>11-55</v>
          </cell>
          <cell r="B958">
            <v>695</v>
          </cell>
          <cell r="C958" t="str">
            <v>C1.DK.11.55</v>
          </cell>
          <cell r="D958" t="str">
            <v>DK</v>
          </cell>
          <cell r="E958" t="str">
            <v>G-130</v>
          </cell>
          <cell r="F958" t="str">
            <v>DK011</v>
          </cell>
          <cell r="G958" t="str">
            <v>N2</v>
          </cell>
          <cell r="H958" t="str">
            <v>b1</v>
          </cell>
          <cell r="I958" t="str">
            <v>N2-b1</v>
          </cell>
          <cell r="J958">
            <v>11</v>
          </cell>
          <cell r="K958" t="str">
            <v>55</v>
          </cell>
        </row>
        <row r="959">
          <cell r="A959" t="str">
            <v>11-56</v>
          </cell>
          <cell r="B959">
            <v>696</v>
          </cell>
          <cell r="C959" t="str">
            <v>C1.DK.11.56</v>
          </cell>
          <cell r="D959" t="str">
            <v>DK</v>
          </cell>
          <cell r="E959" t="str">
            <v>G-125</v>
          </cell>
          <cell r="F959" t="str">
            <v>Tenor</v>
          </cell>
          <cell r="G959" t="str">
            <v>N2</v>
          </cell>
          <cell r="H959" t="str">
            <v>b1</v>
          </cell>
          <cell r="I959" t="str">
            <v>N2-b1</v>
          </cell>
          <cell r="J959">
            <v>11</v>
          </cell>
          <cell r="K959" t="str">
            <v>56</v>
          </cell>
        </row>
        <row r="960">
          <cell r="A960" t="str">
            <v>11-57</v>
          </cell>
          <cell r="B960">
            <v>697</v>
          </cell>
          <cell r="C960" t="str">
            <v>C1.DK.11.57</v>
          </cell>
          <cell r="D960" t="str">
            <v>DK</v>
          </cell>
          <cell r="E960" t="str">
            <v>G-198</v>
          </cell>
          <cell r="F960" t="str">
            <v>DK138</v>
          </cell>
          <cell r="G960" t="str">
            <v>N2</v>
          </cell>
          <cell r="H960" t="str">
            <v>b1</v>
          </cell>
          <cell r="I960" t="str">
            <v>N2-b1</v>
          </cell>
          <cell r="J960">
            <v>11</v>
          </cell>
          <cell r="K960" t="str">
            <v>57</v>
          </cell>
        </row>
        <row r="961">
          <cell r="A961" t="str">
            <v>11-58</v>
          </cell>
          <cell r="B961">
            <v>698</v>
          </cell>
          <cell r="C961" t="str">
            <v>C1.DK.11.58</v>
          </cell>
          <cell r="D961" t="str">
            <v>DK</v>
          </cell>
          <cell r="E961" t="str">
            <v>G-200</v>
          </cell>
          <cell r="F961" t="str">
            <v>DK142</v>
          </cell>
          <cell r="G961" t="str">
            <v>N2</v>
          </cell>
          <cell r="H961" t="str">
            <v>b1</v>
          </cell>
          <cell r="I961" t="str">
            <v>N2-b1</v>
          </cell>
          <cell r="J961">
            <v>11</v>
          </cell>
          <cell r="K961" t="str">
            <v>58</v>
          </cell>
        </row>
        <row r="962">
          <cell r="A962" t="str">
            <v>11-59</v>
          </cell>
          <cell r="B962">
            <v>699</v>
          </cell>
          <cell r="C962" t="str">
            <v>C1.DK.11.59</v>
          </cell>
          <cell r="D962" t="str">
            <v>DK</v>
          </cell>
          <cell r="E962" t="str">
            <v>G-202</v>
          </cell>
          <cell r="F962" t="str">
            <v>DK144</v>
          </cell>
          <cell r="G962" t="str">
            <v>N2</v>
          </cell>
          <cell r="H962" t="str">
            <v>b1</v>
          </cell>
          <cell r="I962" t="str">
            <v>N2-b1</v>
          </cell>
          <cell r="J962">
            <v>11</v>
          </cell>
          <cell r="K962" t="str">
            <v>59</v>
          </cell>
        </row>
        <row r="963">
          <cell r="A963" t="str">
            <v>11-60</v>
          </cell>
          <cell r="B963">
            <v>700</v>
          </cell>
          <cell r="C963" t="str">
            <v>C1.DK.11.60</v>
          </cell>
          <cell r="D963" t="str">
            <v>DK</v>
          </cell>
          <cell r="E963" t="str">
            <v>G-159</v>
          </cell>
          <cell r="F963" t="str">
            <v>DK061</v>
          </cell>
          <cell r="G963" t="str">
            <v>N2</v>
          </cell>
          <cell r="H963" t="str">
            <v>b1</v>
          </cell>
          <cell r="I963" t="str">
            <v>N2-b1</v>
          </cell>
          <cell r="J963">
            <v>11</v>
          </cell>
          <cell r="K963" t="str">
            <v>60</v>
          </cell>
        </row>
        <row r="964">
          <cell r="A964" t="str">
            <v>11-61</v>
          </cell>
          <cell r="B964">
            <v>701</v>
          </cell>
          <cell r="C964" t="str">
            <v>C1.DK.11.61</v>
          </cell>
          <cell r="D964" t="str">
            <v>DK</v>
          </cell>
          <cell r="E964" t="str">
            <v>G-209</v>
          </cell>
          <cell r="F964" t="str">
            <v>DK153</v>
          </cell>
          <cell r="G964" t="str">
            <v>N2</v>
          </cell>
          <cell r="H964" t="str">
            <v>b1</v>
          </cell>
          <cell r="I964" t="str">
            <v>N2-b1</v>
          </cell>
          <cell r="J964">
            <v>11</v>
          </cell>
          <cell r="K964" t="str">
            <v>61</v>
          </cell>
        </row>
        <row r="965">
          <cell r="A965" t="str">
            <v>11-62</v>
          </cell>
          <cell r="B965">
            <v>702</v>
          </cell>
          <cell r="C965" t="str">
            <v>C1.DK.11.62</v>
          </cell>
          <cell r="D965" t="str">
            <v>DK</v>
          </cell>
          <cell r="E965" t="str">
            <v>G-160</v>
          </cell>
          <cell r="F965" t="str">
            <v>DK063</v>
          </cell>
          <cell r="G965" t="str">
            <v>N2</v>
          </cell>
          <cell r="H965" t="str">
            <v>b1</v>
          </cell>
          <cell r="I965" t="str">
            <v>N2-b1</v>
          </cell>
          <cell r="J965">
            <v>11</v>
          </cell>
          <cell r="K965" t="str">
            <v>62</v>
          </cell>
        </row>
        <row r="966">
          <cell r="A966" t="str">
            <v>11-63</v>
          </cell>
          <cell r="B966">
            <v>703</v>
          </cell>
          <cell r="C966" t="str">
            <v>C1.DK.11.63</v>
          </cell>
          <cell r="D966" t="str">
            <v>DK</v>
          </cell>
          <cell r="E966" t="str">
            <v>G-192</v>
          </cell>
          <cell r="F966" t="str">
            <v>DK121</v>
          </cell>
          <cell r="G966" t="str">
            <v>N2</v>
          </cell>
          <cell r="H966" t="str">
            <v>b1</v>
          </cell>
          <cell r="I966" t="str">
            <v>N2-b1</v>
          </cell>
          <cell r="J966">
            <v>11</v>
          </cell>
          <cell r="K966" t="str">
            <v>63</v>
          </cell>
        </row>
        <row r="967">
          <cell r="A967" t="str">
            <v>11-64</v>
          </cell>
          <cell r="B967">
            <v>704</v>
          </cell>
          <cell r="C967" t="str">
            <v>C1.DK.11.64</v>
          </cell>
          <cell r="D967" t="str">
            <v>DK</v>
          </cell>
          <cell r="E967" t="str">
            <v>G-179</v>
          </cell>
          <cell r="F967" t="str">
            <v>DK096</v>
          </cell>
          <cell r="G967" t="str">
            <v>N2</v>
          </cell>
          <cell r="H967" t="str">
            <v>b1</v>
          </cell>
          <cell r="I967" t="str">
            <v>N2-b1</v>
          </cell>
          <cell r="J967">
            <v>11</v>
          </cell>
          <cell r="K967" t="str">
            <v>64</v>
          </cell>
        </row>
        <row r="968">
          <cell r="A968" t="str">
            <v>12-01</v>
          </cell>
          <cell r="B968">
            <v>705</v>
          </cell>
          <cell r="C968" t="str">
            <v>C1.DK.12.01</v>
          </cell>
          <cell r="D968" t="str">
            <v>DK</v>
          </cell>
          <cell r="E968" t="str">
            <v>G-214</v>
          </cell>
          <cell r="F968" t="str">
            <v>Darmor2</v>
          </cell>
          <cell r="G968" t="str">
            <v>N1</v>
          </cell>
          <cell r="H968" t="str">
            <v>b2</v>
          </cell>
          <cell r="I968" t="str">
            <v>N1-b2</v>
          </cell>
          <cell r="J968">
            <v>12</v>
          </cell>
          <cell r="K968" t="str">
            <v>01</v>
          </cell>
        </row>
        <row r="969">
          <cell r="A969" t="str">
            <v>12-02</v>
          </cell>
          <cell r="B969">
            <v>706</v>
          </cell>
          <cell r="C969" t="str">
            <v>C1.DK.12.02</v>
          </cell>
          <cell r="D969" t="str">
            <v>DK</v>
          </cell>
          <cell r="E969" t="str">
            <v>G-126</v>
          </cell>
          <cell r="F969" t="str">
            <v>Express</v>
          </cell>
          <cell r="G969" t="str">
            <v>N1</v>
          </cell>
          <cell r="H969" t="str">
            <v>b2</v>
          </cell>
          <cell r="I969" t="str">
            <v>N1-b2</v>
          </cell>
          <cell r="J969">
            <v>12</v>
          </cell>
          <cell r="K969" t="str">
            <v>02</v>
          </cell>
        </row>
        <row r="970">
          <cell r="A970" t="str">
            <v>12-03</v>
          </cell>
          <cell r="B970">
            <v>707</v>
          </cell>
          <cell r="C970" t="str">
            <v>C1.DK.12.03</v>
          </cell>
          <cell r="D970" t="str">
            <v>DK</v>
          </cell>
          <cell r="E970" t="str">
            <v>G-184</v>
          </cell>
          <cell r="F970" t="str">
            <v>DK108</v>
          </cell>
          <cell r="G970" t="str">
            <v>N1</v>
          </cell>
          <cell r="H970" t="str">
            <v>b2</v>
          </cell>
          <cell r="I970" t="str">
            <v>N1-b2</v>
          </cell>
          <cell r="J970">
            <v>12</v>
          </cell>
          <cell r="K970" t="str">
            <v>03</v>
          </cell>
        </row>
        <row r="971">
          <cell r="A971" t="str">
            <v>12-04</v>
          </cell>
          <cell r="B971">
            <v>708</v>
          </cell>
          <cell r="C971" t="str">
            <v>C1.DK.12.04</v>
          </cell>
          <cell r="D971" t="str">
            <v>DK</v>
          </cell>
          <cell r="E971" t="str">
            <v>G-194</v>
          </cell>
          <cell r="F971" t="str">
            <v>DK128</v>
          </cell>
          <cell r="G971" t="str">
            <v>N1</v>
          </cell>
          <cell r="H971" t="str">
            <v>b2</v>
          </cell>
          <cell r="I971" t="str">
            <v>N1-b2</v>
          </cell>
          <cell r="J971">
            <v>12</v>
          </cell>
          <cell r="K971" t="str">
            <v>04</v>
          </cell>
        </row>
        <row r="972">
          <cell r="A972" t="str">
            <v>12-05</v>
          </cell>
          <cell r="B972">
            <v>709</v>
          </cell>
          <cell r="C972" t="str">
            <v>C1.DK.12.05</v>
          </cell>
          <cell r="D972" t="str">
            <v>DK</v>
          </cell>
          <cell r="E972" t="str">
            <v>G-166</v>
          </cell>
          <cell r="F972" t="str">
            <v>DK074</v>
          </cell>
          <cell r="G972" t="str">
            <v>N1</v>
          </cell>
          <cell r="H972" t="str">
            <v>b2</v>
          </cell>
          <cell r="I972" t="str">
            <v>N1-b2</v>
          </cell>
          <cell r="J972">
            <v>12</v>
          </cell>
          <cell r="K972" t="str">
            <v>05</v>
          </cell>
        </row>
        <row r="973">
          <cell r="A973" t="str">
            <v>12-06</v>
          </cell>
          <cell r="B973">
            <v>710</v>
          </cell>
          <cell r="C973" t="str">
            <v>C1.DK.12.06</v>
          </cell>
          <cell r="D973" t="str">
            <v>DK</v>
          </cell>
          <cell r="E973" t="str">
            <v>G-212</v>
          </cell>
          <cell r="F973" t="str">
            <v>Kurander2</v>
          </cell>
          <cell r="G973" t="str">
            <v>N1</v>
          </cell>
          <cell r="H973" t="str">
            <v>b2</v>
          </cell>
          <cell r="I973" t="str">
            <v>N1-b2</v>
          </cell>
          <cell r="J973">
            <v>12</v>
          </cell>
          <cell r="K973" t="str">
            <v>06</v>
          </cell>
        </row>
        <row r="974">
          <cell r="A974" t="str">
            <v>12-07</v>
          </cell>
          <cell r="B974">
            <v>711</v>
          </cell>
          <cell r="C974" t="str">
            <v>C1.DK.12.07</v>
          </cell>
          <cell r="D974" t="str">
            <v>DK</v>
          </cell>
          <cell r="E974" t="str">
            <v>G-137</v>
          </cell>
          <cell r="F974" t="str">
            <v>DK021</v>
          </cell>
          <cell r="G974" t="str">
            <v>N1</v>
          </cell>
          <cell r="H974" t="str">
            <v>b2</v>
          </cell>
          <cell r="I974" t="str">
            <v>N1-b2</v>
          </cell>
          <cell r="J974">
            <v>12</v>
          </cell>
          <cell r="K974" t="str">
            <v>07</v>
          </cell>
        </row>
        <row r="975">
          <cell r="A975" t="str">
            <v>12-08</v>
          </cell>
          <cell r="B975">
            <v>712</v>
          </cell>
          <cell r="C975" t="str">
            <v>C1.DK.12.08</v>
          </cell>
          <cell r="D975" t="str">
            <v>DK</v>
          </cell>
          <cell r="E975" t="str">
            <v>G-164</v>
          </cell>
          <cell r="F975" t="str">
            <v>DK069</v>
          </cell>
          <cell r="G975" t="str">
            <v>N1</v>
          </cell>
          <cell r="H975" t="str">
            <v>b2</v>
          </cell>
          <cell r="I975" t="str">
            <v>N1-b2</v>
          </cell>
          <cell r="J975">
            <v>12</v>
          </cell>
          <cell r="K975" t="str">
            <v>08</v>
          </cell>
        </row>
        <row r="976">
          <cell r="A976" t="str">
            <v>12-09</v>
          </cell>
          <cell r="B976">
            <v>713</v>
          </cell>
          <cell r="C976" t="str">
            <v>C1.DK.12.09</v>
          </cell>
          <cell r="D976" t="str">
            <v>DK</v>
          </cell>
          <cell r="E976" t="str">
            <v>G-165</v>
          </cell>
          <cell r="F976" t="str">
            <v>DK071</v>
          </cell>
          <cell r="G976" t="str">
            <v>N1</v>
          </cell>
          <cell r="H976" t="str">
            <v>b2</v>
          </cell>
          <cell r="I976" t="str">
            <v>N1-b2</v>
          </cell>
          <cell r="J976">
            <v>12</v>
          </cell>
          <cell r="K976" t="str">
            <v>09</v>
          </cell>
        </row>
        <row r="977">
          <cell r="A977" t="str">
            <v>12-10</v>
          </cell>
          <cell r="B977">
            <v>714</v>
          </cell>
          <cell r="C977" t="str">
            <v>C1.DK.12.10</v>
          </cell>
          <cell r="D977" t="str">
            <v>DK</v>
          </cell>
          <cell r="E977" t="str">
            <v>G-141</v>
          </cell>
          <cell r="F977" t="str">
            <v>DK030</v>
          </cell>
          <cell r="G977" t="str">
            <v>N1</v>
          </cell>
          <cell r="H977" t="str">
            <v>b2</v>
          </cell>
          <cell r="I977" t="str">
            <v>N1-b2</v>
          </cell>
          <cell r="J977">
            <v>12</v>
          </cell>
          <cell r="K977" t="str">
            <v>10</v>
          </cell>
        </row>
        <row r="978">
          <cell r="A978" t="str">
            <v>12-11</v>
          </cell>
          <cell r="B978">
            <v>715</v>
          </cell>
          <cell r="C978" t="str">
            <v>C1.DK.12.11</v>
          </cell>
          <cell r="D978" t="str">
            <v>DK</v>
          </cell>
          <cell r="E978" t="str">
            <v>G-199</v>
          </cell>
          <cell r="F978" t="str">
            <v>DK140</v>
          </cell>
          <cell r="G978" t="str">
            <v>N1</v>
          </cell>
          <cell r="H978" t="str">
            <v>b2</v>
          </cell>
          <cell r="I978" t="str">
            <v>N1-b2</v>
          </cell>
          <cell r="J978">
            <v>12</v>
          </cell>
          <cell r="K978" t="str">
            <v>11</v>
          </cell>
        </row>
        <row r="979">
          <cell r="A979" t="str">
            <v>12-12</v>
          </cell>
          <cell r="B979">
            <v>716</v>
          </cell>
          <cell r="C979" t="str">
            <v>C1.DK.12.12</v>
          </cell>
          <cell r="D979" t="str">
            <v>DK</v>
          </cell>
          <cell r="E979" t="str">
            <v>G-200</v>
          </cell>
          <cell r="F979" t="str">
            <v>DK142</v>
          </cell>
          <cell r="G979" t="str">
            <v>N1</v>
          </cell>
          <cell r="H979" t="str">
            <v>b2</v>
          </cell>
          <cell r="I979" t="str">
            <v>N1-b2</v>
          </cell>
          <cell r="J979">
            <v>12</v>
          </cell>
          <cell r="K979" t="str">
            <v>12</v>
          </cell>
        </row>
        <row r="980">
          <cell r="A980" t="str">
            <v>12-13</v>
          </cell>
          <cell r="B980">
            <v>717</v>
          </cell>
          <cell r="C980" t="str">
            <v>C1.DK.12.13</v>
          </cell>
          <cell r="D980" t="str">
            <v>DK</v>
          </cell>
          <cell r="E980" t="str">
            <v>G-174</v>
          </cell>
          <cell r="F980" t="str">
            <v>DK086</v>
          </cell>
          <cell r="G980" t="str">
            <v>N1</v>
          </cell>
          <cell r="H980" t="str">
            <v>b2</v>
          </cell>
          <cell r="I980" t="str">
            <v>N1-b2</v>
          </cell>
          <cell r="J980">
            <v>12</v>
          </cell>
          <cell r="K980" t="str">
            <v>13</v>
          </cell>
        </row>
        <row r="981">
          <cell r="A981" t="str">
            <v>12-14</v>
          </cell>
          <cell r="B981">
            <v>718</v>
          </cell>
          <cell r="C981" t="str">
            <v>C1.DK.12.14</v>
          </cell>
          <cell r="D981" t="str">
            <v>DK</v>
          </cell>
          <cell r="E981" t="str">
            <v>G-202</v>
          </cell>
          <cell r="F981" t="str">
            <v>DK144</v>
          </cell>
          <cell r="G981" t="str">
            <v>N1</v>
          </cell>
          <cell r="H981" t="str">
            <v>b2</v>
          </cell>
          <cell r="I981" t="str">
            <v>N1-b2</v>
          </cell>
          <cell r="J981">
            <v>12</v>
          </cell>
          <cell r="K981" t="str">
            <v>14</v>
          </cell>
        </row>
        <row r="982">
          <cell r="A982" t="str">
            <v>12-15</v>
          </cell>
          <cell r="B982">
            <v>719</v>
          </cell>
          <cell r="C982" t="str">
            <v>C1.DK.12.15</v>
          </cell>
          <cell r="D982" t="str">
            <v>DK</v>
          </cell>
          <cell r="E982" t="str">
            <v>G-159</v>
          </cell>
          <cell r="F982" t="str">
            <v>DK061</v>
          </cell>
          <cell r="G982" t="str">
            <v>N1</v>
          </cell>
          <cell r="H982" t="str">
            <v>b2</v>
          </cell>
          <cell r="I982" t="str">
            <v>N1-b2</v>
          </cell>
          <cell r="J982">
            <v>12</v>
          </cell>
          <cell r="K982" t="str">
            <v>15</v>
          </cell>
        </row>
        <row r="983">
          <cell r="A983" t="str">
            <v>12-16</v>
          </cell>
          <cell r="B983">
            <v>720</v>
          </cell>
          <cell r="C983" t="str">
            <v>C1.DK.12.16</v>
          </cell>
          <cell r="D983" t="str">
            <v>DK</v>
          </cell>
          <cell r="E983" t="str">
            <v>G-170</v>
          </cell>
          <cell r="F983" t="str">
            <v>DK081</v>
          </cell>
          <cell r="G983" t="str">
            <v>N1</v>
          </cell>
          <cell r="H983" t="str">
            <v>b2</v>
          </cell>
          <cell r="I983" t="str">
            <v>N1-b2</v>
          </cell>
          <cell r="J983">
            <v>12</v>
          </cell>
          <cell r="K983" t="str">
            <v>16</v>
          </cell>
        </row>
        <row r="984">
          <cell r="A984" t="str">
            <v>12-17</v>
          </cell>
          <cell r="B984">
            <v>721</v>
          </cell>
          <cell r="C984" t="str">
            <v>C1.DK.12.17</v>
          </cell>
          <cell r="D984" t="str">
            <v>DK</v>
          </cell>
          <cell r="E984" t="str">
            <v>G-201</v>
          </cell>
          <cell r="F984" t="str">
            <v>DK143</v>
          </cell>
          <cell r="G984" t="str">
            <v>N1</v>
          </cell>
          <cell r="H984" t="str">
            <v>b2</v>
          </cell>
          <cell r="I984" t="str">
            <v>N1-b2</v>
          </cell>
          <cell r="J984">
            <v>12</v>
          </cell>
          <cell r="K984" t="str">
            <v>17</v>
          </cell>
        </row>
        <row r="985">
          <cell r="A985" t="str">
            <v>12-18</v>
          </cell>
          <cell r="B985">
            <v>722</v>
          </cell>
          <cell r="C985" t="str">
            <v>C1.DK.12.18</v>
          </cell>
          <cell r="D985" t="str">
            <v>DK</v>
          </cell>
          <cell r="E985" t="str">
            <v>G-169</v>
          </cell>
          <cell r="F985" t="str">
            <v>DK080</v>
          </cell>
          <cell r="G985" t="str">
            <v>N1</v>
          </cell>
          <cell r="H985" t="str">
            <v>b2</v>
          </cell>
          <cell r="I985" t="str">
            <v>N1-b2</v>
          </cell>
          <cell r="J985">
            <v>12</v>
          </cell>
          <cell r="K985" t="str">
            <v>18</v>
          </cell>
        </row>
        <row r="986">
          <cell r="A986" t="str">
            <v>12-19</v>
          </cell>
          <cell r="B986">
            <v>723</v>
          </cell>
          <cell r="C986" t="str">
            <v>C1.DK.12.19</v>
          </cell>
          <cell r="D986" t="str">
            <v>DK</v>
          </cell>
          <cell r="E986" t="str">
            <v>G-183</v>
          </cell>
          <cell r="F986" t="str">
            <v>DK107</v>
          </cell>
          <cell r="G986" t="str">
            <v>N1</v>
          </cell>
          <cell r="H986" t="str">
            <v>b2</v>
          </cell>
          <cell r="I986" t="str">
            <v>N1-b2</v>
          </cell>
          <cell r="J986">
            <v>12</v>
          </cell>
          <cell r="K986" t="str">
            <v>19</v>
          </cell>
        </row>
        <row r="987">
          <cell r="A987" t="str">
            <v>12-20</v>
          </cell>
          <cell r="B987">
            <v>724</v>
          </cell>
          <cell r="C987" t="str">
            <v>C1.DK.12.20</v>
          </cell>
          <cell r="D987" t="str">
            <v>DK</v>
          </cell>
          <cell r="E987" t="str">
            <v>G-177</v>
          </cell>
          <cell r="F987" t="str">
            <v>DK094</v>
          </cell>
          <cell r="G987" t="str">
            <v>N1</v>
          </cell>
          <cell r="H987" t="str">
            <v>b2</v>
          </cell>
          <cell r="I987" t="str">
            <v>N1-b2</v>
          </cell>
          <cell r="J987">
            <v>12</v>
          </cell>
          <cell r="K987" t="str">
            <v>20</v>
          </cell>
        </row>
        <row r="988">
          <cell r="A988" t="str">
            <v>12-21</v>
          </cell>
          <cell r="B988">
            <v>725</v>
          </cell>
          <cell r="C988" t="str">
            <v>C1.DK.12.21</v>
          </cell>
          <cell r="D988" t="str">
            <v>DK</v>
          </cell>
          <cell r="E988" t="str">
            <v>G-154</v>
          </cell>
          <cell r="F988" t="str">
            <v>DK052</v>
          </cell>
          <cell r="G988" t="str">
            <v>N1</v>
          </cell>
          <cell r="H988" t="str">
            <v>b2</v>
          </cell>
          <cell r="I988" t="str">
            <v>N1-b2</v>
          </cell>
          <cell r="J988">
            <v>12</v>
          </cell>
          <cell r="K988" t="str">
            <v>21</v>
          </cell>
        </row>
        <row r="989">
          <cell r="A989" t="str">
            <v>12-22</v>
          </cell>
          <cell r="B989">
            <v>726</v>
          </cell>
          <cell r="C989" t="str">
            <v>C1.DK.12.22</v>
          </cell>
          <cell r="D989" t="str">
            <v>DK</v>
          </cell>
          <cell r="E989" t="str">
            <v>G-172</v>
          </cell>
          <cell r="F989" t="str">
            <v>DK084</v>
          </cell>
          <cell r="G989" t="str">
            <v>N1</v>
          </cell>
          <cell r="H989" t="str">
            <v>b2</v>
          </cell>
          <cell r="I989" t="str">
            <v>N1-b2</v>
          </cell>
          <cell r="J989">
            <v>12</v>
          </cell>
          <cell r="K989" t="str">
            <v>22</v>
          </cell>
        </row>
        <row r="990">
          <cell r="A990" t="str">
            <v>12-23</v>
          </cell>
          <cell r="B990">
            <v>727</v>
          </cell>
          <cell r="C990" t="str">
            <v>C1.DK.12.23</v>
          </cell>
          <cell r="D990" t="str">
            <v>DK</v>
          </cell>
          <cell r="E990" t="str">
            <v>G-142</v>
          </cell>
          <cell r="F990" t="str">
            <v>DK031</v>
          </cell>
          <cell r="G990" t="str">
            <v>N1</v>
          </cell>
          <cell r="H990" t="str">
            <v>b2</v>
          </cell>
          <cell r="I990" t="str">
            <v>N1-b2</v>
          </cell>
          <cell r="J990">
            <v>12</v>
          </cell>
          <cell r="K990" t="str">
            <v>23</v>
          </cell>
        </row>
        <row r="991">
          <cell r="A991" t="str">
            <v>12-24</v>
          </cell>
          <cell r="B991">
            <v>728</v>
          </cell>
          <cell r="C991" t="str">
            <v>C1.DK.12.24</v>
          </cell>
          <cell r="D991" t="str">
            <v>DK</v>
          </cell>
          <cell r="E991" t="str">
            <v>G-145</v>
          </cell>
          <cell r="F991" t="str">
            <v>DK037</v>
          </cell>
          <cell r="G991" t="str">
            <v>N1</v>
          </cell>
          <cell r="H991" t="str">
            <v>b2</v>
          </cell>
          <cell r="I991" t="str">
            <v>N1-b2</v>
          </cell>
          <cell r="J991">
            <v>12</v>
          </cell>
          <cell r="K991" t="str">
            <v>24</v>
          </cell>
        </row>
        <row r="992">
          <cell r="A992" t="str">
            <v>12-25</v>
          </cell>
          <cell r="B992">
            <v>729</v>
          </cell>
          <cell r="C992" t="str">
            <v>C1.DK.12.25</v>
          </cell>
          <cell r="D992" t="str">
            <v>DK</v>
          </cell>
          <cell r="E992" t="str">
            <v>G-179</v>
          </cell>
          <cell r="F992" t="str">
            <v>DK096</v>
          </cell>
          <cell r="G992" t="str">
            <v>N1</v>
          </cell>
          <cell r="H992" t="str">
            <v>b2</v>
          </cell>
          <cell r="I992" t="str">
            <v>N1-b2</v>
          </cell>
          <cell r="J992">
            <v>12</v>
          </cell>
          <cell r="K992" t="str">
            <v>25</v>
          </cell>
        </row>
        <row r="993">
          <cell r="A993" t="str">
            <v>12-26</v>
          </cell>
          <cell r="B993">
            <v>730</v>
          </cell>
          <cell r="C993" t="str">
            <v>C1.DK.12.26</v>
          </cell>
          <cell r="D993" t="str">
            <v>DK</v>
          </cell>
          <cell r="E993" t="str">
            <v>G-144</v>
          </cell>
          <cell r="F993" t="str">
            <v>DK036</v>
          </cell>
          <cell r="G993" t="str">
            <v>N1</v>
          </cell>
          <cell r="H993" t="str">
            <v>b2</v>
          </cell>
          <cell r="I993" t="str">
            <v>N1-b2</v>
          </cell>
          <cell r="J993">
            <v>12</v>
          </cell>
          <cell r="K993" t="str">
            <v>26</v>
          </cell>
        </row>
        <row r="994">
          <cell r="A994" t="str">
            <v>12-27</v>
          </cell>
          <cell r="B994">
            <v>731</v>
          </cell>
          <cell r="C994" t="str">
            <v>C1.DK.12.27</v>
          </cell>
          <cell r="D994" t="str">
            <v>DK</v>
          </cell>
          <cell r="E994" t="str">
            <v>G-213</v>
          </cell>
          <cell r="F994" t="str">
            <v>Twister2</v>
          </cell>
          <cell r="G994" t="str">
            <v>N1</v>
          </cell>
          <cell r="H994" t="str">
            <v>b2</v>
          </cell>
          <cell r="I994" t="str">
            <v>N1-b2</v>
          </cell>
          <cell r="J994">
            <v>12</v>
          </cell>
          <cell r="K994" t="str">
            <v>27</v>
          </cell>
        </row>
        <row r="995">
          <cell r="A995" t="str">
            <v>12-28</v>
          </cell>
          <cell r="B995">
            <v>732</v>
          </cell>
          <cell r="C995" t="str">
            <v>C1.DK.12.28</v>
          </cell>
          <cell r="D995" t="str">
            <v>DK</v>
          </cell>
          <cell r="E995" t="str">
            <v>G-171</v>
          </cell>
          <cell r="F995" t="str">
            <v>DK082</v>
          </cell>
          <cell r="G995" t="str">
            <v>N1</v>
          </cell>
          <cell r="H995" t="str">
            <v>b2</v>
          </cell>
          <cell r="I995" t="str">
            <v>N1-b2</v>
          </cell>
          <cell r="J995">
            <v>12</v>
          </cell>
          <cell r="K995" t="str">
            <v>28</v>
          </cell>
        </row>
        <row r="996">
          <cell r="A996" t="str">
            <v>12-29</v>
          </cell>
          <cell r="B996">
            <v>733</v>
          </cell>
          <cell r="C996" t="str">
            <v>C1.DK.12.29</v>
          </cell>
          <cell r="D996" t="str">
            <v>DK</v>
          </cell>
          <cell r="E996" t="str">
            <v>G-130</v>
          </cell>
          <cell r="F996" t="str">
            <v>DK011</v>
          </cell>
          <cell r="G996" t="str">
            <v>N1</v>
          </cell>
          <cell r="H996" t="str">
            <v>b2</v>
          </cell>
          <cell r="I996" t="str">
            <v>N1-b2</v>
          </cell>
          <cell r="J996">
            <v>12</v>
          </cell>
          <cell r="K996" t="str">
            <v>29</v>
          </cell>
        </row>
        <row r="997">
          <cell r="A997" t="str">
            <v>12-30</v>
          </cell>
          <cell r="B997">
            <v>734</v>
          </cell>
          <cell r="C997" t="str">
            <v>C1.DK.12.30</v>
          </cell>
          <cell r="D997" t="str">
            <v>DK</v>
          </cell>
          <cell r="E997" t="str">
            <v>G-146</v>
          </cell>
          <cell r="F997" t="str">
            <v>DK038</v>
          </cell>
          <cell r="G997" t="str">
            <v>N1</v>
          </cell>
          <cell r="H997" t="str">
            <v>b2</v>
          </cell>
          <cell r="I997" t="str">
            <v>N1-b2</v>
          </cell>
          <cell r="J997">
            <v>12</v>
          </cell>
          <cell r="K997" t="str">
            <v>30</v>
          </cell>
        </row>
        <row r="998">
          <cell r="A998" t="str">
            <v>12-31</v>
          </cell>
          <cell r="B998">
            <v>735</v>
          </cell>
          <cell r="C998" t="str">
            <v>C1.DK.12.31</v>
          </cell>
          <cell r="D998" t="str">
            <v>DK</v>
          </cell>
          <cell r="E998" t="str">
            <v>G-188</v>
          </cell>
          <cell r="F998" t="str">
            <v>DK113</v>
          </cell>
          <cell r="G998" t="str">
            <v>N1</v>
          </cell>
          <cell r="H998" t="str">
            <v>b2</v>
          </cell>
          <cell r="I998" t="str">
            <v>N1-b2</v>
          </cell>
          <cell r="J998">
            <v>12</v>
          </cell>
          <cell r="K998" t="str">
            <v>31</v>
          </cell>
        </row>
        <row r="999">
          <cell r="A999" t="str">
            <v>12-32</v>
          </cell>
          <cell r="B999">
            <v>736</v>
          </cell>
          <cell r="C999" t="str">
            <v>C1.DK.12.32</v>
          </cell>
          <cell r="D999" t="str">
            <v>DK</v>
          </cell>
          <cell r="E999" t="str">
            <v>G-161</v>
          </cell>
          <cell r="F999" t="str">
            <v>DK064</v>
          </cell>
          <cell r="G999" t="str">
            <v>N1</v>
          </cell>
          <cell r="H999" t="str">
            <v>b2</v>
          </cell>
          <cell r="I999" t="str">
            <v>N1-b2</v>
          </cell>
          <cell r="J999">
            <v>12</v>
          </cell>
          <cell r="K999" t="str">
            <v>32</v>
          </cell>
        </row>
        <row r="1000">
          <cell r="A1000" t="str">
            <v>12-33</v>
          </cell>
          <cell r="B1000">
            <v>737</v>
          </cell>
          <cell r="C1000" t="str">
            <v>C1.DK.12.33</v>
          </cell>
          <cell r="D1000" t="str">
            <v>DK</v>
          </cell>
          <cell r="E1000" t="str">
            <v>G-194</v>
          </cell>
          <cell r="F1000" t="str">
            <v>DK128</v>
          </cell>
          <cell r="G1000" t="str">
            <v>N2</v>
          </cell>
          <cell r="H1000" t="str">
            <v>b2</v>
          </cell>
          <cell r="I1000" t="str">
            <v>N2-b2</v>
          </cell>
          <cell r="J1000">
            <v>12</v>
          </cell>
          <cell r="K1000" t="str">
            <v>33</v>
          </cell>
        </row>
        <row r="1001">
          <cell r="A1001" t="str">
            <v>12-34</v>
          </cell>
          <cell r="B1001">
            <v>738</v>
          </cell>
          <cell r="C1001" t="str">
            <v>C1.DK.12.34</v>
          </cell>
          <cell r="D1001" t="str">
            <v>DK</v>
          </cell>
          <cell r="E1001" t="str">
            <v>G-142</v>
          </cell>
          <cell r="F1001" t="str">
            <v>DK031</v>
          </cell>
          <cell r="G1001" t="str">
            <v>N2</v>
          </cell>
          <cell r="H1001" t="str">
            <v>b2</v>
          </cell>
          <cell r="I1001" t="str">
            <v>N2-b2</v>
          </cell>
          <cell r="J1001">
            <v>12</v>
          </cell>
          <cell r="K1001" t="str">
            <v>34</v>
          </cell>
        </row>
        <row r="1002">
          <cell r="A1002" t="str">
            <v>12-35</v>
          </cell>
          <cell r="B1002">
            <v>739</v>
          </cell>
          <cell r="C1002" t="str">
            <v>C1.DK.12.35</v>
          </cell>
          <cell r="D1002" t="str">
            <v>DK</v>
          </cell>
          <cell r="E1002" t="str">
            <v>G-179</v>
          </cell>
          <cell r="F1002" t="str">
            <v>DK096</v>
          </cell>
          <cell r="G1002" t="str">
            <v>N2</v>
          </cell>
          <cell r="H1002" t="str">
            <v>b2</v>
          </cell>
          <cell r="I1002" t="str">
            <v>N2-b2</v>
          </cell>
          <cell r="J1002">
            <v>12</v>
          </cell>
          <cell r="K1002" t="str">
            <v>35</v>
          </cell>
        </row>
        <row r="1003">
          <cell r="A1003" t="str">
            <v>12-36</v>
          </cell>
          <cell r="B1003">
            <v>740</v>
          </cell>
          <cell r="C1003" t="str">
            <v>C1.DK.12.36</v>
          </cell>
          <cell r="D1003" t="str">
            <v>DK</v>
          </cell>
          <cell r="E1003" t="str">
            <v>G-171</v>
          </cell>
          <cell r="F1003" t="str">
            <v>DK082</v>
          </cell>
          <cell r="G1003" t="str">
            <v>N2</v>
          </cell>
          <cell r="H1003" t="str">
            <v>b2</v>
          </cell>
          <cell r="I1003" t="str">
            <v>N2-b2</v>
          </cell>
          <cell r="J1003">
            <v>12</v>
          </cell>
          <cell r="K1003" t="str">
            <v>36</v>
          </cell>
        </row>
        <row r="1004">
          <cell r="A1004" t="str">
            <v>12-37</v>
          </cell>
          <cell r="B1004">
            <v>741</v>
          </cell>
          <cell r="C1004" t="str">
            <v>C1.DK.12.37</v>
          </cell>
          <cell r="D1004" t="str">
            <v>DK</v>
          </cell>
          <cell r="E1004" t="str">
            <v>G-176</v>
          </cell>
          <cell r="F1004" t="str">
            <v>DK093</v>
          </cell>
          <cell r="G1004" t="str">
            <v>N2</v>
          </cell>
          <cell r="H1004" t="str">
            <v>b2</v>
          </cell>
          <cell r="I1004" t="str">
            <v>N2-b2</v>
          </cell>
          <cell r="J1004">
            <v>12</v>
          </cell>
          <cell r="K1004" t="str">
            <v>37</v>
          </cell>
        </row>
        <row r="1005">
          <cell r="A1005" t="str">
            <v>12-38</v>
          </cell>
          <cell r="B1005">
            <v>742</v>
          </cell>
          <cell r="C1005" t="str">
            <v>C1.DK.12.38</v>
          </cell>
          <cell r="D1005" t="str">
            <v>DK</v>
          </cell>
          <cell r="E1005" t="str">
            <v>G-169</v>
          </cell>
          <cell r="F1005" t="str">
            <v>DK080</v>
          </cell>
          <cell r="G1005" t="str">
            <v>N2</v>
          </cell>
          <cell r="H1005" t="str">
            <v>b2</v>
          </cell>
          <cell r="I1005" t="str">
            <v>N2-b2</v>
          </cell>
          <cell r="J1005">
            <v>12</v>
          </cell>
          <cell r="K1005" t="str">
            <v>38</v>
          </cell>
        </row>
        <row r="1006">
          <cell r="A1006" t="str">
            <v>12-39</v>
          </cell>
          <cell r="B1006">
            <v>743</v>
          </cell>
          <cell r="C1006" t="str">
            <v>C1.DK.12.39</v>
          </cell>
          <cell r="D1006" t="str">
            <v>DK</v>
          </cell>
          <cell r="E1006" t="str">
            <v>G-136</v>
          </cell>
          <cell r="F1006" t="str">
            <v>DK020</v>
          </cell>
          <cell r="G1006" t="str">
            <v>N2</v>
          </cell>
          <cell r="H1006" t="str">
            <v>b2</v>
          </cell>
          <cell r="I1006" t="str">
            <v>N2-b2</v>
          </cell>
          <cell r="J1006">
            <v>12</v>
          </cell>
          <cell r="K1006" t="str">
            <v>39</v>
          </cell>
        </row>
        <row r="1007">
          <cell r="A1007" t="str">
            <v>12-40</v>
          </cell>
          <cell r="B1007">
            <v>744</v>
          </cell>
          <cell r="C1007" t="str">
            <v>C1.DK.12.40</v>
          </cell>
          <cell r="D1007" t="str">
            <v>DK</v>
          </cell>
          <cell r="E1007" t="str">
            <v>G-192</v>
          </cell>
          <cell r="F1007" t="str">
            <v>DK121</v>
          </cell>
          <cell r="G1007" t="str">
            <v>N2</v>
          </cell>
          <cell r="H1007" t="str">
            <v>b2</v>
          </cell>
          <cell r="I1007" t="str">
            <v>N2-b2</v>
          </cell>
          <cell r="J1007">
            <v>12</v>
          </cell>
          <cell r="K1007" t="str">
            <v>40</v>
          </cell>
        </row>
        <row r="1008">
          <cell r="A1008" t="str">
            <v>12-41</v>
          </cell>
          <cell r="B1008">
            <v>745</v>
          </cell>
          <cell r="C1008" t="str">
            <v>C1.DK.12.41</v>
          </cell>
          <cell r="D1008" t="str">
            <v>DK</v>
          </cell>
          <cell r="E1008" t="str">
            <v>G-181</v>
          </cell>
          <cell r="F1008" t="str">
            <v>DK101</v>
          </cell>
          <cell r="G1008" t="str">
            <v>N2</v>
          </cell>
          <cell r="H1008" t="str">
            <v>b2</v>
          </cell>
          <cell r="I1008" t="str">
            <v>N2-b2</v>
          </cell>
          <cell r="J1008">
            <v>12</v>
          </cell>
          <cell r="K1008" t="str">
            <v>41</v>
          </cell>
        </row>
        <row r="1009">
          <cell r="A1009" t="str">
            <v>12-42</v>
          </cell>
          <cell r="B1009">
            <v>746</v>
          </cell>
          <cell r="C1009" t="str">
            <v>C1.DK.12.42</v>
          </cell>
          <cell r="D1009" t="str">
            <v>DK</v>
          </cell>
          <cell r="E1009" t="str">
            <v>G-141</v>
          </cell>
          <cell r="F1009" t="str">
            <v>DK030</v>
          </cell>
          <cell r="G1009" t="str">
            <v>N2</v>
          </cell>
          <cell r="H1009" t="str">
            <v>b2</v>
          </cell>
          <cell r="I1009" t="str">
            <v>N2-b2</v>
          </cell>
          <cell r="J1009">
            <v>12</v>
          </cell>
          <cell r="K1009" t="str">
            <v>42</v>
          </cell>
        </row>
        <row r="1010">
          <cell r="A1010" t="str">
            <v>12-43</v>
          </cell>
          <cell r="B1010">
            <v>747</v>
          </cell>
          <cell r="C1010" t="str">
            <v>C1.DK.12.43</v>
          </cell>
          <cell r="D1010" t="str">
            <v>DK</v>
          </cell>
          <cell r="E1010" t="str">
            <v>G-154</v>
          </cell>
          <cell r="F1010" t="str">
            <v>DK052</v>
          </cell>
          <cell r="G1010" t="str">
            <v>N2</v>
          </cell>
          <cell r="H1010" t="str">
            <v>b2</v>
          </cell>
          <cell r="I1010" t="str">
            <v>N2-b2</v>
          </cell>
          <cell r="J1010">
            <v>12</v>
          </cell>
          <cell r="K1010" t="str">
            <v>43</v>
          </cell>
        </row>
        <row r="1011">
          <cell r="A1011" t="str">
            <v>12-44</v>
          </cell>
          <cell r="B1011">
            <v>748</v>
          </cell>
          <cell r="C1011" t="str">
            <v>C1.DK.12.44</v>
          </cell>
          <cell r="D1011" t="str">
            <v>DK</v>
          </cell>
          <cell r="E1011" t="str">
            <v>G-173</v>
          </cell>
          <cell r="F1011" t="str">
            <v>DK085</v>
          </cell>
          <cell r="G1011" t="str">
            <v>N2</v>
          </cell>
          <cell r="H1011" t="str">
            <v>b2</v>
          </cell>
          <cell r="I1011" t="str">
            <v>N2-b2</v>
          </cell>
          <cell r="J1011">
            <v>12</v>
          </cell>
          <cell r="K1011" t="str">
            <v>44</v>
          </cell>
        </row>
        <row r="1012">
          <cell r="A1012" t="str">
            <v>12-45</v>
          </cell>
          <cell r="B1012">
            <v>749</v>
          </cell>
          <cell r="C1012" t="str">
            <v>C1.DK.12.45</v>
          </cell>
          <cell r="D1012" t="str">
            <v>DK</v>
          </cell>
          <cell r="E1012" t="str">
            <v>G-190</v>
          </cell>
          <cell r="F1012" t="str">
            <v>DK117</v>
          </cell>
          <cell r="G1012" t="str">
            <v>N2</v>
          </cell>
          <cell r="H1012" t="str">
            <v>b2</v>
          </cell>
          <cell r="I1012" t="str">
            <v>N2-b2</v>
          </cell>
          <cell r="J1012">
            <v>12</v>
          </cell>
          <cell r="K1012" t="str">
            <v>45</v>
          </cell>
        </row>
        <row r="1013">
          <cell r="A1013" t="str">
            <v>12-46</v>
          </cell>
          <cell r="B1013">
            <v>750</v>
          </cell>
          <cell r="C1013" t="str">
            <v>C1.DK.12.46</v>
          </cell>
          <cell r="D1013" t="str">
            <v>DK</v>
          </cell>
          <cell r="E1013" t="str">
            <v>G-216</v>
          </cell>
          <cell r="F1013" t="str">
            <v>C-California2</v>
          </cell>
          <cell r="G1013" t="str">
            <v>N2</v>
          </cell>
          <cell r="H1013" t="str">
            <v>b2</v>
          </cell>
          <cell r="I1013" t="str">
            <v>N2-b2</v>
          </cell>
          <cell r="J1013">
            <v>12</v>
          </cell>
          <cell r="K1013" t="str">
            <v>46</v>
          </cell>
        </row>
        <row r="1014">
          <cell r="A1014" t="str">
            <v>12-47</v>
          </cell>
          <cell r="B1014">
            <v>751</v>
          </cell>
          <cell r="C1014" t="str">
            <v>C1.DK.12.47</v>
          </cell>
          <cell r="D1014" t="str">
            <v>DK</v>
          </cell>
          <cell r="E1014" t="str">
            <v>G-211</v>
          </cell>
          <cell r="F1014" t="str">
            <v>Colvert2</v>
          </cell>
          <cell r="G1014" t="str">
            <v>N2</v>
          </cell>
          <cell r="H1014" t="str">
            <v>b2</v>
          </cell>
          <cell r="I1014" t="str">
            <v>N2-b2</v>
          </cell>
          <cell r="J1014">
            <v>12</v>
          </cell>
          <cell r="K1014" t="str">
            <v>47</v>
          </cell>
        </row>
        <row r="1015">
          <cell r="A1015" t="str">
            <v>12-48</v>
          </cell>
          <cell r="B1015">
            <v>752</v>
          </cell>
          <cell r="C1015" t="str">
            <v>C1.DK.12.48</v>
          </cell>
          <cell r="D1015" t="str">
            <v>DK</v>
          </cell>
          <cell r="E1015" t="str">
            <v>G-148</v>
          </cell>
          <cell r="F1015" t="str">
            <v>DK041</v>
          </cell>
          <cell r="G1015" t="str">
            <v>N2</v>
          </cell>
          <cell r="H1015" t="str">
            <v>b2</v>
          </cell>
          <cell r="I1015" t="str">
            <v>N2-b2</v>
          </cell>
          <cell r="J1015">
            <v>12</v>
          </cell>
          <cell r="K1015" t="str">
            <v>48</v>
          </cell>
        </row>
        <row r="1016">
          <cell r="A1016" t="str">
            <v>12-49</v>
          </cell>
          <cell r="B1016">
            <v>753</v>
          </cell>
          <cell r="C1016" t="str">
            <v>C1.DK.12.49</v>
          </cell>
          <cell r="D1016" t="str">
            <v>DK</v>
          </cell>
          <cell r="E1016" t="str">
            <v>G-157</v>
          </cell>
          <cell r="F1016" t="str">
            <v>DK057</v>
          </cell>
          <cell r="G1016" t="str">
            <v>N2</v>
          </cell>
          <cell r="H1016" t="str">
            <v>b2</v>
          </cell>
          <cell r="I1016" t="str">
            <v>N2-b2</v>
          </cell>
          <cell r="J1016">
            <v>12</v>
          </cell>
          <cell r="K1016" t="str">
            <v>49</v>
          </cell>
        </row>
        <row r="1017">
          <cell r="A1017" t="str">
            <v>12-50</v>
          </cell>
          <cell r="B1017">
            <v>754</v>
          </cell>
          <cell r="C1017" t="str">
            <v>C1.DK.12.50</v>
          </cell>
          <cell r="D1017" t="str">
            <v>DK</v>
          </cell>
          <cell r="E1017" t="str">
            <v>G-174</v>
          </cell>
          <cell r="F1017" t="str">
            <v>DK086</v>
          </cell>
          <cell r="G1017" t="str">
            <v>N2</v>
          </cell>
          <cell r="H1017" t="str">
            <v>b2</v>
          </cell>
          <cell r="I1017" t="str">
            <v>N2-b2</v>
          </cell>
          <cell r="J1017">
            <v>12</v>
          </cell>
          <cell r="K1017" t="str">
            <v>50</v>
          </cell>
        </row>
        <row r="1018">
          <cell r="A1018" t="str">
            <v>12-51</v>
          </cell>
          <cell r="B1018">
            <v>755</v>
          </cell>
          <cell r="C1018" t="str">
            <v>C1.DK.12.51</v>
          </cell>
          <cell r="D1018" t="str">
            <v>DK</v>
          </cell>
          <cell r="E1018" t="str">
            <v>G-150</v>
          </cell>
          <cell r="F1018" t="str">
            <v>DK044</v>
          </cell>
          <cell r="G1018" t="str">
            <v>N2</v>
          </cell>
          <cell r="H1018" t="str">
            <v>b2</v>
          </cell>
          <cell r="I1018" t="str">
            <v>N2-b2</v>
          </cell>
          <cell r="J1018">
            <v>12</v>
          </cell>
          <cell r="K1018" t="str">
            <v>51</v>
          </cell>
        </row>
        <row r="1019">
          <cell r="A1019" t="str">
            <v>12-52</v>
          </cell>
          <cell r="B1019">
            <v>756</v>
          </cell>
          <cell r="C1019" t="str">
            <v>C1.DK.12.52</v>
          </cell>
          <cell r="D1019" t="str">
            <v>DK</v>
          </cell>
          <cell r="E1019" t="str">
            <v>G-203</v>
          </cell>
          <cell r="F1019" t="str">
            <v>DK145</v>
          </cell>
          <cell r="G1019" t="str">
            <v>N2</v>
          </cell>
          <cell r="H1019" t="str">
            <v>b2</v>
          </cell>
          <cell r="I1019" t="str">
            <v>N2-b2</v>
          </cell>
          <cell r="J1019">
            <v>12</v>
          </cell>
          <cell r="K1019" t="str">
            <v>52</v>
          </cell>
        </row>
        <row r="1020">
          <cell r="A1020" t="str">
            <v>12-53</v>
          </cell>
          <cell r="B1020">
            <v>757</v>
          </cell>
          <cell r="C1020" t="str">
            <v>C1.DK.12.53</v>
          </cell>
          <cell r="D1020" t="str">
            <v>DK</v>
          </cell>
          <cell r="E1020" t="str">
            <v>G-127</v>
          </cell>
          <cell r="F1020" t="str">
            <v>DK001</v>
          </cell>
          <cell r="G1020" t="str">
            <v>N2</v>
          </cell>
          <cell r="H1020" t="str">
            <v>b2</v>
          </cell>
          <cell r="I1020" t="str">
            <v>N2-b2</v>
          </cell>
          <cell r="J1020">
            <v>12</v>
          </cell>
          <cell r="K1020" t="str">
            <v>53</v>
          </cell>
        </row>
        <row r="1021">
          <cell r="A1021" t="str">
            <v>12-54</v>
          </cell>
          <cell r="B1021">
            <v>758</v>
          </cell>
          <cell r="C1021" t="str">
            <v>C1.DK.12.54</v>
          </cell>
          <cell r="D1021" t="str">
            <v>DK</v>
          </cell>
          <cell r="E1021" t="str">
            <v>G-125</v>
          </cell>
          <cell r="F1021" t="str">
            <v>Tenor</v>
          </cell>
          <cell r="G1021" t="str">
            <v>N2</v>
          </cell>
          <cell r="H1021" t="str">
            <v>b2</v>
          </cell>
          <cell r="I1021" t="str">
            <v>N2-b2</v>
          </cell>
          <cell r="J1021">
            <v>12</v>
          </cell>
          <cell r="K1021" t="str">
            <v>54</v>
          </cell>
        </row>
        <row r="1022">
          <cell r="A1022" t="str">
            <v>12-55</v>
          </cell>
          <cell r="B1022">
            <v>759</v>
          </cell>
          <cell r="C1022" t="str">
            <v>C1.DK.12.55</v>
          </cell>
          <cell r="D1022" t="str">
            <v>DK</v>
          </cell>
          <cell r="E1022" t="str">
            <v>G-213</v>
          </cell>
          <cell r="F1022" t="str">
            <v>Twister2</v>
          </cell>
          <cell r="G1022" t="str">
            <v>N2</v>
          </cell>
          <cell r="H1022" t="str">
            <v>b2</v>
          </cell>
          <cell r="I1022" t="str">
            <v>N2-b2</v>
          </cell>
          <cell r="J1022">
            <v>12</v>
          </cell>
          <cell r="K1022" t="str">
            <v>55</v>
          </cell>
        </row>
        <row r="1023">
          <cell r="A1023" t="str">
            <v>12-56</v>
          </cell>
          <cell r="B1023">
            <v>760</v>
          </cell>
          <cell r="C1023" t="str">
            <v>C1.DK.12.56</v>
          </cell>
          <cell r="D1023" t="str">
            <v>DK</v>
          </cell>
          <cell r="E1023" t="str">
            <v>G-159</v>
          </cell>
          <cell r="F1023" t="str">
            <v>DK061</v>
          </cell>
          <cell r="G1023" t="str">
            <v>N2</v>
          </cell>
          <cell r="H1023" t="str">
            <v>b2</v>
          </cell>
          <cell r="I1023" t="str">
            <v>N2-b2</v>
          </cell>
          <cell r="J1023">
            <v>12</v>
          </cell>
          <cell r="K1023" t="str">
            <v>56</v>
          </cell>
        </row>
        <row r="1024">
          <cell r="A1024" t="str">
            <v>12-57</v>
          </cell>
          <cell r="B1024">
            <v>761</v>
          </cell>
          <cell r="C1024" t="str">
            <v>C1.DK.12.57</v>
          </cell>
          <cell r="D1024" t="str">
            <v>DK</v>
          </cell>
          <cell r="E1024" t="str">
            <v>G-177</v>
          </cell>
          <cell r="F1024" t="str">
            <v>DK094</v>
          </cell>
          <cell r="G1024" t="str">
            <v>N2</v>
          </cell>
          <cell r="H1024" t="str">
            <v>b2</v>
          </cell>
          <cell r="I1024" t="str">
            <v>N2-b2</v>
          </cell>
          <cell r="J1024">
            <v>12</v>
          </cell>
          <cell r="K1024" t="str">
            <v>57</v>
          </cell>
        </row>
        <row r="1025">
          <cell r="A1025" t="str">
            <v>12-58</v>
          </cell>
          <cell r="B1025">
            <v>762</v>
          </cell>
          <cell r="C1025" t="str">
            <v>C1.DK.12.58</v>
          </cell>
          <cell r="D1025" t="str">
            <v>DK</v>
          </cell>
          <cell r="E1025" t="str">
            <v>G-189</v>
          </cell>
          <cell r="F1025" t="str">
            <v>DK116</v>
          </cell>
          <cell r="G1025" t="str">
            <v>N2</v>
          </cell>
          <cell r="H1025" t="str">
            <v>b2</v>
          </cell>
          <cell r="I1025" t="str">
            <v>N2-b2</v>
          </cell>
          <cell r="J1025">
            <v>12</v>
          </cell>
          <cell r="K1025" t="str">
            <v>58</v>
          </cell>
        </row>
        <row r="1026">
          <cell r="A1026" t="str">
            <v>12-59</v>
          </cell>
          <cell r="B1026">
            <v>763</v>
          </cell>
          <cell r="C1026" t="str">
            <v>C1.DK.12.59</v>
          </cell>
          <cell r="D1026" t="str">
            <v>DK</v>
          </cell>
          <cell r="E1026" t="str">
            <v>G-158</v>
          </cell>
          <cell r="F1026" t="str">
            <v>DK058</v>
          </cell>
          <cell r="G1026" t="str">
            <v>N2</v>
          </cell>
          <cell r="H1026" t="str">
            <v>b2</v>
          </cell>
          <cell r="I1026" t="str">
            <v>N2-b2</v>
          </cell>
          <cell r="J1026">
            <v>12</v>
          </cell>
          <cell r="K1026" t="str">
            <v>59</v>
          </cell>
        </row>
        <row r="1027">
          <cell r="A1027" t="str">
            <v>12-60</v>
          </cell>
          <cell r="B1027">
            <v>764</v>
          </cell>
          <cell r="C1027" t="str">
            <v>C1.DK.12.60</v>
          </cell>
          <cell r="D1027" t="str">
            <v>DK</v>
          </cell>
          <cell r="E1027" t="str">
            <v>G-207</v>
          </cell>
          <cell r="F1027" t="str">
            <v>DK149</v>
          </cell>
          <cell r="G1027" t="str">
            <v>N2</v>
          </cell>
          <cell r="H1027" t="str">
            <v>b2</v>
          </cell>
          <cell r="I1027" t="str">
            <v>N2-b2</v>
          </cell>
          <cell r="J1027">
            <v>12</v>
          </cell>
          <cell r="K1027" t="str">
            <v>60</v>
          </cell>
        </row>
        <row r="1028">
          <cell r="A1028" t="str">
            <v>12-61</v>
          </cell>
          <cell r="B1028">
            <v>765</v>
          </cell>
          <cell r="C1028" t="str">
            <v>C1.DK.12.61</v>
          </cell>
          <cell r="D1028" t="str">
            <v>DK</v>
          </cell>
          <cell r="E1028" t="str">
            <v>G-126</v>
          </cell>
          <cell r="F1028" t="str">
            <v>Express</v>
          </cell>
          <cell r="G1028" t="str">
            <v>N2</v>
          </cell>
          <cell r="H1028" t="str">
            <v>b2</v>
          </cell>
          <cell r="I1028" t="str">
            <v>N2-b2</v>
          </cell>
          <cell r="J1028">
            <v>12</v>
          </cell>
          <cell r="K1028" t="str">
            <v>61</v>
          </cell>
        </row>
        <row r="1029">
          <cell r="A1029" t="str">
            <v>12-62</v>
          </cell>
          <cell r="B1029">
            <v>766</v>
          </cell>
          <cell r="C1029" t="str">
            <v>C1.DK.12.62</v>
          </cell>
          <cell r="D1029" t="str">
            <v>DK</v>
          </cell>
          <cell r="E1029" t="str">
            <v>G-163</v>
          </cell>
          <cell r="F1029" t="str">
            <v>DK068</v>
          </cell>
          <cell r="G1029" t="str">
            <v>N2</v>
          </cell>
          <cell r="H1029" t="str">
            <v>b2</v>
          </cell>
          <cell r="I1029" t="str">
            <v>N2-b2</v>
          </cell>
          <cell r="J1029">
            <v>12</v>
          </cell>
          <cell r="K1029" t="str">
            <v>62</v>
          </cell>
        </row>
        <row r="1030">
          <cell r="A1030" t="str">
            <v>12-63</v>
          </cell>
          <cell r="B1030">
            <v>767</v>
          </cell>
          <cell r="C1030" t="str">
            <v>C1.DK.12.63</v>
          </cell>
          <cell r="D1030" t="str">
            <v>DK</v>
          </cell>
          <cell r="E1030" t="str">
            <v>G-167</v>
          </cell>
          <cell r="F1030" t="str">
            <v>DK075</v>
          </cell>
          <cell r="G1030" t="str">
            <v>N2</v>
          </cell>
          <cell r="H1030" t="str">
            <v>b2</v>
          </cell>
          <cell r="I1030" t="str">
            <v>N2-b2</v>
          </cell>
          <cell r="J1030">
            <v>12</v>
          </cell>
          <cell r="K1030" t="str">
            <v>63</v>
          </cell>
        </row>
        <row r="1031">
          <cell r="A1031" t="str">
            <v>12-64</v>
          </cell>
          <cell r="B1031">
            <v>768</v>
          </cell>
          <cell r="C1031" t="str">
            <v>C1.DK.12.64</v>
          </cell>
          <cell r="D1031" t="str">
            <v>DK</v>
          </cell>
          <cell r="E1031" t="str">
            <v>G-175</v>
          </cell>
          <cell r="F1031" t="str">
            <v>DK091</v>
          </cell>
          <cell r="G1031" t="str">
            <v>N2</v>
          </cell>
          <cell r="H1031" t="str">
            <v>b2</v>
          </cell>
          <cell r="I1031" t="str">
            <v>N2-b2</v>
          </cell>
          <cell r="J1031">
            <v>12</v>
          </cell>
          <cell r="K1031" t="str">
            <v>64</v>
          </cell>
        </row>
        <row r="1032">
          <cell r="A1032" t="str">
            <v>13-01</v>
          </cell>
          <cell r="B1032">
            <v>769</v>
          </cell>
          <cell r="C1032" t="str">
            <v>C1.DK.13.01</v>
          </cell>
          <cell r="D1032" t="str">
            <v>DK</v>
          </cell>
          <cell r="E1032" t="str">
            <v>G-209</v>
          </cell>
          <cell r="F1032" t="str">
            <v>DK153</v>
          </cell>
          <cell r="G1032" t="str">
            <v>N1</v>
          </cell>
          <cell r="H1032" t="str">
            <v>b2</v>
          </cell>
          <cell r="I1032" t="str">
            <v>N1-b2</v>
          </cell>
          <cell r="J1032">
            <v>13</v>
          </cell>
          <cell r="K1032" t="str">
            <v>01</v>
          </cell>
        </row>
        <row r="1033">
          <cell r="A1033" t="str">
            <v>13-02</v>
          </cell>
          <cell r="B1033">
            <v>770</v>
          </cell>
          <cell r="C1033" t="str">
            <v>C1.DK.13.02</v>
          </cell>
          <cell r="D1033" t="str">
            <v>DK</v>
          </cell>
          <cell r="E1033" t="str">
            <v>G-192</v>
          </cell>
          <cell r="F1033" t="str">
            <v>DK121</v>
          </cell>
          <cell r="G1033" t="str">
            <v>N1</v>
          </cell>
          <cell r="H1033" t="str">
            <v>b2</v>
          </cell>
          <cell r="I1033" t="str">
            <v>N1-b2</v>
          </cell>
          <cell r="J1033">
            <v>13</v>
          </cell>
          <cell r="K1033" t="str">
            <v>02</v>
          </cell>
        </row>
        <row r="1034">
          <cell r="A1034" t="str">
            <v>13-03</v>
          </cell>
          <cell r="B1034">
            <v>771</v>
          </cell>
          <cell r="C1034" t="str">
            <v>C1.DK.13.03</v>
          </cell>
          <cell r="D1034" t="str">
            <v>DK</v>
          </cell>
          <cell r="E1034" t="str">
            <v>G-196</v>
          </cell>
          <cell r="F1034" t="str">
            <v>DK135</v>
          </cell>
          <cell r="G1034" t="str">
            <v>N1</v>
          </cell>
          <cell r="H1034" t="str">
            <v>b2</v>
          </cell>
          <cell r="I1034" t="str">
            <v>N1-b2</v>
          </cell>
          <cell r="J1034">
            <v>13</v>
          </cell>
          <cell r="K1034" t="str">
            <v>03</v>
          </cell>
        </row>
        <row r="1035">
          <cell r="A1035" t="str">
            <v>13-04</v>
          </cell>
          <cell r="B1035">
            <v>772</v>
          </cell>
          <cell r="C1035" t="str">
            <v>C1.DK.13.04</v>
          </cell>
          <cell r="D1035" t="str">
            <v>DK</v>
          </cell>
          <cell r="E1035" t="str">
            <v>G-204</v>
          </cell>
          <cell r="F1035" t="str">
            <v>DK146</v>
          </cell>
          <cell r="G1035" t="str">
            <v>N1</v>
          </cell>
          <cell r="H1035" t="str">
            <v>b2</v>
          </cell>
          <cell r="I1035" t="str">
            <v>N1-b2</v>
          </cell>
          <cell r="J1035">
            <v>13</v>
          </cell>
          <cell r="K1035" t="str">
            <v>04</v>
          </cell>
        </row>
        <row r="1036">
          <cell r="A1036" t="str">
            <v>13-05</v>
          </cell>
          <cell r="B1036">
            <v>773</v>
          </cell>
          <cell r="C1036" t="str">
            <v>C1.DK.13.05</v>
          </cell>
          <cell r="D1036" t="str">
            <v>DK</v>
          </cell>
          <cell r="E1036" t="str">
            <v>G-125</v>
          </cell>
          <cell r="F1036" t="str">
            <v>Tenor</v>
          </cell>
          <cell r="G1036" t="str">
            <v>N1</v>
          </cell>
          <cell r="H1036" t="str">
            <v>b2</v>
          </cell>
          <cell r="I1036" t="str">
            <v>N1-b2</v>
          </cell>
          <cell r="J1036">
            <v>13</v>
          </cell>
          <cell r="K1036" t="str">
            <v>05</v>
          </cell>
        </row>
        <row r="1037">
          <cell r="A1037" t="str">
            <v>13-06</v>
          </cell>
          <cell r="B1037">
            <v>774</v>
          </cell>
          <cell r="C1037" t="str">
            <v>C1.DK.13.06</v>
          </cell>
          <cell r="D1037" t="str">
            <v>DK</v>
          </cell>
          <cell r="E1037" t="str">
            <v>G-138</v>
          </cell>
          <cell r="F1037" t="str">
            <v>DK023</v>
          </cell>
          <cell r="G1037" t="str">
            <v>N1</v>
          </cell>
          <cell r="H1037" t="str">
            <v>b2</v>
          </cell>
          <cell r="I1037" t="str">
            <v>N1-b2</v>
          </cell>
          <cell r="J1037">
            <v>13</v>
          </cell>
          <cell r="K1037" t="str">
            <v>06</v>
          </cell>
        </row>
        <row r="1038">
          <cell r="A1038" t="str">
            <v>13-07</v>
          </cell>
          <cell r="B1038">
            <v>775</v>
          </cell>
          <cell r="C1038" t="str">
            <v>C1.DK.13.07</v>
          </cell>
          <cell r="D1038" t="str">
            <v>DK</v>
          </cell>
          <cell r="E1038" t="str">
            <v>G-148</v>
          </cell>
          <cell r="F1038" t="str">
            <v>DK041</v>
          </cell>
          <cell r="G1038" t="str">
            <v>N1</v>
          </cell>
          <cell r="H1038" t="str">
            <v>b2</v>
          </cell>
          <cell r="I1038" t="str">
            <v>N1-b2</v>
          </cell>
          <cell r="J1038">
            <v>13</v>
          </cell>
          <cell r="K1038" t="str">
            <v>07</v>
          </cell>
        </row>
        <row r="1039">
          <cell r="A1039" t="str">
            <v>13-08</v>
          </cell>
          <cell r="B1039">
            <v>776</v>
          </cell>
          <cell r="C1039" t="str">
            <v>C1.DK.13.08</v>
          </cell>
          <cell r="D1039" t="str">
            <v>DK</v>
          </cell>
          <cell r="E1039" t="str">
            <v>G-125</v>
          </cell>
          <cell r="F1039" t="str">
            <v>Tenor</v>
          </cell>
          <cell r="G1039" t="str">
            <v>N1</v>
          </cell>
          <cell r="H1039" t="str">
            <v>b2</v>
          </cell>
          <cell r="I1039" t="str">
            <v>N1-b2</v>
          </cell>
          <cell r="J1039">
            <v>13</v>
          </cell>
          <cell r="K1039" t="str">
            <v>08</v>
          </cell>
        </row>
        <row r="1040">
          <cell r="A1040" t="str">
            <v>13-09</v>
          </cell>
          <cell r="B1040">
            <v>777</v>
          </cell>
          <cell r="C1040" t="str">
            <v>C1.DK.13.09</v>
          </cell>
          <cell r="D1040" t="str">
            <v>DK</v>
          </cell>
          <cell r="E1040" t="str">
            <v>G-181</v>
          </cell>
          <cell r="F1040" t="str">
            <v>DK101</v>
          </cell>
          <cell r="G1040" t="str">
            <v>N1</v>
          </cell>
          <cell r="H1040" t="str">
            <v>b2</v>
          </cell>
          <cell r="I1040" t="str">
            <v>N1-b2</v>
          </cell>
          <cell r="J1040">
            <v>13</v>
          </cell>
          <cell r="K1040" t="str">
            <v>09</v>
          </cell>
        </row>
        <row r="1041">
          <cell r="A1041" t="str">
            <v>13-10</v>
          </cell>
          <cell r="B1041">
            <v>778</v>
          </cell>
          <cell r="C1041" t="str">
            <v>C1.DK.13.10</v>
          </cell>
          <cell r="D1041" t="str">
            <v>DK</v>
          </cell>
          <cell r="E1041" t="str">
            <v>G-207</v>
          </cell>
          <cell r="F1041" t="str">
            <v>DK149</v>
          </cell>
          <cell r="G1041" t="str">
            <v>N1</v>
          </cell>
          <cell r="H1041" t="str">
            <v>b2</v>
          </cell>
          <cell r="I1041" t="str">
            <v>N1-b2</v>
          </cell>
          <cell r="J1041">
            <v>13</v>
          </cell>
          <cell r="K1041" t="str">
            <v>10</v>
          </cell>
        </row>
        <row r="1042">
          <cell r="A1042" t="str">
            <v>13-11</v>
          </cell>
          <cell r="B1042">
            <v>779</v>
          </cell>
          <cell r="C1042" t="str">
            <v>C1.DK.13.11</v>
          </cell>
          <cell r="D1042" t="str">
            <v>DK</v>
          </cell>
          <cell r="E1042" t="str">
            <v>G-210</v>
          </cell>
          <cell r="F1042" t="str">
            <v>DK154</v>
          </cell>
          <cell r="G1042" t="str">
            <v>N1</v>
          </cell>
          <cell r="H1042" t="str">
            <v>b2</v>
          </cell>
          <cell r="I1042" t="str">
            <v>N1-b2</v>
          </cell>
          <cell r="J1042">
            <v>13</v>
          </cell>
          <cell r="K1042" t="str">
            <v>11</v>
          </cell>
        </row>
        <row r="1043">
          <cell r="A1043" t="str">
            <v>13-12</v>
          </cell>
          <cell r="B1043">
            <v>780</v>
          </cell>
          <cell r="C1043" t="str">
            <v>C1.DK.13.12</v>
          </cell>
          <cell r="D1043" t="str">
            <v>DK</v>
          </cell>
          <cell r="E1043" t="str">
            <v>G-133</v>
          </cell>
          <cell r="F1043" t="str">
            <v>DK016</v>
          </cell>
          <cell r="G1043" t="str">
            <v>N1</v>
          </cell>
          <cell r="H1043" t="str">
            <v>b2</v>
          </cell>
          <cell r="I1043" t="str">
            <v>N1-b2</v>
          </cell>
          <cell r="J1043">
            <v>13</v>
          </cell>
          <cell r="K1043" t="str">
            <v>12</v>
          </cell>
        </row>
        <row r="1044">
          <cell r="A1044" t="str">
            <v>13-13</v>
          </cell>
          <cell r="B1044">
            <v>781</v>
          </cell>
          <cell r="C1044" t="str">
            <v>C1.DK.13.13</v>
          </cell>
          <cell r="D1044" t="str">
            <v>DK</v>
          </cell>
          <cell r="E1044" t="str">
            <v>G-197</v>
          </cell>
          <cell r="F1044" t="str">
            <v>DK137</v>
          </cell>
          <cell r="G1044" t="str">
            <v>N1</v>
          </cell>
          <cell r="H1044" t="str">
            <v>b2</v>
          </cell>
          <cell r="I1044" t="str">
            <v>N1-b2</v>
          </cell>
          <cell r="J1044">
            <v>13</v>
          </cell>
          <cell r="K1044" t="str">
            <v>13</v>
          </cell>
        </row>
        <row r="1045">
          <cell r="A1045" t="str">
            <v>13-14</v>
          </cell>
          <cell r="B1045">
            <v>782</v>
          </cell>
          <cell r="C1045" t="str">
            <v>C1.DK.13.14</v>
          </cell>
          <cell r="D1045" t="str">
            <v>DK</v>
          </cell>
          <cell r="E1045" t="str">
            <v>G-153</v>
          </cell>
          <cell r="F1045" t="str">
            <v>DK049</v>
          </cell>
          <cell r="G1045" t="str">
            <v>N1</v>
          </cell>
          <cell r="H1045" t="str">
            <v>b2</v>
          </cell>
          <cell r="I1045" t="str">
            <v>N1-b2</v>
          </cell>
          <cell r="J1045">
            <v>13</v>
          </cell>
          <cell r="K1045" t="str">
            <v>14</v>
          </cell>
        </row>
        <row r="1046">
          <cell r="A1046" t="str">
            <v>13-15</v>
          </cell>
          <cell r="B1046">
            <v>783</v>
          </cell>
          <cell r="C1046" t="str">
            <v>C1.DK.13.15</v>
          </cell>
          <cell r="D1046" t="str">
            <v>DK</v>
          </cell>
          <cell r="E1046" t="str">
            <v>G-139</v>
          </cell>
          <cell r="F1046" t="str">
            <v>DK024</v>
          </cell>
          <cell r="G1046" t="str">
            <v>N1</v>
          </cell>
          <cell r="H1046" t="str">
            <v>b2</v>
          </cell>
          <cell r="I1046" t="str">
            <v>N1-b2</v>
          </cell>
          <cell r="J1046">
            <v>13</v>
          </cell>
          <cell r="K1046" t="str">
            <v>15</v>
          </cell>
        </row>
        <row r="1047">
          <cell r="A1047" t="str">
            <v>13-16</v>
          </cell>
          <cell r="B1047">
            <v>784</v>
          </cell>
          <cell r="C1047" t="str">
            <v>C1.DK.13.16</v>
          </cell>
          <cell r="D1047" t="str">
            <v>DK</v>
          </cell>
          <cell r="E1047" t="str">
            <v>G-147</v>
          </cell>
          <cell r="F1047" t="str">
            <v>DK039</v>
          </cell>
          <cell r="G1047" t="str">
            <v>N1</v>
          </cell>
          <cell r="H1047" t="str">
            <v>b2</v>
          </cell>
          <cell r="I1047" t="str">
            <v>N1-b2</v>
          </cell>
          <cell r="J1047">
            <v>13</v>
          </cell>
          <cell r="K1047" t="str">
            <v>16</v>
          </cell>
        </row>
        <row r="1048">
          <cell r="A1048" t="str">
            <v>13-17</v>
          </cell>
          <cell r="B1048">
            <v>785</v>
          </cell>
          <cell r="C1048" t="str">
            <v>C1.DK.13.17</v>
          </cell>
          <cell r="D1048" t="str">
            <v>DK</v>
          </cell>
          <cell r="E1048" t="str">
            <v>G-125</v>
          </cell>
          <cell r="F1048" t="str">
            <v>Tenor</v>
          </cell>
          <cell r="G1048" t="str">
            <v>N1</v>
          </cell>
          <cell r="H1048" t="str">
            <v>b2</v>
          </cell>
          <cell r="I1048" t="str">
            <v>N1-b2</v>
          </cell>
          <cell r="J1048">
            <v>13</v>
          </cell>
          <cell r="K1048" t="str">
            <v>17</v>
          </cell>
        </row>
        <row r="1049">
          <cell r="A1049" t="str">
            <v>13-18</v>
          </cell>
          <cell r="B1049">
            <v>786</v>
          </cell>
          <cell r="C1049" t="str">
            <v>C1.DK.13.18</v>
          </cell>
          <cell r="D1049" t="str">
            <v>DK</v>
          </cell>
          <cell r="E1049" t="str">
            <v>G-131</v>
          </cell>
          <cell r="F1049" t="str">
            <v>DK012</v>
          </cell>
          <cell r="G1049" t="str">
            <v>N1</v>
          </cell>
          <cell r="H1049" t="str">
            <v>b2</v>
          </cell>
          <cell r="I1049" t="str">
            <v>N1-b2</v>
          </cell>
          <cell r="J1049">
            <v>13</v>
          </cell>
          <cell r="K1049" t="str">
            <v>18</v>
          </cell>
        </row>
        <row r="1050">
          <cell r="A1050" t="str">
            <v>13-19</v>
          </cell>
          <cell r="B1050">
            <v>787</v>
          </cell>
          <cell r="C1050" t="str">
            <v>C1.DK.13.19</v>
          </cell>
          <cell r="D1050" t="str">
            <v>DK</v>
          </cell>
          <cell r="E1050" t="str">
            <v>G-195</v>
          </cell>
          <cell r="F1050" t="str">
            <v>DK133</v>
          </cell>
          <cell r="G1050" t="str">
            <v>N1</v>
          </cell>
          <cell r="H1050" t="str">
            <v>b2</v>
          </cell>
          <cell r="I1050" t="str">
            <v>N1-b2</v>
          </cell>
          <cell r="J1050">
            <v>13</v>
          </cell>
          <cell r="K1050" t="str">
            <v>19</v>
          </cell>
        </row>
        <row r="1051">
          <cell r="A1051" t="str">
            <v>13-20</v>
          </cell>
          <cell r="B1051">
            <v>788</v>
          </cell>
          <cell r="C1051" t="str">
            <v>C1.DK.13.20</v>
          </cell>
          <cell r="D1051" t="str">
            <v>DK</v>
          </cell>
          <cell r="E1051" t="str">
            <v>G-215</v>
          </cell>
          <cell r="F1051" t="str">
            <v>L-Liones2</v>
          </cell>
          <cell r="G1051" t="str">
            <v>N1</v>
          </cell>
          <cell r="H1051" t="str">
            <v>b2</v>
          </cell>
          <cell r="I1051" t="str">
            <v>N1-b2</v>
          </cell>
          <cell r="J1051">
            <v>13</v>
          </cell>
          <cell r="K1051" t="str">
            <v>20</v>
          </cell>
        </row>
        <row r="1052">
          <cell r="A1052" t="str">
            <v>13-21</v>
          </cell>
          <cell r="B1052">
            <v>789</v>
          </cell>
          <cell r="C1052" t="str">
            <v>C1.DK.13.21</v>
          </cell>
          <cell r="D1052" t="str">
            <v>DK</v>
          </cell>
          <cell r="E1052" t="str">
            <v>G-205</v>
          </cell>
          <cell r="F1052" t="str">
            <v>DK147</v>
          </cell>
          <cell r="G1052" t="str">
            <v>N1</v>
          </cell>
          <cell r="H1052" t="str">
            <v>b2</v>
          </cell>
          <cell r="I1052" t="str">
            <v>N1-b2</v>
          </cell>
          <cell r="J1052">
            <v>13</v>
          </cell>
          <cell r="K1052" t="str">
            <v>21</v>
          </cell>
        </row>
        <row r="1053">
          <cell r="A1053" t="str">
            <v>13-22</v>
          </cell>
          <cell r="B1053">
            <v>790</v>
          </cell>
          <cell r="C1053" t="str">
            <v>C1.DK.13.22</v>
          </cell>
          <cell r="D1053" t="str">
            <v>DK</v>
          </cell>
          <cell r="E1053" t="str">
            <v>G-155</v>
          </cell>
          <cell r="F1053" t="str">
            <v>DK053</v>
          </cell>
          <cell r="G1053" t="str">
            <v>N1</v>
          </cell>
          <cell r="H1053" t="str">
            <v>b2</v>
          </cell>
          <cell r="I1053" t="str">
            <v>N1-b2</v>
          </cell>
          <cell r="J1053">
            <v>13</v>
          </cell>
          <cell r="K1053" t="str">
            <v>22</v>
          </cell>
        </row>
        <row r="1054">
          <cell r="A1054" t="str">
            <v>13-23</v>
          </cell>
          <cell r="B1054">
            <v>791</v>
          </cell>
          <cell r="C1054" t="str">
            <v>C1.DK.13.23</v>
          </cell>
          <cell r="D1054" t="str">
            <v>DK</v>
          </cell>
          <cell r="E1054" t="str">
            <v>G-178</v>
          </cell>
          <cell r="F1054" t="str">
            <v>DK095</v>
          </cell>
          <cell r="G1054" t="str">
            <v>N1</v>
          </cell>
          <cell r="H1054" t="str">
            <v>b2</v>
          </cell>
          <cell r="I1054" t="str">
            <v>N1-b2</v>
          </cell>
          <cell r="J1054">
            <v>13</v>
          </cell>
          <cell r="K1054" t="str">
            <v>23</v>
          </cell>
        </row>
        <row r="1055">
          <cell r="A1055" t="str">
            <v>13-24</v>
          </cell>
          <cell r="B1055">
            <v>792</v>
          </cell>
          <cell r="C1055" t="str">
            <v>C1.DK.13.24</v>
          </cell>
          <cell r="D1055" t="str">
            <v>DK</v>
          </cell>
          <cell r="E1055" t="str">
            <v>G-208</v>
          </cell>
          <cell r="F1055" t="str">
            <v>DK152</v>
          </cell>
          <cell r="G1055" t="str">
            <v>N1</v>
          </cell>
          <cell r="H1055" t="str">
            <v>b2</v>
          </cell>
          <cell r="I1055" t="str">
            <v>N1-b2</v>
          </cell>
          <cell r="J1055">
            <v>13</v>
          </cell>
          <cell r="K1055" t="str">
            <v>24</v>
          </cell>
        </row>
        <row r="1056">
          <cell r="A1056" t="str">
            <v>13-25</v>
          </cell>
          <cell r="B1056">
            <v>793</v>
          </cell>
          <cell r="C1056" t="str">
            <v>C1.DK.13.25</v>
          </cell>
          <cell r="D1056" t="str">
            <v>DK</v>
          </cell>
          <cell r="E1056" t="str">
            <v>G-175</v>
          </cell>
          <cell r="F1056" t="str">
            <v>DK091</v>
          </cell>
          <cell r="G1056" t="str">
            <v>N1</v>
          </cell>
          <cell r="H1056" t="str">
            <v>b2</v>
          </cell>
          <cell r="I1056" t="str">
            <v>N1-b2</v>
          </cell>
          <cell r="J1056">
            <v>13</v>
          </cell>
          <cell r="K1056" t="str">
            <v>25</v>
          </cell>
        </row>
        <row r="1057">
          <cell r="A1057" t="str">
            <v>13-26</v>
          </cell>
          <cell r="B1057">
            <v>794</v>
          </cell>
          <cell r="C1057" t="str">
            <v>C1.DK.13.26</v>
          </cell>
          <cell r="D1057" t="str">
            <v>DK</v>
          </cell>
          <cell r="E1057" t="str">
            <v>G-157</v>
          </cell>
          <cell r="F1057" t="str">
            <v>DK057</v>
          </cell>
          <cell r="G1057" t="str">
            <v>N1</v>
          </cell>
          <cell r="H1057" t="str">
            <v>b2</v>
          </cell>
          <cell r="I1057" t="str">
            <v>N1-b2</v>
          </cell>
          <cell r="J1057">
            <v>13</v>
          </cell>
          <cell r="K1057" t="str">
            <v>26</v>
          </cell>
        </row>
        <row r="1058">
          <cell r="A1058" t="str">
            <v>13-27</v>
          </cell>
          <cell r="B1058">
            <v>795</v>
          </cell>
          <cell r="C1058" t="str">
            <v>C1.DK.13.27</v>
          </cell>
          <cell r="D1058" t="str">
            <v>DK</v>
          </cell>
          <cell r="E1058" t="str">
            <v>G-176</v>
          </cell>
          <cell r="F1058" t="str">
            <v>DK093</v>
          </cell>
          <cell r="G1058" t="str">
            <v>N1</v>
          </cell>
          <cell r="H1058" t="str">
            <v>b2</v>
          </cell>
          <cell r="I1058" t="str">
            <v>N1-b2</v>
          </cell>
          <cell r="J1058">
            <v>13</v>
          </cell>
          <cell r="K1058" t="str">
            <v>27</v>
          </cell>
        </row>
        <row r="1059">
          <cell r="A1059" t="str">
            <v>13-28</v>
          </cell>
          <cell r="B1059">
            <v>796</v>
          </cell>
          <cell r="C1059" t="str">
            <v>C1.DK.13.28</v>
          </cell>
          <cell r="D1059" t="str">
            <v>DK</v>
          </cell>
          <cell r="E1059" t="str">
            <v>G-128</v>
          </cell>
          <cell r="F1059" t="str">
            <v>DK007</v>
          </cell>
          <cell r="G1059" t="str">
            <v>N1</v>
          </cell>
          <cell r="H1059" t="str">
            <v>b2</v>
          </cell>
          <cell r="I1059" t="str">
            <v>N1-b2</v>
          </cell>
          <cell r="J1059">
            <v>13</v>
          </cell>
          <cell r="K1059" t="str">
            <v>28</v>
          </cell>
        </row>
        <row r="1060">
          <cell r="A1060" t="str">
            <v>13-29</v>
          </cell>
          <cell r="B1060">
            <v>797</v>
          </cell>
          <cell r="C1060" t="str">
            <v>C1.DK.13.29</v>
          </cell>
          <cell r="D1060" t="str">
            <v>DK</v>
          </cell>
          <cell r="E1060" t="str">
            <v>G-203</v>
          </cell>
          <cell r="F1060" t="str">
            <v>DK145</v>
          </cell>
          <cell r="G1060" t="str">
            <v>N1</v>
          </cell>
          <cell r="H1060" t="str">
            <v>b2</v>
          </cell>
          <cell r="I1060" t="str">
            <v>N1-b2</v>
          </cell>
          <cell r="J1060">
            <v>13</v>
          </cell>
          <cell r="K1060" t="str">
            <v>29</v>
          </cell>
        </row>
        <row r="1061">
          <cell r="A1061" t="str">
            <v>13-30</v>
          </cell>
          <cell r="B1061">
            <v>798</v>
          </cell>
          <cell r="C1061" t="str">
            <v>C1.DK.13.30</v>
          </cell>
          <cell r="D1061" t="str">
            <v>DK</v>
          </cell>
          <cell r="E1061" t="str">
            <v>G-156</v>
          </cell>
          <cell r="F1061" t="str">
            <v>DK055</v>
          </cell>
          <cell r="G1061" t="str">
            <v>N1</v>
          </cell>
          <cell r="H1061" t="str">
            <v>b2</v>
          </cell>
          <cell r="I1061" t="str">
            <v>N1-b2</v>
          </cell>
          <cell r="J1061">
            <v>13</v>
          </cell>
          <cell r="K1061" t="str">
            <v>30</v>
          </cell>
        </row>
        <row r="1062">
          <cell r="A1062" t="str">
            <v>13-31</v>
          </cell>
          <cell r="B1062">
            <v>799</v>
          </cell>
          <cell r="C1062" t="str">
            <v>C1.DK.13.31</v>
          </cell>
          <cell r="D1062" t="str">
            <v>DK</v>
          </cell>
          <cell r="E1062" t="str">
            <v>G-168</v>
          </cell>
          <cell r="F1062" t="str">
            <v>DK079</v>
          </cell>
          <cell r="G1062" t="str">
            <v>N1</v>
          </cell>
          <cell r="H1062" t="str">
            <v>b2</v>
          </cell>
          <cell r="I1062" t="str">
            <v>N1-b2</v>
          </cell>
          <cell r="J1062">
            <v>13</v>
          </cell>
          <cell r="K1062" t="str">
            <v>31</v>
          </cell>
        </row>
        <row r="1063">
          <cell r="A1063" t="str">
            <v>13-32</v>
          </cell>
          <cell r="B1063">
            <v>800</v>
          </cell>
          <cell r="C1063" t="str">
            <v>C1.DK.13.32</v>
          </cell>
          <cell r="D1063" t="str">
            <v>DK</v>
          </cell>
          <cell r="E1063" t="str">
            <v>G-149</v>
          </cell>
          <cell r="F1063" t="str">
            <v>DK042</v>
          </cell>
          <cell r="G1063" t="str">
            <v>N1</v>
          </cell>
          <cell r="H1063" t="str">
            <v>b2</v>
          </cell>
          <cell r="I1063" t="str">
            <v>N1-b2</v>
          </cell>
          <cell r="J1063">
            <v>13</v>
          </cell>
          <cell r="K1063" t="str">
            <v>32</v>
          </cell>
        </row>
        <row r="1064">
          <cell r="A1064" t="str">
            <v>13-33</v>
          </cell>
          <cell r="B1064">
            <v>801</v>
          </cell>
          <cell r="C1064" t="str">
            <v>C1.DK.13.33</v>
          </cell>
          <cell r="D1064" t="str">
            <v>DK</v>
          </cell>
          <cell r="E1064" t="str">
            <v>G-200</v>
          </cell>
          <cell r="F1064" t="str">
            <v>DK142</v>
          </cell>
          <cell r="G1064" t="str">
            <v>N2</v>
          </cell>
          <cell r="H1064" t="str">
            <v>b2</v>
          </cell>
          <cell r="I1064" t="str">
            <v>N2-b2</v>
          </cell>
          <cell r="J1064">
            <v>13</v>
          </cell>
          <cell r="K1064" t="str">
            <v>33</v>
          </cell>
        </row>
        <row r="1065">
          <cell r="A1065" t="str">
            <v>13-34</v>
          </cell>
          <cell r="B1065">
            <v>802</v>
          </cell>
          <cell r="C1065" t="str">
            <v>C1.DK.13.34</v>
          </cell>
          <cell r="D1065" t="str">
            <v>DK</v>
          </cell>
          <cell r="E1065" t="str">
            <v>G-126</v>
          </cell>
          <cell r="F1065" t="str">
            <v>Express</v>
          </cell>
          <cell r="G1065" t="str">
            <v>N2</v>
          </cell>
          <cell r="H1065" t="str">
            <v>b2</v>
          </cell>
          <cell r="I1065" t="str">
            <v>N2-b2</v>
          </cell>
          <cell r="J1065">
            <v>13</v>
          </cell>
          <cell r="K1065" t="str">
            <v>34</v>
          </cell>
        </row>
        <row r="1066">
          <cell r="A1066" t="str">
            <v>13-35</v>
          </cell>
          <cell r="B1066">
            <v>803</v>
          </cell>
          <cell r="C1066" t="str">
            <v>C1.DK.13.35</v>
          </cell>
          <cell r="D1066" t="str">
            <v>DK</v>
          </cell>
          <cell r="E1066" t="str">
            <v>G-209</v>
          </cell>
          <cell r="F1066" t="str">
            <v>DK153</v>
          </cell>
          <cell r="G1066" t="str">
            <v>N2</v>
          </cell>
          <cell r="H1066" t="str">
            <v>b2</v>
          </cell>
          <cell r="I1066" t="str">
            <v>N2-b2</v>
          </cell>
          <cell r="J1066">
            <v>13</v>
          </cell>
          <cell r="K1066" t="str">
            <v>35</v>
          </cell>
        </row>
        <row r="1067">
          <cell r="A1067" t="str">
            <v>13-36</v>
          </cell>
          <cell r="B1067">
            <v>804</v>
          </cell>
          <cell r="C1067" t="str">
            <v>C1.DK.13.36</v>
          </cell>
          <cell r="D1067" t="str">
            <v>DK</v>
          </cell>
          <cell r="E1067" t="str">
            <v>G-215</v>
          </cell>
          <cell r="F1067" t="str">
            <v>L-Liones2</v>
          </cell>
          <cell r="G1067" t="str">
            <v>N2</v>
          </cell>
          <cell r="H1067" t="str">
            <v>b2</v>
          </cell>
          <cell r="I1067" t="str">
            <v>N2-b2</v>
          </cell>
          <cell r="J1067">
            <v>13</v>
          </cell>
          <cell r="K1067" t="str">
            <v>36</v>
          </cell>
        </row>
        <row r="1068">
          <cell r="A1068" t="str">
            <v>13-37</v>
          </cell>
          <cell r="B1068">
            <v>805</v>
          </cell>
          <cell r="C1068" t="str">
            <v>C1.DK.13.37</v>
          </cell>
          <cell r="D1068" t="str">
            <v>DK</v>
          </cell>
          <cell r="E1068" t="str">
            <v>G-193</v>
          </cell>
          <cell r="F1068" t="str">
            <v>DK124</v>
          </cell>
          <cell r="G1068" t="str">
            <v>N2</v>
          </cell>
          <cell r="H1068" t="str">
            <v>b2</v>
          </cell>
          <cell r="I1068" t="str">
            <v>N2-b2</v>
          </cell>
          <cell r="J1068">
            <v>13</v>
          </cell>
          <cell r="K1068" t="str">
            <v>37</v>
          </cell>
        </row>
        <row r="1069">
          <cell r="A1069" t="str">
            <v>13-38</v>
          </cell>
          <cell r="B1069">
            <v>806</v>
          </cell>
          <cell r="C1069" t="str">
            <v>C1.DK.13.38</v>
          </cell>
          <cell r="D1069" t="str">
            <v>DK</v>
          </cell>
          <cell r="E1069" t="str">
            <v>G-184</v>
          </cell>
          <cell r="F1069" t="str">
            <v>DK108</v>
          </cell>
          <cell r="G1069" t="str">
            <v>N2</v>
          </cell>
          <cell r="H1069" t="str">
            <v>b2</v>
          </cell>
          <cell r="I1069" t="str">
            <v>N2-b2</v>
          </cell>
          <cell r="J1069">
            <v>13</v>
          </cell>
          <cell r="K1069" t="str">
            <v>38</v>
          </cell>
        </row>
        <row r="1070">
          <cell r="A1070" t="str">
            <v>13-39</v>
          </cell>
          <cell r="B1070">
            <v>807</v>
          </cell>
          <cell r="C1070" t="str">
            <v>C1.DK.13.39</v>
          </cell>
          <cell r="D1070" t="str">
            <v>DK</v>
          </cell>
          <cell r="E1070" t="str">
            <v>G-188</v>
          </cell>
          <cell r="F1070" t="str">
            <v>DK113</v>
          </cell>
          <cell r="G1070" t="str">
            <v>N2</v>
          </cell>
          <cell r="H1070" t="str">
            <v>b2</v>
          </cell>
          <cell r="I1070" t="str">
            <v>N2-b2</v>
          </cell>
          <cell r="J1070">
            <v>13</v>
          </cell>
          <cell r="K1070" t="str">
            <v>39</v>
          </cell>
        </row>
        <row r="1071">
          <cell r="A1071" t="str">
            <v>13-40</v>
          </cell>
          <cell r="B1071">
            <v>808</v>
          </cell>
          <cell r="C1071" t="str">
            <v>C1.DK.13.40</v>
          </cell>
          <cell r="D1071" t="str">
            <v>DK</v>
          </cell>
          <cell r="E1071" t="str">
            <v>G-170</v>
          </cell>
          <cell r="F1071" t="str">
            <v>DK081</v>
          </cell>
          <cell r="G1071" t="str">
            <v>N2</v>
          </cell>
          <cell r="H1071" t="str">
            <v>b2</v>
          </cell>
          <cell r="I1071" t="str">
            <v>N2-b2</v>
          </cell>
          <cell r="J1071">
            <v>13</v>
          </cell>
          <cell r="K1071" t="str">
            <v>40</v>
          </cell>
        </row>
        <row r="1072">
          <cell r="A1072" t="str">
            <v>13-41</v>
          </cell>
          <cell r="B1072">
            <v>809</v>
          </cell>
          <cell r="C1072" t="str">
            <v>C1.DK.13.41</v>
          </cell>
          <cell r="D1072" t="str">
            <v>DK</v>
          </cell>
          <cell r="E1072" t="str">
            <v>G-140</v>
          </cell>
          <cell r="F1072" t="str">
            <v>DK029</v>
          </cell>
          <cell r="G1072" t="str">
            <v>N2</v>
          </cell>
          <cell r="H1072" t="str">
            <v>b2</v>
          </cell>
          <cell r="I1072" t="str">
            <v>N2-b2</v>
          </cell>
          <cell r="J1072">
            <v>13</v>
          </cell>
          <cell r="K1072" t="str">
            <v>41</v>
          </cell>
        </row>
        <row r="1073">
          <cell r="A1073" t="str">
            <v>13-42</v>
          </cell>
          <cell r="B1073">
            <v>810</v>
          </cell>
          <cell r="C1073" t="str">
            <v>C1.DK.13.42</v>
          </cell>
          <cell r="D1073" t="str">
            <v>DK</v>
          </cell>
          <cell r="E1073" t="str">
            <v>G-126</v>
          </cell>
          <cell r="F1073" t="str">
            <v>Express</v>
          </cell>
          <cell r="G1073" t="str">
            <v>N2</v>
          </cell>
          <cell r="H1073" t="str">
            <v>b2</v>
          </cell>
          <cell r="I1073" t="str">
            <v>N2-b2</v>
          </cell>
          <cell r="J1073">
            <v>13</v>
          </cell>
          <cell r="K1073" t="str">
            <v>42</v>
          </cell>
        </row>
        <row r="1074">
          <cell r="A1074" t="str">
            <v>13-43</v>
          </cell>
          <cell r="B1074">
            <v>811</v>
          </cell>
          <cell r="C1074" t="str">
            <v>C1.DK.13.43</v>
          </cell>
          <cell r="D1074" t="str">
            <v>DK</v>
          </cell>
          <cell r="E1074" t="str">
            <v>G-191</v>
          </cell>
          <cell r="F1074" t="str">
            <v>DK119</v>
          </cell>
          <cell r="G1074" t="str">
            <v>N2</v>
          </cell>
          <cell r="H1074" t="str">
            <v>b2</v>
          </cell>
          <cell r="I1074" t="str">
            <v>N2-b2</v>
          </cell>
          <cell r="J1074">
            <v>13</v>
          </cell>
          <cell r="K1074" t="str">
            <v>43</v>
          </cell>
        </row>
        <row r="1075">
          <cell r="A1075" t="str">
            <v>13-44</v>
          </cell>
          <cell r="B1075">
            <v>812</v>
          </cell>
          <cell r="C1075" t="str">
            <v>C1.DK.13.44</v>
          </cell>
          <cell r="D1075" t="str">
            <v>DK</v>
          </cell>
          <cell r="E1075" t="str">
            <v>G-182</v>
          </cell>
          <cell r="F1075" t="str">
            <v>DK103</v>
          </cell>
          <cell r="G1075" t="str">
            <v>N2</v>
          </cell>
          <cell r="H1075" t="str">
            <v>b2</v>
          </cell>
          <cell r="I1075" t="str">
            <v>N2-b2</v>
          </cell>
          <cell r="J1075">
            <v>13</v>
          </cell>
          <cell r="K1075" t="str">
            <v>44</v>
          </cell>
        </row>
        <row r="1076">
          <cell r="A1076" t="str">
            <v>13-45</v>
          </cell>
          <cell r="B1076">
            <v>813</v>
          </cell>
          <cell r="C1076" t="str">
            <v>C1.DK.13.45</v>
          </cell>
          <cell r="D1076" t="str">
            <v>DK</v>
          </cell>
          <cell r="E1076" t="str">
            <v>G-214</v>
          </cell>
          <cell r="F1076" t="str">
            <v>Darmor2</v>
          </cell>
          <cell r="G1076" t="str">
            <v>N2</v>
          </cell>
          <cell r="H1076" t="str">
            <v>b2</v>
          </cell>
          <cell r="I1076" t="str">
            <v>N2-b2</v>
          </cell>
          <cell r="J1076">
            <v>13</v>
          </cell>
          <cell r="K1076" t="str">
            <v>45</v>
          </cell>
        </row>
        <row r="1077">
          <cell r="A1077" t="str">
            <v>13-46</v>
          </cell>
          <cell r="B1077">
            <v>814</v>
          </cell>
          <cell r="C1077" t="str">
            <v>C1.DK.13.46</v>
          </cell>
          <cell r="D1077" t="str">
            <v>DK</v>
          </cell>
          <cell r="E1077" t="str">
            <v>G-187</v>
          </cell>
          <cell r="F1077" t="str">
            <v>DK112</v>
          </cell>
          <cell r="G1077" t="str">
            <v>N2</v>
          </cell>
          <cell r="H1077" t="str">
            <v>b2</v>
          </cell>
          <cell r="I1077" t="str">
            <v>N2-b2</v>
          </cell>
          <cell r="J1077">
            <v>13</v>
          </cell>
          <cell r="K1077" t="str">
            <v>46</v>
          </cell>
        </row>
        <row r="1078">
          <cell r="A1078" t="str">
            <v>13-47</v>
          </cell>
          <cell r="B1078">
            <v>815</v>
          </cell>
          <cell r="C1078" t="str">
            <v>C1.DK.13.47</v>
          </cell>
          <cell r="D1078" t="str">
            <v>DK</v>
          </cell>
          <cell r="E1078" t="str">
            <v>G-132</v>
          </cell>
          <cell r="F1078" t="str">
            <v>DK013</v>
          </cell>
          <cell r="G1078" t="str">
            <v>N2</v>
          </cell>
          <cell r="H1078" t="str">
            <v>b2</v>
          </cell>
          <cell r="I1078" t="str">
            <v>N2-b2</v>
          </cell>
          <cell r="J1078">
            <v>13</v>
          </cell>
          <cell r="K1078" t="str">
            <v>47</v>
          </cell>
        </row>
        <row r="1079">
          <cell r="A1079" t="str">
            <v>13-48</v>
          </cell>
          <cell r="B1079">
            <v>816</v>
          </cell>
          <cell r="C1079" t="str">
            <v>C1.DK.13.48</v>
          </cell>
          <cell r="D1079" t="str">
            <v>DK</v>
          </cell>
          <cell r="E1079" t="str">
            <v>G-137</v>
          </cell>
          <cell r="F1079" t="str">
            <v>DK021</v>
          </cell>
          <cell r="G1079" t="str">
            <v>N2</v>
          </cell>
          <cell r="H1079" t="str">
            <v>b2</v>
          </cell>
          <cell r="I1079" t="str">
            <v>N2-b2</v>
          </cell>
          <cell r="J1079">
            <v>13</v>
          </cell>
          <cell r="K1079" t="str">
            <v>48</v>
          </cell>
        </row>
        <row r="1080">
          <cell r="A1080" t="str">
            <v>13-49</v>
          </cell>
          <cell r="B1080">
            <v>817</v>
          </cell>
          <cell r="C1080" t="str">
            <v>C1.DK.13.49</v>
          </cell>
          <cell r="D1080" t="str">
            <v>DK</v>
          </cell>
          <cell r="E1080" t="str">
            <v>G-205</v>
          </cell>
          <cell r="F1080" t="str">
            <v>DK147</v>
          </cell>
          <cell r="G1080" t="str">
            <v>N2</v>
          </cell>
          <cell r="H1080" t="str">
            <v>b2</v>
          </cell>
          <cell r="I1080" t="str">
            <v>N2-b2</v>
          </cell>
          <cell r="J1080">
            <v>13</v>
          </cell>
          <cell r="K1080" t="str">
            <v>49</v>
          </cell>
        </row>
        <row r="1081">
          <cell r="A1081" t="str">
            <v>13-50</v>
          </cell>
          <cell r="B1081">
            <v>818</v>
          </cell>
          <cell r="C1081" t="str">
            <v>C1.DK.13.50</v>
          </cell>
          <cell r="D1081" t="str">
            <v>DK</v>
          </cell>
          <cell r="E1081" t="str">
            <v>G-129</v>
          </cell>
          <cell r="F1081" t="str">
            <v>DK008</v>
          </cell>
          <cell r="G1081" t="str">
            <v>N2</v>
          </cell>
          <cell r="H1081" t="str">
            <v>b2</v>
          </cell>
          <cell r="I1081" t="str">
            <v>N2-b2</v>
          </cell>
          <cell r="J1081">
            <v>13</v>
          </cell>
          <cell r="K1081" t="str">
            <v>50</v>
          </cell>
        </row>
        <row r="1082">
          <cell r="A1082" t="str">
            <v>13-51</v>
          </cell>
          <cell r="B1082">
            <v>819</v>
          </cell>
          <cell r="C1082" t="str">
            <v>C1.DK.13.51</v>
          </cell>
          <cell r="D1082" t="str">
            <v>DK</v>
          </cell>
          <cell r="E1082" t="str">
            <v>G-195</v>
          </cell>
          <cell r="F1082" t="str">
            <v>DK133</v>
          </cell>
          <cell r="G1082" t="str">
            <v>N2</v>
          </cell>
          <cell r="H1082" t="str">
            <v>b2</v>
          </cell>
          <cell r="I1082" t="str">
            <v>N2-b2</v>
          </cell>
          <cell r="J1082">
            <v>13</v>
          </cell>
          <cell r="K1082" t="str">
            <v>51</v>
          </cell>
        </row>
        <row r="1083">
          <cell r="A1083" t="str">
            <v>13-52</v>
          </cell>
          <cell r="B1083">
            <v>820</v>
          </cell>
          <cell r="C1083" t="str">
            <v>C1.DK.13.52</v>
          </cell>
          <cell r="D1083" t="str">
            <v>DK</v>
          </cell>
          <cell r="E1083" t="str">
            <v>G-201</v>
          </cell>
          <cell r="F1083" t="str">
            <v>DK143</v>
          </cell>
          <cell r="G1083" t="str">
            <v>N2</v>
          </cell>
          <cell r="H1083" t="str">
            <v>b2</v>
          </cell>
          <cell r="I1083" t="str">
            <v>N2-b2</v>
          </cell>
          <cell r="J1083">
            <v>13</v>
          </cell>
          <cell r="K1083" t="str">
            <v>52</v>
          </cell>
        </row>
        <row r="1084">
          <cell r="A1084" t="str">
            <v>13-53</v>
          </cell>
          <cell r="B1084">
            <v>821</v>
          </cell>
          <cell r="C1084" t="str">
            <v>C1.DK.13.53</v>
          </cell>
          <cell r="D1084" t="str">
            <v>DK</v>
          </cell>
          <cell r="E1084" t="str">
            <v>G-164</v>
          </cell>
          <cell r="F1084" t="str">
            <v>DK069</v>
          </cell>
          <cell r="G1084" t="str">
            <v>N2</v>
          </cell>
          <cell r="H1084" t="str">
            <v>b2</v>
          </cell>
          <cell r="I1084" t="str">
            <v>N2-b2</v>
          </cell>
          <cell r="J1084">
            <v>13</v>
          </cell>
          <cell r="K1084" t="str">
            <v>53</v>
          </cell>
        </row>
        <row r="1085">
          <cell r="A1085" t="str">
            <v>13-54</v>
          </cell>
          <cell r="B1085">
            <v>822</v>
          </cell>
          <cell r="C1085" t="str">
            <v>C1.DK.13.54</v>
          </cell>
          <cell r="D1085" t="str">
            <v>DK</v>
          </cell>
          <cell r="E1085" t="str">
            <v>G-166</v>
          </cell>
          <cell r="F1085" t="str">
            <v>DK074</v>
          </cell>
          <cell r="G1085" t="str">
            <v>N2</v>
          </cell>
          <cell r="H1085" t="str">
            <v>b2</v>
          </cell>
          <cell r="I1085" t="str">
            <v>N2-b2</v>
          </cell>
          <cell r="J1085">
            <v>13</v>
          </cell>
          <cell r="K1085" t="str">
            <v>54</v>
          </cell>
        </row>
        <row r="1086">
          <cell r="A1086" t="str">
            <v>13-55</v>
          </cell>
          <cell r="B1086">
            <v>823</v>
          </cell>
          <cell r="C1086" t="str">
            <v>C1.DK.13.55</v>
          </cell>
          <cell r="D1086" t="str">
            <v>DK</v>
          </cell>
          <cell r="E1086" t="str">
            <v>G-210</v>
          </cell>
          <cell r="F1086" t="str">
            <v>DK154</v>
          </cell>
          <cell r="G1086" t="str">
            <v>N2</v>
          </cell>
          <cell r="H1086" t="str">
            <v>b2</v>
          </cell>
          <cell r="I1086" t="str">
            <v>N2-b2</v>
          </cell>
          <cell r="J1086">
            <v>13</v>
          </cell>
          <cell r="K1086" t="str">
            <v>55</v>
          </cell>
        </row>
        <row r="1087">
          <cell r="A1087" t="str">
            <v>13-56</v>
          </cell>
          <cell r="B1087">
            <v>824</v>
          </cell>
          <cell r="C1087" t="str">
            <v>C1.DK.13.56</v>
          </cell>
          <cell r="D1087" t="str">
            <v>DK</v>
          </cell>
          <cell r="E1087" t="str">
            <v>G-204</v>
          </cell>
          <cell r="F1087" t="str">
            <v>DK146</v>
          </cell>
          <cell r="G1087" t="str">
            <v>N2</v>
          </cell>
          <cell r="H1087" t="str">
            <v>b2</v>
          </cell>
          <cell r="I1087" t="str">
            <v>N2-b2</v>
          </cell>
          <cell r="J1087">
            <v>13</v>
          </cell>
          <cell r="K1087" t="str">
            <v>56</v>
          </cell>
        </row>
        <row r="1088">
          <cell r="A1088" t="str">
            <v>13-57</v>
          </cell>
          <cell r="B1088">
            <v>825</v>
          </cell>
          <cell r="C1088" t="str">
            <v>C1.DK.13.57</v>
          </cell>
          <cell r="D1088" t="str">
            <v>DK</v>
          </cell>
          <cell r="E1088" t="str">
            <v>G-185</v>
          </cell>
          <cell r="F1088" t="str">
            <v>DK109</v>
          </cell>
          <cell r="G1088" t="str">
            <v>N2</v>
          </cell>
          <cell r="H1088" t="str">
            <v>b2</v>
          </cell>
          <cell r="I1088" t="str">
            <v>N2-b2</v>
          </cell>
          <cell r="J1088">
            <v>13</v>
          </cell>
          <cell r="K1088" t="str">
            <v>57</v>
          </cell>
        </row>
        <row r="1089">
          <cell r="A1089" t="str">
            <v>13-58</v>
          </cell>
          <cell r="B1089">
            <v>826</v>
          </cell>
          <cell r="C1089" t="str">
            <v>C1.DK.13.58</v>
          </cell>
          <cell r="D1089" t="str">
            <v>DK</v>
          </cell>
          <cell r="E1089" t="str">
            <v>G-198</v>
          </cell>
          <cell r="F1089" t="str">
            <v>DK138</v>
          </cell>
          <cell r="G1089" t="str">
            <v>N2</v>
          </cell>
          <cell r="H1089" t="str">
            <v>b2</v>
          </cell>
          <cell r="I1089" t="str">
            <v>N2-b2</v>
          </cell>
          <cell r="J1089">
            <v>13</v>
          </cell>
          <cell r="K1089" t="str">
            <v>58</v>
          </cell>
        </row>
        <row r="1090">
          <cell r="A1090" t="str">
            <v>13-59</v>
          </cell>
          <cell r="B1090">
            <v>827</v>
          </cell>
          <cell r="C1090" t="str">
            <v>C1.DK.13.59</v>
          </cell>
          <cell r="D1090" t="str">
            <v>DK</v>
          </cell>
          <cell r="E1090" t="str">
            <v>G-160</v>
          </cell>
          <cell r="F1090" t="str">
            <v>DK063</v>
          </cell>
          <cell r="G1090" t="str">
            <v>N2</v>
          </cell>
          <cell r="H1090" t="str">
            <v>b2</v>
          </cell>
          <cell r="I1090" t="str">
            <v>N2-b2</v>
          </cell>
          <cell r="J1090">
            <v>13</v>
          </cell>
          <cell r="K1090" t="str">
            <v>59</v>
          </cell>
        </row>
        <row r="1091">
          <cell r="A1091" t="str">
            <v>13-60</v>
          </cell>
          <cell r="B1091">
            <v>828</v>
          </cell>
          <cell r="C1091" t="str">
            <v>C1.DK.13.60</v>
          </cell>
          <cell r="D1091" t="str">
            <v>DK</v>
          </cell>
          <cell r="E1091" t="str">
            <v>G-206</v>
          </cell>
          <cell r="F1091" t="str">
            <v>DK148</v>
          </cell>
          <cell r="G1091" t="str">
            <v>N2</v>
          </cell>
          <cell r="H1091" t="str">
            <v>b2</v>
          </cell>
          <cell r="I1091" t="str">
            <v>N2-b2</v>
          </cell>
          <cell r="J1091">
            <v>13</v>
          </cell>
          <cell r="K1091" t="str">
            <v>60</v>
          </cell>
        </row>
        <row r="1092">
          <cell r="A1092" t="str">
            <v>13-61</v>
          </cell>
          <cell r="B1092">
            <v>829</v>
          </cell>
          <cell r="C1092" t="str">
            <v>C1.DK.13.61</v>
          </cell>
          <cell r="D1092" t="str">
            <v>DK</v>
          </cell>
          <cell r="E1092" t="str">
            <v>G-125</v>
          </cell>
          <cell r="F1092" t="str">
            <v>Tenor</v>
          </cell>
          <cell r="G1092" t="str">
            <v>N2</v>
          </cell>
          <cell r="H1092" t="str">
            <v>b2</v>
          </cell>
          <cell r="I1092" t="str">
            <v>N2-b2</v>
          </cell>
          <cell r="J1092">
            <v>13</v>
          </cell>
          <cell r="K1092" t="str">
            <v>61</v>
          </cell>
        </row>
        <row r="1093">
          <cell r="A1093" t="str">
            <v>13-62</v>
          </cell>
          <cell r="B1093">
            <v>830</v>
          </cell>
          <cell r="C1093" t="str">
            <v>C1.DK.13.62</v>
          </cell>
          <cell r="D1093" t="str">
            <v>DK</v>
          </cell>
          <cell r="E1093" t="str">
            <v>G-208</v>
          </cell>
          <cell r="F1093" t="str">
            <v>DK152</v>
          </cell>
          <cell r="G1093" t="str">
            <v>N2</v>
          </cell>
          <cell r="H1093" t="str">
            <v>b2</v>
          </cell>
          <cell r="I1093" t="str">
            <v>N2-b2</v>
          </cell>
          <cell r="J1093">
            <v>13</v>
          </cell>
          <cell r="K1093" t="str">
            <v>62</v>
          </cell>
        </row>
        <row r="1094">
          <cell r="A1094" t="str">
            <v>13-63</v>
          </cell>
          <cell r="B1094">
            <v>831</v>
          </cell>
          <cell r="C1094" t="str">
            <v>C1.DK.13.63</v>
          </cell>
          <cell r="D1094" t="str">
            <v>DK</v>
          </cell>
          <cell r="E1094" t="str">
            <v>G-147</v>
          </cell>
          <cell r="F1094" t="str">
            <v>DK039</v>
          </cell>
          <cell r="G1094" t="str">
            <v>N2</v>
          </cell>
          <cell r="H1094" t="str">
            <v>b2</v>
          </cell>
          <cell r="I1094" t="str">
            <v>N2-b2</v>
          </cell>
          <cell r="J1094">
            <v>13</v>
          </cell>
          <cell r="K1094" t="str">
            <v>63</v>
          </cell>
        </row>
        <row r="1095">
          <cell r="A1095" t="str">
            <v>13-64</v>
          </cell>
          <cell r="B1095">
            <v>832</v>
          </cell>
          <cell r="C1095" t="str">
            <v>C1.DK.13.64</v>
          </cell>
          <cell r="D1095" t="str">
            <v>DK</v>
          </cell>
          <cell r="E1095" t="str">
            <v>G-202</v>
          </cell>
          <cell r="F1095" t="str">
            <v>DK144</v>
          </cell>
          <cell r="G1095" t="str">
            <v>N2</v>
          </cell>
          <cell r="H1095" t="str">
            <v>b2</v>
          </cell>
          <cell r="I1095" t="str">
            <v>N2-b2</v>
          </cell>
          <cell r="J1095">
            <v>13</v>
          </cell>
          <cell r="K1095" t="str">
            <v>64</v>
          </cell>
        </row>
        <row r="1096">
          <cell r="A1096" t="str">
            <v>14-01</v>
          </cell>
          <cell r="B1096">
            <v>833</v>
          </cell>
          <cell r="C1096" t="str">
            <v>C1.DK.14.01</v>
          </cell>
          <cell r="D1096" t="str">
            <v>DK</v>
          </cell>
          <cell r="E1096" t="str">
            <v>G-193</v>
          </cell>
          <cell r="F1096" t="str">
            <v>DK124</v>
          </cell>
          <cell r="G1096" t="str">
            <v>N1</v>
          </cell>
          <cell r="H1096" t="str">
            <v>b2</v>
          </cell>
          <cell r="I1096" t="str">
            <v>N1-b2</v>
          </cell>
          <cell r="J1096">
            <v>14</v>
          </cell>
          <cell r="K1096" t="str">
            <v>01</v>
          </cell>
        </row>
        <row r="1097">
          <cell r="A1097" t="str">
            <v>14-02</v>
          </cell>
          <cell r="B1097">
            <v>834</v>
          </cell>
          <cell r="C1097" t="str">
            <v>C1.DK.14.02</v>
          </cell>
          <cell r="D1097" t="str">
            <v>DK</v>
          </cell>
          <cell r="E1097" t="str">
            <v>G-180</v>
          </cell>
          <cell r="F1097" t="str">
            <v>DK098</v>
          </cell>
          <cell r="G1097" t="str">
            <v>N1</v>
          </cell>
          <cell r="H1097" t="str">
            <v>b2</v>
          </cell>
          <cell r="I1097" t="str">
            <v>N1-b2</v>
          </cell>
          <cell r="J1097">
            <v>14</v>
          </cell>
          <cell r="K1097" t="str">
            <v>02</v>
          </cell>
        </row>
        <row r="1098">
          <cell r="A1098" t="str">
            <v>14-03</v>
          </cell>
          <cell r="B1098">
            <v>835</v>
          </cell>
          <cell r="C1098" t="str">
            <v>C1.DK.14.03</v>
          </cell>
          <cell r="D1098" t="str">
            <v>DK</v>
          </cell>
          <cell r="E1098" t="str">
            <v>G-160</v>
          </cell>
          <cell r="F1098" t="str">
            <v>DK063</v>
          </cell>
          <cell r="G1098" t="str">
            <v>N1</v>
          </cell>
          <cell r="H1098" t="str">
            <v>b2</v>
          </cell>
          <cell r="I1098" t="str">
            <v>N1-b2</v>
          </cell>
          <cell r="J1098">
            <v>14</v>
          </cell>
          <cell r="K1098" t="str">
            <v>03</v>
          </cell>
        </row>
        <row r="1099">
          <cell r="A1099" t="str">
            <v>14-04</v>
          </cell>
          <cell r="B1099">
            <v>836</v>
          </cell>
          <cell r="C1099" t="str">
            <v>C1.DK.14.04</v>
          </cell>
          <cell r="D1099" t="str">
            <v>DK</v>
          </cell>
          <cell r="E1099" t="str">
            <v>G-135</v>
          </cell>
          <cell r="F1099" t="str">
            <v>DK018</v>
          </cell>
          <cell r="G1099" t="str">
            <v>N1</v>
          </cell>
          <cell r="H1099" t="str">
            <v>b2</v>
          </cell>
          <cell r="I1099" t="str">
            <v>N1-b2</v>
          </cell>
          <cell r="J1099">
            <v>14</v>
          </cell>
          <cell r="K1099" t="str">
            <v>04</v>
          </cell>
        </row>
        <row r="1100">
          <cell r="A1100" t="str">
            <v>14-05</v>
          </cell>
          <cell r="B1100">
            <v>837</v>
          </cell>
          <cell r="C1100" t="str">
            <v>C1.DK.14.05</v>
          </cell>
          <cell r="D1100" t="str">
            <v>DK</v>
          </cell>
          <cell r="E1100" t="str">
            <v>G-162</v>
          </cell>
          <cell r="F1100" t="str">
            <v>DK066</v>
          </cell>
          <cell r="G1100" t="str">
            <v>N1</v>
          </cell>
          <cell r="H1100" t="str">
            <v>b2</v>
          </cell>
          <cell r="I1100" t="str">
            <v>N1-b2</v>
          </cell>
          <cell r="J1100">
            <v>14</v>
          </cell>
          <cell r="K1100" t="str">
            <v>05</v>
          </cell>
        </row>
        <row r="1101">
          <cell r="A1101" t="str">
            <v>14-06</v>
          </cell>
          <cell r="B1101">
            <v>838</v>
          </cell>
          <cell r="C1101" t="str">
            <v>C1.DK.14.06</v>
          </cell>
          <cell r="D1101" t="str">
            <v>DK</v>
          </cell>
          <cell r="E1101" t="str">
            <v>G-167</v>
          </cell>
          <cell r="F1101" t="str">
            <v>DK075</v>
          </cell>
          <cell r="G1101" t="str">
            <v>N1</v>
          </cell>
          <cell r="H1101" t="str">
            <v>b2</v>
          </cell>
          <cell r="I1101" t="str">
            <v>N1-b2</v>
          </cell>
          <cell r="J1101">
            <v>14</v>
          </cell>
          <cell r="K1101" t="str">
            <v>06</v>
          </cell>
        </row>
        <row r="1102">
          <cell r="A1102" t="str">
            <v>14-07</v>
          </cell>
          <cell r="B1102">
            <v>839</v>
          </cell>
          <cell r="C1102" t="str">
            <v>C1.DK.14.07</v>
          </cell>
          <cell r="D1102" t="str">
            <v>DK</v>
          </cell>
          <cell r="E1102" t="str">
            <v>G-150</v>
          </cell>
          <cell r="F1102" t="str">
            <v>DK044</v>
          </cell>
          <cell r="G1102" t="str">
            <v>N1</v>
          </cell>
          <cell r="H1102" t="str">
            <v>b2</v>
          </cell>
          <cell r="I1102" t="str">
            <v>N1-b2</v>
          </cell>
          <cell r="J1102">
            <v>14</v>
          </cell>
          <cell r="K1102" t="str">
            <v>07</v>
          </cell>
        </row>
        <row r="1103">
          <cell r="A1103" t="str">
            <v>14-08</v>
          </cell>
          <cell r="B1103">
            <v>840</v>
          </cell>
          <cell r="C1103" t="str">
            <v>C1.DK.14.08</v>
          </cell>
          <cell r="D1103" t="str">
            <v>DK</v>
          </cell>
          <cell r="E1103" t="str">
            <v>G-211</v>
          </cell>
          <cell r="F1103" t="str">
            <v>Colvert2</v>
          </cell>
          <cell r="G1103" t="str">
            <v>N1</v>
          </cell>
          <cell r="H1103" t="str">
            <v>b2</v>
          </cell>
          <cell r="I1103" t="str">
            <v>N1-b2</v>
          </cell>
          <cell r="J1103">
            <v>14</v>
          </cell>
          <cell r="K1103" t="str">
            <v>08</v>
          </cell>
        </row>
        <row r="1104">
          <cell r="A1104" t="str">
            <v>14-09</v>
          </cell>
          <cell r="B1104">
            <v>841</v>
          </cell>
          <cell r="C1104" t="str">
            <v>C1.DK.14.09</v>
          </cell>
          <cell r="D1104" t="str">
            <v>DK</v>
          </cell>
          <cell r="E1104" t="str">
            <v>G-134</v>
          </cell>
          <cell r="F1104" t="str">
            <v>DK017</v>
          </cell>
          <cell r="G1104" t="str">
            <v>N1</v>
          </cell>
          <cell r="H1104" t="str">
            <v>b2</v>
          </cell>
          <cell r="I1104" t="str">
            <v>N1-b2</v>
          </cell>
          <cell r="J1104">
            <v>14</v>
          </cell>
          <cell r="K1104" t="str">
            <v>09</v>
          </cell>
        </row>
        <row r="1105">
          <cell r="A1105" t="str">
            <v>14-10</v>
          </cell>
          <cell r="B1105">
            <v>842</v>
          </cell>
          <cell r="C1105" t="str">
            <v>C1.DK.14.10</v>
          </cell>
          <cell r="D1105" t="str">
            <v>DK</v>
          </cell>
          <cell r="E1105" t="str">
            <v>G-132</v>
          </cell>
          <cell r="F1105" t="str">
            <v>DK013</v>
          </cell>
          <cell r="G1105" t="str">
            <v>N1</v>
          </cell>
          <cell r="H1105" t="str">
            <v>b2</v>
          </cell>
          <cell r="I1105" t="str">
            <v>N1-b2</v>
          </cell>
          <cell r="J1105">
            <v>14</v>
          </cell>
          <cell r="K1105" t="str">
            <v>10</v>
          </cell>
        </row>
        <row r="1106">
          <cell r="A1106" t="str">
            <v>14-11</v>
          </cell>
          <cell r="B1106">
            <v>843</v>
          </cell>
          <cell r="C1106" t="str">
            <v>C1.DK.14.11</v>
          </cell>
          <cell r="D1106" t="str">
            <v>DK</v>
          </cell>
          <cell r="E1106" t="str">
            <v>G-126</v>
          </cell>
          <cell r="F1106" t="str">
            <v>Express</v>
          </cell>
          <cell r="G1106" t="str">
            <v>N1</v>
          </cell>
          <cell r="H1106" t="str">
            <v>b2</v>
          </cell>
          <cell r="I1106" t="str">
            <v>N1-b2</v>
          </cell>
          <cell r="J1106">
            <v>14</v>
          </cell>
          <cell r="K1106" t="str">
            <v>11</v>
          </cell>
        </row>
        <row r="1107">
          <cell r="A1107" t="str">
            <v>14-12</v>
          </cell>
          <cell r="B1107">
            <v>844</v>
          </cell>
          <cell r="C1107" t="str">
            <v>C1.DK.14.12</v>
          </cell>
          <cell r="D1107" t="str">
            <v>DK</v>
          </cell>
          <cell r="E1107" t="str">
            <v>G-173</v>
          </cell>
          <cell r="F1107" t="str">
            <v>DK085</v>
          </cell>
          <cell r="G1107" t="str">
            <v>N1</v>
          </cell>
          <cell r="H1107" t="str">
            <v>b2</v>
          </cell>
          <cell r="I1107" t="str">
            <v>N1-b2</v>
          </cell>
          <cell r="J1107">
            <v>14</v>
          </cell>
          <cell r="K1107" t="str">
            <v>12</v>
          </cell>
        </row>
        <row r="1108">
          <cell r="A1108" t="str">
            <v>14-13</v>
          </cell>
          <cell r="B1108">
            <v>845</v>
          </cell>
          <cell r="C1108" t="str">
            <v>C1.DK.14.13</v>
          </cell>
          <cell r="D1108" t="str">
            <v>DK</v>
          </cell>
          <cell r="E1108" t="str">
            <v>G-126</v>
          </cell>
          <cell r="F1108" t="str">
            <v>Express</v>
          </cell>
          <cell r="G1108" t="str">
            <v>N1</v>
          </cell>
          <cell r="H1108" t="str">
            <v>b2</v>
          </cell>
          <cell r="I1108" t="str">
            <v>N1-b2</v>
          </cell>
          <cell r="J1108">
            <v>14</v>
          </cell>
          <cell r="K1108" t="str">
            <v>13</v>
          </cell>
        </row>
        <row r="1109">
          <cell r="A1109" t="str">
            <v>14-14</v>
          </cell>
          <cell r="B1109">
            <v>846</v>
          </cell>
          <cell r="C1109" t="str">
            <v>C1.DK.14.14</v>
          </cell>
          <cell r="D1109" t="str">
            <v>DK</v>
          </cell>
          <cell r="E1109" t="str">
            <v>G-198</v>
          </cell>
          <cell r="F1109" t="str">
            <v>DK138</v>
          </cell>
          <cell r="G1109" t="str">
            <v>N1</v>
          </cell>
          <cell r="H1109" t="str">
            <v>b2</v>
          </cell>
          <cell r="I1109" t="str">
            <v>N1-b2</v>
          </cell>
          <cell r="J1109">
            <v>14</v>
          </cell>
          <cell r="K1109" t="str">
            <v>14</v>
          </cell>
        </row>
        <row r="1110">
          <cell r="A1110" t="str">
            <v>14-15</v>
          </cell>
          <cell r="B1110">
            <v>847</v>
          </cell>
          <cell r="C1110" t="str">
            <v>C1.DK.14.15</v>
          </cell>
          <cell r="D1110" t="str">
            <v>DK</v>
          </cell>
          <cell r="E1110" t="str">
            <v>G-163</v>
          </cell>
          <cell r="F1110" t="str">
            <v>DK068</v>
          </cell>
          <cell r="G1110" t="str">
            <v>N1</v>
          </cell>
          <cell r="H1110" t="str">
            <v>b2</v>
          </cell>
          <cell r="I1110" t="str">
            <v>N1-b2</v>
          </cell>
          <cell r="J1110">
            <v>14</v>
          </cell>
          <cell r="K1110" t="str">
            <v>15</v>
          </cell>
        </row>
        <row r="1111">
          <cell r="A1111" t="str">
            <v>14-16</v>
          </cell>
          <cell r="B1111">
            <v>848</v>
          </cell>
          <cell r="C1111" t="str">
            <v>C1.DK.14.16</v>
          </cell>
          <cell r="D1111" t="str">
            <v>DK</v>
          </cell>
          <cell r="E1111" t="str">
            <v>G-216</v>
          </cell>
          <cell r="F1111" t="str">
            <v>C-California2</v>
          </cell>
          <cell r="G1111" t="str">
            <v>N1</v>
          </cell>
          <cell r="H1111" t="str">
            <v>b2</v>
          </cell>
          <cell r="I1111" t="str">
            <v>N1-b2</v>
          </cell>
          <cell r="J1111">
            <v>14</v>
          </cell>
          <cell r="K1111" t="str">
            <v>16</v>
          </cell>
        </row>
        <row r="1112">
          <cell r="A1112" t="str">
            <v>14-17</v>
          </cell>
          <cell r="B1112">
            <v>849</v>
          </cell>
          <cell r="C1112" t="str">
            <v>C1.DK.14.17</v>
          </cell>
          <cell r="D1112" t="str">
            <v>DK</v>
          </cell>
          <cell r="E1112" t="str">
            <v>G-187</v>
          </cell>
          <cell r="F1112" t="str">
            <v>DK112</v>
          </cell>
          <cell r="G1112" t="str">
            <v>N1</v>
          </cell>
          <cell r="H1112" t="str">
            <v>b2</v>
          </cell>
          <cell r="I1112" t="str">
            <v>N1-b2</v>
          </cell>
          <cell r="J1112">
            <v>14</v>
          </cell>
          <cell r="K1112" t="str">
            <v>17</v>
          </cell>
        </row>
        <row r="1113">
          <cell r="A1113" t="str">
            <v>14-18</v>
          </cell>
          <cell r="B1113">
            <v>850</v>
          </cell>
          <cell r="C1113" t="str">
            <v>C1.DK.14.18</v>
          </cell>
          <cell r="D1113" t="str">
            <v>DK</v>
          </cell>
          <cell r="E1113" t="str">
            <v>G-191</v>
          </cell>
          <cell r="F1113" t="str">
            <v>DK119</v>
          </cell>
          <cell r="G1113" t="str">
            <v>N1</v>
          </cell>
          <cell r="H1113" t="str">
            <v>b2</v>
          </cell>
          <cell r="I1113" t="str">
            <v>N1-b2</v>
          </cell>
          <cell r="J1113">
            <v>14</v>
          </cell>
          <cell r="K1113" t="str">
            <v>18</v>
          </cell>
        </row>
        <row r="1114">
          <cell r="A1114" t="str">
            <v>14-19</v>
          </cell>
          <cell r="B1114">
            <v>851</v>
          </cell>
          <cell r="C1114" t="str">
            <v>C1.DK.14.19</v>
          </cell>
          <cell r="D1114" t="str">
            <v>DK</v>
          </cell>
          <cell r="E1114" t="str">
            <v>G-158</v>
          </cell>
          <cell r="F1114" t="str">
            <v>DK058</v>
          </cell>
          <cell r="G1114" t="str">
            <v>N1</v>
          </cell>
          <cell r="H1114" t="str">
            <v>b2</v>
          </cell>
          <cell r="I1114" t="str">
            <v>N1-b2</v>
          </cell>
          <cell r="J1114">
            <v>14</v>
          </cell>
          <cell r="K1114" t="str">
            <v>19</v>
          </cell>
        </row>
        <row r="1115">
          <cell r="A1115" t="str">
            <v>14-20</v>
          </cell>
          <cell r="B1115">
            <v>852</v>
          </cell>
          <cell r="C1115" t="str">
            <v>C1.DK.14.20</v>
          </cell>
          <cell r="D1115" t="str">
            <v>DK</v>
          </cell>
          <cell r="E1115" t="str">
            <v>G-190</v>
          </cell>
          <cell r="F1115" t="str">
            <v>DK117</v>
          </cell>
          <cell r="G1115" t="str">
            <v>N1</v>
          </cell>
          <cell r="H1115" t="str">
            <v>b2</v>
          </cell>
          <cell r="I1115" t="str">
            <v>N1-b2</v>
          </cell>
          <cell r="J1115">
            <v>14</v>
          </cell>
          <cell r="K1115" t="str">
            <v>20</v>
          </cell>
        </row>
        <row r="1116">
          <cell r="A1116" t="str">
            <v>14-21</v>
          </cell>
          <cell r="B1116">
            <v>853</v>
          </cell>
          <cell r="C1116" t="str">
            <v>C1.DK.14.21</v>
          </cell>
          <cell r="D1116" t="str">
            <v>DK</v>
          </cell>
          <cell r="E1116" t="str">
            <v>G-127</v>
          </cell>
          <cell r="F1116" t="str">
            <v>DK001</v>
          </cell>
          <cell r="G1116" t="str">
            <v>N1</v>
          </cell>
          <cell r="H1116" t="str">
            <v>b2</v>
          </cell>
          <cell r="I1116" t="str">
            <v>N1-b2</v>
          </cell>
          <cell r="J1116">
            <v>14</v>
          </cell>
          <cell r="K1116" t="str">
            <v>21</v>
          </cell>
        </row>
        <row r="1117">
          <cell r="A1117" t="str">
            <v>14-22</v>
          </cell>
          <cell r="B1117">
            <v>854</v>
          </cell>
          <cell r="C1117" t="str">
            <v>C1.DK.14.22</v>
          </cell>
          <cell r="D1117" t="str">
            <v>DK</v>
          </cell>
          <cell r="E1117" t="str">
            <v>G-140</v>
          </cell>
          <cell r="F1117" t="str">
            <v>DK029</v>
          </cell>
          <cell r="G1117" t="str">
            <v>N1</v>
          </cell>
          <cell r="H1117" t="str">
            <v>b2</v>
          </cell>
          <cell r="I1117" t="str">
            <v>N1-b2</v>
          </cell>
          <cell r="J1117">
            <v>14</v>
          </cell>
          <cell r="K1117" t="str">
            <v>22</v>
          </cell>
        </row>
        <row r="1118">
          <cell r="A1118" t="str">
            <v>14-23</v>
          </cell>
          <cell r="B1118">
            <v>855</v>
          </cell>
          <cell r="C1118" t="str">
            <v>C1.DK.14.23</v>
          </cell>
          <cell r="D1118" t="str">
            <v>DK</v>
          </cell>
          <cell r="E1118" t="str">
            <v>G-152</v>
          </cell>
          <cell r="F1118" t="str">
            <v>DK046</v>
          </cell>
          <cell r="G1118" t="str">
            <v>N1</v>
          </cell>
          <cell r="H1118" t="str">
            <v>b2</v>
          </cell>
          <cell r="I1118" t="str">
            <v>N1-b2</v>
          </cell>
          <cell r="J1118">
            <v>14</v>
          </cell>
          <cell r="K1118" t="str">
            <v>23</v>
          </cell>
        </row>
        <row r="1119">
          <cell r="A1119" t="str">
            <v>14-24</v>
          </cell>
          <cell r="B1119">
            <v>856</v>
          </cell>
          <cell r="C1119" t="str">
            <v>C1.DK.14.24</v>
          </cell>
          <cell r="D1119" t="str">
            <v>DK</v>
          </cell>
          <cell r="E1119" t="str">
            <v>G-182</v>
          </cell>
          <cell r="F1119" t="str">
            <v>DK103</v>
          </cell>
          <cell r="G1119" t="str">
            <v>N1</v>
          </cell>
          <cell r="H1119" t="str">
            <v>b2</v>
          </cell>
          <cell r="I1119" t="str">
            <v>N1-b2</v>
          </cell>
          <cell r="J1119">
            <v>14</v>
          </cell>
          <cell r="K1119" t="str">
            <v>24</v>
          </cell>
        </row>
        <row r="1120">
          <cell r="A1120" t="str">
            <v>14-25</v>
          </cell>
          <cell r="B1120">
            <v>857</v>
          </cell>
          <cell r="C1120" t="str">
            <v>C1.DK.14.25</v>
          </cell>
          <cell r="D1120" t="str">
            <v>DK</v>
          </cell>
          <cell r="E1120" t="str">
            <v>G-151</v>
          </cell>
          <cell r="F1120" t="str">
            <v>DK045</v>
          </cell>
          <cell r="G1120" t="str">
            <v>N1</v>
          </cell>
          <cell r="H1120" t="str">
            <v>b2</v>
          </cell>
          <cell r="I1120" t="str">
            <v>N1-b2</v>
          </cell>
          <cell r="J1120">
            <v>14</v>
          </cell>
          <cell r="K1120" t="str">
            <v>25</v>
          </cell>
        </row>
        <row r="1121">
          <cell r="A1121" t="str">
            <v>14-26</v>
          </cell>
          <cell r="B1121">
            <v>858</v>
          </cell>
          <cell r="C1121" t="str">
            <v>C1.DK.14.26</v>
          </cell>
          <cell r="D1121" t="str">
            <v>DK</v>
          </cell>
          <cell r="E1121" t="str">
            <v>G-206</v>
          </cell>
          <cell r="F1121" t="str">
            <v>DK148</v>
          </cell>
          <cell r="G1121" t="str">
            <v>N1</v>
          </cell>
          <cell r="H1121" t="str">
            <v>b2</v>
          </cell>
          <cell r="I1121" t="str">
            <v>N1-b2</v>
          </cell>
          <cell r="J1121">
            <v>14</v>
          </cell>
          <cell r="K1121" t="str">
            <v>26</v>
          </cell>
        </row>
        <row r="1122">
          <cell r="A1122" t="str">
            <v>14-27</v>
          </cell>
          <cell r="B1122">
            <v>859</v>
          </cell>
          <cell r="C1122" t="str">
            <v>C1.DK.14.27</v>
          </cell>
          <cell r="D1122" t="str">
            <v>DK</v>
          </cell>
          <cell r="E1122" t="str">
            <v>G-143</v>
          </cell>
          <cell r="F1122" t="str">
            <v>DK035</v>
          </cell>
          <cell r="G1122" t="str">
            <v>N1</v>
          </cell>
          <cell r="H1122" t="str">
            <v>b2</v>
          </cell>
          <cell r="I1122" t="str">
            <v>N1-b2</v>
          </cell>
          <cell r="J1122">
            <v>14</v>
          </cell>
          <cell r="K1122" t="str">
            <v>27</v>
          </cell>
        </row>
        <row r="1123">
          <cell r="A1123" t="str">
            <v>14-28</v>
          </cell>
          <cell r="B1123">
            <v>860</v>
          </cell>
          <cell r="C1123" t="str">
            <v>C1.DK.14.28</v>
          </cell>
          <cell r="D1123" t="str">
            <v>DK</v>
          </cell>
          <cell r="E1123" t="str">
            <v>G-129</v>
          </cell>
          <cell r="F1123" t="str">
            <v>DK008</v>
          </cell>
          <cell r="G1123" t="str">
            <v>N1</v>
          </cell>
          <cell r="H1123" t="str">
            <v>b2</v>
          </cell>
          <cell r="I1123" t="str">
            <v>N1-b2</v>
          </cell>
          <cell r="J1123">
            <v>14</v>
          </cell>
          <cell r="K1123" t="str">
            <v>28</v>
          </cell>
        </row>
        <row r="1124">
          <cell r="A1124" t="str">
            <v>14-29</v>
          </cell>
          <cell r="B1124">
            <v>861</v>
          </cell>
          <cell r="C1124" t="str">
            <v>C1.DK.14.29</v>
          </cell>
          <cell r="D1124" t="str">
            <v>DK</v>
          </cell>
          <cell r="E1124" t="str">
            <v>G-185</v>
          </cell>
          <cell r="F1124" t="str">
            <v>DK109</v>
          </cell>
          <cell r="G1124" t="str">
            <v>N1</v>
          </cell>
          <cell r="H1124" t="str">
            <v>b2</v>
          </cell>
          <cell r="I1124" t="str">
            <v>N1-b2</v>
          </cell>
          <cell r="J1124">
            <v>14</v>
          </cell>
          <cell r="K1124" t="str">
            <v>29</v>
          </cell>
        </row>
        <row r="1125">
          <cell r="A1125" t="str">
            <v>14-30</v>
          </cell>
          <cell r="B1125">
            <v>862</v>
          </cell>
          <cell r="C1125" t="str">
            <v>C1.DK.14.30</v>
          </cell>
          <cell r="D1125" t="str">
            <v>DK</v>
          </cell>
          <cell r="E1125" t="str">
            <v>G-186</v>
          </cell>
          <cell r="F1125" t="str">
            <v>DK110</v>
          </cell>
          <cell r="G1125" t="str">
            <v>N1</v>
          </cell>
          <cell r="H1125" t="str">
            <v>b2</v>
          </cell>
          <cell r="I1125" t="str">
            <v>N1-b2</v>
          </cell>
          <cell r="J1125">
            <v>14</v>
          </cell>
          <cell r="K1125" t="str">
            <v>30</v>
          </cell>
        </row>
        <row r="1126">
          <cell r="A1126" t="str">
            <v>14-31</v>
          </cell>
          <cell r="B1126">
            <v>863</v>
          </cell>
          <cell r="C1126" t="str">
            <v>C1.DK.14.31</v>
          </cell>
          <cell r="D1126" t="str">
            <v>DK</v>
          </cell>
          <cell r="E1126" t="str">
            <v>G-136</v>
          </cell>
          <cell r="F1126" t="str">
            <v>DK020</v>
          </cell>
          <cell r="G1126" t="str">
            <v>N1</v>
          </cell>
          <cell r="H1126" t="str">
            <v>b2</v>
          </cell>
          <cell r="I1126" t="str">
            <v>N1-b2</v>
          </cell>
          <cell r="J1126">
            <v>14</v>
          </cell>
          <cell r="K1126" t="str">
            <v>31</v>
          </cell>
        </row>
        <row r="1127">
          <cell r="A1127" t="str">
            <v>14-32</v>
          </cell>
          <cell r="B1127">
            <v>864</v>
          </cell>
          <cell r="C1127" t="str">
            <v>C1.DK.14.32</v>
          </cell>
          <cell r="D1127" t="str">
            <v>DK</v>
          </cell>
          <cell r="E1127" t="str">
            <v>G-189</v>
          </cell>
          <cell r="F1127" t="str">
            <v>DK116</v>
          </cell>
          <cell r="G1127" t="str">
            <v>N1</v>
          </cell>
          <cell r="H1127" t="str">
            <v>b2</v>
          </cell>
          <cell r="I1127" t="str">
            <v>N1-b2</v>
          </cell>
          <cell r="J1127">
            <v>14</v>
          </cell>
          <cell r="K1127" t="str">
            <v>32</v>
          </cell>
        </row>
        <row r="1128">
          <cell r="A1128" t="str">
            <v>14-33</v>
          </cell>
          <cell r="B1128">
            <v>865</v>
          </cell>
          <cell r="C1128" t="str">
            <v>C1.DK.14.33</v>
          </cell>
          <cell r="D1128" t="str">
            <v>DK</v>
          </cell>
          <cell r="E1128" t="str">
            <v>G-152</v>
          </cell>
          <cell r="F1128" t="str">
            <v>DK046</v>
          </cell>
          <cell r="G1128" t="str">
            <v>N2</v>
          </cell>
          <cell r="H1128" t="str">
            <v>b2</v>
          </cell>
          <cell r="I1128" t="str">
            <v>N2-b2</v>
          </cell>
          <cell r="J1128">
            <v>14</v>
          </cell>
          <cell r="K1128" t="str">
            <v>33</v>
          </cell>
        </row>
        <row r="1129">
          <cell r="A1129" t="str">
            <v>14-34</v>
          </cell>
          <cell r="B1129">
            <v>866</v>
          </cell>
          <cell r="C1129" t="str">
            <v>C1.DK.14.34</v>
          </cell>
          <cell r="D1129" t="str">
            <v>DK</v>
          </cell>
          <cell r="E1129" t="str">
            <v>G-135</v>
          </cell>
          <cell r="F1129" t="str">
            <v>DK018</v>
          </cell>
          <cell r="G1129" t="str">
            <v>N2</v>
          </cell>
          <cell r="H1129" t="str">
            <v>b2</v>
          </cell>
          <cell r="I1129" t="str">
            <v>N2-b2</v>
          </cell>
          <cell r="J1129">
            <v>14</v>
          </cell>
          <cell r="K1129" t="str">
            <v>34</v>
          </cell>
        </row>
        <row r="1130">
          <cell r="A1130" t="str">
            <v>14-35</v>
          </cell>
          <cell r="B1130">
            <v>867</v>
          </cell>
          <cell r="C1130" t="str">
            <v>C1.DK.14.35</v>
          </cell>
          <cell r="D1130" t="str">
            <v>DK</v>
          </cell>
          <cell r="E1130" t="str">
            <v>G-186</v>
          </cell>
          <cell r="F1130" t="str">
            <v>DK110</v>
          </cell>
          <cell r="G1130" t="str">
            <v>N2</v>
          </cell>
          <cell r="H1130" t="str">
            <v>b2</v>
          </cell>
          <cell r="I1130" t="str">
            <v>N2-b2</v>
          </cell>
          <cell r="J1130">
            <v>14</v>
          </cell>
          <cell r="K1130" t="str">
            <v>35</v>
          </cell>
        </row>
        <row r="1131">
          <cell r="A1131" t="str">
            <v>14-36</v>
          </cell>
          <cell r="B1131">
            <v>868</v>
          </cell>
          <cell r="C1131" t="str">
            <v>C1.DK.14.36</v>
          </cell>
          <cell r="D1131" t="str">
            <v>DK</v>
          </cell>
          <cell r="E1131" t="str">
            <v>G-178</v>
          </cell>
          <cell r="F1131" t="str">
            <v>DK095</v>
          </cell>
          <cell r="G1131" t="str">
            <v>N2</v>
          </cell>
          <cell r="H1131" t="str">
            <v>b2</v>
          </cell>
          <cell r="I1131" t="str">
            <v>N2-b2</v>
          </cell>
          <cell r="J1131">
            <v>14</v>
          </cell>
          <cell r="K1131" t="str">
            <v>36</v>
          </cell>
        </row>
        <row r="1132">
          <cell r="A1132" t="str">
            <v>14-37</v>
          </cell>
          <cell r="B1132">
            <v>869</v>
          </cell>
          <cell r="C1132" t="str">
            <v>C1.DK.14.37</v>
          </cell>
          <cell r="D1132" t="str">
            <v>DK</v>
          </cell>
          <cell r="E1132" t="str">
            <v>G-168</v>
          </cell>
          <cell r="F1132" t="str">
            <v>DK079</v>
          </cell>
          <cell r="G1132" t="str">
            <v>N2</v>
          </cell>
          <cell r="H1132" t="str">
            <v>b2</v>
          </cell>
          <cell r="I1132" t="str">
            <v>N2-b2</v>
          </cell>
          <cell r="J1132">
            <v>14</v>
          </cell>
          <cell r="K1132" t="str">
            <v>37</v>
          </cell>
        </row>
        <row r="1133">
          <cell r="A1133" t="str">
            <v>14-38</v>
          </cell>
          <cell r="B1133">
            <v>870</v>
          </cell>
          <cell r="C1133" t="str">
            <v>C1.DK.14.38</v>
          </cell>
          <cell r="D1133" t="str">
            <v>DK</v>
          </cell>
          <cell r="E1133" t="str">
            <v>G-143</v>
          </cell>
          <cell r="F1133" t="str">
            <v>DK035</v>
          </cell>
          <cell r="G1133" t="str">
            <v>N2</v>
          </cell>
          <cell r="H1133" t="str">
            <v>b2</v>
          </cell>
          <cell r="I1133" t="str">
            <v>N2-b2</v>
          </cell>
          <cell r="J1133">
            <v>14</v>
          </cell>
          <cell r="K1133" t="str">
            <v>38</v>
          </cell>
        </row>
        <row r="1134">
          <cell r="A1134" t="str">
            <v>14-39</v>
          </cell>
          <cell r="B1134">
            <v>871</v>
          </cell>
          <cell r="C1134" t="str">
            <v>C1.DK.14.39</v>
          </cell>
          <cell r="D1134" t="str">
            <v>DK</v>
          </cell>
          <cell r="E1134" t="str">
            <v>G-133</v>
          </cell>
          <cell r="F1134" t="str">
            <v>DK016</v>
          </cell>
          <cell r="G1134" t="str">
            <v>N2</v>
          </cell>
          <cell r="H1134" t="str">
            <v>b2</v>
          </cell>
          <cell r="I1134" t="str">
            <v>N2-b2</v>
          </cell>
          <cell r="J1134">
            <v>14</v>
          </cell>
          <cell r="K1134" t="str">
            <v>39</v>
          </cell>
        </row>
        <row r="1135">
          <cell r="A1135" t="str">
            <v>14-40</v>
          </cell>
          <cell r="B1135">
            <v>872</v>
          </cell>
          <cell r="C1135" t="str">
            <v>C1.DK.14.40</v>
          </cell>
          <cell r="D1135" t="str">
            <v>DK</v>
          </cell>
          <cell r="E1135" t="str">
            <v>G-128</v>
          </cell>
          <cell r="F1135" t="str">
            <v>DK007</v>
          </cell>
          <cell r="G1135" t="str">
            <v>N2</v>
          </cell>
          <cell r="H1135" t="str">
            <v>b2</v>
          </cell>
          <cell r="I1135" t="str">
            <v>N2-b2</v>
          </cell>
          <cell r="J1135">
            <v>14</v>
          </cell>
          <cell r="K1135" t="str">
            <v>40</v>
          </cell>
        </row>
        <row r="1136">
          <cell r="A1136" t="str">
            <v>14-41</v>
          </cell>
          <cell r="B1136">
            <v>873</v>
          </cell>
          <cell r="C1136" t="str">
            <v>C1.DK.14.41</v>
          </cell>
          <cell r="D1136" t="str">
            <v>DK</v>
          </cell>
          <cell r="E1136" t="str">
            <v>G-130</v>
          </cell>
          <cell r="F1136" t="str">
            <v>DK011</v>
          </cell>
          <cell r="G1136" t="str">
            <v>N2</v>
          </cell>
          <cell r="H1136" t="str">
            <v>b2</v>
          </cell>
          <cell r="I1136" t="str">
            <v>N2-b2</v>
          </cell>
          <cell r="J1136">
            <v>14</v>
          </cell>
          <cell r="K1136" t="str">
            <v>41</v>
          </cell>
        </row>
        <row r="1137">
          <cell r="A1137" t="str">
            <v>14-42</v>
          </cell>
          <cell r="B1137">
            <v>874</v>
          </cell>
          <cell r="C1137" t="str">
            <v>C1.DK.14.42</v>
          </cell>
          <cell r="D1137" t="str">
            <v>DK</v>
          </cell>
          <cell r="E1137" t="str">
            <v>G-162</v>
          </cell>
          <cell r="F1137" t="str">
            <v>DK066</v>
          </cell>
          <cell r="G1137" t="str">
            <v>N2</v>
          </cell>
          <cell r="H1137" t="str">
            <v>b2</v>
          </cell>
          <cell r="I1137" t="str">
            <v>N2-b2</v>
          </cell>
          <cell r="J1137">
            <v>14</v>
          </cell>
          <cell r="K1137" t="str">
            <v>42</v>
          </cell>
        </row>
        <row r="1138">
          <cell r="A1138" t="str">
            <v>14-43</v>
          </cell>
          <cell r="B1138">
            <v>875</v>
          </cell>
          <cell r="C1138" t="str">
            <v>C1.DK.14.43</v>
          </cell>
          <cell r="D1138" t="str">
            <v>DK</v>
          </cell>
          <cell r="E1138" t="str">
            <v>G-144</v>
          </cell>
          <cell r="F1138" t="str">
            <v>DK036</v>
          </cell>
          <cell r="G1138" t="str">
            <v>N2</v>
          </cell>
          <cell r="H1138" t="str">
            <v>b2</v>
          </cell>
          <cell r="I1138" t="str">
            <v>N2-b2</v>
          </cell>
          <cell r="J1138">
            <v>14</v>
          </cell>
          <cell r="K1138" t="str">
            <v>43</v>
          </cell>
        </row>
        <row r="1139">
          <cell r="A1139" t="str">
            <v>14-44</v>
          </cell>
          <cell r="B1139">
            <v>876</v>
          </cell>
          <cell r="C1139" t="str">
            <v>C1.DK.14.44</v>
          </cell>
          <cell r="D1139" t="str">
            <v>DK</v>
          </cell>
          <cell r="E1139" t="str">
            <v>G-134</v>
          </cell>
          <cell r="F1139" t="str">
            <v>DK017</v>
          </cell>
          <cell r="G1139" t="str">
            <v>N2</v>
          </cell>
          <cell r="H1139" t="str">
            <v>b2</v>
          </cell>
          <cell r="I1139" t="str">
            <v>N2-b2</v>
          </cell>
          <cell r="J1139">
            <v>14</v>
          </cell>
          <cell r="K1139" t="str">
            <v>44</v>
          </cell>
        </row>
        <row r="1140">
          <cell r="A1140" t="str">
            <v>14-45</v>
          </cell>
          <cell r="B1140">
            <v>877</v>
          </cell>
          <cell r="C1140" t="str">
            <v>C1.DK.14.45</v>
          </cell>
          <cell r="D1140" t="str">
            <v>DK</v>
          </cell>
          <cell r="E1140" t="str">
            <v>G-172</v>
          </cell>
          <cell r="F1140" t="str">
            <v>DK084</v>
          </cell>
          <cell r="G1140" t="str">
            <v>N2</v>
          </cell>
          <cell r="H1140" t="str">
            <v>b2</v>
          </cell>
          <cell r="I1140" t="str">
            <v>N2-b2</v>
          </cell>
          <cell r="J1140">
            <v>14</v>
          </cell>
          <cell r="K1140" t="str">
            <v>45</v>
          </cell>
        </row>
        <row r="1141">
          <cell r="A1141" t="str">
            <v>14-46</v>
          </cell>
          <cell r="B1141">
            <v>878</v>
          </cell>
          <cell r="C1141" t="str">
            <v>C1.DK.14.46</v>
          </cell>
          <cell r="D1141" t="str">
            <v>DK</v>
          </cell>
          <cell r="E1141" t="str">
            <v>G-125</v>
          </cell>
          <cell r="F1141" t="str">
            <v>Tenor</v>
          </cell>
          <cell r="G1141" t="str">
            <v>N2</v>
          </cell>
          <cell r="H1141" t="str">
            <v>b2</v>
          </cell>
          <cell r="I1141" t="str">
            <v>N2-b2</v>
          </cell>
          <cell r="J1141">
            <v>14</v>
          </cell>
          <cell r="K1141" t="str">
            <v>46</v>
          </cell>
        </row>
        <row r="1142">
          <cell r="A1142" t="str">
            <v>14-47</v>
          </cell>
          <cell r="B1142">
            <v>879</v>
          </cell>
          <cell r="C1142" t="str">
            <v>C1.DK.14.47</v>
          </cell>
          <cell r="D1142" t="str">
            <v>DK</v>
          </cell>
          <cell r="E1142" t="str">
            <v>G-161</v>
          </cell>
          <cell r="F1142" t="str">
            <v>DK064</v>
          </cell>
          <cell r="G1142" t="str">
            <v>N2</v>
          </cell>
          <cell r="H1142" t="str">
            <v>b2</v>
          </cell>
          <cell r="I1142" t="str">
            <v>N2-b2</v>
          </cell>
          <cell r="J1142">
            <v>14</v>
          </cell>
          <cell r="K1142" t="str">
            <v>47</v>
          </cell>
        </row>
        <row r="1143">
          <cell r="A1143" t="str">
            <v>14-48</v>
          </cell>
          <cell r="B1143">
            <v>880</v>
          </cell>
          <cell r="C1143" t="str">
            <v>C1.DK.14.48</v>
          </cell>
          <cell r="D1143" t="str">
            <v>DK</v>
          </cell>
          <cell r="E1143" t="str">
            <v>G-165</v>
          </cell>
          <cell r="F1143" t="str">
            <v>DK071</v>
          </cell>
          <cell r="G1143" t="str">
            <v>N2</v>
          </cell>
          <cell r="H1143" t="str">
            <v>b2</v>
          </cell>
          <cell r="I1143" t="str">
            <v>N2-b2</v>
          </cell>
          <cell r="J1143">
            <v>14</v>
          </cell>
          <cell r="K1143" t="str">
            <v>48</v>
          </cell>
        </row>
        <row r="1144">
          <cell r="A1144" t="str">
            <v>14-49</v>
          </cell>
          <cell r="B1144">
            <v>881</v>
          </cell>
          <cell r="C1144" t="str">
            <v>C1.DK.14.49</v>
          </cell>
          <cell r="D1144" t="str">
            <v>DK</v>
          </cell>
          <cell r="E1144" t="str">
            <v>G-197</v>
          </cell>
          <cell r="F1144" t="str">
            <v>DK137</v>
          </cell>
          <cell r="G1144" t="str">
            <v>N2</v>
          </cell>
          <cell r="H1144" t="str">
            <v>b2</v>
          </cell>
          <cell r="I1144" t="str">
            <v>N2-b2</v>
          </cell>
          <cell r="J1144">
            <v>14</v>
          </cell>
          <cell r="K1144" t="str">
            <v>49</v>
          </cell>
        </row>
        <row r="1145">
          <cell r="A1145" t="str">
            <v>14-50</v>
          </cell>
          <cell r="B1145">
            <v>882</v>
          </cell>
          <cell r="C1145" t="str">
            <v>C1.DK.14.50</v>
          </cell>
          <cell r="D1145" t="str">
            <v>DK</v>
          </cell>
          <cell r="E1145" t="str">
            <v>G-180</v>
          </cell>
          <cell r="F1145" t="str">
            <v>DK098</v>
          </cell>
          <cell r="G1145" t="str">
            <v>N2</v>
          </cell>
          <cell r="H1145" t="str">
            <v>b2</v>
          </cell>
          <cell r="I1145" t="str">
            <v>N2-b2</v>
          </cell>
          <cell r="J1145">
            <v>14</v>
          </cell>
          <cell r="K1145" t="str">
            <v>50</v>
          </cell>
        </row>
        <row r="1146">
          <cell r="A1146" t="str">
            <v>14-51</v>
          </cell>
          <cell r="B1146">
            <v>883</v>
          </cell>
          <cell r="C1146" t="str">
            <v>C1.DK.14.51</v>
          </cell>
          <cell r="D1146" t="str">
            <v>DK</v>
          </cell>
          <cell r="E1146" t="str">
            <v>G-212</v>
          </cell>
          <cell r="F1146" t="str">
            <v>Kurander2</v>
          </cell>
          <cell r="G1146" t="str">
            <v>N2</v>
          </cell>
          <cell r="H1146" t="str">
            <v>b2</v>
          </cell>
          <cell r="I1146" t="str">
            <v>N2-b2</v>
          </cell>
          <cell r="J1146">
            <v>14</v>
          </cell>
          <cell r="K1146" t="str">
            <v>51</v>
          </cell>
        </row>
        <row r="1147">
          <cell r="A1147" t="str">
            <v>14-52</v>
          </cell>
          <cell r="B1147">
            <v>884</v>
          </cell>
          <cell r="C1147" t="str">
            <v>C1.DK.14.52</v>
          </cell>
          <cell r="D1147" t="str">
            <v>DK</v>
          </cell>
          <cell r="E1147" t="str">
            <v>G-156</v>
          </cell>
          <cell r="F1147" t="str">
            <v>DK055</v>
          </cell>
          <cell r="G1147" t="str">
            <v>N2</v>
          </cell>
          <cell r="H1147" t="str">
            <v>b2</v>
          </cell>
          <cell r="I1147" t="str">
            <v>N2-b2</v>
          </cell>
          <cell r="J1147">
            <v>14</v>
          </cell>
          <cell r="K1147" t="str">
            <v>52</v>
          </cell>
        </row>
        <row r="1148">
          <cell r="A1148" t="str">
            <v>14-53</v>
          </cell>
          <cell r="B1148">
            <v>885</v>
          </cell>
          <cell r="C1148" t="str">
            <v>C1.DK.14.53</v>
          </cell>
          <cell r="D1148" t="str">
            <v>DK</v>
          </cell>
          <cell r="E1148" t="str">
            <v>G-139</v>
          </cell>
          <cell r="F1148" t="str">
            <v>DK024</v>
          </cell>
          <cell r="G1148" t="str">
            <v>N2</v>
          </cell>
          <cell r="H1148" t="str">
            <v>b2</v>
          </cell>
          <cell r="I1148" t="str">
            <v>N2-b2</v>
          </cell>
          <cell r="J1148">
            <v>14</v>
          </cell>
          <cell r="K1148" t="str">
            <v>53</v>
          </cell>
        </row>
        <row r="1149">
          <cell r="A1149" t="str">
            <v>14-54</v>
          </cell>
          <cell r="B1149">
            <v>886</v>
          </cell>
          <cell r="C1149" t="str">
            <v>C1.DK.14.54</v>
          </cell>
          <cell r="D1149" t="str">
            <v>DK</v>
          </cell>
          <cell r="E1149" t="str">
            <v>G-151</v>
          </cell>
          <cell r="F1149" t="str">
            <v>DK045</v>
          </cell>
          <cell r="G1149" t="str">
            <v>N2</v>
          </cell>
          <cell r="H1149" t="str">
            <v>b2</v>
          </cell>
          <cell r="I1149" t="str">
            <v>N2-b2</v>
          </cell>
          <cell r="J1149">
            <v>14</v>
          </cell>
          <cell r="K1149" t="str">
            <v>54</v>
          </cell>
        </row>
        <row r="1150">
          <cell r="A1150" t="str">
            <v>14-55</v>
          </cell>
          <cell r="B1150">
            <v>887</v>
          </cell>
          <cell r="C1150" t="str">
            <v>C1.DK.14.55</v>
          </cell>
          <cell r="D1150" t="str">
            <v>DK</v>
          </cell>
          <cell r="E1150" t="str">
            <v>G-155</v>
          </cell>
          <cell r="F1150" t="str">
            <v>DK053</v>
          </cell>
          <cell r="G1150" t="str">
            <v>N2</v>
          </cell>
          <cell r="H1150" t="str">
            <v>b2</v>
          </cell>
          <cell r="I1150" t="str">
            <v>N2-b2</v>
          </cell>
          <cell r="J1150">
            <v>14</v>
          </cell>
          <cell r="K1150" t="str">
            <v>55</v>
          </cell>
        </row>
        <row r="1151">
          <cell r="A1151" t="str">
            <v>14-56</v>
          </cell>
          <cell r="B1151">
            <v>888</v>
          </cell>
          <cell r="C1151" t="str">
            <v>C1.DK.14.56</v>
          </cell>
          <cell r="D1151" t="str">
            <v>DK</v>
          </cell>
          <cell r="E1151" t="str">
            <v>G-183</v>
          </cell>
          <cell r="F1151" t="str">
            <v>DK107</v>
          </cell>
          <cell r="G1151" t="str">
            <v>N2</v>
          </cell>
          <cell r="H1151" t="str">
            <v>b2</v>
          </cell>
          <cell r="I1151" t="str">
            <v>N2-b2</v>
          </cell>
          <cell r="J1151">
            <v>14</v>
          </cell>
          <cell r="K1151" t="str">
            <v>56</v>
          </cell>
        </row>
        <row r="1152">
          <cell r="A1152" t="str">
            <v>14-57</v>
          </cell>
          <cell r="B1152">
            <v>889</v>
          </cell>
          <cell r="C1152" t="str">
            <v>C1.DK.14.57</v>
          </cell>
          <cell r="D1152" t="str">
            <v>DK</v>
          </cell>
          <cell r="E1152" t="str">
            <v>G-153</v>
          </cell>
          <cell r="F1152" t="str">
            <v>DK049</v>
          </cell>
          <cell r="G1152" t="str">
            <v>N2</v>
          </cell>
          <cell r="H1152" t="str">
            <v>b2</v>
          </cell>
          <cell r="I1152" t="str">
            <v>N2-b2</v>
          </cell>
          <cell r="J1152">
            <v>14</v>
          </cell>
          <cell r="K1152" t="str">
            <v>57</v>
          </cell>
        </row>
        <row r="1153">
          <cell r="A1153" t="str">
            <v>14-58</v>
          </cell>
          <cell r="B1153">
            <v>890</v>
          </cell>
          <cell r="C1153" t="str">
            <v>C1.DK.14.58</v>
          </cell>
          <cell r="D1153" t="str">
            <v>DK</v>
          </cell>
          <cell r="E1153" t="str">
            <v>G-199</v>
          </cell>
          <cell r="F1153" t="str">
            <v>DK140</v>
          </cell>
          <cell r="G1153" t="str">
            <v>N2</v>
          </cell>
          <cell r="H1153" t="str">
            <v>b2</v>
          </cell>
          <cell r="I1153" t="str">
            <v>N2-b2</v>
          </cell>
          <cell r="J1153">
            <v>14</v>
          </cell>
          <cell r="K1153" t="str">
            <v>58</v>
          </cell>
        </row>
        <row r="1154">
          <cell r="A1154" t="str">
            <v>14-59</v>
          </cell>
          <cell r="B1154">
            <v>891</v>
          </cell>
          <cell r="C1154" t="str">
            <v>C1.DK.14.59</v>
          </cell>
          <cell r="D1154" t="str">
            <v>DK</v>
          </cell>
          <cell r="E1154" t="str">
            <v>G-138</v>
          </cell>
          <cell r="F1154" t="str">
            <v>DK023</v>
          </cell>
          <cell r="G1154" t="str">
            <v>N2</v>
          </cell>
          <cell r="H1154" t="str">
            <v>b2</v>
          </cell>
          <cell r="I1154" t="str">
            <v>N2-b2</v>
          </cell>
          <cell r="J1154">
            <v>14</v>
          </cell>
          <cell r="K1154" t="str">
            <v>59</v>
          </cell>
        </row>
        <row r="1155">
          <cell r="A1155" t="str">
            <v>14-60</v>
          </cell>
          <cell r="B1155">
            <v>892</v>
          </cell>
          <cell r="C1155" t="str">
            <v>C1.DK.14.60</v>
          </cell>
          <cell r="D1155" t="str">
            <v>DK</v>
          </cell>
          <cell r="E1155" t="str">
            <v>G-145</v>
          </cell>
          <cell r="F1155" t="str">
            <v>DK037</v>
          </cell>
          <cell r="G1155" t="str">
            <v>N2</v>
          </cell>
          <cell r="H1155" t="str">
            <v>b2</v>
          </cell>
          <cell r="I1155" t="str">
            <v>N2-b2</v>
          </cell>
          <cell r="J1155">
            <v>14</v>
          </cell>
          <cell r="K1155" t="str">
            <v>60</v>
          </cell>
        </row>
        <row r="1156">
          <cell r="A1156" t="str">
            <v>14-61</v>
          </cell>
          <cell r="B1156">
            <v>893</v>
          </cell>
          <cell r="C1156" t="str">
            <v>C1.DK.14.61</v>
          </cell>
          <cell r="D1156" t="str">
            <v>DK</v>
          </cell>
          <cell r="E1156" t="str">
            <v>G-149</v>
          </cell>
          <cell r="F1156" t="str">
            <v>DK042</v>
          </cell>
          <cell r="G1156" t="str">
            <v>N2</v>
          </cell>
          <cell r="H1156" t="str">
            <v>b2</v>
          </cell>
          <cell r="I1156" t="str">
            <v>N2-b2</v>
          </cell>
          <cell r="J1156">
            <v>14</v>
          </cell>
          <cell r="K1156" t="str">
            <v>61</v>
          </cell>
        </row>
        <row r="1157">
          <cell r="A1157" t="str">
            <v>14-62</v>
          </cell>
          <cell r="B1157">
            <v>894</v>
          </cell>
          <cell r="C1157" t="str">
            <v>C1.DK.14.62</v>
          </cell>
          <cell r="D1157" t="str">
            <v>DK</v>
          </cell>
          <cell r="E1157" t="str">
            <v>G-146</v>
          </cell>
          <cell r="F1157" t="str">
            <v>DK038</v>
          </cell>
          <cell r="G1157" t="str">
            <v>N2</v>
          </cell>
          <cell r="H1157" t="str">
            <v>b2</v>
          </cell>
          <cell r="I1157" t="str">
            <v>N2-b2</v>
          </cell>
          <cell r="J1157">
            <v>14</v>
          </cell>
          <cell r="K1157" t="str">
            <v>62</v>
          </cell>
        </row>
        <row r="1158">
          <cell r="A1158" t="str">
            <v>14-63</v>
          </cell>
          <cell r="B1158">
            <v>895</v>
          </cell>
          <cell r="C1158" t="str">
            <v>C1.DK.14.63</v>
          </cell>
          <cell r="D1158" t="str">
            <v>DK</v>
          </cell>
          <cell r="E1158" t="str">
            <v>G-131</v>
          </cell>
          <cell r="F1158" t="str">
            <v>DK012</v>
          </cell>
          <cell r="G1158" t="str">
            <v>N2</v>
          </cell>
          <cell r="H1158" t="str">
            <v>b2</v>
          </cell>
          <cell r="I1158" t="str">
            <v>N2-b2</v>
          </cell>
          <cell r="J1158">
            <v>14</v>
          </cell>
          <cell r="K1158" t="str">
            <v>63</v>
          </cell>
        </row>
        <row r="1159">
          <cell r="A1159" t="str">
            <v>14-64</v>
          </cell>
          <cell r="B1159">
            <v>896</v>
          </cell>
          <cell r="C1159" t="str">
            <v>C1.DK.14.64</v>
          </cell>
          <cell r="D1159" t="str">
            <v>DK</v>
          </cell>
          <cell r="E1159" t="str">
            <v>G-196</v>
          </cell>
          <cell r="F1159" t="str">
            <v>DK135</v>
          </cell>
          <cell r="G1159" t="str">
            <v>N2</v>
          </cell>
          <cell r="H1159" t="str">
            <v>b2</v>
          </cell>
          <cell r="I1159" t="str">
            <v>N2-b2</v>
          </cell>
          <cell r="J1159">
            <v>14</v>
          </cell>
          <cell r="K1159" t="str">
            <v>64</v>
          </cell>
        </row>
        <row r="1160">
          <cell r="A1160" t="str">
            <v>25-65</v>
          </cell>
          <cell r="B1160">
            <v>1157</v>
          </cell>
          <cell r="C1160" t="str">
            <v>C1.DK.25.65</v>
          </cell>
          <cell r="D1160" t="str">
            <v>DK</v>
          </cell>
          <cell r="E1160" t="str">
            <v>G-204</v>
          </cell>
          <cell r="F1160" t="str">
            <v>DK146</v>
          </cell>
          <cell r="G1160" t="str">
            <v>N2</v>
          </cell>
          <cell r="H1160" t="str">
            <v>b3</v>
          </cell>
          <cell r="I1160" t="str">
            <v>N2-b3</v>
          </cell>
          <cell r="J1160">
            <v>25</v>
          </cell>
          <cell r="K1160" t="str">
            <v>65</v>
          </cell>
        </row>
        <row r="1161">
          <cell r="A1161" t="str">
            <v>25-66</v>
          </cell>
          <cell r="B1161">
            <v>1158</v>
          </cell>
          <cell r="C1161" t="str">
            <v>C1.DK.25.66</v>
          </cell>
          <cell r="D1161" t="str">
            <v>DK</v>
          </cell>
          <cell r="E1161" t="str">
            <v>G-128</v>
          </cell>
          <cell r="F1161" t="str">
            <v>DK007</v>
          </cell>
          <cell r="G1161" t="str">
            <v>N2</v>
          </cell>
          <cell r="H1161" t="str">
            <v>b3</v>
          </cell>
          <cell r="I1161" t="str">
            <v>N2-b3</v>
          </cell>
          <cell r="J1161">
            <v>25</v>
          </cell>
          <cell r="K1161" t="str">
            <v>66</v>
          </cell>
        </row>
        <row r="1162">
          <cell r="A1162" t="str">
            <v>25-67</v>
          </cell>
          <cell r="B1162">
            <v>1159</v>
          </cell>
          <cell r="C1162" t="str">
            <v>C1.DK.25.67</v>
          </cell>
          <cell r="D1162" t="str">
            <v>DK</v>
          </cell>
          <cell r="E1162" t="str">
            <v>G-209</v>
          </cell>
          <cell r="F1162" t="str">
            <v>DK153</v>
          </cell>
          <cell r="G1162" t="str">
            <v>N2</v>
          </cell>
          <cell r="H1162" t="str">
            <v>b3</v>
          </cell>
          <cell r="I1162" t="str">
            <v>N2-b3</v>
          </cell>
          <cell r="J1162">
            <v>25</v>
          </cell>
          <cell r="K1162" t="str">
            <v>67</v>
          </cell>
        </row>
        <row r="1163">
          <cell r="A1163" t="str">
            <v>25-68</v>
          </cell>
          <cell r="B1163">
            <v>1160</v>
          </cell>
          <cell r="C1163" t="str">
            <v>C1.DK.25.68</v>
          </cell>
          <cell r="D1163" t="str">
            <v>DK</v>
          </cell>
          <cell r="E1163" t="str">
            <v>G-208</v>
          </cell>
          <cell r="F1163" t="str">
            <v>DK152</v>
          </cell>
          <cell r="G1163" t="str">
            <v>N2</v>
          </cell>
          <cell r="H1163" t="str">
            <v>b3</v>
          </cell>
          <cell r="I1163" t="str">
            <v>N2-b3</v>
          </cell>
          <cell r="J1163">
            <v>25</v>
          </cell>
          <cell r="K1163" t="str">
            <v>68</v>
          </cell>
        </row>
        <row r="1164">
          <cell r="A1164" t="str">
            <v>25-69</v>
          </cell>
          <cell r="B1164">
            <v>1161</v>
          </cell>
          <cell r="C1164" t="str">
            <v>C1.DK.25.69</v>
          </cell>
          <cell r="D1164" t="str">
            <v>DK</v>
          </cell>
          <cell r="E1164" t="str">
            <v>G-217</v>
          </cell>
          <cell r="F1164" t="str">
            <v>S-Oase2</v>
          </cell>
          <cell r="G1164" t="str">
            <v>N2</v>
          </cell>
          <cell r="H1164" t="str">
            <v>b3</v>
          </cell>
          <cell r="I1164" t="str">
            <v>N2-b3</v>
          </cell>
          <cell r="J1164">
            <v>25</v>
          </cell>
          <cell r="K1164" t="str">
            <v>69</v>
          </cell>
        </row>
        <row r="1165">
          <cell r="A1165" t="str">
            <v>25-70</v>
          </cell>
          <cell r="B1165">
            <v>1162</v>
          </cell>
          <cell r="C1165" t="str">
            <v>C1.DK.25.70</v>
          </cell>
          <cell r="D1165" t="str">
            <v>DK</v>
          </cell>
          <cell r="E1165" t="str">
            <v>G-187</v>
          </cell>
          <cell r="F1165" t="str">
            <v>DK112</v>
          </cell>
          <cell r="G1165" t="str">
            <v>N2</v>
          </cell>
          <cell r="H1165" t="str">
            <v>b3</v>
          </cell>
          <cell r="I1165" t="str">
            <v>N2-b3</v>
          </cell>
          <cell r="J1165">
            <v>25</v>
          </cell>
          <cell r="K1165" t="str">
            <v>70</v>
          </cell>
        </row>
        <row r="1166">
          <cell r="A1166" t="str">
            <v>25-71</v>
          </cell>
          <cell r="B1166">
            <v>1163</v>
          </cell>
          <cell r="C1166" t="str">
            <v>C1.DK.25.71</v>
          </cell>
          <cell r="D1166" t="str">
            <v>DK</v>
          </cell>
          <cell r="E1166" t="str">
            <v>G-167</v>
          </cell>
          <cell r="F1166" t="str">
            <v>DK075</v>
          </cell>
          <cell r="G1166" t="str">
            <v>N2</v>
          </cell>
          <cell r="H1166" t="str">
            <v>b3</v>
          </cell>
          <cell r="I1166" t="str">
            <v>N2-b3</v>
          </cell>
          <cell r="J1166">
            <v>25</v>
          </cell>
          <cell r="K1166" t="str">
            <v>71</v>
          </cell>
        </row>
        <row r="1167">
          <cell r="A1167" t="str">
            <v>25-72</v>
          </cell>
          <cell r="B1167">
            <v>1164</v>
          </cell>
          <cell r="C1167" t="str">
            <v>C1.DK.25.72</v>
          </cell>
          <cell r="D1167" t="str">
            <v>DK</v>
          </cell>
          <cell r="E1167" t="str">
            <v>G-145</v>
          </cell>
          <cell r="F1167" t="str">
            <v>DK037</v>
          </cell>
          <cell r="G1167" t="str">
            <v>N2</v>
          </cell>
          <cell r="H1167" t="str">
            <v>b3</v>
          </cell>
          <cell r="I1167" t="str">
            <v>N2-b3</v>
          </cell>
          <cell r="J1167">
            <v>25</v>
          </cell>
          <cell r="K1167" t="str">
            <v>72</v>
          </cell>
        </row>
        <row r="1168">
          <cell r="A1168" t="str">
            <v>25-73</v>
          </cell>
          <cell r="B1168">
            <v>1165</v>
          </cell>
          <cell r="C1168" t="str">
            <v>C1.DK.25.73</v>
          </cell>
          <cell r="D1168" t="str">
            <v>DK</v>
          </cell>
          <cell r="E1168" t="str">
            <v>G-193</v>
          </cell>
          <cell r="F1168" t="str">
            <v>DK124</v>
          </cell>
          <cell r="G1168" t="str">
            <v>N2</v>
          </cell>
          <cell r="H1168" t="str">
            <v>b3</v>
          </cell>
          <cell r="I1168" t="str">
            <v>N2-b3</v>
          </cell>
          <cell r="J1168">
            <v>25</v>
          </cell>
          <cell r="K1168" t="str">
            <v>73</v>
          </cell>
        </row>
        <row r="1169">
          <cell r="A1169" t="str">
            <v>25-74</v>
          </cell>
          <cell r="B1169">
            <v>1166</v>
          </cell>
          <cell r="C1169" t="str">
            <v>C1.DK.25.74</v>
          </cell>
          <cell r="D1169" t="str">
            <v>DK</v>
          </cell>
          <cell r="E1169" t="str">
            <v>G-126</v>
          </cell>
          <cell r="F1169" t="str">
            <v>Express</v>
          </cell>
          <cell r="G1169" t="str">
            <v>N2</v>
          </cell>
          <cell r="H1169" t="str">
            <v>b3</v>
          </cell>
          <cell r="I1169" t="str">
            <v>N2-b3</v>
          </cell>
          <cell r="J1169">
            <v>25</v>
          </cell>
          <cell r="K1169" t="str">
            <v>74</v>
          </cell>
        </row>
        <row r="1170">
          <cell r="A1170" t="str">
            <v>25-75</v>
          </cell>
          <cell r="B1170">
            <v>1167</v>
          </cell>
          <cell r="C1170" t="str">
            <v>C1.DK.25.75</v>
          </cell>
          <cell r="D1170" t="str">
            <v>DK</v>
          </cell>
          <cell r="E1170" t="str">
            <v>G-165</v>
          </cell>
          <cell r="F1170" t="str">
            <v>DK071</v>
          </cell>
          <cell r="G1170" t="str">
            <v>N2</v>
          </cell>
          <cell r="H1170" t="str">
            <v>b3</v>
          </cell>
          <cell r="I1170" t="str">
            <v>N2-b3</v>
          </cell>
          <cell r="J1170">
            <v>25</v>
          </cell>
          <cell r="K1170" t="str">
            <v>75</v>
          </cell>
        </row>
        <row r="1171">
          <cell r="A1171" t="str">
            <v>25-76</v>
          </cell>
          <cell r="B1171">
            <v>1168</v>
          </cell>
          <cell r="C1171" t="str">
            <v>C1.DK.25.76</v>
          </cell>
          <cell r="D1171" t="str">
            <v>DK</v>
          </cell>
          <cell r="E1171" t="str">
            <v>G-185</v>
          </cell>
          <cell r="F1171" t="str">
            <v>DK109</v>
          </cell>
          <cell r="G1171" t="str">
            <v>N2</v>
          </cell>
          <cell r="H1171" t="str">
            <v>b3</v>
          </cell>
          <cell r="I1171" t="str">
            <v>N2-b3</v>
          </cell>
          <cell r="J1171">
            <v>25</v>
          </cell>
          <cell r="K1171" t="str">
            <v>76</v>
          </cell>
        </row>
        <row r="1172">
          <cell r="A1172" t="str">
            <v>25-77</v>
          </cell>
          <cell r="B1172">
            <v>1169</v>
          </cell>
          <cell r="C1172" t="str">
            <v>C1.DK.25.77</v>
          </cell>
          <cell r="D1172" t="str">
            <v>DK</v>
          </cell>
          <cell r="E1172" t="str">
            <v>G-216</v>
          </cell>
          <cell r="F1172" t="str">
            <v>C-California2</v>
          </cell>
          <cell r="G1172" t="str">
            <v>N2</v>
          </cell>
          <cell r="H1172" t="str">
            <v>b3</v>
          </cell>
          <cell r="I1172" t="str">
            <v>N2-b3</v>
          </cell>
          <cell r="J1172">
            <v>25</v>
          </cell>
          <cell r="K1172" t="str">
            <v>77</v>
          </cell>
        </row>
        <row r="1173">
          <cell r="A1173" t="str">
            <v>25-78</v>
          </cell>
          <cell r="B1173">
            <v>1170</v>
          </cell>
          <cell r="C1173" t="str">
            <v>C1.DK.25.78</v>
          </cell>
          <cell r="D1173" t="str">
            <v>DK</v>
          </cell>
          <cell r="E1173" t="str">
            <v>G-178</v>
          </cell>
          <cell r="F1173" t="str">
            <v>DK095</v>
          </cell>
          <cell r="G1173" t="str">
            <v>N2</v>
          </cell>
          <cell r="H1173" t="str">
            <v>b3</v>
          </cell>
          <cell r="I1173" t="str">
            <v>N2-b3</v>
          </cell>
          <cell r="J1173">
            <v>25</v>
          </cell>
          <cell r="K1173" t="str">
            <v>78</v>
          </cell>
        </row>
        <row r="1174">
          <cell r="A1174" t="str">
            <v>25-79</v>
          </cell>
          <cell r="B1174">
            <v>1171</v>
          </cell>
          <cell r="C1174" t="str">
            <v>C1.DK.25.79</v>
          </cell>
          <cell r="D1174" t="str">
            <v>DK</v>
          </cell>
          <cell r="E1174" t="str">
            <v>G-125</v>
          </cell>
          <cell r="F1174" t="str">
            <v>Tenor</v>
          </cell>
          <cell r="G1174" t="str">
            <v>N2</v>
          </cell>
          <cell r="H1174" t="str">
            <v>b3</v>
          </cell>
          <cell r="I1174" t="str">
            <v>N2-b3</v>
          </cell>
          <cell r="J1174">
            <v>25</v>
          </cell>
          <cell r="K1174" t="str">
            <v>79</v>
          </cell>
        </row>
        <row r="1175">
          <cell r="A1175" t="str">
            <v>25-80</v>
          </cell>
          <cell r="B1175">
            <v>1172</v>
          </cell>
          <cell r="C1175" t="str">
            <v>C1.DK.25.80</v>
          </cell>
          <cell r="D1175" t="str">
            <v>DK</v>
          </cell>
          <cell r="E1175" t="str">
            <v>G-186</v>
          </cell>
          <cell r="F1175" t="str">
            <v>DK110</v>
          </cell>
          <cell r="G1175" t="str">
            <v>N2</v>
          </cell>
          <cell r="H1175" t="str">
            <v>b3</v>
          </cell>
          <cell r="I1175" t="str">
            <v>N2-b3</v>
          </cell>
          <cell r="J1175">
            <v>25</v>
          </cell>
          <cell r="K1175" t="str">
            <v>80</v>
          </cell>
        </row>
        <row r="1176">
          <cell r="A1176" t="str">
            <v>25-81</v>
          </cell>
          <cell r="B1176">
            <v>1173</v>
          </cell>
          <cell r="C1176" t="str">
            <v>C1.DK.25.81</v>
          </cell>
          <cell r="D1176" t="str">
            <v>DK</v>
          </cell>
          <cell r="E1176" t="str">
            <v>G-206</v>
          </cell>
          <cell r="F1176" t="str">
            <v>DK148</v>
          </cell>
          <cell r="G1176" t="str">
            <v>N2</v>
          </cell>
          <cell r="H1176" t="str">
            <v>b3</v>
          </cell>
          <cell r="I1176" t="str">
            <v>N2-b3</v>
          </cell>
          <cell r="J1176">
            <v>25</v>
          </cell>
          <cell r="K1176" t="str">
            <v>81</v>
          </cell>
        </row>
        <row r="1177">
          <cell r="A1177" t="str">
            <v>25-82</v>
          </cell>
          <cell r="B1177">
            <v>1174</v>
          </cell>
          <cell r="C1177" t="str">
            <v>C1.DK.25.82</v>
          </cell>
          <cell r="D1177" t="str">
            <v>DK</v>
          </cell>
          <cell r="E1177" t="str">
            <v>G-157</v>
          </cell>
          <cell r="F1177" t="str">
            <v>DK057</v>
          </cell>
          <cell r="G1177" t="str">
            <v>N2</v>
          </cell>
          <cell r="H1177" t="str">
            <v>b3</v>
          </cell>
          <cell r="I1177" t="str">
            <v>N2-b3</v>
          </cell>
          <cell r="J1177">
            <v>25</v>
          </cell>
          <cell r="K1177" t="str">
            <v>82</v>
          </cell>
        </row>
        <row r="1178">
          <cell r="A1178" t="str">
            <v>25-83</v>
          </cell>
          <cell r="B1178">
            <v>1175</v>
          </cell>
          <cell r="C1178" t="str">
            <v>C1.DK.25.83</v>
          </cell>
          <cell r="D1178" t="str">
            <v>DK</v>
          </cell>
          <cell r="E1178" t="str">
            <v>G-172</v>
          </cell>
          <cell r="F1178" t="str">
            <v>DK084</v>
          </cell>
          <cell r="G1178" t="str">
            <v>N2</v>
          </cell>
          <cell r="H1178" t="str">
            <v>b3</v>
          </cell>
          <cell r="I1178" t="str">
            <v>N2-b3</v>
          </cell>
          <cell r="J1178">
            <v>25</v>
          </cell>
          <cell r="K1178" t="str">
            <v>83</v>
          </cell>
        </row>
        <row r="1179">
          <cell r="A1179" t="str">
            <v>25-84</v>
          </cell>
          <cell r="B1179">
            <v>1176</v>
          </cell>
          <cell r="C1179" t="str">
            <v>C1.DK.25.84</v>
          </cell>
          <cell r="D1179" t="str">
            <v>DK</v>
          </cell>
          <cell r="E1179" t="str">
            <v>G-131</v>
          </cell>
          <cell r="F1179" t="str">
            <v>DK012</v>
          </cell>
          <cell r="G1179" t="str">
            <v>N2</v>
          </cell>
          <cell r="H1179" t="str">
            <v>b3</v>
          </cell>
          <cell r="I1179" t="str">
            <v>N2-b3</v>
          </cell>
          <cell r="J1179">
            <v>25</v>
          </cell>
          <cell r="K1179" t="str">
            <v>84</v>
          </cell>
        </row>
        <row r="1180">
          <cell r="A1180" t="str">
            <v>25-85</v>
          </cell>
          <cell r="B1180">
            <v>1177</v>
          </cell>
          <cell r="C1180" t="str">
            <v>C1.DK.25.85</v>
          </cell>
          <cell r="D1180" t="str">
            <v>DK</v>
          </cell>
          <cell r="E1180" t="str">
            <v>G-137</v>
          </cell>
          <cell r="F1180" t="str">
            <v>DK021</v>
          </cell>
          <cell r="G1180" t="str">
            <v>N2</v>
          </cell>
          <cell r="H1180" t="str">
            <v>b3</v>
          </cell>
          <cell r="I1180" t="str">
            <v>N2-b3</v>
          </cell>
          <cell r="J1180">
            <v>25</v>
          </cell>
          <cell r="K1180" t="str">
            <v>85</v>
          </cell>
        </row>
        <row r="1181">
          <cell r="A1181" t="str">
            <v>25-86</v>
          </cell>
          <cell r="B1181">
            <v>1178</v>
          </cell>
          <cell r="C1181" t="str">
            <v>C1.DK.25.86</v>
          </cell>
          <cell r="D1181" t="str">
            <v>DK</v>
          </cell>
          <cell r="E1181" t="str">
            <v>G-175</v>
          </cell>
          <cell r="F1181" t="str">
            <v>DK091</v>
          </cell>
          <cell r="G1181" t="str">
            <v>N2</v>
          </cell>
          <cell r="H1181" t="str">
            <v>b3</v>
          </cell>
          <cell r="I1181" t="str">
            <v>N2-b3</v>
          </cell>
          <cell r="J1181">
            <v>25</v>
          </cell>
          <cell r="K1181" t="str">
            <v>86</v>
          </cell>
        </row>
        <row r="1182">
          <cell r="A1182" t="str">
            <v>25-87</v>
          </cell>
          <cell r="B1182">
            <v>1179</v>
          </cell>
          <cell r="C1182" t="str">
            <v>C1.DK.25.87</v>
          </cell>
          <cell r="D1182" t="str">
            <v>DK</v>
          </cell>
          <cell r="E1182" t="str">
            <v>G-217</v>
          </cell>
          <cell r="F1182" t="str">
            <v>S-Oase2</v>
          </cell>
          <cell r="G1182" t="str">
            <v>N2</v>
          </cell>
          <cell r="H1182" t="str">
            <v>b3</v>
          </cell>
          <cell r="I1182" t="str">
            <v>N2-b3</v>
          </cell>
          <cell r="J1182">
            <v>25</v>
          </cell>
          <cell r="K1182" t="str">
            <v>87</v>
          </cell>
        </row>
        <row r="1183">
          <cell r="A1183" t="str">
            <v>25-88</v>
          </cell>
          <cell r="B1183">
            <v>1180</v>
          </cell>
          <cell r="C1183" t="str">
            <v>C1.DK.25.88</v>
          </cell>
          <cell r="D1183" t="str">
            <v>DK</v>
          </cell>
          <cell r="E1183" t="str">
            <v>G-139</v>
          </cell>
          <cell r="F1183" t="str">
            <v>DK024</v>
          </cell>
          <cell r="G1183" t="str">
            <v>N2</v>
          </cell>
          <cell r="H1183" t="str">
            <v>b3</v>
          </cell>
          <cell r="I1183" t="str">
            <v>N2-b3</v>
          </cell>
          <cell r="J1183">
            <v>25</v>
          </cell>
          <cell r="K1183" t="str">
            <v>88</v>
          </cell>
        </row>
        <row r="1184">
          <cell r="A1184" t="str">
            <v>25-89</v>
          </cell>
          <cell r="B1184">
            <v>1181</v>
          </cell>
          <cell r="C1184" t="str">
            <v>C1.DK.25.89</v>
          </cell>
          <cell r="D1184" t="str">
            <v>DK</v>
          </cell>
          <cell r="E1184" t="str">
            <v>G-176</v>
          </cell>
          <cell r="F1184" t="str">
            <v>DK093</v>
          </cell>
          <cell r="G1184" t="str">
            <v>N2</v>
          </cell>
          <cell r="H1184" t="str">
            <v>b3</v>
          </cell>
          <cell r="I1184" t="str">
            <v>N2-b3</v>
          </cell>
          <cell r="J1184">
            <v>25</v>
          </cell>
          <cell r="K1184" t="str">
            <v>89</v>
          </cell>
        </row>
        <row r="1185">
          <cell r="A1185" t="str">
            <v>25-90</v>
          </cell>
          <cell r="B1185">
            <v>1182</v>
          </cell>
          <cell r="C1185" t="str">
            <v>C1.DK.25.90</v>
          </cell>
          <cell r="D1185" t="str">
            <v>DK</v>
          </cell>
          <cell r="E1185" t="str">
            <v>G-214</v>
          </cell>
          <cell r="F1185" t="str">
            <v>Darmor2</v>
          </cell>
          <cell r="G1185" t="str">
            <v>N2</v>
          </cell>
          <cell r="H1185" t="str">
            <v>b3</v>
          </cell>
          <cell r="I1185" t="str">
            <v>N2-b3</v>
          </cell>
          <cell r="J1185">
            <v>25</v>
          </cell>
          <cell r="K1185" t="str">
            <v>90</v>
          </cell>
        </row>
        <row r="1186">
          <cell r="A1186" t="str">
            <v>26-65</v>
          </cell>
          <cell r="B1186">
            <v>1183</v>
          </cell>
          <cell r="C1186" t="str">
            <v>C1.DK.26.65</v>
          </cell>
          <cell r="D1186" t="str">
            <v>DK</v>
          </cell>
          <cell r="E1186" t="str">
            <v>G-195</v>
          </cell>
          <cell r="F1186" t="str">
            <v>DK133</v>
          </cell>
          <cell r="G1186" t="str">
            <v>N2</v>
          </cell>
          <cell r="H1186" t="str">
            <v>b3</v>
          </cell>
          <cell r="I1186" t="str">
            <v>N2-b3</v>
          </cell>
          <cell r="J1186" t="str">
            <v>26</v>
          </cell>
          <cell r="K1186" t="str">
            <v>65</v>
          </cell>
        </row>
        <row r="1187">
          <cell r="A1187" t="str">
            <v>26-66</v>
          </cell>
          <cell r="B1187">
            <v>1184</v>
          </cell>
          <cell r="C1187" t="str">
            <v>C1.DK.26.66</v>
          </cell>
          <cell r="D1187" t="str">
            <v>DK</v>
          </cell>
          <cell r="E1187" t="str">
            <v>G-200</v>
          </cell>
          <cell r="F1187" t="str">
            <v>DK142</v>
          </cell>
          <cell r="G1187" t="str">
            <v>N2</v>
          </cell>
          <cell r="H1187" t="str">
            <v>b3</v>
          </cell>
          <cell r="I1187" t="str">
            <v>N2-b3</v>
          </cell>
          <cell r="J1187" t="str">
            <v>26</v>
          </cell>
          <cell r="K1187" t="str">
            <v>66</v>
          </cell>
        </row>
        <row r="1188">
          <cell r="A1188" t="str">
            <v>26-67</v>
          </cell>
          <cell r="B1188">
            <v>1185</v>
          </cell>
          <cell r="C1188" t="str">
            <v>C1.DK.26.67</v>
          </cell>
          <cell r="D1188" t="str">
            <v>DK</v>
          </cell>
          <cell r="E1188" t="str">
            <v>G-125</v>
          </cell>
          <cell r="F1188" t="str">
            <v>Tenor</v>
          </cell>
          <cell r="G1188" t="str">
            <v>N2</v>
          </cell>
          <cell r="H1188" t="str">
            <v>b3</v>
          </cell>
          <cell r="I1188" t="str">
            <v>N2-b3</v>
          </cell>
          <cell r="J1188" t="str">
            <v>26</v>
          </cell>
          <cell r="K1188" t="str">
            <v>67</v>
          </cell>
        </row>
        <row r="1189">
          <cell r="A1189" t="str">
            <v>26-68</v>
          </cell>
          <cell r="B1189">
            <v>1186</v>
          </cell>
          <cell r="C1189" t="str">
            <v>C1.DK.26.68</v>
          </cell>
          <cell r="D1189" t="str">
            <v>DK</v>
          </cell>
          <cell r="E1189" t="str">
            <v>G-192</v>
          </cell>
          <cell r="F1189" t="str">
            <v>DK121</v>
          </cell>
          <cell r="G1189" t="str">
            <v>N2</v>
          </cell>
          <cell r="H1189" t="str">
            <v>b3</v>
          </cell>
          <cell r="I1189" t="str">
            <v>N2-b3</v>
          </cell>
          <cell r="J1189" t="str">
            <v>26</v>
          </cell>
          <cell r="K1189" t="str">
            <v>68</v>
          </cell>
        </row>
        <row r="1190">
          <cell r="A1190" t="str">
            <v>26-69</v>
          </cell>
          <cell r="B1190">
            <v>1187</v>
          </cell>
          <cell r="C1190" t="str">
            <v>C1.DK.26.69</v>
          </cell>
          <cell r="D1190" t="str">
            <v>DK</v>
          </cell>
          <cell r="E1190" t="str">
            <v>G-196</v>
          </cell>
          <cell r="F1190" t="str">
            <v>DK135</v>
          </cell>
          <cell r="G1190" t="str">
            <v>N2</v>
          </cell>
          <cell r="H1190" t="str">
            <v>b3</v>
          </cell>
          <cell r="I1190" t="str">
            <v>N2-b3</v>
          </cell>
          <cell r="J1190" t="str">
            <v>26</v>
          </cell>
          <cell r="K1190" t="str">
            <v>69</v>
          </cell>
        </row>
        <row r="1191">
          <cell r="A1191" t="str">
            <v>26-70</v>
          </cell>
          <cell r="B1191">
            <v>1188</v>
          </cell>
          <cell r="C1191" t="str">
            <v>C1.DK.26.70</v>
          </cell>
          <cell r="D1191" t="str">
            <v>DK</v>
          </cell>
          <cell r="E1191" t="str">
            <v>G-156</v>
          </cell>
          <cell r="F1191" t="str">
            <v>DK055</v>
          </cell>
          <cell r="G1191" t="str">
            <v>N2</v>
          </cell>
          <cell r="H1191" t="str">
            <v>b3</v>
          </cell>
          <cell r="I1191" t="str">
            <v>N2-b3</v>
          </cell>
          <cell r="J1191" t="str">
            <v>26</v>
          </cell>
          <cell r="K1191" t="str">
            <v>70</v>
          </cell>
        </row>
        <row r="1192">
          <cell r="A1192" t="str">
            <v>26-71</v>
          </cell>
          <cell r="B1192">
            <v>1189</v>
          </cell>
          <cell r="C1192" t="str">
            <v>C1.DK.26.71</v>
          </cell>
          <cell r="D1192" t="str">
            <v>DK</v>
          </cell>
          <cell r="E1192" t="str">
            <v>G-161</v>
          </cell>
          <cell r="F1192" t="str">
            <v>DK064</v>
          </cell>
          <cell r="G1192" t="str">
            <v>N2</v>
          </cell>
          <cell r="H1192" t="str">
            <v>b3</v>
          </cell>
          <cell r="I1192" t="str">
            <v>N2-b3</v>
          </cell>
          <cell r="J1192" t="str">
            <v>26</v>
          </cell>
          <cell r="K1192" t="str">
            <v>71</v>
          </cell>
        </row>
        <row r="1193">
          <cell r="A1193" t="str">
            <v>26-72</v>
          </cell>
          <cell r="B1193">
            <v>1190</v>
          </cell>
          <cell r="C1193" t="str">
            <v>C1.DK.26.72</v>
          </cell>
          <cell r="D1193" t="str">
            <v>DK</v>
          </cell>
          <cell r="E1193" t="str">
            <v>G-155</v>
          </cell>
          <cell r="F1193" t="str">
            <v>DK053</v>
          </cell>
          <cell r="G1193" t="str">
            <v>N2</v>
          </cell>
          <cell r="H1193" t="str">
            <v>b3</v>
          </cell>
          <cell r="I1193" t="str">
            <v>N2-b3</v>
          </cell>
          <cell r="J1193" t="str">
            <v>26</v>
          </cell>
          <cell r="K1193" t="str">
            <v>72</v>
          </cell>
        </row>
        <row r="1194">
          <cell r="A1194" t="str">
            <v>26-73</v>
          </cell>
          <cell r="B1194">
            <v>1191</v>
          </cell>
          <cell r="C1194" t="str">
            <v>C1.DK.26.73</v>
          </cell>
          <cell r="D1194" t="str">
            <v>DK</v>
          </cell>
          <cell r="E1194" t="str">
            <v>G-217</v>
          </cell>
          <cell r="F1194" t="str">
            <v>S-Oase2</v>
          </cell>
          <cell r="G1194" t="str">
            <v>N2</v>
          </cell>
          <cell r="H1194" t="str">
            <v>b3</v>
          </cell>
          <cell r="I1194" t="str">
            <v>N2-b3</v>
          </cell>
          <cell r="J1194" t="str">
            <v>26</v>
          </cell>
          <cell r="K1194" t="str">
            <v>73</v>
          </cell>
        </row>
        <row r="1195">
          <cell r="A1195" t="str">
            <v>26-74</v>
          </cell>
          <cell r="B1195">
            <v>1192</v>
          </cell>
          <cell r="C1195" t="str">
            <v>C1.DK.26.74</v>
          </cell>
          <cell r="D1195" t="str">
            <v>DK</v>
          </cell>
          <cell r="E1195" t="str">
            <v>G-203</v>
          </cell>
          <cell r="F1195" t="str">
            <v>DK145</v>
          </cell>
          <cell r="G1195" t="str">
            <v>N2</v>
          </cell>
          <cell r="H1195" t="str">
            <v>b3</v>
          </cell>
          <cell r="I1195" t="str">
            <v>N2-b3</v>
          </cell>
          <cell r="J1195" t="str">
            <v>26</v>
          </cell>
          <cell r="K1195" t="str">
            <v>74</v>
          </cell>
        </row>
        <row r="1196">
          <cell r="A1196" t="str">
            <v>26-75</v>
          </cell>
          <cell r="B1196">
            <v>1193</v>
          </cell>
          <cell r="C1196" t="str">
            <v>C1.DK.26.75</v>
          </cell>
          <cell r="D1196" t="str">
            <v>DK</v>
          </cell>
          <cell r="E1196" t="str">
            <v>G-183</v>
          </cell>
          <cell r="F1196" t="str">
            <v>DK107</v>
          </cell>
          <cell r="G1196" t="str">
            <v>N2</v>
          </cell>
          <cell r="H1196" t="str">
            <v>b3</v>
          </cell>
          <cell r="I1196" t="str">
            <v>N2-b3</v>
          </cell>
          <cell r="J1196" t="str">
            <v>26</v>
          </cell>
          <cell r="K1196" t="str">
            <v>75</v>
          </cell>
        </row>
        <row r="1197">
          <cell r="A1197" t="str">
            <v>26-76</v>
          </cell>
          <cell r="B1197">
            <v>1194</v>
          </cell>
          <cell r="C1197" t="str">
            <v>C1.DK.26.76</v>
          </cell>
          <cell r="D1197" t="str">
            <v>DK</v>
          </cell>
          <cell r="E1197" t="str">
            <v>G-154</v>
          </cell>
          <cell r="F1197" t="str">
            <v>DK052</v>
          </cell>
          <cell r="G1197" t="str">
            <v>N2</v>
          </cell>
          <cell r="H1197" t="str">
            <v>b3</v>
          </cell>
          <cell r="I1197" t="str">
            <v>N2-b3</v>
          </cell>
          <cell r="J1197" t="str">
            <v>26</v>
          </cell>
          <cell r="K1197" t="str">
            <v>76</v>
          </cell>
        </row>
        <row r="1198">
          <cell r="A1198" t="str">
            <v>26-77</v>
          </cell>
          <cell r="B1198">
            <v>1195</v>
          </cell>
          <cell r="C1198" t="str">
            <v>C1.DK.26.77</v>
          </cell>
          <cell r="D1198" t="str">
            <v>DK</v>
          </cell>
          <cell r="E1198" t="str">
            <v>G-151</v>
          </cell>
          <cell r="F1198" t="str">
            <v>DK045</v>
          </cell>
          <cell r="G1198" t="str">
            <v>N2</v>
          </cell>
          <cell r="H1198" t="str">
            <v>b3</v>
          </cell>
          <cell r="I1198" t="str">
            <v>N2-b3</v>
          </cell>
          <cell r="J1198" t="str">
            <v>26</v>
          </cell>
          <cell r="K1198" t="str">
            <v>77</v>
          </cell>
        </row>
        <row r="1199">
          <cell r="A1199" t="str">
            <v>26-78</v>
          </cell>
          <cell r="B1199">
            <v>1196</v>
          </cell>
          <cell r="C1199" t="str">
            <v>C1.DK.26.78</v>
          </cell>
          <cell r="D1199" t="str">
            <v>DK</v>
          </cell>
          <cell r="E1199" t="str">
            <v>G-180</v>
          </cell>
          <cell r="F1199" t="str">
            <v>DK098</v>
          </cell>
          <cell r="G1199" t="str">
            <v>N2</v>
          </cell>
          <cell r="H1199" t="str">
            <v>b3</v>
          </cell>
          <cell r="I1199" t="str">
            <v>N2-b3</v>
          </cell>
          <cell r="J1199" t="str">
            <v>26</v>
          </cell>
          <cell r="K1199" t="str">
            <v>78</v>
          </cell>
        </row>
        <row r="1200">
          <cell r="A1200" t="str">
            <v>26-79</v>
          </cell>
          <cell r="B1200">
            <v>1197</v>
          </cell>
          <cell r="C1200" t="str">
            <v>C1.DK.26.79</v>
          </cell>
          <cell r="D1200" t="str">
            <v>DK</v>
          </cell>
          <cell r="E1200" t="str">
            <v>G-125</v>
          </cell>
          <cell r="F1200" t="str">
            <v>Tenor</v>
          </cell>
          <cell r="G1200" t="str">
            <v>N2</v>
          </cell>
          <cell r="H1200" t="str">
            <v>b3</v>
          </cell>
          <cell r="I1200" t="str">
            <v>N2-b3</v>
          </cell>
          <cell r="J1200" t="str">
            <v>26</v>
          </cell>
          <cell r="K1200" t="str">
            <v>79</v>
          </cell>
        </row>
        <row r="1201">
          <cell r="A1201" t="str">
            <v>26-80</v>
          </cell>
          <cell r="B1201">
            <v>1198</v>
          </cell>
          <cell r="C1201" t="str">
            <v>C1.DK.26.80</v>
          </cell>
          <cell r="D1201" t="str">
            <v>DK</v>
          </cell>
          <cell r="E1201" t="str">
            <v>G-174</v>
          </cell>
          <cell r="F1201" t="str">
            <v>DK086</v>
          </cell>
          <cell r="G1201" t="str">
            <v>N2</v>
          </cell>
          <cell r="H1201" t="str">
            <v>b3</v>
          </cell>
          <cell r="I1201" t="str">
            <v>N2-b3</v>
          </cell>
          <cell r="J1201" t="str">
            <v>26</v>
          </cell>
          <cell r="K1201" t="str">
            <v>80</v>
          </cell>
        </row>
        <row r="1202">
          <cell r="A1202" t="str">
            <v>26-81</v>
          </cell>
          <cell r="B1202">
            <v>1199</v>
          </cell>
          <cell r="C1202" t="str">
            <v>C1.DK.26.81</v>
          </cell>
          <cell r="D1202" t="str">
            <v>DK</v>
          </cell>
          <cell r="E1202" t="str">
            <v>G-132</v>
          </cell>
          <cell r="F1202" t="str">
            <v>DK013</v>
          </cell>
          <cell r="G1202" t="str">
            <v>N2</v>
          </cell>
          <cell r="H1202" t="str">
            <v>b3</v>
          </cell>
          <cell r="I1202" t="str">
            <v>N2-b3</v>
          </cell>
          <cell r="J1202" t="str">
            <v>26</v>
          </cell>
          <cell r="K1202" t="str">
            <v>81</v>
          </cell>
        </row>
        <row r="1203">
          <cell r="A1203" t="str">
            <v>26-82</v>
          </cell>
          <cell r="B1203">
            <v>1200</v>
          </cell>
          <cell r="C1203" t="str">
            <v>C1.DK.26.82</v>
          </cell>
          <cell r="D1203" t="str">
            <v>DK</v>
          </cell>
          <cell r="E1203" t="str">
            <v>G-126</v>
          </cell>
          <cell r="F1203" t="str">
            <v>Express</v>
          </cell>
          <cell r="G1203" t="str">
            <v>N2</v>
          </cell>
          <cell r="H1203" t="str">
            <v>b3</v>
          </cell>
          <cell r="I1203" t="str">
            <v>N2-b3</v>
          </cell>
          <cell r="J1203" t="str">
            <v>26</v>
          </cell>
          <cell r="K1203" t="str">
            <v>82</v>
          </cell>
        </row>
        <row r="1204">
          <cell r="A1204" t="str">
            <v>26-83</v>
          </cell>
          <cell r="B1204">
            <v>1201</v>
          </cell>
          <cell r="C1204" t="str">
            <v>C1.DK.26.83</v>
          </cell>
          <cell r="D1204" t="str">
            <v>DK</v>
          </cell>
          <cell r="E1204" t="str">
            <v>G-149</v>
          </cell>
          <cell r="F1204" t="str">
            <v>DK042</v>
          </cell>
          <cell r="G1204" t="str">
            <v>N2</v>
          </cell>
          <cell r="H1204" t="str">
            <v>b3</v>
          </cell>
          <cell r="I1204" t="str">
            <v>N2-b3</v>
          </cell>
          <cell r="J1204" t="str">
            <v>26</v>
          </cell>
          <cell r="K1204" t="str">
            <v>83</v>
          </cell>
        </row>
        <row r="1205">
          <cell r="A1205" t="str">
            <v>26-84</v>
          </cell>
          <cell r="B1205">
            <v>1202</v>
          </cell>
          <cell r="C1205" t="str">
            <v>C1.DK.26.84</v>
          </cell>
          <cell r="D1205" t="str">
            <v>DK</v>
          </cell>
          <cell r="E1205" t="str">
            <v>G-146</v>
          </cell>
          <cell r="F1205" t="str">
            <v>DK038</v>
          </cell>
          <cell r="G1205" t="str">
            <v>N2</v>
          </cell>
          <cell r="H1205" t="str">
            <v>b3</v>
          </cell>
          <cell r="I1205" t="str">
            <v>N2-b3</v>
          </cell>
          <cell r="J1205" t="str">
            <v>26</v>
          </cell>
          <cell r="K1205" t="str">
            <v>84</v>
          </cell>
        </row>
        <row r="1206">
          <cell r="A1206" t="str">
            <v>26-85</v>
          </cell>
          <cell r="B1206">
            <v>1203</v>
          </cell>
          <cell r="C1206" t="str">
            <v>C1.DK.26.85</v>
          </cell>
          <cell r="D1206" t="str">
            <v>DK</v>
          </cell>
          <cell r="E1206" t="str">
            <v>G-158</v>
          </cell>
          <cell r="F1206" t="str">
            <v>DK058</v>
          </cell>
          <cell r="G1206" t="str">
            <v>N2</v>
          </cell>
          <cell r="H1206" t="str">
            <v>b3</v>
          </cell>
          <cell r="I1206" t="str">
            <v>N2-b3</v>
          </cell>
          <cell r="J1206" t="str">
            <v>26</v>
          </cell>
          <cell r="K1206" t="str">
            <v>85</v>
          </cell>
        </row>
        <row r="1207">
          <cell r="A1207" t="str">
            <v>26-86</v>
          </cell>
          <cell r="B1207">
            <v>1204</v>
          </cell>
          <cell r="C1207" t="str">
            <v>C1.DK.26.86</v>
          </cell>
          <cell r="D1207" t="str">
            <v>DK</v>
          </cell>
          <cell r="E1207" t="str">
            <v>G-182</v>
          </cell>
          <cell r="F1207" t="str">
            <v>DK103</v>
          </cell>
          <cell r="G1207" t="str">
            <v>N2</v>
          </cell>
          <cell r="H1207" t="str">
            <v>b3</v>
          </cell>
          <cell r="I1207" t="str">
            <v>N2-b3</v>
          </cell>
          <cell r="J1207" t="str">
            <v>26</v>
          </cell>
          <cell r="K1207" t="str">
            <v>86</v>
          </cell>
        </row>
        <row r="1208">
          <cell r="A1208" t="str">
            <v>26-87</v>
          </cell>
          <cell r="B1208">
            <v>1205</v>
          </cell>
          <cell r="C1208" t="str">
            <v>C1.DK.26.87</v>
          </cell>
          <cell r="D1208" t="str">
            <v>DK</v>
          </cell>
          <cell r="E1208" t="str">
            <v>G-152</v>
          </cell>
          <cell r="F1208" t="str">
            <v>DK046</v>
          </cell>
          <cell r="G1208" t="str">
            <v>N2</v>
          </cell>
          <cell r="H1208" t="str">
            <v>b3</v>
          </cell>
          <cell r="I1208" t="str">
            <v>N2-b3</v>
          </cell>
          <cell r="J1208" t="str">
            <v>26</v>
          </cell>
          <cell r="K1208" t="str">
            <v>87</v>
          </cell>
        </row>
        <row r="1209">
          <cell r="A1209" t="str">
            <v>26-88</v>
          </cell>
          <cell r="B1209">
            <v>1206</v>
          </cell>
          <cell r="C1209" t="str">
            <v>C1.DK.26.88</v>
          </cell>
          <cell r="D1209" t="str">
            <v>DK</v>
          </cell>
          <cell r="E1209" t="str">
            <v>G-126</v>
          </cell>
          <cell r="F1209" t="str">
            <v>Express</v>
          </cell>
          <cell r="G1209" t="str">
            <v>N2</v>
          </cell>
          <cell r="H1209" t="str">
            <v>b3</v>
          </cell>
          <cell r="I1209" t="str">
            <v>N2-b3</v>
          </cell>
          <cell r="J1209" t="str">
            <v>26</v>
          </cell>
          <cell r="K1209" t="str">
            <v>88</v>
          </cell>
        </row>
        <row r="1210">
          <cell r="A1210" t="str">
            <v>26-89</v>
          </cell>
          <cell r="B1210">
            <v>1207</v>
          </cell>
          <cell r="C1210" t="str">
            <v>C1.DK.26.89</v>
          </cell>
          <cell r="D1210" t="str">
            <v>DK</v>
          </cell>
          <cell r="E1210" t="str">
            <v>G-177</v>
          </cell>
          <cell r="F1210" t="str">
            <v>DK094</v>
          </cell>
          <cell r="G1210" t="str">
            <v>N2</v>
          </cell>
          <cell r="H1210" t="str">
            <v>b3</v>
          </cell>
          <cell r="I1210" t="str">
            <v>N2-b3</v>
          </cell>
          <cell r="J1210" t="str">
            <v>26</v>
          </cell>
          <cell r="K1210" t="str">
            <v>89</v>
          </cell>
        </row>
        <row r="1211">
          <cell r="A1211" t="str">
            <v>26-90</v>
          </cell>
          <cell r="B1211">
            <v>1208</v>
          </cell>
          <cell r="C1211" t="str">
            <v>C1.DK.26.90</v>
          </cell>
          <cell r="D1211" t="str">
            <v>DK</v>
          </cell>
          <cell r="E1211" t="str">
            <v>G-211</v>
          </cell>
          <cell r="F1211" t="str">
            <v>Colvert2</v>
          </cell>
          <cell r="G1211" t="str">
            <v>N2</v>
          </cell>
          <cell r="H1211" t="str">
            <v>b3</v>
          </cell>
          <cell r="I1211" t="str">
            <v>N2-b3</v>
          </cell>
          <cell r="J1211" t="str">
            <v>26</v>
          </cell>
          <cell r="K1211" t="str">
            <v>90</v>
          </cell>
        </row>
        <row r="1212">
          <cell r="A1212" t="str">
            <v>27-65</v>
          </cell>
          <cell r="B1212">
            <v>1209</v>
          </cell>
          <cell r="C1212" t="str">
            <v>C1.DK.27.65</v>
          </cell>
          <cell r="D1212" t="str">
            <v>DK</v>
          </cell>
          <cell r="E1212" t="str">
            <v>G-153</v>
          </cell>
          <cell r="F1212" t="str">
            <v>DK049</v>
          </cell>
          <cell r="G1212" t="str">
            <v>N2</v>
          </cell>
          <cell r="H1212" t="str">
            <v>b3</v>
          </cell>
          <cell r="I1212" t="str">
            <v>N2-b3</v>
          </cell>
          <cell r="J1212">
            <v>27</v>
          </cell>
          <cell r="K1212" t="str">
            <v>65</v>
          </cell>
        </row>
        <row r="1213">
          <cell r="A1213" t="str">
            <v>27-66</v>
          </cell>
          <cell r="B1213">
            <v>1210</v>
          </cell>
          <cell r="C1213" t="str">
            <v>C1.DK.27.66</v>
          </cell>
          <cell r="D1213" t="str">
            <v>DK</v>
          </cell>
          <cell r="E1213" t="str">
            <v>G-210</v>
          </cell>
          <cell r="F1213" t="str">
            <v>DK154</v>
          </cell>
          <cell r="G1213" t="str">
            <v>N2</v>
          </cell>
          <cell r="H1213" t="str">
            <v>b3</v>
          </cell>
          <cell r="I1213" t="str">
            <v>N2-b3</v>
          </cell>
          <cell r="J1213">
            <v>27</v>
          </cell>
          <cell r="K1213" t="str">
            <v>66</v>
          </cell>
        </row>
        <row r="1214">
          <cell r="A1214" t="str">
            <v>27-67</v>
          </cell>
          <cell r="B1214">
            <v>1211</v>
          </cell>
          <cell r="C1214" t="str">
            <v>C1.DK.27.67</v>
          </cell>
          <cell r="D1214" t="str">
            <v>DK</v>
          </cell>
          <cell r="E1214" t="str">
            <v>G-213</v>
          </cell>
          <cell r="F1214" t="str">
            <v>Twister2</v>
          </cell>
          <cell r="G1214" t="str">
            <v>N2</v>
          </cell>
          <cell r="H1214" t="str">
            <v>b3</v>
          </cell>
          <cell r="I1214" t="str">
            <v>N2-b3</v>
          </cell>
          <cell r="J1214">
            <v>27</v>
          </cell>
          <cell r="K1214" t="str">
            <v>67</v>
          </cell>
        </row>
        <row r="1215">
          <cell r="A1215" t="str">
            <v>27-68</v>
          </cell>
          <cell r="B1215">
            <v>1212</v>
          </cell>
          <cell r="C1215" t="str">
            <v>C1.DK.27.68</v>
          </cell>
          <cell r="D1215" t="str">
            <v>DK</v>
          </cell>
          <cell r="E1215" t="str">
            <v>G-163</v>
          </cell>
          <cell r="F1215" t="str">
            <v>DK068</v>
          </cell>
          <cell r="G1215" t="str">
            <v>N2</v>
          </cell>
          <cell r="H1215" t="str">
            <v>b3</v>
          </cell>
          <cell r="I1215" t="str">
            <v>N2-b3</v>
          </cell>
          <cell r="J1215">
            <v>27</v>
          </cell>
          <cell r="K1215" t="str">
            <v>68</v>
          </cell>
        </row>
        <row r="1216">
          <cell r="A1216" t="str">
            <v>27-69</v>
          </cell>
          <cell r="B1216">
            <v>1213</v>
          </cell>
          <cell r="C1216" t="str">
            <v>C1.DK.27.69</v>
          </cell>
          <cell r="D1216" t="str">
            <v>DK</v>
          </cell>
          <cell r="E1216" t="str">
            <v>G-164</v>
          </cell>
          <cell r="F1216" t="str">
            <v>DK069</v>
          </cell>
          <cell r="G1216" t="str">
            <v>N2</v>
          </cell>
          <cell r="H1216" t="str">
            <v>b3</v>
          </cell>
          <cell r="I1216" t="str">
            <v>N2-b3</v>
          </cell>
          <cell r="J1216">
            <v>27</v>
          </cell>
          <cell r="K1216" t="str">
            <v>69</v>
          </cell>
        </row>
        <row r="1217">
          <cell r="A1217" t="str">
            <v>27-70</v>
          </cell>
          <cell r="B1217">
            <v>1214</v>
          </cell>
          <cell r="C1217" t="str">
            <v>C1.DK.27.70</v>
          </cell>
          <cell r="D1217" t="str">
            <v>DK</v>
          </cell>
          <cell r="E1217" t="str">
            <v>G-147</v>
          </cell>
          <cell r="F1217" t="str">
            <v>DK039</v>
          </cell>
          <cell r="G1217" t="str">
            <v>N2</v>
          </cell>
          <cell r="H1217" t="str">
            <v>b3</v>
          </cell>
          <cell r="I1217" t="str">
            <v>N2-b3</v>
          </cell>
          <cell r="J1217">
            <v>27</v>
          </cell>
          <cell r="K1217" t="str">
            <v>70</v>
          </cell>
        </row>
        <row r="1218">
          <cell r="A1218" t="str">
            <v>27-71</v>
          </cell>
          <cell r="B1218">
            <v>1215</v>
          </cell>
          <cell r="C1218" t="str">
            <v>C1.DK.27.71</v>
          </cell>
          <cell r="D1218" t="str">
            <v>DK</v>
          </cell>
          <cell r="E1218" t="str">
            <v>G-133</v>
          </cell>
          <cell r="F1218" t="str">
            <v>DK016</v>
          </cell>
          <cell r="G1218" t="str">
            <v>N2</v>
          </cell>
          <cell r="H1218" t="str">
            <v>b3</v>
          </cell>
          <cell r="I1218" t="str">
            <v>N2-b3</v>
          </cell>
          <cell r="J1218">
            <v>27</v>
          </cell>
          <cell r="K1218" t="str">
            <v>71</v>
          </cell>
        </row>
        <row r="1219">
          <cell r="A1219" t="str">
            <v>27-72</v>
          </cell>
          <cell r="B1219">
            <v>1216</v>
          </cell>
          <cell r="C1219" t="str">
            <v>C1.DK.27.72</v>
          </cell>
          <cell r="D1219" t="str">
            <v>DK</v>
          </cell>
          <cell r="E1219" t="str">
            <v>G-125</v>
          </cell>
          <cell r="F1219" t="str">
            <v>Tenor</v>
          </cell>
          <cell r="G1219" t="str">
            <v>N2</v>
          </cell>
          <cell r="H1219" t="str">
            <v>b3</v>
          </cell>
          <cell r="I1219" t="str">
            <v>N2-b3</v>
          </cell>
          <cell r="J1219">
            <v>27</v>
          </cell>
          <cell r="K1219" t="str">
            <v>72</v>
          </cell>
        </row>
        <row r="1220">
          <cell r="A1220" t="str">
            <v>27-73</v>
          </cell>
          <cell r="B1220">
            <v>1217</v>
          </cell>
          <cell r="C1220" t="str">
            <v>C1.DK.27.73</v>
          </cell>
          <cell r="D1220" t="str">
            <v>DK</v>
          </cell>
          <cell r="E1220" t="str">
            <v>G-207</v>
          </cell>
          <cell r="F1220" t="str">
            <v>DK149</v>
          </cell>
          <cell r="G1220" t="str">
            <v>N2</v>
          </cell>
          <cell r="H1220" t="str">
            <v>b3</v>
          </cell>
          <cell r="I1220" t="str">
            <v>N2-b3</v>
          </cell>
          <cell r="J1220">
            <v>27</v>
          </cell>
          <cell r="K1220" t="str">
            <v>73</v>
          </cell>
        </row>
        <row r="1221">
          <cell r="A1221" t="str">
            <v>27-74</v>
          </cell>
          <cell r="B1221">
            <v>1218</v>
          </cell>
          <cell r="C1221" t="str">
            <v>C1.DK.27.74</v>
          </cell>
          <cell r="D1221" t="str">
            <v>DK</v>
          </cell>
          <cell r="E1221" t="str">
            <v>G-191</v>
          </cell>
          <cell r="F1221" t="str">
            <v>DK119</v>
          </cell>
          <cell r="G1221" t="str">
            <v>N2</v>
          </cell>
          <cell r="H1221" t="str">
            <v>b3</v>
          </cell>
          <cell r="I1221" t="str">
            <v>N2-b3</v>
          </cell>
          <cell r="J1221">
            <v>27</v>
          </cell>
          <cell r="K1221" t="str">
            <v>74</v>
          </cell>
        </row>
        <row r="1222">
          <cell r="A1222" t="str">
            <v>27-75</v>
          </cell>
          <cell r="B1222">
            <v>1219</v>
          </cell>
          <cell r="C1222" t="str">
            <v>C1.DK.27.75</v>
          </cell>
          <cell r="D1222" t="str">
            <v>DK</v>
          </cell>
          <cell r="E1222" t="str">
            <v>G-181</v>
          </cell>
          <cell r="F1222" t="str">
            <v>DK101</v>
          </cell>
          <cell r="G1222" t="str">
            <v>N2</v>
          </cell>
          <cell r="H1222" t="str">
            <v>b3</v>
          </cell>
          <cell r="I1222" t="str">
            <v>N2-b3</v>
          </cell>
          <cell r="J1222">
            <v>27</v>
          </cell>
          <cell r="K1222" t="str">
            <v>75</v>
          </cell>
        </row>
        <row r="1223">
          <cell r="A1223" t="str">
            <v>27-76</v>
          </cell>
          <cell r="B1223">
            <v>1220</v>
          </cell>
          <cell r="C1223" t="str">
            <v>C1.DK.27.76</v>
          </cell>
          <cell r="D1223" t="str">
            <v>DK</v>
          </cell>
          <cell r="E1223" t="str">
            <v>G-166</v>
          </cell>
          <cell r="F1223" t="str">
            <v>DK074</v>
          </cell>
          <cell r="G1223" t="str">
            <v>N2</v>
          </cell>
          <cell r="H1223" t="str">
            <v>b3</v>
          </cell>
          <cell r="I1223" t="str">
            <v>N2-b3</v>
          </cell>
          <cell r="J1223">
            <v>27</v>
          </cell>
          <cell r="K1223" t="str">
            <v>76</v>
          </cell>
        </row>
        <row r="1224">
          <cell r="A1224" t="str">
            <v>27-77</v>
          </cell>
          <cell r="B1224">
            <v>1221</v>
          </cell>
          <cell r="C1224" t="str">
            <v>C1.DK.27.77</v>
          </cell>
          <cell r="D1224" t="str">
            <v>DK</v>
          </cell>
          <cell r="E1224" t="str">
            <v>G-170</v>
          </cell>
          <cell r="F1224" t="str">
            <v>DK081</v>
          </cell>
          <cell r="G1224" t="str">
            <v>N2</v>
          </cell>
          <cell r="H1224" t="str">
            <v>b3</v>
          </cell>
          <cell r="I1224" t="str">
            <v>N2-b3</v>
          </cell>
          <cell r="J1224">
            <v>27</v>
          </cell>
          <cell r="K1224" t="str">
            <v>77</v>
          </cell>
        </row>
        <row r="1225">
          <cell r="A1225" t="str">
            <v>27-78</v>
          </cell>
          <cell r="B1225">
            <v>1222</v>
          </cell>
          <cell r="C1225" t="str">
            <v>C1.DK.27.78</v>
          </cell>
          <cell r="D1225" t="str">
            <v>DK</v>
          </cell>
          <cell r="E1225" t="str">
            <v>G-201</v>
          </cell>
          <cell r="F1225" t="str">
            <v>DK143</v>
          </cell>
          <cell r="G1225" t="str">
            <v>N2</v>
          </cell>
          <cell r="H1225" t="str">
            <v>b3</v>
          </cell>
          <cell r="I1225" t="str">
            <v>N2-b3</v>
          </cell>
          <cell r="J1225">
            <v>27</v>
          </cell>
          <cell r="K1225" t="str">
            <v>78</v>
          </cell>
        </row>
        <row r="1226">
          <cell r="A1226" t="str">
            <v>27-79</v>
          </cell>
          <cell r="B1226">
            <v>1223</v>
          </cell>
          <cell r="C1226" t="str">
            <v>C1.DK.27.79</v>
          </cell>
          <cell r="D1226" t="str">
            <v>DK</v>
          </cell>
          <cell r="E1226" t="str">
            <v>G-202</v>
          </cell>
          <cell r="F1226" t="str">
            <v>DK144</v>
          </cell>
          <cell r="G1226" t="str">
            <v>N2</v>
          </cell>
          <cell r="H1226" t="str">
            <v>b3</v>
          </cell>
          <cell r="I1226" t="str">
            <v>N2-b3</v>
          </cell>
          <cell r="J1226">
            <v>27</v>
          </cell>
          <cell r="K1226" t="str">
            <v>79</v>
          </cell>
        </row>
        <row r="1227">
          <cell r="A1227" t="str">
            <v>27-80</v>
          </cell>
          <cell r="B1227">
            <v>1224</v>
          </cell>
          <cell r="C1227" t="str">
            <v>C1.DK.27.80</v>
          </cell>
          <cell r="D1227" t="str">
            <v>DK</v>
          </cell>
          <cell r="E1227" t="str">
            <v>G-134</v>
          </cell>
          <cell r="F1227" t="str">
            <v>DK017</v>
          </cell>
          <cell r="G1227" t="str">
            <v>N2</v>
          </cell>
          <cell r="H1227" t="str">
            <v>b3</v>
          </cell>
          <cell r="I1227" t="str">
            <v>N2-b3</v>
          </cell>
          <cell r="J1227">
            <v>27</v>
          </cell>
          <cell r="K1227" t="str">
            <v>80</v>
          </cell>
        </row>
        <row r="1228">
          <cell r="A1228" t="str">
            <v>27-81</v>
          </cell>
          <cell r="B1228">
            <v>1225</v>
          </cell>
          <cell r="C1228" t="str">
            <v>C1.DK.27.81</v>
          </cell>
          <cell r="D1228" t="str">
            <v>DK</v>
          </cell>
          <cell r="E1228" t="str">
            <v>G-130</v>
          </cell>
          <cell r="F1228" t="str">
            <v>DK011</v>
          </cell>
          <cell r="G1228" t="str">
            <v>N2</v>
          </cell>
          <cell r="H1228" t="str">
            <v>b3</v>
          </cell>
          <cell r="I1228" t="str">
            <v>N2-b3</v>
          </cell>
          <cell r="J1228">
            <v>27</v>
          </cell>
          <cell r="K1228" t="str">
            <v>81</v>
          </cell>
        </row>
        <row r="1229">
          <cell r="A1229" t="str">
            <v>27-82</v>
          </cell>
          <cell r="B1229">
            <v>1226</v>
          </cell>
          <cell r="C1229" t="str">
            <v>C1.DK.27.82</v>
          </cell>
          <cell r="D1229" t="str">
            <v>DK</v>
          </cell>
          <cell r="E1229" t="str">
            <v>G-197</v>
          </cell>
          <cell r="F1229" t="str">
            <v>DK137</v>
          </cell>
          <cell r="G1229" t="str">
            <v>N2</v>
          </cell>
          <cell r="H1229" t="str">
            <v>b3</v>
          </cell>
          <cell r="I1229" t="str">
            <v>N2-b3</v>
          </cell>
          <cell r="J1229">
            <v>27</v>
          </cell>
          <cell r="K1229" t="str">
            <v>82</v>
          </cell>
        </row>
        <row r="1230">
          <cell r="A1230" t="str">
            <v>27-83</v>
          </cell>
          <cell r="B1230">
            <v>1227</v>
          </cell>
          <cell r="C1230" t="str">
            <v>C1.DK.27.83</v>
          </cell>
          <cell r="D1230" t="str">
            <v>DK</v>
          </cell>
          <cell r="E1230" t="str">
            <v>G-168</v>
          </cell>
          <cell r="F1230" t="str">
            <v>DK079</v>
          </cell>
          <cell r="G1230" t="str">
            <v>N2</v>
          </cell>
          <cell r="H1230" t="str">
            <v>b3</v>
          </cell>
          <cell r="I1230" t="str">
            <v>N2-b3</v>
          </cell>
          <cell r="J1230">
            <v>27</v>
          </cell>
          <cell r="K1230" t="str">
            <v>83</v>
          </cell>
        </row>
        <row r="1231">
          <cell r="A1231" t="str">
            <v>27-84</v>
          </cell>
          <cell r="B1231">
            <v>1228</v>
          </cell>
          <cell r="C1231" t="str">
            <v>C1.DK.27.84</v>
          </cell>
          <cell r="D1231" t="str">
            <v>DK</v>
          </cell>
          <cell r="E1231" t="str">
            <v>G-143</v>
          </cell>
          <cell r="F1231" t="str">
            <v>DK035</v>
          </cell>
          <cell r="G1231" t="str">
            <v>N2</v>
          </cell>
          <cell r="H1231" t="str">
            <v>b3</v>
          </cell>
          <cell r="I1231" t="str">
            <v>N2-b3</v>
          </cell>
          <cell r="J1231">
            <v>27</v>
          </cell>
          <cell r="K1231" t="str">
            <v>84</v>
          </cell>
        </row>
        <row r="1232">
          <cell r="A1232" t="str">
            <v>27-85</v>
          </cell>
          <cell r="B1232">
            <v>1229</v>
          </cell>
          <cell r="C1232" t="str">
            <v>C1.DK.27.85</v>
          </cell>
          <cell r="D1232" t="str">
            <v>DK</v>
          </cell>
          <cell r="E1232" t="str">
            <v>G-194</v>
          </cell>
          <cell r="F1232" t="str">
            <v>DK128</v>
          </cell>
          <cell r="G1232" t="str">
            <v>N2</v>
          </cell>
          <cell r="H1232" t="str">
            <v>b3</v>
          </cell>
          <cell r="I1232" t="str">
            <v>N2-b3</v>
          </cell>
          <cell r="J1232">
            <v>27</v>
          </cell>
          <cell r="K1232" t="str">
            <v>85</v>
          </cell>
        </row>
        <row r="1233">
          <cell r="A1233" t="str">
            <v>27-86</v>
          </cell>
          <cell r="B1233">
            <v>1230</v>
          </cell>
          <cell r="C1233" t="str">
            <v>C1.DK.27.86</v>
          </cell>
          <cell r="D1233" t="str">
            <v>DK</v>
          </cell>
          <cell r="E1233" t="str">
            <v>G-126</v>
          </cell>
          <cell r="F1233" t="str">
            <v>Express</v>
          </cell>
          <cell r="G1233" t="str">
            <v>N2</v>
          </cell>
          <cell r="H1233" t="str">
            <v>b3</v>
          </cell>
          <cell r="I1233" t="str">
            <v>N2-b3</v>
          </cell>
          <cell r="J1233">
            <v>27</v>
          </cell>
          <cell r="K1233" t="str">
            <v>86</v>
          </cell>
        </row>
        <row r="1234">
          <cell r="A1234" t="str">
            <v>27-87</v>
          </cell>
          <cell r="B1234">
            <v>1231</v>
          </cell>
          <cell r="C1234" t="str">
            <v>C1.DK.27.87</v>
          </cell>
          <cell r="D1234" t="str">
            <v>DK</v>
          </cell>
          <cell r="E1234" t="str">
            <v>G-135</v>
          </cell>
          <cell r="F1234" t="str">
            <v>DK018</v>
          </cell>
          <cell r="G1234" t="str">
            <v>N2</v>
          </cell>
          <cell r="H1234" t="str">
            <v>b3</v>
          </cell>
          <cell r="I1234" t="str">
            <v>N2-b3</v>
          </cell>
          <cell r="J1234">
            <v>27</v>
          </cell>
          <cell r="K1234" t="str">
            <v>87</v>
          </cell>
        </row>
        <row r="1235">
          <cell r="A1235" t="str">
            <v>27-88</v>
          </cell>
          <cell r="B1235">
            <v>1232</v>
          </cell>
          <cell r="C1235" t="str">
            <v>C1.DK.27.88</v>
          </cell>
          <cell r="D1235" t="str">
            <v>DK</v>
          </cell>
          <cell r="E1235" t="str">
            <v>G-129</v>
          </cell>
          <cell r="F1235" t="str">
            <v>DK008</v>
          </cell>
          <cell r="G1235" t="str">
            <v>N2</v>
          </cell>
          <cell r="H1235" t="str">
            <v>b3</v>
          </cell>
          <cell r="I1235" t="str">
            <v>N2-b3</v>
          </cell>
          <cell r="J1235">
            <v>27</v>
          </cell>
          <cell r="K1235" t="str">
            <v>88</v>
          </cell>
        </row>
        <row r="1236">
          <cell r="A1236" t="str">
            <v>27-89</v>
          </cell>
          <cell r="B1236">
            <v>1233</v>
          </cell>
          <cell r="C1236" t="str">
            <v>C1.DK.27.89</v>
          </cell>
          <cell r="D1236" t="str">
            <v>DK</v>
          </cell>
          <cell r="E1236" t="str">
            <v>G-141</v>
          </cell>
          <cell r="F1236" t="str">
            <v>DK030</v>
          </cell>
          <cell r="G1236" t="str">
            <v>N2</v>
          </cell>
          <cell r="H1236" t="str">
            <v>b3</v>
          </cell>
          <cell r="I1236" t="str">
            <v>N2-b3</v>
          </cell>
          <cell r="J1236">
            <v>27</v>
          </cell>
          <cell r="K1236" t="str">
            <v>89</v>
          </cell>
        </row>
        <row r="1237">
          <cell r="A1237" t="str">
            <v>27-90</v>
          </cell>
          <cell r="B1237">
            <v>1234</v>
          </cell>
          <cell r="C1237" t="str">
            <v>C1.DK.27.90</v>
          </cell>
          <cell r="D1237" t="str">
            <v>DK</v>
          </cell>
          <cell r="E1237" t="str">
            <v>G-159</v>
          </cell>
          <cell r="F1237" t="str">
            <v>DK061</v>
          </cell>
          <cell r="G1237" t="str">
            <v>N2</v>
          </cell>
          <cell r="H1237" t="str">
            <v>b3</v>
          </cell>
          <cell r="I1237" t="str">
            <v>N2-b3</v>
          </cell>
          <cell r="J1237">
            <v>27</v>
          </cell>
          <cell r="K1237" t="str">
            <v>90</v>
          </cell>
        </row>
        <row r="1238">
          <cell r="A1238" t="str">
            <v>28-65</v>
          </cell>
          <cell r="B1238">
            <v>1235</v>
          </cell>
          <cell r="C1238" t="str">
            <v>C1.DK.28.65</v>
          </cell>
          <cell r="D1238" t="str">
            <v>DK</v>
          </cell>
          <cell r="E1238" t="str">
            <v>G-179</v>
          </cell>
          <cell r="F1238" t="str">
            <v>DK096</v>
          </cell>
          <cell r="G1238" t="str">
            <v>N2</v>
          </cell>
          <cell r="H1238" t="str">
            <v>b3</v>
          </cell>
          <cell r="I1238" t="str">
            <v>N2-b3</v>
          </cell>
          <cell r="J1238">
            <v>28</v>
          </cell>
          <cell r="K1238" t="str">
            <v>65</v>
          </cell>
        </row>
        <row r="1239">
          <cell r="A1239" t="str">
            <v>28-66</v>
          </cell>
          <cell r="B1239">
            <v>1236</v>
          </cell>
          <cell r="C1239" t="str">
            <v>C1.DK.28.66</v>
          </cell>
          <cell r="D1239" t="str">
            <v>DK</v>
          </cell>
          <cell r="E1239" t="str">
            <v>G-126</v>
          </cell>
          <cell r="F1239" t="str">
            <v>Express</v>
          </cell>
          <cell r="G1239" t="str">
            <v>N2</v>
          </cell>
          <cell r="H1239" t="str">
            <v>b3</v>
          </cell>
          <cell r="I1239" t="str">
            <v>N2-b3</v>
          </cell>
          <cell r="J1239">
            <v>28</v>
          </cell>
          <cell r="K1239" t="str">
            <v>66</v>
          </cell>
        </row>
        <row r="1240">
          <cell r="A1240" t="str">
            <v>28-67</v>
          </cell>
          <cell r="B1240">
            <v>1237</v>
          </cell>
          <cell r="C1240" t="str">
            <v>C1.DK.28.67</v>
          </cell>
          <cell r="D1240" t="str">
            <v>DK</v>
          </cell>
          <cell r="E1240" t="str">
            <v>G-148</v>
          </cell>
          <cell r="F1240" t="str">
            <v>DK041</v>
          </cell>
          <cell r="G1240" t="str">
            <v>N2</v>
          </cell>
          <cell r="H1240" t="str">
            <v>b3</v>
          </cell>
          <cell r="I1240" t="str">
            <v>N2-b3</v>
          </cell>
          <cell r="J1240">
            <v>28</v>
          </cell>
          <cell r="K1240" t="str">
            <v>67</v>
          </cell>
        </row>
        <row r="1241">
          <cell r="A1241" t="str">
            <v>28-68</v>
          </cell>
          <cell r="B1241">
            <v>1238</v>
          </cell>
          <cell r="C1241" t="str">
            <v>C1.DK.28.68</v>
          </cell>
          <cell r="D1241" t="str">
            <v>DK</v>
          </cell>
          <cell r="E1241" t="str">
            <v>G-144</v>
          </cell>
          <cell r="F1241" t="str">
            <v>DK036</v>
          </cell>
          <cell r="G1241" t="str">
            <v>N2</v>
          </cell>
          <cell r="H1241" t="str">
            <v>b3</v>
          </cell>
          <cell r="I1241" t="str">
            <v>N2-b3</v>
          </cell>
          <cell r="J1241">
            <v>28</v>
          </cell>
          <cell r="K1241" t="str">
            <v>68</v>
          </cell>
        </row>
        <row r="1242">
          <cell r="A1242" t="str">
            <v>28-69</v>
          </cell>
          <cell r="B1242">
            <v>1239</v>
          </cell>
          <cell r="C1242" t="str">
            <v>C1.DK.28.69</v>
          </cell>
          <cell r="D1242" t="str">
            <v>DK</v>
          </cell>
          <cell r="E1242" t="str">
            <v>G-189</v>
          </cell>
          <cell r="F1242" t="str">
            <v>DK116</v>
          </cell>
          <cell r="G1242" t="str">
            <v>N2</v>
          </cell>
          <cell r="H1242" t="str">
            <v>b3</v>
          </cell>
          <cell r="I1242" t="str">
            <v>N2-b3</v>
          </cell>
          <cell r="J1242">
            <v>28</v>
          </cell>
          <cell r="K1242" t="str">
            <v>69</v>
          </cell>
        </row>
        <row r="1243">
          <cell r="A1243" t="str">
            <v>28-70</v>
          </cell>
          <cell r="B1243">
            <v>1240</v>
          </cell>
          <cell r="C1243" t="str">
            <v>C1.DK.28.70</v>
          </cell>
          <cell r="D1243" t="str">
            <v>DK</v>
          </cell>
          <cell r="E1243" t="str">
            <v>G-190</v>
          </cell>
          <cell r="F1243" t="str">
            <v>DK117</v>
          </cell>
          <cell r="G1243" t="str">
            <v>N2</v>
          </cell>
          <cell r="H1243" t="str">
            <v>b3</v>
          </cell>
          <cell r="I1243" t="str">
            <v>N2-b3</v>
          </cell>
          <cell r="J1243">
            <v>28</v>
          </cell>
          <cell r="K1243" t="str">
            <v>70</v>
          </cell>
        </row>
        <row r="1244">
          <cell r="A1244" t="str">
            <v>28-71</v>
          </cell>
          <cell r="B1244">
            <v>1241</v>
          </cell>
          <cell r="C1244" t="str">
            <v>C1.DK.28.71</v>
          </cell>
          <cell r="D1244" t="str">
            <v>DK</v>
          </cell>
          <cell r="E1244" t="str">
            <v>G-199</v>
          </cell>
          <cell r="F1244" t="str">
            <v>DK140</v>
          </cell>
          <cell r="G1244" t="str">
            <v>N2</v>
          </cell>
          <cell r="H1244" t="str">
            <v>b3</v>
          </cell>
          <cell r="I1244" t="str">
            <v>N2-b3</v>
          </cell>
          <cell r="J1244">
            <v>28</v>
          </cell>
          <cell r="K1244" t="str">
            <v>71</v>
          </cell>
        </row>
        <row r="1245">
          <cell r="A1245" t="str">
            <v>28-72</v>
          </cell>
          <cell r="B1245">
            <v>1242</v>
          </cell>
          <cell r="C1245" t="str">
            <v>C1.DK.28.72</v>
          </cell>
          <cell r="D1245" t="str">
            <v>DK</v>
          </cell>
          <cell r="E1245" t="str">
            <v>G-188</v>
          </cell>
          <cell r="F1245" t="str">
            <v>DK113</v>
          </cell>
          <cell r="G1245" t="str">
            <v>N2</v>
          </cell>
          <cell r="H1245" t="str">
            <v>b3</v>
          </cell>
          <cell r="I1245" t="str">
            <v>N2-b3</v>
          </cell>
          <cell r="J1245">
            <v>28</v>
          </cell>
          <cell r="K1245" t="str">
            <v>72</v>
          </cell>
        </row>
        <row r="1246">
          <cell r="A1246" t="str">
            <v>28-73</v>
          </cell>
          <cell r="B1246">
            <v>1243</v>
          </cell>
          <cell r="C1246" t="str">
            <v>C1.DK.28.73</v>
          </cell>
          <cell r="D1246" t="str">
            <v>DK</v>
          </cell>
          <cell r="E1246" t="str">
            <v>G-184</v>
          </cell>
          <cell r="F1246" t="str">
            <v>DK108</v>
          </cell>
          <cell r="G1246" t="str">
            <v>N2</v>
          </cell>
          <cell r="H1246" t="str">
            <v>b3</v>
          </cell>
          <cell r="I1246" t="str">
            <v>N2-b3</v>
          </cell>
          <cell r="J1246">
            <v>28</v>
          </cell>
          <cell r="K1246" t="str">
            <v>73</v>
          </cell>
        </row>
        <row r="1247">
          <cell r="A1247" t="str">
            <v>28-74</v>
          </cell>
          <cell r="B1247">
            <v>1244</v>
          </cell>
          <cell r="C1247" t="str">
            <v>C1.DK.28.74</v>
          </cell>
          <cell r="D1247" t="str">
            <v>DK</v>
          </cell>
          <cell r="E1247" t="str">
            <v>G-140</v>
          </cell>
          <cell r="F1247" t="str">
            <v>DK029</v>
          </cell>
          <cell r="G1247" t="str">
            <v>N2</v>
          </cell>
          <cell r="H1247" t="str">
            <v>b3</v>
          </cell>
          <cell r="I1247" t="str">
            <v>N2-b3</v>
          </cell>
          <cell r="J1247">
            <v>28</v>
          </cell>
          <cell r="K1247" t="str">
            <v>74</v>
          </cell>
        </row>
        <row r="1248">
          <cell r="A1248" t="str">
            <v>28-75</v>
          </cell>
          <cell r="B1248">
            <v>1245</v>
          </cell>
          <cell r="C1248" t="str">
            <v>C1.DK.28.75</v>
          </cell>
          <cell r="D1248" t="str">
            <v>DK</v>
          </cell>
          <cell r="E1248" t="str">
            <v>G-205</v>
          </cell>
          <cell r="F1248" t="str">
            <v>DK147</v>
          </cell>
          <cell r="G1248" t="str">
            <v>N2</v>
          </cell>
          <cell r="H1248" t="str">
            <v>b3</v>
          </cell>
          <cell r="I1248" t="str">
            <v>N2-b3</v>
          </cell>
          <cell r="J1248">
            <v>28</v>
          </cell>
          <cell r="K1248" t="str">
            <v>75</v>
          </cell>
        </row>
        <row r="1249">
          <cell r="A1249" t="str">
            <v>28-76</v>
          </cell>
          <cell r="B1249">
            <v>1246</v>
          </cell>
          <cell r="C1249" t="str">
            <v>C1.DK.28.76</v>
          </cell>
          <cell r="D1249" t="str">
            <v>DK</v>
          </cell>
          <cell r="E1249" t="str">
            <v>G-142</v>
          </cell>
          <cell r="F1249" t="str">
            <v>DK031</v>
          </cell>
          <cell r="G1249" t="str">
            <v>N2</v>
          </cell>
          <cell r="H1249" t="str">
            <v>b3</v>
          </cell>
          <cell r="I1249" t="str">
            <v>N2-b3</v>
          </cell>
          <cell r="J1249">
            <v>28</v>
          </cell>
          <cell r="K1249" t="str">
            <v>76</v>
          </cell>
        </row>
        <row r="1250">
          <cell r="A1250" t="str">
            <v>28-77</v>
          </cell>
          <cell r="B1250">
            <v>1247</v>
          </cell>
          <cell r="C1250" t="str">
            <v>C1.DK.28.77</v>
          </cell>
          <cell r="D1250" t="str">
            <v>DK</v>
          </cell>
          <cell r="E1250" t="str">
            <v>G-127</v>
          </cell>
          <cell r="F1250" t="str">
            <v>DK001</v>
          </cell>
          <cell r="G1250" t="str">
            <v>N2</v>
          </cell>
          <cell r="H1250" t="str">
            <v>b3</v>
          </cell>
          <cell r="I1250" t="str">
            <v>N2-b3</v>
          </cell>
          <cell r="J1250">
            <v>28</v>
          </cell>
          <cell r="K1250" t="str">
            <v>77</v>
          </cell>
        </row>
        <row r="1251">
          <cell r="A1251" t="str">
            <v>28-78</v>
          </cell>
          <cell r="B1251">
            <v>1248</v>
          </cell>
          <cell r="C1251" t="str">
            <v>C1.DK.28.78</v>
          </cell>
          <cell r="D1251" t="str">
            <v>DK</v>
          </cell>
          <cell r="E1251" t="str">
            <v>G-173</v>
          </cell>
          <cell r="F1251" t="str">
            <v>DK085</v>
          </cell>
          <cell r="G1251" t="str">
            <v>N2</v>
          </cell>
          <cell r="H1251" t="str">
            <v>b3</v>
          </cell>
          <cell r="I1251" t="str">
            <v>N2-b3</v>
          </cell>
          <cell r="J1251">
            <v>28</v>
          </cell>
          <cell r="K1251" t="str">
            <v>78</v>
          </cell>
        </row>
        <row r="1252">
          <cell r="A1252" t="str">
            <v>28-79</v>
          </cell>
          <cell r="B1252">
            <v>1249</v>
          </cell>
          <cell r="C1252" t="str">
            <v>C1.DK.28.79</v>
          </cell>
          <cell r="D1252" t="str">
            <v>DK</v>
          </cell>
          <cell r="E1252" t="str">
            <v>G-160</v>
          </cell>
          <cell r="F1252" t="str">
            <v>DK063</v>
          </cell>
          <cell r="G1252" t="str">
            <v>N2</v>
          </cell>
          <cell r="H1252" t="str">
            <v>b3</v>
          </cell>
          <cell r="I1252" t="str">
            <v>N2-b3</v>
          </cell>
          <cell r="J1252">
            <v>28</v>
          </cell>
          <cell r="K1252" t="str">
            <v>79</v>
          </cell>
        </row>
        <row r="1253">
          <cell r="A1253" t="str">
            <v>28-80</v>
          </cell>
          <cell r="B1253">
            <v>1250</v>
          </cell>
          <cell r="C1253" t="str">
            <v>C1.DK.28.80</v>
          </cell>
          <cell r="D1253" t="str">
            <v>DK</v>
          </cell>
          <cell r="E1253" t="str">
            <v>G-125</v>
          </cell>
          <cell r="F1253" t="str">
            <v>Tenor</v>
          </cell>
          <cell r="G1253" t="str">
            <v>N2</v>
          </cell>
          <cell r="H1253" t="str">
            <v>b3</v>
          </cell>
          <cell r="I1253" t="str">
            <v>N2-b3</v>
          </cell>
          <cell r="J1253">
            <v>28</v>
          </cell>
          <cell r="K1253" t="str">
            <v>80</v>
          </cell>
        </row>
        <row r="1254">
          <cell r="A1254" t="str">
            <v>28-81</v>
          </cell>
          <cell r="B1254">
            <v>1251</v>
          </cell>
          <cell r="C1254" t="str">
            <v>C1.DK.28.81</v>
          </cell>
          <cell r="D1254" t="str">
            <v>DK</v>
          </cell>
          <cell r="E1254" t="str">
            <v>G-217</v>
          </cell>
          <cell r="F1254" t="str">
            <v>S-Oase2</v>
          </cell>
          <cell r="G1254" t="str">
            <v>N2</v>
          </cell>
          <cell r="H1254" t="str">
            <v>b3</v>
          </cell>
          <cell r="I1254" t="str">
            <v>N2-b3</v>
          </cell>
          <cell r="J1254">
            <v>28</v>
          </cell>
          <cell r="K1254" t="str">
            <v>81</v>
          </cell>
        </row>
        <row r="1255">
          <cell r="A1255" t="str">
            <v>28-82</v>
          </cell>
          <cell r="B1255">
            <v>1252</v>
          </cell>
          <cell r="C1255" t="str">
            <v>C1.DK.28.82</v>
          </cell>
          <cell r="D1255" t="str">
            <v>DK</v>
          </cell>
          <cell r="E1255" t="str">
            <v>G-138</v>
          </cell>
          <cell r="F1255" t="str">
            <v>DK023</v>
          </cell>
          <cell r="G1255" t="str">
            <v>N2</v>
          </cell>
          <cell r="H1255" t="str">
            <v>b3</v>
          </cell>
          <cell r="I1255" t="str">
            <v>N2-b3</v>
          </cell>
          <cell r="J1255">
            <v>28</v>
          </cell>
          <cell r="K1255" t="str">
            <v>82</v>
          </cell>
        </row>
        <row r="1256">
          <cell r="A1256" t="str">
            <v>28-83</v>
          </cell>
          <cell r="B1256">
            <v>1253</v>
          </cell>
          <cell r="C1256" t="str">
            <v>C1.DK.28.83</v>
          </cell>
          <cell r="D1256" t="str">
            <v>DK</v>
          </cell>
          <cell r="E1256" t="str">
            <v>G-198</v>
          </cell>
          <cell r="F1256" t="str">
            <v>DK138</v>
          </cell>
          <cell r="G1256" t="str">
            <v>N2</v>
          </cell>
          <cell r="H1256" t="str">
            <v>b3</v>
          </cell>
          <cell r="I1256" t="str">
            <v>N2-b3</v>
          </cell>
          <cell r="J1256">
            <v>28</v>
          </cell>
          <cell r="K1256" t="str">
            <v>83</v>
          </cell>
        </row>
        <row r="1257">
          <cell r="A1257" t="str">
            <v>28-84</v>
          </cell>
          <cell r="B1257">
            <v>1254</v>
          </cell>
          <cell r="C1257" t="str">
            <v>C1.DK.28.84</v>
          </cell>
          <cell r="D1257" t="str">
            <v>DK</v>
          </cell>
          <cell r="E1257" t="str">
            <v>G-150</v>
          </cell>
          <cell r="F1257" t="str">
            <v>DK044</v>
          </cell>
          <cell r="G1257" t="str">
            <v>N2</v>
          </cell>
          <cell r="H1257" t="str">
            <v>b3</v>
          </cell>
          <cell r="I1257" t="str">
            <v>N2-b3</v>
          </cell>
          <cell r="J1257">
            <v>28</v>
          </cell>
          <cell r="K1257" t="str">
            <v>84</v>
          </cell>
        </row>
        <row r="1258">
          <cell r="A1258" t="str">
            <v>28-85</v>
          </cell>
          <cell r="B1258">
            <v>1255</v>
          </cell>
          <cell r="C1258" t="str">
            <v>C1.DK.28.85</v>
          </cell>
          <cell r="D1258" t="str">
            <v>DK</v>
          </cell>
          <cell r="E1258" t="str">
            <v>G-215</v>
          </cell>
          <cell r="F1258" t="str">
            <v>L-Liones2</v>
          </cell>
          <cell r="G1258" t="str">
            <v>N2</v>
          </cell>
          <cell r="H1258" t="str">
            <v>b3</v>
          </cell>
          <cell r="I1258" t="str">
            <v>N2-b3</v>
          </cell>
          <cell r="J1258">
            <v>28</v>
          </cell>
          <cell r="K1258" t="str">
            <v>85</v>
          </cell>
        </row>
        <row r="1259">
          <cell r="A1259" t="str">
            <v>28-86</v>
          </cell>
          <cell r="B1259">
            <v>1256</v>
          </cell>
          <cell r="C1259" t="str">
            <v>C1.DK.28.86</v>
          </cell>
          <cell r="D1259" t="str">
            <v>DK</v>
          </cell>
          <cell r="E1259" t="str">
            <v>G-162</v>
          </cell>
          <cell r="F1259" t="str">
            <v>DK066</v>
          </cell>
          <cell r="G1259" t="str">
            <v>N2</v>
          </cell>
          <cell r="H1259" t="str">
            <v>b3</v>
          </cell>
          <cell r="I1259" t="str">
            <v>N2-b3</v>
          </cell>
          <cell r="J1259">
            <v>28</v>
          </cell>
          <cell r="K1259" t="str">
            <v>86</v>
          </cell>
        </row>
        <row r="1260">
          <cell r="A1260" t="str">
            <v>28-87</v>
          </cell>
          <cell r="B1260">
            <v>1257</v>
          </cell>
          <cell r="C1260" t="str">
            <v>C1.DK.28.87</v>
          </cell>
          <cell r="D1260" t="str">
            <v>DK</v>
          </cell>
          <cell r="E1260" t="str">
            <v>G-136</v>
          </cell>
          <cell r="F1260" t="str">
            <v>DK020</v>
          </cell>
          <cell r="G1260" t="str">
            <v>N2</v>
          </cell>
          <cell r="H1260" t="str">
            <v>b3</v>
          </cell>
          <cell r="I1260" t="str">
            <v>N2-b3</v>
          </cell>
          <cell r="J1260">
            <v>28</v>
          </cell>
          <cell r="K1260" t="str">
            <v>87</v>
          </cell>
        </row>
        <row r="1261">
          <cell r="A1261" t="str">
            <v>28-88</v>
          </cell>
          <cell r="B1261">
            <v>1258</v>
          </cell>
          <cell r="C1261" t="str">
            <v>C1.DK.28.88</v>
          </cell>
          <cell r="D1261" t="str">
            <v>DK</v>
          </cell>
          <cell r="E1261" t="str">
            <v>G-212</v>
          </cell>
          <cell r="F1261" t="str">
            <v>Kurander2</v>
          </cell>
          <cell r="G1261" t="str">
            <v>N2</v>
          </cell>
          <cell r="H1261" t="str">
            <v>b3</v>
          </cell>
          <cell r="I1261" t="str">
            <v>N2-b3</v>
          </cell>
          <cell r="J1261">
            <v>28</v>
          </cell>
          <cell r="K1261" t="str">
            <v>88</v>
          </cell>
        </row>
        <row r="1262">
          <cell r="A1262" t="str">
            <v>28-89</v>
          </cell>
          <cell r="B1262">
            <v>1259</v>
          </cell>
          <cell r="C1262" t="str">
            <v>C1.DK.28.89</v>
          </cell>
          <cell r="D1262" t="str">
            <v>DK</v>
          </cell>
          <cell r="E1262" t="str">
            <v>G-171</v>
          </cell>
          <cell r="F1262" t="str">
            <v>DK082</v>
          </cell>
          <cell r="G1262" t="str">
            <v>N2</v>
          </cell>
          <cell r="H1262" t="str">
            <v>b3</v>
          </cell>
          <cell r="I1262" t="str">
            <v>N2-b3</v>
          </cell>
          <cell r="J1262">
            <v>28</v>
          </cell>
          <cell r="K1262" t="str">
            <v>89</v>
          </cell>
        </row>
        <row r="1263">
          <cell r="A1263" t="str">
            <v>28-90</v>
          </cell>
          <cell r="B1263">
            <v>1260</v>
          </cell>
          <cell r="C1263" t="str">
            <v>C1.DK.28.90</v>
          </cell>
          <cell r="D1263" t="str">
            <v>DK</v>
          </cell>
          <cell r="E1263" t="str">
            <v>G-169</v>
          </cell>
          <cell r="F1263" t="str">
            <v>DK080</v>
          </cell>
          <cell r="G1263" t="str">
            <v>N2</v>
          </cell>
          <cell r="H1263" t="str">
            <v>b3</v>
          </cell>
          <cell r="I1263" t="str">
            <v>N2-b3</v>
          </cell>
          <cell r="J1263">
            <v>28</v>
          </cell>
          <cell r="K1263" t="str">
            <v>90</v>
          </cell>
        </row>
        <row r="1264">
          <cell r="A1264" t="str">
            <v>29-65</v>
          </cell>
          <cell r="B1264">
            <v>1261</v>
          </cell>
          <cell r="C1264" t="str">
            <v>C1.DK.29.65</v>
          </cell>
          <cell r="D1264" t="str">
            <v>DK</v>
          </cell>
          <cell r="E1264" t="str">
            <v>G-186</v>
          </cell>
          <cell r="F1264" t="str">
            <v>DK110</v>
          </cell>
          <cell r="G1264" t="str">
            <v>N1</v>
          </cell>
          <cell r="H1264" t="str">
            <v>b3</v>
          </cell>
          <cell r="I1264" t="str">
            <v>N1-b3</v>
          </cell>
          <cell r="J1264">
            <v>29</v>
          </cell>
          <cell r="K1264" t="str">
            <v>65</v>
          </cell>
        </row>
        <row r="1265">
          <cell r="A1265" t="str">
            <v>29-66</v>
          </cell>
          <cell r="B1265">
            <v>1262</v>
          </cell>
          <cell r="C1265" t="str">
            <v>C1.DK.29.66</v>
          </cell>
          <cell r="D1265" t="str">
            <v>DK</v>
          </cell>
          <cell r="E1265" t="str">
            <v>G-160</v>
          </cell>
          <cell r="F1265" t="str">
            <v>DK063</v>
          </cell>
          <cell r="G1265" t="str">
            <v>N1</v>
          </cell>
          <cell r="H1265" t="str">
            <v>b3</v>
          </cell>
          <cell r="I1265" t="str">
            <v>N1-b3</v>
          </cell>
          <cell r="J1265">
            <v>29</v>
          </cell>
          <cell r="K1265" t="str">
            <v>66</v>
          </cell>
        </row>
        <row r="1266">
          <cell r="A1266" t="str">
            <v>29-67</v>
          </cell>
          <cell r="B1266">
            <v>1263</v>
          </cell>
          <cell r="C1266" t="str">
            <v>C1.DK.29.67</v>
          </cell>
          <cell r="D1266" t="str">
            <v>DK</v>
          </cell>
          <cell r="E1266" t="str">
            <v>G-203</v>
          </cell>
          <cell r="F1266" t="str">
            <v>DK145</v>
          </cell>
          <cell r="G1266" t="str">
            <v>N1</v>
          </cell>
          <cell r="H1266" t="str">
            <v>b3</v>
          </cell>
          <cell r="I1266" t="str">
            <v>N1-b3</v>
          </cell>
          <cell r="J1266">
            <v>29</v>
          </cell>
          <cell r="K1266" t="str">
            <v>67</v>
          </cell>
        </row>
        <row r="1267">
          <cell r="A1267" t="str">
            <v>29-68</v>
          </cell>
          <cell r="B1267">
            <v>1264</v>
          </cell>
          <cell r="C1267" t="str">
            <v>C1.DK.29.68</v>
          </cell>
          <cell r="D1267" t="str">
            <v>DK</v>
          </cell>
          <cell r="E1267" t="str">
            <v>G-126</v>
          </cell>
          <cell r="F1267" t="str">
            <v>Express</v>
          </cell>
          <cell r="G1267" t="str">
            <v>N1</v>
          </cell>
          <cell r="H1267" t="str">
            <v>b3</v>
          </cell>
          <cell r="I1267" t="str">
            <v>N1-b3</v>
          </cell>
          <cell r="J1267">
            <v>29</v>
          </cell>
          <cell r="K1267" t="str">
            <v>68</v>
          </cell>
        </row>
        <row r="1268">
          <cell r="A1268" t="str">
            <v>29-69</v>
          </cell>
          <cell r="B1268">
            <v>1265</v>
          </cell>
          <cell r="C1268" t="str">
            <v>C1.DK.29.69</v>
          </cell>
          <cell r="D1268" t="str">
            <v>DK</v>
          </cell>
          <cell r="E1268" t="str">
            <v>G-135</v>
          </cell>
          <cell r="F1268" t="str">
            <v>DK018</v>
          </cell>
          <cell r="G1268" t="str">
            <v>N1</v>
          </cell>
          <cell r="H1268" t="str">
            <v>b3</v>
          </cell>
          <cell r="I1268" t="str">
            <v>N1-b3</v>
          </cell>
          <cell r="J1268">
            <v>29</v>
          </cell>
          <cell r="K1268" t="str">
            <v>69</v>
          </cell>
        </row>
        <row r="1269">
          <cell r="A1269" t="str">
            <v>29-70</v>
          </cell>
          <cell r="B1269">
            <v>1266</v>
          </cell>
          <cell r="C1269" t="str">
            <v>C1.DK.29.70</v>
          </cell>
          <cell r="D1269" t="str">
            <v>DK</v>
          </cell>
          <cell r="E1269" t="str">
            <v>G-204</v>
          </cell>
          <cell r="F1269" t="str">
            <v>DK146</v>
          </cell>
          <cell r="G1269" t="str">
            <v>N1</v>
          </cell>
          <cell r="H1269" t="str">
            <v>b3</v>
          </cell>
          <cell r="I1269" t="str">
            <v>N1-b3</v>
          </cell>
          <cell r="J1269">
            <v>29</v>
          </cell>
          <cell r="K1269" t="str">
            <v>70</v>
          </cell>
        </row>
        <row r="1270">
          <cell r="A1270" t="str">
            <v>29-71</v>
          </cell>
          <cell r="B1270">
            <v>1267</v>
          </cell>
          <cell r="C1270" t="str">
            <v>C1.DK.29.71</v>
          </cell>
          <cell r="D1270" t="str">
            <v>DK</v>
          </cell>
          <cell r="E1270" t="str">
            <v>G-141</v>
          </cell>
          <cell r="F1270" t="str">
            <v>DK030</v>
          </cell>
          <cell r="G1270" t="str">
            <v>N1</v>
          </cell>
          <cell r="H1270" t="str">
            <v>b3</v>
          </cell>
          <cell r="I1270" t="str">
            <v>N1-b3</v>
          </cell>
          <cell r="J1270">
            <v>29</v>
          </cell>
          <cell r="K1270" t="str">
            <v>71</v>
          </cell>
        </row>
        <row r="1271">
          <cell r="A1271" t="str">
            <v>29-72</v>
          </cell>
          <cell r="B1271">
            <v>1268</v>
          </cell>
          <cell r="C1271" t="str">
            <v>C1.DK.29.72</v>
          </cell>
          <cell r="D1271" t="str">
            <v>DK</v>
          </cell>
          <cell r="E1271" t="str">
            <v>G-177</v>
          </cell>
          <cell r="F1271" t="str">
            <v>DK094</v>
          </cell>
          <cell r="G1271" t="str">
            <v>N1</v>
          </cell>
          <cell r="H1271" t="str">
            <v>b3</v>
          </cell>
          <cell r="I1271" t="str">
            <v>N1-b3</v>
          </cell>
          <cell r="J1271">
            <v>29</v>
          </cell>
          <cell r="K1271" t="str">
            <v>72</v>
          </cell>
        </row>
        <row r="1272">
          <cell r="A1272" t="str">
            <v>29-73</v>
          </cell>
          <cell r="B1272">
            <v>1269</v>
          </cell>
          <cell r="C1272" t="str">
            <v>C1.DK.29.73</v>
          </cell>
          <cell r="D1272" t="str">
            <v>DK</v>
          </cell>
          <cell r="E1272" t="str">
            <v>G-212</v>
          </cell>
          <cell r="F1272" t="str">
            <v>Kurander2</v>
          </cell>
          <cell r="G1272" t="str">
            <v>N1</v>
          </cell>
          <cell r="H1272" t="str">
            <v>b3</v>
          </cell>
          <cell r="I1272" t="str">
            <v>N1-b3</v>
          </cell>
          <cell r="J1272">
            <v>29</v>
          </cell>
          <cell r="K1272" t="str">
            <v>73</v>
          </cell>
        </row>
        <row r="1273">
          <cell r="A1273" t="str">
            <v>29-74</v>
          </cell>
          <cell r="B1273">
            <v>1270</v>
          </cell>
          <cell r="C1273" t="str">
            <v>C1.DK.29.74</v>
          </cell>
          <cell r="D1273" t="str">
            <v>DK</v>
          </cell>
          <cell r="E1273" t="str">
            <v>G-197</v>
          </cell>
          <cell r="F1273" t="str">
            <v>DK137</v>
          </cell>
          <cell r="G1273" t="str">
            <v>N1</v>
          </cell>
          <cell r="H1273" t="str">
            <v>b3</v>
          </cell>
          <cell r="I1273" t="str">
            <v>N1-b3</v>
          </cell>
          <cell r="J1273">
            <v>29</v>
          </cell>
          <cell r="K1273" t="str">
            <v>74</v>
          </cell>
        </row>
        <row r="1274">
          <cell r="A1274" t="str">
            <v>29-75</v>
          </cell>
          <cell r="B1274">
            <v>1271</v>
          </cell>
          <cell r="C1274" t="str">
            <v>C1.DK.29.75</v>
          </cell>
          <cell r="D1274" t="str">
            <v>DK</v>
          </cell>
          <cell r="E1274" t="str">
            <v>G-188</v>
          </cell>
          <cell r="F1274" t="str">
            <v>DK113</v>
          </cell>
          <cell r="G1274" t="str">
            <v>N1</v>
          </cell>
          <cell r="H1274" t="str">
            <v>b3</v>
          </cell>
          <cell r="I1274" t="str">
            <v>N1-b3</v>
          </cell>
          <cell r="J1274">
            <v>29</v>
          </cell>
          <cell r="K1274" t="str">
            <v>75</v>
          </cell>
        </row>
        <row r="1275">
          <cell r="A1275" t="str">
            <v>29-76</v>
          </cell>
          <cell r="B1275">
            <v>1272</v>
          </cell>
          <cell r="C1275" t="str">
            <v>C1.DK.29.76</v>
          </cell>
          <cell r="D1275" t="str">
            <v>DK</v>
          </cell>
          <cell r="E1275" t="str">
            <v>G-180</v>
          </cell>
          <cell r="F1275" t="str">
            <v>DK098</v>
          </cell>
          <cell r="G1275" t="str">
            <v>N1</v>
          </cell>
          <cell r="H1275" t="str">
            <v>b3</v>
          </cell>
          <cell r="I1275" t="str">
            <v>N1-b3</v>
          </cell>
          <cell r="J1275">
            <v>29</v>
          </cell>
          <cell r="K1275" t="str">
            <v>76</v>
          </cell>
        </row>
        <row r="1276">
          <cell r="A1276" t="str">
            <v>29-77</v>
          </cell>
          <cell r="B1276">
            <v>1273</v>
          </cell>
          <cell r="C1276" t="str">
            <v>C1.DK.29.77</v>
          </cell>
          <cell r="D1276" t="str">
            <v>DK</v>
          </cell>
          <cell r="E1276" t="str">
            <v>G-139</v>
          </cell>
          <cell r="F1276" t="str">
            <v>DK024</v>
          </cell>
          <cell r="G1276" t="str">
            <v>N1</v>
          </cell>
          <cell r="H1276" t="str">
            <v>b3</v>
          </cell>
          <cell r="I1276" t="str">
            <v>N1-b3</v>
          </cell>
          <cell r="J1276">
            <v>29</v>
          </cell>
          <cell r="K1276" t="str">
            <v>77</v>
          </cell>
        </row>
        <row r="1277">
          <cell r="A1277" t="str">
            <v>29-78</v>
          </cell>
          <cell r="B1277">
            <v>1274</v>
          </cell>
          <cell r="C1277" t="str">
            <v>C1.DK.29.78</v>
          </cell>
          <cell r="D1277" t="str">
            <v>DK</v>
          </cell>
          <cell r="E1277" t="str">
            <v>G-171</v>
          </cell>
          <cell r="F1277" t="str">
            <v>DK082</v>
          </cell>
          <cell r="G1277" t="str">
            <v>N1</v>
          </cell>
          <cell r="H1277" t="str">
            <v>b3</v>
          </cell>
          <cell r="I1277" t="str">
            <v>N1-b3</v>
          </cell>
          <cell r="J1277">
            <v>29</v>
          </cell>
          <cell r="K1277" t="str">
            <v>78</v>
          </cell>
        </row>
        <row r="1278">
          <cell r="A1278" t="str">
            <v>29-79</v>
          </cell>
          <cell r="B1278">
            <v>1275</v>
          </cell>
          <cell r="C1278" t="str">
            <v>C1.DK.29.79</v>
          </cell>
          <cell r="D1278" t="str">
            <v>DK</v>
          </cell>
          <cell r="E1278" t="str">
            <v>G-145</v>
          </cell>
          <cell r="F1278" t="str">
            <v>DK037</v>
          </cell>
          <cell r="G1278" t="str">
            <v>N1</v>
          </cell>
          <cell r="H1278" t="str">
            <v>b3</v>
          </cell>
          <cell r="I1278" t="str">
            <v>N1-b3</v>
          </cell>
          <cell r="J1278">
            <v>29</v>
          </cell>
          <cell r="K1278" t="str">
            <v>79</v>
          </cell>
        </row>
        <row r="1279">
          <cell r="A1279" t="str">
            <v>29-80</v>
          </cell>
          <cell r="B1279">
            <v>1276</v>
          </cell>
          <cell r="C1279" t="str">
            <v>C1.DK.29.80</v>
          </cell>
          <cell r="D1279" t="str">
            <v>DK</v>
          </cell>
          <cell r="E1279" t="str">
            <v>G-140</v>
          </cell>
          <cell r="F1279" t="str">
            <v>DK029</v>
          </cell>
          <cell r="G1279" t="str">
            <v>N1</v>
          </cell>
          <cell r="H1279" t="str">
            <v>b3</v>
          </cell>
          <cell r="I1279" t="str">
            <v>N1-b3</v>
          </cell>
          <cell r="J1279">
            <v>29</v>
          </cell>
          <cell r="K1279" t="str">
            <v>80</v>
          </cell>
        </row>
        <row r="1280">
          <cell r="A1280" t="str">
            <v>29-81</v>
          </cell>
          <cell r="B1280">
            <v>1277</v>
          </cell>
          <cell r="C1280" t="str">
            <v>C1.DK.29.81</v>
          </cell>
          <cell r="D1280" t="str">
            <v>DK</v>
          </cell>
          <cell r="E1280" t="str">
            <v>G-184</v>
          </cell>
          <cell r="F1280" t="str">
            <v>DK108</v>
          </cell>
          <cell r="G1280" t="str">
            <v>N1</v>
          </cell>
          <cell r="H1280" t="str">
            <v>b3</v>
          </cell>
          <cell r="I1280" t="str">
            <v>N1-b3</v>
          </cell>
          <cell r="J1280">
            <v>29</v>
          </cell>
          <cell r="K1280" t="str">
            <v>81</v>
          </cell>
        </row>
        <row r="1281">
          <cell r="A1281" t="str">
            <v>29-82</v>
          </cell>
          <cell r="B1281">
            <v>1278</v>
          </cell>
          <cell r="C1281" t="str">
            <v>C1.DK.29.82</v>
          </cell>
          <cell r="D1281" t="str">
            <v>DK</v>
          </cell>
          <cell r="E1281" t="str">
            <v>G-214</v>
          </cell>
          <cell r="F1281" t="str">
            <v>Darmor2</v>
          </cell>
          <cell r="G1281" t="str">
            <v>N1</v>
          </cell>
          <cell r="H1281" t="str">
            <v>b3</v>
          </cell>
          <cell r="I1281" t="str">
            <v>N1-b3</v>
          </cell>
          <cell r="J1281">
            <v>29</v>
          </cell>
          <cell r="K1281" t="str">
            <v>82</v>
          </cell>
        </row>
        <row r="1282">
          <cell r="A1282" t="str">
            <v>29-83</v>
          </cell>
          <cell r="B1282">
            <v>1279</v>
          </cell>
          <cell r="C1282" t="str">
            <v>C1.DK.29.83</v>
          </cell>
          <cell r="D1282" t="str">
            <v>DK</v>
          </cell>
          <cell r="E1282" t="str">
            <v>G-198</v>
          </cell>
          <cell r="F1282" t="str">
            <v>DK138</v>
          </cell>
          <cell r="G1282" t="str">
            <v>N1</v>
          </cell>
          <cell r="H1282" t="str">
            <v>b3</v>
          </cell>
          <cell r="I1282" t="str">
            <v>N1-b3</v>
          </cell>
          <cell r="J1282">
            <v>29</v>
          </cell>
          <cell r="K1282" t="str">
            <v>83</v>
          </cell>
        </row>
        <row r="1283">
          <cell r="A1283" t="str">
            <v>29-84</v>
          </cell>
          <cell r="B1283">
            <v>1280</v>
          </cell>
          <cell r="C1283" t="str">
            <v>C1.DK.29.84</v>
          </cell>
          <cell r="D1283" t="str">
            <v>DK</v>
          </cell>
          <cell r="E1283" t="str">
            <v>G-150</v>
          </cell>
          <cell r="F1283" t="str">
            <v>DK044</v>
          </cell>
          <cell r="G1283" t="str">
            <v>N1</v>
          </cell>
          <cell r="H1283" t="str">
            <v>b3</v>
          </cell>
          <cell r="I1283" t="str">
            <v>N1-b3</v>
          </cell>
          <cell r="J1283">
            <v>29</v>
          </cell>
          <cell r="K1283" t="str">
            <v>84</v>
          </cell>
        </row>
        <row r="1284">
          <cell r="A1284" t="str">
            <v>29-85</v>
          </cell>
          <cell r="B1284">
            <v>1281</v>
          </cell>
          <cell r="C1284" t="str">
            <v>C1.DK.29.85</v>
          </cell>
          <cell r="D1284" t="str">
            <v>DK</v>
          </cell>
          <cell r="E1284" t="str">
            <v>G-210</v>
          </cell>
          <cell r="F1284" t="str">
            <v>DK154</v>
          </cell>
          <cell r="G1284" t="str">
            <v>N1</v>
          </cell>
          <cell r="H1284" t="str">
            <v>b3</v>
          </cell>
          <cell r="I1284" t="str">
            <v>N1-b3</v>
          </cell>
          <cell r="J1284">
            <v>29</v>
          </cell>
          <cell r="K1284" t="str">
            <v>85</v>
          </cell>
        </row>
        <row r="1285">
          <cell r="A1285" t="str">
            <v>29-86</v>
          </cell>
          <cell r="B1285">
            <v>1282</v>
          </cell>
          <cell r="C1285" t="str">
            <v>C1.DK.29.86</v>
          </cell>
          <cell r="D1285" t="str">
            <v>DK</v>
          </cell>
          <cell r="E1285" t="str">
            <v>G-147</v>
          </cell>
          <cell r="F1285" t="str">
            <v>DK039</v>
          </cell>
          <cell r="G1285" t="str">
            <v>N1</v>
          </cell>
          <cell r="H1285" t="str">
            <v>b3</v>
          </cell>
          <cell r="I1285" t="str">
            <v>N1-b3</v>
          </cell>
          <cell r="J1285">
            <v>29</v>
          </cell>
          <cell r="K1285" t="str">
            <v>86</v>
          </cell>
        </row>
        <row r="1286">
          <cell r="A1286" t="str">
            <v>29-87</v>
          </cell>
          <cell r="B1286">
            <v>1283</v>
          </cell>
          <cell r="C1286" t="str">
            <v>C1.DK.29.87</v>
          </cell>
          <cell r="D1286" t="str">
            <v>DK</v>
          </cell>
          <cell r="E1286" t="str">
            <v>G-133</v>
          </cell>
          <cell r="F1286" t="str">
            <v>DK016</v>
          </cell>
          <cell r="G1286" t="str">
            <v>N1</v>
          </cell>
          <cell r="H1286" t="str">
            <v>b3</v>
          </cell>
          <cell r="I1286" t="str">
            <v>N1-b3</v>
          </cell>
          <cell r="J1286">
            <v>29</v>
          </cell>
          <cell r="K1286" t="str">
            <v>87</v>
          </cell>
        </row>
        <row r="1287">
          <cell r="A1287" t="str">
            <v>29-88</v>
          </cell>
          <cell r="B1287">
            <v>1284</v>
          </cell>
          <cell r="C1287" t="str">
            <v>C1.DK.29.88</v>
          </cell>
          <cell r="D1287" t="str">
            <v>DK</v>
          </cell>
          <cell r="E1287" t="str">
            <v>G-125</v>
          </cell>
          <cell r="F1287" t="str">
            <v>Tenor</v>
          </cell>
          <cell r="G1287" t="str">
            <v>N1</v>
          </cell>
          <cell r="H1287" t="str">
            <v>b3</v>
          </cell>
          <cell r="I1287" t="str">
            <v>N1-b3</v>
          </cell>
          <cell r="J1287">
            <v>29</v>
          </cell>
          <cell r="K1287" t="str">
            <v>88</v>
          </cell>
        </row>
        <row r="1288">
          <cell r="A1288" t="str">
            <v>29-89</v>
          </cell>
          <cell r="B1288">
            <v>1285</v>
          </cell>
          <cell r="C1288" t="str">
            <v>C1.DK.29.89</v>
          </cell>
          <cell r="D1288" t="str">
            <v>DK</v>
          </cell>
          <cell r="E1288" t="str">
            <v>G-126</v>
          </cell>
          <cell r="F1288" t="str">
            <v>Express</v>
          </cell>
          <cell r="G1288" t="str">
            <v>N1</v>
          </cell>
          <cell r="H1288" t="str">
            <v>b3</v>
          </cell>
          <cell r="I1288" t="str">
            <v>N1-b3</v>
          </cell>
          <cell r="J1288">
            <v>29</v>
          </cell>
          <cell r="K1288" t="str">
            <v>89</v>
          </cell>
        </row>
        <row r="1289">
          <cell r="A1289" t="str">
            <v>29-90</v>
          </cell>
          <cell r="B1289">
            <v>1286</v>
          </cell>
          <cell r="C1289" t="str">
            <v>C1.DK.29.90</v>
          </cell>
          <cell r="D1289" t="str">
            <v>DK</v>
          </cell>
          <cell r="E1289" t="str">
            <v>G-132</v>
          </cell>
          <cell r="F1289" t="str">
            <v>DK013</v>
          </cell>
          <cell r="G1289" t="str">
            <v>N1</v>
          </cell>
          <cell r="H1289" t="str">
            <v>b3</v>
          </cell>
          <cell r="I1289" t="str">
            <v>N1-b3</v>
          </cell>
          <cell r="J1289">
            <v>29</v>
          </cell>
          <cell r="K1289" t="str">
            <v>90</v>
          </cell>
        </row>
        <row r="1290">
          <cell r="A1290" t="str">
            <v>30-65</v>
          </cell>
          <cell r="B1290">
            <v>1287</v>
          </cell>
          <cell r="C1290" t="str">
            <v>C1.DK.30.65</v>
          </cell>
          <cell r="D1290" t="str">
            <v>DK</v>
          </cell>
          <cell r="E1290" t="str">
            <v>G-200</v>
          </cell>
          <cell r="F1290" t="str">
            <v>DK142</v>
          </cell>
          <cell r="G1290" t="str">
            <v>N1</v>
          </cell>
          <cell r="H1290" t="str">
            <v>b3</v>
          </cell>
          <cell r="I1290" t="str">
            <v>N1-b3</v>
          </cell>
          <cell r="J1290">
            <v>30</v>
          </cell>
          <cell r="K1290" t="str">
            <v>65</v>
          </cell>
        </row>
        <row r="1291">
          <cell r="A1291" t="str">
            <v>30-66</v>
          </cell>
          <cell r="B1291">
            <v>1288</v>
          </cell>
          <cell r="C1291" t="str">
            <v>C1.DK.30.66</v>
          </cell>
          <cell r="D1291" t="str">
            <v>DK</v>
          </cell>
          <cell r="E1291" t="str">
            <v>G-162</v>
          </cell>
          <cell r="F1291" t="str">
            <v>DK066</v>
          </cell>
          <cell r="G1291" t="str">
            <v>N1</v>
          </cell>
          <cell r="H1291" t="str">
            <v>b3</v>
          </cell>
          <cell r="I1291" t="str">
            <v>N1-b3</v>
          </cell>
          <cell r="J1291">
            <v>30</v>
          </cell>
          <cell r="K1291" t="str">
            <v>66</v>
          </cell>
        </row>
        <row r="1292">
          <cell r="A1292" t="str">
            <v>30-67</v>
          </cell>
          <cell r="B1292">
            <v>1289</v>
          </cell>
          <cell r="C1292" t="str">
            <v>C1.DK.30.67</v>
          </cell>
          <cell r="D1292" t="str">
            <v>DK</v>
          </cell>
          <cell r="E1292" t="str">
            <v>G-199</v>
          </cell>
          <cell r="F1292" t="str">
            <v>DK140</v>
          </cell>
          <cell r="G1292" t="str">
            <v>N1</v>
          </cell>
          <cell r="H1292" t="str">
            <v>b3</v>
          </cell>
          <cell r="I1292" t="str">
            <v>N1-b3</v>
          </cell>
          <cell r="J1292">
            <v>30</v>
          </cell>
          <cell r="K1292" t="str">
            <v>67</v>
          </cell>
        </row>
        <row r="1293">
          <cell r="A1293" t="str">
            <v>30-68</v>
          </cell>
          <cell r="B1293">
            <v>1290</v>
          </cell>
          <cell r="C1293" t="str">
            <v>C1.DK.30.68</v>
          </cell>
          <cell r="D1293" t="str">
            <v>DK</v>
          </cell>
          <cell r="E1293" t="str">
            <v>G-209</v>
          </cell>
          <cell r="F1293" t="str">
            <v>DK153</v>
          </cell>
          <cell r="G1293" t="str">
            <v>N1</v>
          </cell>
          <cell r="H1293" t="str">
            <v>b3</v>
          </cell>
          <cell r="I1293" t="str">
            <v>N1-b3</v>
          </cell>
          <cell r="J1293">
            <v>30</v>
          </cell>
          <cell r="K1293" t="str">
            <v>68</v>
          </cell>
        </row>
        <row r="1294">
          <cell r="A1294" t="str">
            <v>30-69</v>
          </cell>
          <cell r="B1294">
            <v>1291</v>
          </cell>
          <cell r="C1294" t="str">
            <v>C1.DK.30.69</v>
          </cell>
          <cell r="D1294" t="str">
            <v>DK</v>
          </cell>
          <cell r="E1294" t="str">
            <v>G-127</v>
          </cell>
          <cell r="F1294" t="str">
            <v>DK001</v>
          </cell>
          <cell r="G1294" t="str">
            <v>N1</v>
          </cell>
          <cell r="H1294" t="str">
            <v>b3</v>
          </cell>
          <cell r="I1294" t="str">
            <v>N1-b3</v>
          </cell>
          <cell r="J1294">
            <v>30</v>
          </cell>
          <cell r="K1294" t="str">
            <v>69</v>
          </cell>
        </row>
        <row r="1295">
          <cell r="A1295" t="str">
            <v>30-70</v>
          </cell>
          <cell r="B1295">
            <v>1292</v>
          </cell>
          <cell r="C1295" t="str">
            <v>C1.DK.30.70</v>
          </cell>
          <cell r="D1295" t="str">
            <v>DK</v>
          </cell>
          <cell r="E1295" t="str">
            <v>G-126</v>
          </cell>
          <cell r="F1295" t="str">
            <v>Express</v>
          </cell>
          <cell r="G1295" t="str">
            <v>N1</v>
          </cell>
          <cell r="H1295" t="str">
            <v>b3</v>
          </cell>
          <cell r="I1295" t="str">
            <v>N1-b3</v>
          </cell>
          <cell r="J1295">
            <v>30</v>
          </cell>
          <cell r="K1295" t="str">
            <v>70</v>
          </cell>
        </row>
        <row r="1296">
          <cell r="A1296" t="str">
            <v>30-71</v>
          </cell>
          <cell r="B1296">
            <v>1293</v>
          </cell>
          <cell r="C1296" t="str">
            <v>C1.DK.30.71</v>
          </cell>
          <cell r="D1296" t="str">
            <v>DK</v>
          </cell>
          <cell r="E1296" t="str">
            <v>G-164</v>
          </cell>
          <cell r="F1296" t="str">
            <v>DK069</v>
          </cell>
          <cell r="G1296" t="str">
            <v>N1</v>
          </cell>
          <cell r="H1296" t="str">
            <v>b3</v>
          </cell>
          <cell r="I1296" t="str">
            <v>N1-b3</v>
          </cell>
          <cell r="J1296">
            <v>30</v>
          </cell>
          <cell r="K1296" t="str">
            <v>71</v>
          </cell>
        </row>
        <row r="1297">
          <cell r="A1297" t="str">
            <v>30-72</v>
          </cell>
          <cell r="B1297">
            <v>1294</v>
          </cell>
          <cell r="C1297" t="str">
            <v>C1.DK.30.72</v>
          </cell>
          <cell r="D1297" t="str">
            <v>DK</v>
          </cell>
          <cell r="E1297" t="str">
            <v>G-129</v>
          </cell>
          <cell r="F1297" t="str">
            <v>DK008</v>
          </cell>
          <cell r="G1297" t="str">
            <v>N1</v>
          </cell>
          <cell r="H1297" t="str">
            <v>b3</v>
          </cell>
          <cell r="I1297" t="str">
            <v>N1-b3</v>
          </cell>
          <cell r="J1297">
            <v>30</v>
          </cell>
          <cell r="K1297" t="str">
            <v>72</v>
          </cell>
        </row>
        <row r="1298">
          <cell r="A1298" t="str">
            <v>30-73</v>
          </cell>
          <cell r="B1298">
            <v>1295</v>
          </cell>
          <cell r="C1298" t="str">
            <v>C1.DK.30.73</v>
          </cell>
          <cell r="D1298" t="str">
            <v>DK</v>
          </cell>
          <cell r="E1298" t="str">
            <v>G-172</v>
          </cell>
          <cell r="F1298" t="str">
            <v>DK084</v>
          </cell>
          <cell r="G1298" t="str">
            <v>N1</v>
          </cell>
          <cell r="H1298" t="str">
            <v>b3</v>
          </cell>
          <cell r="I1298" t="str">
            <v>N1-b3</v>
          </cell>
          <cell r="J1298">
            <v>30</v>
          </cell>
          <cell r="K1298" t="str">
            <v>73</v>
          </cell>
        </row>
        <row r="1299">
          <cell r="A1299" t="str">
            <v>30-74</v>
          </cell>
          <cell r="B1299">
            <v>1296</v>
          </cell>
          <cell r="C1299" t="str">
            <v>C1.DK.30.74</v>
          </cell>
          <cell r="D1299" t="str">
            <v>DK</v>
          </cell>
          <cell r="E1299" t="str">
            <v>G-163</v>
          </cell>
          <cell r="F1299" t="str">
            <v>DK068</v>
          </cell>
          <cell r="G1299" t="str">
            <v>N1</v>
          </cell>
          <cell r="H1299" t="str">
            <v>b3</v>
          </cell>
          <cell r="I1299" t="str">
            <v>N1-b3</v>
          </cell>
          <cell r="J1299">
            <v>30</v>
          </cell>
          <cell r="K1299" t="str">
            <v>74</v>
          </cell>
        </row>
        <row r="1300">
          <cell r="A1300" t="str">
            <v>30-75</v>
          </cell>
          <cell r="B1300">
            <v>1297</v>
          </cell>
          <cell r="C1300" t="str">
            <v>C1.DK.30.75</v>
          </cell>
          <cell r="D1300" t="str">
            <v>DK</v>
          </cell>
          <cell r="E1300" t="str">
            <v>G-207</v>
          </cell>
          <cell r="F1300" t="str">
            <v>DK149</v>
          </cell>
          <cell r="G1300" t="str">
            <v>N1</v>
          </cell>
          <cell r="H1300" t="str">
            <v>b3</v>
          </cell>
          <cell r="I1300" t="str">
            <v>N1-b3</v>
          </cell>
          <cell r="J1300">
            <v>30</v>
          </cell>
          <cell r="K1300" t="str">
            <v>75</v>
          </cell>
        </row>
        <row r="1301">
          <cell r="A1301" t="str">
            <v>30-76</v>
          </cell>
          <cell r="B1301">
            <v>1298</v>
          </cell>
          <cell r="C1301" t="str">
            <v>C1.DK.30.76</v>
          </cell>
          <cell r="D1301" t="str">
            <v>DK</v>
          </cell>
          <cell r="E1301" t="str">
            <v>G-211</v>
          </cell>
          <cell r="F1301" t="str">
            <v>Colvert2</v>
          </cell>
          <cell r="G1301" t="str">
            <v>N1</v>
          </cell>
          <cell r="H1301" t="str">
            <v>b3</v>
          </cell>
          <cell r="I1301" t="str">
            <v>N1-b3</v>
          </cell>
          <cell r="J1301">
            <v>30</v>
          </cell>
          <cell r="K1301" t="str">
            <v>76</v>
          </cell>
        </row>
        <row r="1302">
          <cell r="A1302" t="str">
            <v>30-77</v>
          </cell>
          <cell r="B1302">
            <v>1299</v>
          </cell>
          <cell r="C1302" t="str">
            <v>C1.DK.30.77</v>
          </cell>
          <cell r="D1302" t="str">
            <v>DK</v>
          </cell>
          <cell r="E1302" t="str">
            <v>G-142</v>
          </cell>
          <cell r="F1302" t="str">
            <v>DK031</v>
          </cell>
          <cell r="G1302" t="str">
            <v>N1</v>
          </cell>
          <cell r="H1302" t="str">
            <v>b3</v>
          </cell>
          <cell r="I1302" t="str">
            <v>N1-b3</v>
          </cell>
          <cell r="J1302">
            <v>30</v>
          </cell>
          <cell r="K1302" t="str">
            <v>77</v>
          </cell>
        </row>
        <row r="1303">
          <cell r="A1303" t="str">
            <v>30-78</v>
          </cell>
          <cell r="B1303">
            <v>1300</v>
          </cell>
          <cell r="C1303" t="str">
            <v>C1.DK.30.78</v>
          </cell>
          <cell r="D1303" t="str">
            <v>DK</v>
          </cell>
          <cell r="E1303" t="str">
            <v>G-179</v>
          </cell>
          <cell r="F1303" t="str">
            <v>DK096</v>
          </cell>
          <cell r="G1303" t="str">
            <v>N1</v>
          </cell>
          <cell r="H1303" t="str">
            <v>b3</v>
          </cell>
          <cell r="I1303" t="str">
            <v>N1-b3</v>
          </cell>
          <cell r="J1303">
            <v>30</v>
          </cell>
          <cell r="K1303" t="str">
            <v>78</v>
          </cell>
        </row>
        <row r="1304">
          <cell r="A1304" t="str">
            <v>30-79</v>
          </cell>
          <cell r="B1304">
            <v>1301</v>
          </cell>
          <cell r="C1304" t="str">
            <v>C1.DK.30.79</v>
          </cell>
          <cell r="D1304" t="str">
            <v>DK</v>
          </cell>
          <cell r="E1304" t="str">
            <v>G-125</v>
          </cell>
          <cell r="F1304" t="str">
            <v>Tenor</v>
          </cell>
          <cell r="G1304" t="str">
            <v>N1</v>
          </cell>
          <cell r="H1304" t="str">
            <v>b3</v>
          </cell>
          <cell r="I1304" t="str">
            <v>N1-b3</v>
          </cell>
          <cell r="J1304">
            <v>30</v>
          </cell>
          <cell r="K1304" t="str">
            <v>79</v>
          </cell>
        </row>
        <row r="1305">
          <cell r="A1305" t="str">
            <v>30-80</v>
          </cell>
          <cell r="B1305">
            <v>1302</v>
          </cell>
          <cell r="C1305" t="str">
            <v>C1.DK.30.80</v>
          </cell>
          <cell r="D1305" t="str">
            <v>DK</v>
          </cell>
          <cell r="E1305" t="str">
            <v>G-131</v>
          </cell>
          <cell r="F1305" t="str">
            <v>DK012</v>
          </cell>
          <cell r="G1305" t="str">
            <v>N1</v>
          </cell>
          <cell r="H1305" t="str">
            <v>b3</v>
          </cell>
          <cell r="I1305" t="str">
            <v>N1-b3</v>
          </cell>
          <cell r="J1305">
            <v>30</v>
          </cell>
          <cell r="K1305" t="str">
            <v>80</v>
          </cell>
        </row>
        <row r="1306">
          <cell r="A1306" t="str">
            <v>30-81</v>
          </cell>
          <cell r="B1306">
            <v>1303</v>
          </cell>
          <cell r="C1306" t="str">
            <v>C1.DK.30.81</v>
          </cell>
          <cell r="D1306" t="str">
            <v>DK</v>
          </cell>
          <cell r="E1306" t="str">
            <v>G-191</v>
          </cell>
          <cell r="F1306" t="str">
            <v>DK119</v>
          </cell>
          <cell r="G1306" t="str">
            <v>N1</v>
          </cell>
          <cell r="H1306" t="str">
            <v>b3</v>
          </cell>
          <cell r="I1306" t="str">
            <v>N1-b3</v>
          </cell>
          <cell r="J1306">
            <v>30</v>
          </cell>
          <cell r="K1306" t="str">
            <v>81</v>
          </cell>
        </row>
        <row r="1307">
          <cell r="A1307" t="str">
            <v>30-82</v>
          </cell>
          <cell r="B1307">
            <v>1304</v>
          </cell>
          <cell r="C1307" t="str">
            <v>C1.DK.30.82</v>
          </cell>
          <cell r="D1307" t="str">
            <v>DK</v>
          </cell>
          <cell r="E1307" t="str">
            <v>G-154</v>
          </cell>
          <cell r="F1307" t="str">
            <v>DK052</v>
          </cell>
          <cell r="G1307" t="str">
            <v>N1</v>
          </cell>
          <cell r="H1307" t="str">
            <v>b3</v>
          </cell>
          <cell r="I1307" t="str">
            <v>N1-b3</v>
          </cell>
          <cell r="J1307">
            <v>30</v>
          </cell>
          <cell r="K1307" t="str">
            <v>82</v>
          </cell>
        </row>
        <row r="1308">
          <cell r="A1308" t="str">
            <v>30-83</v>
          </cell>
          <cell r="B1308">
            <v>1305</v>
          </cell>
          <cell r="C1308" t="str">
            <v>C1.DK.30.83</v>
          </cell>
          <cell r="D1308" t="str">
            <v>DK</v>
          </cell>
          <cell r="E1308" t="str">
            <v>G-195</v>
          </cell>
          <cell r="F1308" t="str">
            <v>DK133</v>
          </cell>
          <cell r="G1308" t="str">
            <v>N1</v>
          </cell>
          <cell r="H1308" t="str">
            <v>b3</v>
          </cell>
          <cell r="I1308" t="str">
            <v>N1-b3</v>
          </cell>
          <cell r="J1308">
            <v>30</v>
          </cell>
          <cell r="K1308" t="str">
            <v>83</v>
          </cell>
        </row>
        <row r="1309">
          <cell r="A1309" t="str">
            <v>30-84</v>
          </cell>
          <cell r="B1309">
            <v>1306</v>
          </cell>
          <cell r="C1309" t="str">
            <v>C1.DK.30.84</v>
          </cell>
          <cell r="D1309" t="str">
            <v>DK</v>
          </cell>
          <cell r="E1309" t="str">
            <v>G-125</v>
          </cell>
          <cell r="F1309" t="str">
            <v>Tenor</v>
          </cell>
          <cell r="G1309" t="str">
            <v>N1</v>
          </cell>
          <cell r="H1309" t="str">
            <v>b3</v>
          </cell>
          <cell r="I1309" t="str">
            <v>N1-b3</v>
          </cell>
          <cell r="J1309">
            <v>30</v>
          </cell>
          <cell r="K1309" t="str">
            <v>84</v>
          </cell>
        </row>
        <row r="1310">
          <cell r="A1310" t="str">
            <v>30-85</v>
          </cell>
          <cell r="B1310">
            <v>1307</v>
          </cell>
          <cell r="C1310" t="str">
            <v>C1.DK.30.85</v>
          </cell>
          <cell r="D1310" t="str">
            <v>DK</v>
          </cell>
          <cell r="E1310" t="str">
            <v>G-208</v>
          </cell>
          <cell r="F1310" t="str">
            <v>DK152</v>
          </cell>
          <cell r="G1310" t="str">
            <v>N1</v>
          </cell>
          <cell r="H1310" t="str">
            <v>b3</v>
          </cell>
          <cell r="I1310" t="str">
            <v>N1-b3</v>
          </cell>
          <cell r="J1310">
            <v>30</v>
          </cell>
          <cell r="K1310" t="str">
            <v>85</v>
          </cell>
        </row>
        <row r="1311">
          <cell r="A1311" t="str">
            <v>30-86</v>
          </cell>
          <cell r="B1311">
            <v>1308</v>
          </cell>
          <cell r="C1311" t="str">
            <v>C1.DK.30.86</v>
          </cell>
          <cell r="D1311" t="str">
            <v>DK</v>
          </cell>
          <cell r="E1311" t="str">
            <v>G-153</v>
          </cell>
          <cell r="F1311" t="str">
            <v>DK049</v>
          </cell>
          <cell r="G1311" t="str">
            <v>N1</v>
          </cell>
          <cell r="H1311" t="str">
            <v>b3</v>
          </cell>
          <cell r="I1311" t="str">
            <v>N1-b3</v>
          </cell>
          <cell r="J1311">
            <v>30</v>
          </cell>
          <cell r="K1311" t="str">
            <v>86</v>
          </cell>
        </row>
        <row r="1312">
          <cell r="A1312" t="str">
            <v>30-87</v>
          </cell>
          <cell r="B1312">
            <v>1309</v>
          </cell>
          <cell r="C1312" t="str">
            <v>C1.DK.30.87</v>
          </cell>
          <cell r="D1312" t="str">
            <v>DK</v>
          </cell>
          <cell r="E1312" t="str">
            <v>G-206</v>
          </cell>
          <cell r="F1312" t="str">
            <v>DK148</v>
          </cell>
          <cell r="G1312" t="str">
            <v>N1</v>
          </cell>
          <cell r="H1312" t="str">
            <v>b3</v>
          </cell>
          <cell r="I1312" t="str">
            <v>N1-b3</v>
          </cell>
          <cell r="J1312">
            <v>30</v>
          </cell>
          <cell r="K1312" t="str">
            <v>87</v>
          </cell>
        </row>
        <row r="1313">
          <cell r="A1313" t="str">
            <v>30-88</v>
          </cell>
          <cell r="B1313">
            <v>1310</v>
          </cell>
          <cell r="C1313" t="str">
            <v>C1.DK.30.88</v>
          </cell>
          <cell r="D1313" t="str">
            <v>DK</v>
          </cell>
          <cell r="E1313" t="str">
            <v>G-136</v>
          </cell>
          <cell r="F1313" t="str">
            <v>DK020</v>
          </cell>
          <cell r="G1313" t="str">
            <v>N1</v>
          </cell>
          <cell r="H1313" t="str">
            <v>b3</v>
          </cell>
          <cell r="I1313" t="str">
            <v>N1-b3</v>
          </cell>
          <cell r="J1313">
            <v>30</v>
          </cell>
          <cell r="K1313" t="str">
            <v>88</v>
          </cell>
        </row>
        <row r="1314">
          <cell r="A1314" t="str">
            <v>30-89</v>
          </cell>
          <cell r="B1314">
            <v>1311</v>
          </cell>
          <cell r="C1314" t="str">
            <v>C1.DK.30.89</v>
          </cell>
          <cell r="D1314" t="str">
            <v>DK</v>
          </cell>
          <cell r="E1314" t="str">
            <v>G-166</v>
          </cell>
          <cell r="F1314" t="str">
            <v>DK074</v>
          </cell>
          <cell r="G1314" t="str">
            <v>N1</v>
          </cell>
          <cell r="H1314" t="str">
            <v>b3</v>
          </cell>
          <cell r="I1314" t="str">
            <v>N1-b3</v>
          </cell>
          <cell r="J1314">
            <v>30</v>
          </cell>
          <cell r="K1314" t="str">
            <v>89</v>
          </cell>
        </row>
        <row r="1315">
          <cell r="A1315" t="str">
            <v>30-90</v>
          </cell>
          <cell r="B1315">
            <v>1312</v>
          </cell>
          <cell r="C1315" t="str">
            <v>C1.DK.30.90</v>
          </cell>
          <cell r="D1315" t="str">
            <v>DK</v>
          </cell>
          <cell r="E1315" t="str">
            <v>G-157</v>
          </cell>
          <cell r="F1315" t="str">
            <v>DK057</v>
          </cell>
          <cell r="G1315" t="str">
            <v>N1</v>
          </cell>
          <cell r="H1315" t="str">
            <v>b3</v>
          </cell>
          <cell r="I1315" t="str">
            <v>N1-b3</v>
          </cell>
          <cell r="J1315">
            <v>30</v>
          </cell>
          <cell r="K1315" t="str">
            <v>90</v>
          </cell>
        </row>
        <row r="1316">
          <cell r="A1316" t="str">
            <v>31-65</v>
          </cell>
          <cell r="B1316">
            <v>1313</v>
          </cell>
          <cell r="C1316" t="str">
            <v>C1.DK.31.65</v>
          </cell>
          <cell r="D1316" t="str">
            <v>DK</v>
          </cell>
          <cell r="E1316" t="str">
            <v>G-125</v>
          </cell>
          <cell r="F1316" t="str">
            <v>Tenor</v>
          </cell>
          <cell r="G1316" t="str">
            <v>N1</v>
          </cell>
          <cell r="H1316" t="str">
            <v>b3</v>
          </cell>
          <cell r="I1316" t="str">
            <v>N1-b3</v>
          </cell>
          <cell r="J1316">
            <v>31</v>
          </cell>
          <cell r="K1316" t="str">
            <v>65</v>
          </cell>
        </row>
        <row r="1317">
          <cell r="A1317" t="str">
            <v>31-66</v>
          </cell>
          <cell r="B1317">
            <v>1314</v>
          </cell>
          <cell r="C1317" t="str">
            <v>C1.DK.31.66</v>
          </cell>
          <cell r="D1317" t="str">
            <v>DK</v>
          </cell>
          <cell r="E1317" t="str">
            <v>G-148</v>
          </cell>
          <cell r="F1317" t="str">
            <v>DK041</v>
          </cell>
          <cell r="G1317" t="str">
            <v>N1</v>
          </cell>
          <cell r="H1317" t="str">
            <v>b3</v>
          </cell>
          <cell r="I1317" t="str">
            <v>N1-b3</v>
          </cell>
          <cell r="J1317">
            <v>31</v>
          </cell>
          <cell r="K1317" t="str">
            <v>66</v>
          </cell>
        </row>
        <row r="1318">
          <cell r="A1318" t="str">
            <v>31-67</v>
          </cell>
          <cell r="B1318">
            <v>1315</v>
          </cell>
          <cell r="C1318" t="str">
            <v>C1.DK.31.67</v>
          </cell>
          <cell r="D1318" t="str">
            <v>DK</v>
          </cell>
          <cell r="E1318" t="str">
            <v>G-165</v>
          </cell>
          <cell r="F1318" t="str">
            <v>DK071</v>
          </cell>
          <cell r="G1318" t="str">
            <v>N1</v>
          </cell>
          <cell r="H1318" t="str">
            <v>b3</v>
          </cell>
          <cell r="I1318" t="str">
            <v>N1-b3</v>
          </cell>
          <cell r="J1318">
            <v>31</v>
          </cell>
          <cell r="K1318" t="str">
            <v>67</v>
          </cell>
        </row>
        <row r="1319">
          <cell r="A1319" t="str">
            <v>31-68</v>
          </cell>
          <cell r="B1319">
            <v>1316</v>
          </cell>
          <cell r="C1319" t="str">
            <v>C1.DK.31.68</v>
          </cell>
          <cell r="D1319" t="str">
            <v>DK</v>
          </cell>
          <cell r="E1319" t="str">
            <v>G-196</v>
          </cell>
          <cell r="F1319" t="str">
            <v>DK135</v>
          </cell>
          <cell r="G1319" t="str">
            <v>N1</v>
          </cell>
          <cell r="H1319" t="str">
            <v>b3</v>
          </cell>
          <cell r="I1319" t="str">
            <v>N1-b3</v>
          </cell>
          <cell r="J1319">
            <v>31</v>
          </cell>
          <cell r="K1319" t="str">
            <v>68</v>
          </cell>
        </row>
        <row r="1320">
          <cell r="A1320" t="str">
            <v>31-69</v>
          </cell>
          <cell r="B1320">
            <v>1317</v>
          </cell>
          <cell r="C1320" t="str">
            <v>C1.DK.31.69</v>
          </cell>
          <cell r="D1320" t="str">
            <v>DK</v>
          </cell>
          <cell r="E1320" t="str">
            <v>G-138</v>
          </cell>
          <cell r="F1320" t="str">
            <v>DK023</v>
          </cell>
          <cell r="G1320" t="str">
            <v>N1</v>
          </cell>
          <cell r="H1320" t="str">
            <v>b3</v>
          </cell>
          <cell r="I1320" t="str">
            <v>N1-b3</v>
          </cell>
          <cell r="J1320">
            <v>31</v>
          </cell>
          <cell r="K1320" t="str">
            <v>69</v>
          </cell>
        </row>
        <row r="1321">
          <cell r="A1321" t="str">
            <v>31-70</v>
          </cell>
          <cell r="B1321">
            <v>1318</v>
          </cell>
          <cell r="C1321" t="str">
            <v>C1.DK.31.70</v>
          </cell>
          <cell r="D1321" t="str">
            <v>DK</v>
          </cell>
          <cell r="E1321" t="str">
            <v>G-193</v>
          </cell>
          <cell r="F1321" t="str">
            <v>DK124</v>
          </cell>
          <cell r="G1321" t="str">
            <v>N1</v>
          </cell>
          <cell r="H1321" t="str">
            <v>b3</v>
          </cell>
          <cell r="I1321" t="str">
            <v>N1-b3</v>
          </cell>
          <cell r="J1321">
            <v>31</v>
          </cell>
          <cell r="K1321" t="str">
            <v>70</v>
          </cell>
        </row>
        <row r="1322">
          <cell r="A1322" t="str">
            <v>31-71</v>
          </cell>
          <cell r="B1322">
            <v>1319</v>
          </cell>
          <cell r="C1322" t="str">
            <v>C1.DK.31.71</v>
          </cell>
          <cell r="D1322" t="str">
            <v>DK</v>
          </cell>
          <cell r="E1322" t="str">
            <v>G-174</v>
          </cell>
          <cell r="F1322" t="str">
            <v>DK086</v>
          </cell>
          <cell r="G1322" t="str">
            <v>N1</v>
          </cell>
          <cell r="H1322" t="str">
            <v>b3</v>
          </cell>
          <cell r="I1322" t="str">
            <v>N1-b3</v>
          </cell>
          <cell r="J1322">
            <v>31</v>
          </cell>
          <cell r="K1322" t="str">
            <v>71</v>
          </cell>
        </row>
        <row r="1323">
          <cell r="A1323" t="str">
            <v>31-72</v>
          </cell>
          <cell r="B1323">
            <v>1320</v>
          </cell>
          <cell r="C1323" t="str">
            <v>C1.DK.31.72</v>
          </cell>
          <cell r="D1323" t="str">
            <v>DK</v>
          </cell>
          <cell r="E1323" t="str">
            <v>G-215</v>
          </cell>
          <cell r="F1323" t="str">
            <v>L-Liones2</v>
          </cell>
          <cell r="G1323" t="str">
            <v>N1</v>
          </cell>
          <cell r="H1323" t="str">
            <v>b3</v>
          </cell>
          <cell r="I1323" t="str">
            <v>N1-b3</v>
          </cell>
          <cell r="J1323">
            <v>31</v>
          </cell>
          <cell r="K1323" t="str">
            <v>72</v>
          </cell>
        </row>
        <row r="1324">
          <cell r="A1324" t="str">
            <v>31-73</v>
          </cell>
          <cell r="B1324">
            <v>1321</v>
          </cell>
          <cell r="C1324" t="str">
            <v>C1.DK.31.73</v>
          </cell>
          <cell r="D1324" t="str">
            <v>DK</v>
          </cell>
          <cell r="E1324" t="str">
            <v>G-216</v>
          </cell>
          <cell r="F1324" t="str">
            <v>C-California2</v>
          </cell>
          <cell r="G1324" t="str">
            <v>N1</v>
          </cell>
          <cell r="H1324" t="str">
            <v>b3</v>
          </cell>
          <cell r="I1324" t="str">
            <v>N1-b3</v>
          </cell>
          <cell r="J1324">
            <v>31</v>
          </cell>
          <cell r="K1324" t="str">
            <v>73</v>
          </cell>
        </row>
        <row r="1325">
          <cell r="A1325" t="str">
            <v>31-74</v>
          </cell>
          <cell r="B1325">
            <v>1322</v>
          </cell>
          <cell r="C1325" t="str">
            <v>C1.DK.31.74</v>
          </cell>
          <cell r="D1325" t="str">
            <v>DK</v>
          </cell>
          <cell r="E1325" t="str">
            <v>G-161</v>
          </cell>
          <cell r="F1325" t="str">
            <v>DK064</v>
          </cell>
          <cell r="G1325" t="str">
            <v>N1</v>
          </cell>
          <cell r="H1325" t="str">
            <v>b3</v>
          </cell>
          <cell r="I1325" t="str">
            <v>N1-b3</v>
          </cell>
          <cell r="J1325">
            <v>31</v>
          </cell>
          <cell r="K1325" t="str">
            <v>74</v>
          </cell>
        </row>
        <row r="1326">
          <cell r="A1326" t="str">
            <v>31-75</v>
          </cell>
          <cell r="B1326">
            <v>1323</v>
          </cell>
          <cell r="C1326" t="str">
            <v>C1.DK.31.75</v>
          </cell>
          <cell r="D1326" t="str">
            <v>DK</v>
          </cell>
          <cell r="E1326" t="str">
            <v>G-152</v>
          </cell>
          <cell r="F1326" t="str">
            <v>DK046</v>
          </cell>
          <cell r="G1326" t="str">
            <v>N1</v>
          </cell>
          <cell r="H1326" t="str">
            <v>b3</v>
          </cell>
          <cell r="I1326" t="str">
            <v>N1-b3</v>
          </cell>
          <cell r="J1326">
            <v>31</v>
          </cell>
          <cell r="K1326" t="str">
            <v>75</v>
          </cell>
        </row>
        <row r="1327">
          <cell r="A1327" t="str">
            <v>31-76</v>
          </cell>
          <cell r="B1327">
            <v>1324</v>
          </cell>
          <cell r="C1327" t="str">
            <v>C1.DK.31.76</v>
          </cell>
          <cell r="D1327" t="str">
            <v>DK</v>
          </cell>
          <cell r="E1327" t="str">
            <v>G-182</v>
          </cell>
          <cell r="F1327" t="str">
            <v>DK103</v>
          </cell>
          <cell r="G1327" t="str">
            <v>N1</v>
          </cell>
          <cell r="H1327" t="str">
            <v>b3</v>
          </cell>
          <cell r="I1327" t="str">
            <v>N1-b3</v>
          </cell>
          <cell r="J1327">
            <v>31</v>
          </cell>
          <cell r="K1327" t="str">
            <v>76</v>
          </cell>
        </row>
        <row r="1328">
          <cell r="A1328" t="str">
            <v>31-77</v>
          </cell>
          <cell r="B1328">
            <v>1325</v>
          </cell>
          <cell r="C1328" t="str">
            <v>C1.DK.31.77</v>
          </cell>
          <cell r="D1328" t="str">
            <v>DK</v>
          </cell>
          <cell r="E1328" t="str">
            <v>G-201</v>
          </cell>
          <cell r="F1328" t="str">
            <v>DK143</v>
          </cell>
          <cell r="G1328" t="str">
            <v>N1</v>
          </cell>
          <cell r="H1328" t="str">
            <v>b3</v>
          </cell>
          <cell r="I1328" t="str">
            <v>N1-b3</v>
          </cell>
          <cell r="J1328">
            <v>31</v>
          </cell>
          <cell r="K1328" t="str">
            <v>77</v>
          </cell>
        </row>
        <row r="1329">
          <cell r="A1329" t="str">
            <v>31-78</v>
          </cell>
          <cell r="B1329">
            <v>1326</v>
          </cell>
          <cell r="C1329" t="str">
            <v>C1.DK.31.78</v>
          </cell>
          <cell r="D1329" t="str">
            <v>DK</v>
          </cell>
          <cell r="E1329" t="str">
            <v>G-158</v>
          </cell>
          <cell r="F1329" t="str">
            <v>DK058</v>
          </cell>
          <cell r="G1329" t="str">
            <v>N1</v>
          </cell>
          <cell r="H1329" t="str">
            <v>b3</v>
          </cell>
          <cell r="I1329" t="str">
            <v>N1-b3</v>
          </cell>
          <cell r="J1329">
            <v>31</v>
          </cell>
          <cell r="K1329" t="str">
            <v>78</v>
          </cell>
        </row>
        <row r="1330">
          <cell r="A1330" t="str">
            <v>31-79</v>
          </cell>
          <cell r="B1330">
            <v>1327</v>
          </cell>
          <cell r="C1330" t="str">
            <v>C1.DK.31.79</v>
          </cell>
          <cell r="D1330" t="str">
            <v>DK</v>
          </cell>
          <cell r="E1330" t="str">
            <v>G-175</v>
          </cell>
          <cell r="F1330" t="str">
            <v>DK091</v>
          </cell>
          <cell r="G1330" t="str">
            <v>N1</v>
          </cell>
          <cell r="H1330" t="str">
            <v>b3</v>
          </cell>
          <cell r="I1330" t="str">
            <v>N1-b3</v>
          </cell>
          <cell r="J1330">
            <v>31</v>
          </cell>
          <cell r="K1330" t="str">
            <v>79</v>
          </cell>
        </row>
        <row r="1331">
          <cell r="A1331" t="str">
            <v>31-80</v>
          </cell>
          <cell r="B1331">
            <v>1328</v>
          </cell>
          <cell r="C1331" t="str">
            <v>C1.DK.31.80</v>
          </cell>
          <cell r="D1331" t="str">
            <v>DK</v>
          </cell>
          <cell r="E1331" t="str">
            <v>G-137</v>
          </cell>
          <cell r="F1331" t="str">
            <v>DK021</v>
          </cell>
          <cell r="G1331" t="str">
            <v>N1</v>
          </cell>
          <cell r="H1331" t="str">
            <v>b3</v>
          </cell>
          <cell r="I1331" t="str">
            <v>N1-b3</v>
          </cell>
          <cell r="J1331">
            <v>31</v>
          </cell>
          <cell r="K1331" t="str">
            <v>80</v>
          </cell>
        </row>
        <row r="1332">
          <cell r="A1332" t="str">
            <v>31-81</v>
          </cell>
          <cell r="B1332">
            <v>1329</v>
          </cell>
          <cell r="C1332" t="str">
            <v>C1.DK.31.81</v>
          </cell>
          <cell r="D1332" t="str">
            <v>DK</v>
          </cell>
          <cell r="E1332" t="str">
            <v>G-168</v>
          </cell>
          <cell r="F1332" t="str">
            <v>DK079</v>
          </cell>
          <cell r="G1332" t="str">
            <v>N1</v>
          </cell>
          <cell r="H1332" t="str">
            <v>b3</v>
          </cell>
          <cell r="I1332" t="str">
            <v>N1-b3</v>
          </cell>
          <cell r="J1332">
            <v>31</v>
          </cell>
          <cell r="K1332" t="str">
            <v>81</v>
          </cell>
        </row>
        <row r="1333">
          <cell r="A1333" t="str">
            <v>31-82</v>
          </cell>
          <cell r="B1333">
            <v>1330</v>
          </cell>
          <cell r="C1333" t="str">
            <v>C1.DK.31.82</v>
          </cell>
          <cell r="D1333" t="str">
            <v>DK</v>
          </cell>
          <cell r="E1333" t="str">
            <v>G-173</v>
          </cell>
          <cell r="F1333" t="str">
            <v>DK085</v>
          </cell>
          <cell r="G1333" t="str">
            <v>N1</v>
          </cell>
          <cell r="H1333" t="str">
            <v>b3</v>
          </cell>
          <cell r="I1333" t="str">
            <v>N1-b3</v>
          </cell>
          <cell r="J1333">
            <v>31</v>
          </cell>
          <cell r="K1333" t="str">
            <v>82</v>
          </cell>
        </row>
        <row r="1334">
          <cell r="A1334" t="str">
            <v>31-83</v>
          </cell>
          <cell r="B1334">
            <v>1331</v>
          </cell>
          <cell r="C1334" t="str">
            <v>C1.DK.31.83</v>
          </cell>
          <cell r="D1334" t="str">
            <v>DK</v>
          </cell>
          <cell r="E1334" t="str">
            <v>G-217</v>
          </cell>
          <cell r="F1334" t="str">
            <v>S-Oase2</v>
          </cell>
          <cell r="G1334" t="str">
            <v>N1</v>
          </cell>
          <cell r="H1334" t="str">
            <v>b3</v>
          </cell>
          <cell r="I1334" t="str">
            <v>N1-b3</v>
          </cell>
          <cell r="J1334">
            <v>31</v>
          </cell>
          <cell r="K1334" t="str">
            <v>83</v>
          </cell>
        </row>
        <row r="1335">
          <cell r="A1335" t="str">
            <v>31-84</v>
          </cell>
          <cell r="B1335">
            <v>1332</v>
          </cell>
          <cell r="C1335" t="str">
            <v>C1.DK.31.84</v>
          </cell>
          <cell r="D1335" t="str">
            <v>DK</v>
          </cell>
          <cell r="E1335" t="str">
            <v>G-169</v>
          </cell>
          <cell r="F1335" t="str">
            <v>DK080</v>
          </cell>
          <cell r="G1335" t="str">
            <v>N1</v>
          </cell>
          <cell r="H1335" t="str">
            <v>b3</v>
          </cell>
          <cell r="I1335" t="str">
            <v>N1-b3</v>
          </cell>
          <cell r="J1335">
            <v>31</v>
          </cell>
          <cell r="K1335" t="str">
            <v>84</v>
          </cell>
        </row>
        <row r="1336">
          <cell r="A1336" t="str">
            <v>31-85</v>
          </cell>
          <cell r="B1336">
            <v>1333</v>
          </cell>
          <cell r="C1336" t="str">
            <v>C1.DK.31.85</v>
          </cell>
          <cell r="D1336" t="str">
            <v>DK</v>
          </cell>
          <cell r="E1336" t="str">
            <v>G-217</v>
          </cell>
          <cell r="F1336" t="str">
            <v>S-Oase2</v>
          </cell>
          <cell r="G1336" t="str">
            <v>N1</v>
          </cell>
          <cell r="H1336" t="str">
            <v>b3</v>
          </cell>
          <cell r="I1336" t="str">
            <v>N1-b3</v>
          </cell>
          <cell r="J1336">
            <v>31</v>
          </cell>
          <cell r="K1336" t="str">
            <v>85</v>
          </cell>
        </row>
        <row r="1337">
          <cell r="A1337" t="str">
            <v>31-86</v>
          </cell>
          <cell r="B1337">
            <v>1334</v>
          </cell>
          <cell r="C1337" t="str">
            <v>C1.DK.31.86</v>
          </cell>
          <cell r="D1337" t="str">
            <v>DK</v>
          </cell>
          <cell r="E1337" t="str">
            <v>G-155</v>
          </cell>
          <cell r="F1337" t="str">
            <v>DK053</v>
          </cell>
          <cell r="G1337" t="str">
            <v>N1</v>
          </cell>
          <cell r="H1337" t="str">
            <v>b3</v>
          </cell>
          <cell r="I1337" t="str">
            <v>N1-b3</v>
          </cell>
          <cell r="J1337">
            <v>31</v>
          </cell>
          <cell r="K1337" t="str">
            <v>86</v>
          </cell>
        </row>
        <row r="1338">
          <cell r="A1338" t="str">
            <v>31-87</v>
          </cell>
          <cell r="B1338">
            <v>1335</v>
          </cell>
          <cell r="C1338" t="str">
            <v>C1.DK.31.87</v>
          </cell>
          <cell r="D1338" t="str">
            <v>DK</v>
          </cell>
          <cell r="E1338" t="str">
            <v>G-205</v>
          </cell>
          <cell r="F1338" t="str">
            <v>DK147</v>
          </cell>
          <cell r="G1338" t="str">
            <v>N1</v>
          </cell>
          <cell r="H1338" t="str">
            <v>b3</v>
          </cell>
          <cell r="I1338" t="str">
            <v>N1-b3</v>
          </cell>
          <cell r="J1338">
            <v>31</v>
          </cell>
          <cell r="K1338" t="str">
            <v>87</v>
          </cell>
        </row>
        <row r="1339">
          <cell r="A1339" t="str">
            <v>31-88</v>
          </cell>
          <cell r="B1339">
            <v>1336</v>
          </cell>
          <cell r="C1339" t="str">
            <v>C1.DK.31.88</v>
          </cell>
          <cell r="D1339" t="str">
            <v>DK</v>
          </cell>
          <cell r="E1339" t="str">
            <v>G-126</v>
          </cell>
          <cell r="F1339" t="str">
            <v>Express</v>
          </cell>
          <cell r="G1339" t="str">
            <v>N1</v>
          </cell>
          <cell r="H1339" t="str">
            <v>b3</v>
          </cell>
          <cell r="I1339" t="str">
            <v>N1-b3</v>
          </cell>
          <cell r="J1339">
            <v>31</v>
          </cell>
          <cell r="K1339" t="str">
            <v>88</v>
          </cell>
        </row>
        <row r="1340">
          <cell r="A1340" t="str">
            <v>31-89</v>
          </cell>
          <cell r="B1340">
            <v>1337</v>
          </cell>
          <cell r="C1340" t="str">
            <v>C1.DK.31.89</v>
          </cell>
          <cell r="D1340" t="str">
            <v>DK</v>
          </cell>
          <cell r="E1340" t="str">
            <v>G-217</v>
          </cell>
          <cell r="F1340" t="str">
            <v>S-Oase2</v>
          </cell>
          <cell r="G1340" t="str">
            <v>N1</v>
          </cell>
          <cell r="H1340" t="str">
            <v>b3</v>
          </cell>
          <cell r="I1340" t="str">
            <v>N1-b3</v>
          </cell>
          <cell r="J1340">
            <v>31</v>
          </cell>
          <cell r="K1340" t="str">
            <v>89</v>
          </cell>
        </row>
        <row r="1341">
          <cell r="A1341" t="str">
            <v>31-90</v>
          </cell>
          <cell r="B1341">
            <v>1338</v>
          </cell>
          <cell r="C1341" t="str">
            <v>C1.DK.31.90</v>
          </cell>
          <cell r="D1341" t="str">
            <v>DK</v>
          </cell>
          <cell r="E1341" t="str">
            <v>G-130</v>
          </cell>
          <cell r="F1341" t="str">
            <v>DK011</v>
          </cell>
          <cell r="G1341" t="str">
            <v>N1</v>
          </cell>
          <cell r="H1341" t="str">
            <v>b3</v>
          </cell>
          <cell r="I1341" t="str">
            <v>N1-b3</v>
          </cell>
          <cell r="J1341">
            <v>31</v>
          </cell>
          <cell r="K1341" t="str">
            <v>90</v>
          </cell>
        </row>
        <row r="1342">
          <cell r="A1342" t="str">
            <v>32-65</v>
          </cell>
          <cell r="B1342">
            <v>1339</v>
          </cell>
          <cell r="C1342" t="str">
            <v>C1.DK.32.65</v>
          </cell>
          <cell r="D1342" t="str">
            <v>DK</v>
          </cell>
          <cell r="E1342" t="str">
            <v>G-159</v>
          </cell>
          <cell r="F1342" t="str">
            <v>DK061</v>
          </cell>
          <cell r="G1342" t="str">
            <v>N1</v>
          </cell>
          <cell r="H1342" t="str">
            <v>b3</v>
          </cell>
          <cell r="I1342" t="str">
            <v>N1-b3</v>
          </cell>
          <cell r="J1342">
            <v>32</v>
          </cell>
          <cell r="K1342" t="str">
            <v>65</v>
          </cell>
        </row>
        <row r="1343">
          <cell r="A1343" t="str">
            <v>32-66</v>
          </cell>
          <cell r="B1343">
            <v>1340</v>
          </cell>
          <cell r="C1343" t="str">
            <v>C1.DK.32.66</v>
          </cell>
          <cell r="D1343" t="str">
            <v>DK</v>
          </cell>
          <cell r="E1343" t="str">
            <v>G-185</v>
          </cell>
          <cell r="F1343" t="str">
            <v>DK109</v>
          </cell>
          <cell r="G1343" t="str">
            <v>N1</v>
          </cell>
          <cell r="H1343" t="str">
            <v>b3</v>
          </cell>
          <cell r="I1343" t="str">
            <v>N1-b3</v>
          </cell>
          <cell r="J1343">
            <v>32</v>
          </cell>
          <cell r="K1343" t="str">
            <v>66</v>
          </cell>
        </row>
        <row r="1344">
          <cell r="A1344" t="str">
            <v>32-67</v>
          </cell>
          <cell r="B1344">
            <v>1341</v>
          </cell>
          <cell r="C1344" t="str">
            <v>C1.DK.32.67</v>
          </cell>
          <cell r="D1344" t="str">
            <v>DK</v>
          </cell>
          <cell r="E1344" t="str">
            <v>G-213</v>
          </cell>
          <cell r="F1344" t="str">
            <v>Twister2</v>
          </cell>
          <cell r="G1344" t="str">
            <v>N1</v>
          </cell>
          <cell r="H1344" t="str">
            <v>b3</v>
          </cell>
          <cell r="I1344" t="str">
            <v>N1-b3</v>
          </cell>
          <cell r="J1344">
            <v>32</v>
          </cell>
          <cell r="K1344" t="str">
            <v>67</v>
          </cell>
        </row>
        <row r="1345">
          <cell r="A1345" t="str">
            <v>32-68</v>
          </cell>
          <cell r="B1345">
            <v>1342</v>
          </cell>
          <cell r="C1345" t="str">
            <v>C1.DK.32.68</v>
          </cell>
          <cell r="D1345" t="str">
            <v>DK</v>
          </cell>
          <cell r="E1345" t="str">
            <v>G-143</v>
          </cell>
          <cell r="F1345" t="str">
            <v>DK035</v>
          </cell>
          <cell r="G1345" t="str">
            <v>N1</v>
          </cell>
          <cell r="H1345" t="str">
            <v>b3</v>
          </cell>
          <cell r="I1345" t="str">
            <v>N1-b3</v>
          </cell>
          <cell r="J1345">
            <v>32</v>
          </cell>
          <cell r="K1345" t="str">
            <v>68</v>
          </cell>
        </row>
        <row r="1346">
          <cell r="A1346" t="str">
            <v>32-69</v>
          </cell>
          <cell r="B1346">
            <v>1343</v>
          </cell>
          <cell r="C1346" t="str">
            <v>C1.DK.32.69</v>
          </cell>
          <cell r="D1346" t="str">
            <v>DK</v>
          </cell>
          <cell r="E1346" t="str">
            <v>G-176</v>
          </cell>
          <cell r="F1346" t="str">
            <v>DK093</v>
          </cell>
          <cell r="G1346" t="str">
            <v>N1</v>
          </cell>
          <cell r="H1346" t="str">
            <v>b3</v>
          </cell>
          <cell r="I1346" t="str">
            <v>N1-b3</v>
          </cell>
          <cell r="J1346">
            <v>32</v>
          </cell>
          <cell r="K1346" t="str">
            <v>69</v>
          </cell>
        </row>
        <row r="1347">
          <cell r="A1347" t="str">
            <v>32-70</v>
          </cell>
          <cell r="B1347">
            <v>1344</v>
          </cell>
          <cell r="C1347" t="str">
            <v>C1.DK.32.70</v>
          </cell>
          <cell r="D1347" t="str">
            <v>DK</v>
          </cell>
          <cell r="E1347" t="str">
            <v>G-128</v>
          </cell>
          <cell r="F1347" t="str">
            <v>DK007</v>
          </cell>
          <cell r="G1347" t="str">
            <v>N1</v>
          </cell>
          <cell r="H1347" t="str">
            <v>b3</v>
          </cell>
          <cell r="I1347" t="str">
            <v>N1-b3</v>
          </cell>
          <cell r="J1347">
            <v>32</v>
          </cell>
          <cell r="K1347" t="str">
            <v>70</v>
          </cell>
        </row>
        <row r="1348">
          <cell r="A1348" t="str">
            <v>32-71</v>
          </cell>
          <cell r="B1348">
            <v>1345</v>
          </cell>
          <cell r="C1348" t="str">
            <v>C1.DK.32.71</v>
          </cell>
          <cell r="D1348" t="str">
            <v>DK</v>
          </cell>
          <cell r="E1348" t="str">
            <v>G-187</v>
          </cell>
          <cell r="F1348" t="str">
            <v>DK112</v>
          </cell>
          <cell r="G1348" t="str">
            <v>N1</v>
          </cell>
          <cell r="H1348" t="str">
            <v>b3</v>
          </cell>
          <cell r="I1348" t="str">
            <v>N1-b3</v>
          </cell>
          <cell r="J1348">
            <v>32</v>
          </cell>
          <cell r="K1348" t="str">
            <v>71</v>
          </cell>
        </row>
        <row r="1349">
          <cell r="A1349" t="str">
            <v>32-72</v>
          </cell>
          <cell r="B1349">
            <v>1346</v>
          </cell>
          <cell r="C1349" t="str">
            <v>C1.DK.32.72</v>
          </cell>
          <cell r="D1349" t="str">
            <v>DK</v>
          </cell>
          <cell r="E1349" t="str">
            <v>G-183</v>
          </cell>
          <cell r="F1349" t="str">
            <v>DK107</v>
          </cell>
          <cell r="G1349" t="str">
            <v>N1</v>
          </cell>
          <cell r="H1349" t="str">
            <v>b3</v>
          </cell>
          <cell r="I1349" t="str">
            <v>N1-b3</v>
          </cell>
          <cell r="J1349">
            <v>32</v>
          </cell>
          <cell r="K1349" t="str">
            <v>72</v>
          </cell>
        </row>
        <row r="1350">
          <cell r="A1350" t="str">
            <v>32-73</v>
          </cell>
          <cell r="B1350">
            <v>1347</v>
          </cell>
          <cell r="C1350" t="str">
            <v>C1.DK.32.73</v>
          </cell>
          <cell r="D1350" t="str">
            <v>DK</v>
          </cell>
          <cell r="E1350" t="str">
            <v>G-189</v>
          </cell>
          <cell r="F1350" t="str">
            <v>DK116</v>
          </cell>
          <cell r="G1350" t="str">
            <v>N1</v>
          </cell>
          <cell r="H1350" t="str">
            <v>b3</v>
          </cell>
          <cell r="I1350" t="str">
            <v>N1-b3</v>
          </cell>
          <cell r="J1350">
            <v>32</v>
          </cell>
          <cell r="K1350" t="str">
            <v>73</v>
          </cell>
        </row>
        <row r="1351">
          <cell r="A1351" t="str">
            <v>32-74</v>
          </cell>
          <cell r="B1351">
            <v>1348</v>
          </cell>
          <cell r="C1351" t="str">
            <v>C1.DK.32.74</v>
          </cell>
          <cell r="D1351" t="str">
            <v>DK</v>
          </cell>
          <cell r="E1351" t="str">
            <v>G-151</v>
          </cell>
          <cell r="F1351" t="str">
            <v>DK045</v>
          </cell>
          <cell r="G1351" t="str">
            <v>N1</v>
          </cell>
          <cell r="H1351" t="str">
            <v>b3</v>
          </cell>
          <cell r="I1351" t="str">
            <v>N1-b3</v>
          </cell>
          <cell r="J1351">
            <v>32</v>
          </cell>
          <cell r="K1351" t="str">
            <v>74</v>
          </cell>
        </row>
        <row r="1352">
          <cell r="A1352" t="str">
            <v>32-75</v>
          </cell>
          <cell r="B1352">
            <v>1349</v>
          </cell>
          <cell r="C1352" t="str">
            <v>C1.DK.32.75</v>
          </cell>
          <cell r="D1352" t="str">
            <v>DK</v>
          </cell>
          <cell r="E1352" t="str">
            <v>G-217</v>
          </cell>
          <cell r="F1352" t="str">
            <v>S-Oase2</v>
          </cell>
          <cell r="G1352" t="str">
            <v>N1</v>
          </cell>
          <cell r="H1352" t="str">
            <v>b3</v>
          </cell>
          <cell r="I1352" t="str">
            <v>N1-b3</v>
          </cell>
          <cell r="J1352">
            <v>32</v>
          </cell>
          <cell r="K1352" t="str">
            <v>75</v>
          </cell>
        </row>
        <row r="1353">
          <cell r="A1353" t="str">
            <v>32-76</v>
          </cell>
          <cell r="B1353">
            <v>1350</v>
          </cell>
          <cell r="C1353" t="str">
            <v>C1.DK.32.76</v>
          </cell>
          <cell r="D1353" t="str">
            <v>DK</v>
          </cell>
          <cell r="E1353" t="str">
            <v>G-156</v>
          </cell>
          <cell r="F1353" t="str">
            <v>DK055</v>
          </cell>
          <cell r="G1353" t="str">
            <v>N1</v>
          </cell>
          <cell r="H1353" t="str">
            <v>b3</v>
          </cell>
          <cell r="I1353" t="str">
            <v>N1-b3</v>
          </cell>
          <cell r="J1353">
            <v>32</v>
          </cell>
          <cell r="K1353" t="str">
            <v>76</v>
          </cell>
        </row>
        <row r="1354">
          <cell r="A1354" t="str">
            <v>32-77</v>
          </cell>
          <cell r="B1354">
            <v>1351</v>
          </cell>
          <cell r="C1354" t="str">
            <v>C1.DK.32.77</v>
          </cell>
          <cell r="D1354" t="str">
            <v>DK</v>
          </cell>
          <cell r="E1354" t="str">
            <v>G-190</v>
          </cell>
          <cell r="F1354" t="str">
            <v>DK117</v>
          </cell>
          <cell r="G1354" t="str">
            <v>N1</v>
          </cell>
          <cell r="H1354" t="str">
            <v>b3</v>
          </cell>
          <cell r="I1354" t="str">
            <v>N1-b3</v>
          </cell>
          <cell r="J1354">
            <v>32</v>
          </cell>
          <cell r="K1354" t="str">
            <v>77</v>
          </cell>
        </row>
        <row r="1355">
          <cell r="A1355" t="str">
            <v>32-78</v>
          </cell>
          <cell r="B1355">
            <v>1352</v>
          </cell>
          <cell r="C1355" t="str">
            <v>C1.DK.32.78</v>
          </cell>
          <cell r="D1355" t="str">
            <v>DK</v>
          </cell>
          <cell r="E1355" t="str">
            <v>G-202</v>
          </cell>
          <cell r="F1355" t="str">
            <v>DK144</v>
          </cell>
          <cell r="G1355" t="str">
            <v>N1</v>
          </cell>
          <cell r="H1355" t="str">
            <v>b3</v>
          </cell>
          <cell r="I1355" t="str">
            <v>N1-b3</v>
          </cell>
          <cell r="J1355">
            <v>32</v>
          </cell>
          <cell r="K1355" t="str">
            <v>78</v>
          </cell>
        </row>
        <row r="1356">
          <cell r="A1356" t="str">
            <v>32-79</v>
          </cell>
          <cell r="B1356">
            <v>1353</v>
          </cell>
          <cell r="C1356" t="str">
            <v>C1.DK.32.79</v>
          </cell>
          <cell r="D1356" t="str">
            <v>DK</v>
          </cell>
          <cell r="E1356" t="str">
            <v>G-126</v>
          </cell>
          <cell r="F1356" t="str">
            <v>Express</v>
          </cell>
          <cell r="G1356" t="str">
            <v>N1</v>
          </cell>
          <cell r="H1356" t="str">
            <v>b3</v>
          </cell>
          <cell r="I1356" t="str">
            <v>N1-b3</v>
          </cell>
          <cell r="J1356">
            <v>32</v>
          </cell>
          <cell r="K1356" t="str">
            <v>79</v>
          </cell>
        </row>
        <row r="1357">
          <cell r="A1357" t="str">
            <v>32-80</v>
          </cell>
          <cell r="B1357">
            <v>1354</v>
          </cell>
          <cell r="C1357" t="str">
            <v>C1.DK.32.80</v>
          </cell>
          <cell r="D1357" t="str">
            <v>DK</v>
          </cell>
          <cell r="E1357" t="str">
            <v>G-149</v>
          </cell>
          <cell r="F1357" t="str">
            <v>DK042</v>
          </cell>
          <cell r="G1357" t="str">
            <v>N1</v>
          </cell>
          <cell r="H1357" t="str">
            <v>b3</v>
          </cell>
          <cell r="I1357" t="str">
            <v>N1-b3</v>
          </cell>
          <cell r="J1357">
            <v>32</v>
          </cell>
          <cell r="K1357" t="str">
            <v>80</v>
          </cell>
        </row>
        <row r="1358">
          <cell r="A1358" t="str">
            <v>32-81</v>
          </cell>
          <cell r="B1358">
            <v>1355</v>
          </cell>
          <cell r="C1358" t="str">
            <v>C1.DK.32.81</v>
          </cell>
          <cell r="D1358" t="str">
            <v>DK</v>
          </cell>
          <cell r="E1358" t="str">
            <v>G-134</v>
          </cell>
          <cell r="F1358" t="str">
            <v>DK017</v>
          </cell>
          <cell r="G1358" t="str">
            <v>N1</v>
          </cell>
          <cell r="H1358" t="str">
            <v>b3</v>
          </cell>
          <cell r="I1358" t="str">
            <v>N1-b3</v>
          </cell>
          <cell r="J1358">
            <v>32</v>
          </cell>
          <cell r="K1358" t="str">
            <v>81</v>
          </cell>
        </row>
        <row r="1359">
          <cell r="A1359" t="str">
            <v>32-82</v>
          </cell>
          <cell r="B1359">
            <v>1356</v>
          </cell>
          <cell r="C1359" t="str">
            <v>C1.DK.32.82</v>
          </cell>
          <cell r="D1359" t="str">
            <v>DK</v>
          </cell>
          <cell r="E1359" t="str">
            <v>G-178</v>
          </cell>
          <cell r="F1359" t="str">
            <v>DK095</v>
          </cell>
          <cell r="G1359" t="str">
            <v>N1</v>
          </cell>
          <cell r="H1359" t="str">
            <v>b3</v>
          </cell>
          <cell r="I1359" t="str">
            <v>N1-b3</v>
          </cell>
          <cell r="J1359">
            <v>32</v>
          </cell>
          <cell r="K1359" t="str">
            <v>82</v>
          </cell>
        </row>
        <row r="1360">
          <cell r="A1360" t="str">
            <v>32-83</v>
          </cell>
          <cell r="B1360">
            <v>1357</v>
          </cell>
          <cell r="C1360" t="str">
            <v>C1.DK.32.83</v>
          </cell>
          <cell r="D1360" t="str">
            <v>DK</v>
          </cell>
          <cell r="E1360" t="str">
            <v>G-167</v>
          </cell>
          <cell r="F1360" t="str">
            <v>DK075</v>
          </cell>
          <cell r="G1360" t="str">
            <v>N1</v>
          </cell>
          <cell r="H1360" t="str">
            <v>b3</v>
          </cell>
          <cell r="I1360" t="str">
            <v>N1-b3</v>
          </cell>
          <cell r="J1360">
            <v>32</v>
          </cell>
          <cell r="K1360" t="str">
            <v>83</v>
          </cell>
        </row>
        <row r="1361">
          <cell r="A1361" t="str">
            <v>32-84</v>
          </cell>
          <cell r="B1361">
            <v>1358</v>
          </cell>
          <cell r="C1361" t="str">
            <v>C1.DK.32.84</v>
          </cell>
          <cell r="D1361" t="str">
            <v>DK</v>
          </cell>
          <cell r="E1361" t="str">
            <v>G-194</v>
          </cell>
          <cell r="F1361" t="str">
            <v>DK128</v>
          </cell>
          <cell r="G1361" t="str">
            <v>N1</v>
          </cell>
          <cell r="H1361" t="str">
            <v>b3</v>
          </cell>
          <cell r="I1361" t="str">
            <v>N1-b3</v>
          </cell>
          <cell r="J1361">
            <v>32</v>
          </cell>
          <cell r="K1361" t="str">
            <v>84</v>
          </cell>
        </row>
        <row r="1362">
          <cell r="A1362" t="str">
            <v>32-85</v>
          </cell>
          <cell r="B1362">
            <v>1359</v>
          </cell>
          <cell r="C1362" t="str">
            <v>C1.DK.32.85</v>
          </cell>
          <cell r="D1362" t="str">
            <v>DK</v>
          </cell>
          <cell r="E1362" t="str">
            <v>G-146</v>
          </cell>
          <cell r="F1362" t="str">
            <v>DK038</v>
          </cell>
          <cell r="G1362" t="str">
            <v>N1</v>
          </cell>
          <cell r="H1362" t="str">
            <v>b3</v>
          </cell>
          <cell r="I1362" t="str">
            <v>N1-b3</v>
          </cell>
          <cell r="J1362">
            <v>32</v>
          </cell>
          <cell r="K1362" t="str">
            <v>85</v>
          </cell>
        </row>
        <row r="1363">
          <cell r="A1363" t="str">
            <v>32-86</v>
          </cell>
          <cell r="B1363">
            <v>1360</v>
          </cell>
          <cell r="C1363" t="str">
            <v>C1.DK.32.86</v>
          </cell>
          <cell r="D1363" t="str">
            <v>DK</v>
          </cell>
          <cell r="E1363" t="str">
            <v>G-144</v>
          </cell>
          <cell r="F1363" t="str">
            <v>DK036</v>
          </cell>
          <cell r="G1363" t="str">
            <v>N1</v>
          </cell>
          <cell r="H1363" t="str">
            <v>b3</v>
          </cell>
          <cell r="I1363" t="str">
            <v>N1-b3</v>
          </cell>
          <cell r="J1363">
            <v>32</v>
          </cell>
          <cell r="K1363" t="str">
            <v>86</v>
          </cell>
        </row>
        <row r="1364">
          <cell r="A1364" t="str">
            <v>32-87</v>
          </cell>
          <cell r="B1364">
            <v>1361</v>
          </cell>
          <cell r="C1364" t="str">
            <v>C1.DK.32.87</v>
          </cell>
          <cell r="D1364" t="str">
            <v>DK</v>
          </cell>
          <cell r="E1364" t="str">
            <v>G-192</v>
          </cell>
          <cell r="F1364" t="str">
            <v>DK121</v>
          </cell>
          <cell r="G1364" t="str">
            <v>N1</v>
          </cell>
          <cell r="H1364" t="str">
            <v>b3</v>
          </cell>
          <cell r="I1364" t="str">
            <v>N1-b3</v>
          </cell>
          <cell r="J1364">
            <v>32</v>
          </cell>
          <cell r="K1364" t="str">
            <v>87</v>
          </cell>
        </row>
        <row r="1365">
          <cell r="A1365" t="str">
            <v>32-88</v>
          </cell>
          <cell r="B1365">
            <v>1362</v>
          </cell>
          <cell r="C1365" t="str">
            <v>C1.DK.32.88</v>
          </cell>
          <cell r="D1365" t="str">
            <v>DK</v>
          </cell>
          <cell r="E1365" t="str">
            <v>G-181</v>
          </cell>
          <cell r="F1365" t="str">
            <v>DK101</v>
          </cell>
          <cell r="G1365" t="str">
            <v>N1</v>
          </cell>
          <cell r="H1365" t="str">
            <v>b3</v>
          </cell>
          <cell r="I1365" t="str">
            <v>N1-b3</v>
          </cell>
          <cell r="J1365">
            <v>32</v>
          </cell>
          <cell r="K1365" t="str">
            <v>88</v>
          </cell>
        </row>
        <row r="1366">
          <cell r="A1366" t="str">
            <v>32-89</v>
          </cell>
          <cell r="B1366">
            <v>1363</v>
          </cell>
          <cell r="C1366" t="str">
            <v>C1.DK.32.89</v>
          </cell>
          <cell r="D1366" t="str">
            <v>DK</v>
          </cell>
          <cell r="E1366" t="str">
            <v>G-125</v>
          </cell>
          <cell r="F1366" t="str">
            <v>Tenor</v>
          </cell>
          <cell r="G1366" t="str">
            <v>N1</v>
          </cell>
          <cell r="H1366" t="str">
            <v>b3</v>
          </cell>
          <cell r="I1366" t="str">
            <v>N1-b3</v>
          </cell>
          <cell r="J1366">
            <v>32</v>
          </cell>
          <cell r="K1366" t="str">
            <v>89</v>
          </cell>
        </row>
        <row r="1367">
          <cell r="A1367" t="str">
            <v>32-90</v>
          </cell>
          <cell r="B1367">
            <v>1364</v>
          </cell>
          <cell r="C1367" t="str">
            <v>C1.DK.32.90</v>
          </cell>
          <cell r="D1367" t="str">
            <v>DK</v>
          </cell>
          <cell r="E1367" t="str">
            <v>G-170</v>
          </cell>
          <cell r="F1367" t="str">
            <v>DK081</v>
          </cell>
          <cell r="G1367" t="str">
            <v>N1</v>
          </cell>
          <cell r="H1367" t="str">
            <v>b3</v>
          </cell>
          <cell r="I1367" t="str">
            <v>N1-b3</v>
          </cell>
          <cell r="J1367">
            <v>32</v>
          </cell>
          <cell r="K1367" t="str">
            <v>90</v>
          </cell>
        </row>
      </sheetData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Thème 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mailto:jacques.dupond@email.com" TargetMode="External"/><Relationship Id="rId3" Type="http://schemas.openxmlformats.org/officeDocument/2006/relationships/hyperlink" Target="http://urgi.versailles.inra.fr/Species/Wheat/Sequence-Repository" TargetMode="External"/><Relationship Id="rId4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2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mailto:nathalie.nesi@rennes.inra.fr" TargetMode="Externa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vmlDrawing" Target="../drawings/vmlDrawing3.v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vmlDrawing" Target="../drawings/vmlDrawing4.v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95"/>
  <sheetViews>
    <sheetView showFormulas="false" showGridLines="true" showRowColHeaders="true" showZeros="true" rightToLeft="false" tabSelected="false" showOutlineSymbols="true" defaultGridColor="true" view="normal" topLeftCell="A49" colorId="64" zoomScale="90" zoomScaleNormal="90" zoomScalePageLayoutView="100" workbookViewId="0">
      <selection pane="topLeft" activeCell="C76" activeCellId="1" sqref="A2:A8 C76"/>
    </sheetView>
  </sheetViews>
  <sheetFormatPr defaultColWidth="11.43359375" defaultRowHeight="12.75" customHeight="true" zeroHeight="false" outlineLevelRow="0" outlineLevelCol="0"/>
  <cols>
    <col collapsed="false" customWidth="true" hidden="false" outlineLevel="0" max="1" min="1" style="1" width="31.14"/>
    <col collapsed="false" customWidth="true" hidden="false" outlineLevel="0" max="2" min="2" style="1" width="28.43"/>
    <col collapsed="false" customWidth="true" hidden="false" outlineLevel="0" max="3" min="3" style="1" width="35"/>
    <col collapsed="false" customWidth="true" hidden="false" outlineLevel="0" max="4" min="4" style="1" width="36.29"/>
    <col collapsed="false" customWidth="true" hidden="false" outlineLevel="0" max="5" min="5" style="1" width="31"/>
    <col collapsed="false" customWidth="true" hidden="false" outlineLevel="0" max="6" min="6" style="1" width="26.57"/>
    <col collapsed="false" customWidth="true" hidden="false" outlineLevel="0" max="7" min="7" style="1" width="24.86"/>
    <col collapsed="false" customWidth="true" hidden="false" outlineLevel="0" max="8" min="8" style="1" width="37.71"/>
    <col collapsed="false" customWidth="true" hidden="false" outlineLevel="0" max="9" min="9" style="1" width="21.14"/>
    <col collapsed="false" customWidth="true" hidden="false" outlineLevel="0" max="10" min="10" style="1" width="19"/>
    <col collapsed="false" customWidth="true" hidden="false" outlineLevel="0" max="11" min="11" style="1" width="18"/>
    <col collapsed="false" customWidth="true" hidden="false" outlineLevel="0" max="12" min="12" style="1" width="20.71"/>
    <col collapsed="false" customWidth="true" hidden="false" outlineLevel="0" max="13" min="13" style="1" width="23.86"/>
    <col collapsed="false" customWidth="true" hidden="false" outlineLevel="0" max="14" min="14" style="1" width="27.71"/>
    <col collapsed="false" customWidth="true" hidden="false" outlineLevel="0" max="15" min="15" style="1" width="28"/>
    <col collapsed="false" customWidth="true" hidden="false" outlineLevel="0" max="16" min="16" style="1" width="15.29"/>
    <col collapsed="false" customWidth="true" hidden="false" outlineLevel="0" max="17" min="17" style="1" width="17.43"/>
    <col collapsed="false" customWidth="true" hidden="false" outlineLevel="0" max="18" min="18" style="1" width="26.43"/>
    <col collapsed="false" customWidth="true" hidden="false" outlineLevel="0" max="19" min="19" style="1" width="15.57"/>
    <col collapsed="false" customWidth="true" hidden="false" outlineLevel="0" max="20" min="20" style="1" width="13.57"/>
    <col collapsed="false" customWidth="true" hidden="false" outlineLevel="0" max="21" min="21" style="1" width="15.86"/>
    <col collapsed="false" customWidth="true" hidden="false" outlineLevel="0" max="23" min="22" style="1" width="12.57"/>
    <col collapsed="false" customWidth="false" hidden="false" outlineLevel="0" max="24" min="24" style="1" width="11.43"/>
    <col collapsed="false" customWidth="true" hidden="false" outlineLevel="0" max="25" min="25" style="1" width="12.57"/>
    <col collapsed="false" customWidth="false" hidden="false" outlineLevel="0" max="16384" min="26" style="1" width="11.43"/>
  </cols>
  <sheetData>
    <row r="1" customFormat="false" ht="12.75" hidden="false" customHeight="false" outlineLevel="0" collapsed="false">
      <c r="A1" s="2" t="s">
        <v>0</v>
      </c>
      <c r="B1" s="3" t="s">
        <v>1</v>
      </c>
      <c r="C1" s="4"/>
      <c r="D1" s="5"/>
      <c r="E1" s="5"/>
      <c r="F1" s="5"/>
      <c r="G1" s="5"/>
      <c r="H1" s="5"/>
      <c r="I1" s="5"/>
      <c r="J1" s="5"/>
      <c r="K1" s="5"/>
      <c r="L1" s="5"/>
    </row>
    <row r="2" customFormat="false" ht="12.75" hidden="false" customHeight="false" outlineLevel="0" collapsed="false">
      <c r="A2" s="2" t="s">
        <v>2</v>
      </c>
      <c r="B2" s="3"/>
      <c r="C2" s="4"/>
      <c r="D2" s="5"/>
      <c r="E2" s="5"/>
      <c r="F2" s="5"/>
      <c r="G2" s="5"/>
      <c r="H2" s="5"/>
      <c r="I2" s="5"/>
      <c r="J2" s="5"/>
      <c r="K2" s="5"/>
      <c r="L2" s="5"/>
    </row>
    <row r="3" customFormat="false" ht="12.75" hidden="false" customHeight="false" outlineLevel="0" collapsed="false">
      <c r="A3" s="2" t="s">
        <v>3</v>
      </c>
      <c r="B3" s="3" t="s">
        <v>4</v>
      </c>
      <c r="C3" s="4"/>
      <c r="D3" s="5"/>
      <c r="E3" s="5"/>
      <c r="F3" s="5"/>
      <c r="G3" s="5"/>
      <c r="H3" s="5"/>
      <c r="I3" s="5"/>
      <c r="J3" s="5"/>
      <c r="K3" s="5"/>
      <c r="L3" s="5"/>
    </row>
    <row r="4" customFormat="false" ht="12.75" hidden="false" customHeight="false" outlineLevel="0" collapsed="false">
      <c r="A4" s="4"/>
      <c r="B4" s="6"/>
      <c r="C4" s="7"/>
      <c r="D4" s="5"/>
      <c r="E4" s="5"/>
      <c r="F4" s="5"/>
      <c r="G4" s="5"/>
      <c r="H4" s="5"/>
      <c r="I4" s="5"/>
      <c r="J4" s="5"/>
      <c r="K4" s="5"/>
      <c r="L4" s="5"/>
    </row>
    <row r="5" customFormat="false" ht="12.75" hidden="false" customHeight="false" outlineLevel="0" collapsed="false">
      <c r="A5" s="8" t="s">
        <v>5</v>
      </c>
      <c r="B5" s="8"/>
      <c r="C5" s="8"/>
      <c r="D5" s="8"/>
      <c r="E5" s="8"/>
      <c r="F5" s="9"/>
      <c r="G5" s="9"/>
      <c r="H5" s="9"/>
      <c r="I5" s="9"/>
      <c r="J5" s="5"/>
      <c r="K5" s="5"/>
      <c r="L5" s="5"/>
    </row>
    <row r="6" customFormat="false" ht="12.75" hidden="false" customHeight="false" outlineLevel="0" collapsed="false">
      <c r="A6" s="5"/>
      <c r="B6" s="5"/>
      <c r="C6" s="5"/>
      <c r="D6" s="5"/>
      <c r="E6" s="5"/>
      <c r="F6" s="9"/>
      <c r="G6" s="9"/>
      <c r="H6" s="9"/>
      <c r="I6" s="9"/>
      <c r="J6" s="5"/>
      <c r="K6" s="5"/>
      <c r="L6" s="5"/>
    </row>
    <row r="7" customFormat="false" ht="12.75" hidden="false" customHeight="false" outlineLevel="0" collapsed="false">
      <c r="A7" s="10" t="s">
        <v>6</v>
      </c>
      <c r="B7" s="11" t="s">
        <v>7</v>
      </c>
      <c r="C7" s="11"/>
      <c r="D7" s="11"/>
      <c r="E7" s="11"/>
      <c r="F7" s="9"/>
      <c r="G7" s="9"/>
      <c r="H7" s="9"/>
      <c r="I7" s="9"/>
      <c r="J7" s="5"/>
      <c r="K7" s="5"/>
      <c r="L7" s="5"/>
    </row>
    <row r="8" customFormat="false" ht="12.75" hidden="false" customHeight="false" outlineLevel="0" collapsed="false">
      <c r="A8" s="10"/>
      <c r="B8" s="12" t="s">
        <v>8</v>
      </c>
      <c r="C8" s="12"/>
      <c r="D8" s="12"/>
      <c r="E8" s="12"/>
      <c r="F8" s="9"/>
      <c r="G8" s="9"/>
      <c r="H8" s="9"/>
      <c r="I8" s="9"/>
      <c r="J8" s="5"/>
      <c r="K8" s="5"/>
      <c r="L8" s="5"/>
    </row>
    <row r="9" customFormat="false" ht="12.75" hidden="false" customHeight="false" outlineLevel="0" collapsed="false">
      <c r="A9" s="10"/>
      <c r="B9" s="13" t="s">
        <v>9</v>
      </c>
      <c r="C9" s="13"/>
      <c r="D9" s="13"/>
      <c r="E9" s="13"/>
      <c r="F9" s="14"/>
      <c r="G9" s="14"/>
      <c r="H9" s="14"/>
      <c r="I9" s="9"/>
      <c r="J9" s="5"/>
      <c r="K9" s="5"/>
      <c r="L9" s="5"/>
    </row>
    <row r="10" customFormat="false" ht="12.75" hidden="false" customHeight="false" outlineLevel="0" collapsed="false">
      <c r="A10" s="5"/>
      <c r="B10" s="5"/>
      <c r="C10" s="5"/>
      <c r="D10" s="5"/>
      <c r="E10" s="5"/>
      <c r="F10" s="9"/>
      <c r="G10" s="9"/>
      <c r="H10" s="9"/>
      <c r="I10" s="9"/>
      <c r="J10" s="5"/>
      <c r="K10" s="5"/>
      <c r="L10" s="5"/>
    </row>
    <row r="11" customFormat="false" ht="12.75" hidden="false" customHeight="false" outlineLevel="0" collapsed="false">
      <c r="A11" s="15" t="s">
        <v>10</v>
      </c>
      <c r="B11" s="5"/>
      <c r="C11" s="5"/>
      <c r="D11" s="5"/>
      <c r="E11" s="5"/>
      <c r="F11" s="9"/>
      <c r="G11" s="9"/>
      <c r="H11" s="9"/>
      <c r="I11" s="9"/>
      <c r="J11" s="5"/>
      <c r="K11" s="5"/>
      <c r="L11" s="5"/>
    </row>
    <row r="12" customFormat="false" ht="12.75" hidden="false" customHeight="false" outlineLevel="0" collapsed="false">
      <c r="A12" s="15"/>
      <c r="B12" s="5"/>
      <c r="C12" s="5"/>
      <c r="D12" s="5"/>
      <c r="E12" s="5"/>
      <c r="F12" s="9"/>
      <c r="G12" s="9"/>
      <c r="H12" s="9"/>
      <c r="I12" s="9"/>
      <c r="J12" s="5"/>
      <c r="K12" s="5"/>
      <c r="L12" s="5"/>
    </row>
    <row r="13" customFormat="false" ht="12.75" hidden="false" customHeight="false" outlineLevel="0" collapsed="false">
      <c r="A13" s="16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 customFormat="false" ht="12.75" hidden="false" customHeight="false" outlineLevel="0" collapsed="false">
      <c r="A14" s="17" t="s">
        <v>11</v>
      </c>
      <c r="B14" s="15" t="s">
        <v>12</v>
      </c>
      <c r="C14" s="5"/>
      <c r="D14" s="5"/>
      <c r="E14" s="5"/>
      <c r="F14" s="5"/>
      <c r="G14" s="5"/>
      <c r="H14" s="5"/>
      <c r="I14" s="5"/>
      <c r="J14" s="5"/>
      <c r="K14" s="5"/>
      <c r="L14" s="5"/>
    </row>
    <row r="15" customFormat="false" ht="12.75" hidden="false" customHeight="false" outlineLevel="0" collapsed="false">
      <c r="A15" s="18"/>
      <c r="B15" s="19" t="s">
        <v>13</v>
      </c>
      <c r="C15" s="19" t="s">
        <v>14</v>
      </c>
      <c r="D15" s="20" t="s">
        <v>15</v>
      </c>
      <c r="E15" s="20" t="s">
        <v>16</v>
      </c>
      <c r="F15" s="20" t="s">
        <v>17</v>
      </c>
      <c r="G15" s="20" t="s">
        <v>18</v>
      </c>
      <c r="H15" s="20" t="s">
        <v>19</v>
      </c>
      <c r="I15" s="21" t="s">
        <v>20</v>
      </c>
      <c r="J15" s="22" t="s">
        <v>21</v>
      </c>
      <c r="K15" s="22" t="s">
        <v>22</v>
      </c>
      <c r="L15" s="20" t="s">
        <v>23</v>
      </c>
      <c r="M15" s="20" t="s">
        <v>24</v>
      </c>
      <c r="N15" s="20" t="s">
        <v>25</v>
      </c>
      <c r="O15" s="20" t="s">
        <v>26</v>
      </c>
      <c r="P15" s="20" t="s">
        <v>27</v>
      </c>
      <c r="Q15" s="20" t="s">
        <v>28</v>
      </c>
    </row>
    <row r="16" s="30" customFormat="true" ht="70.5" hidden="false" customHeight="true" outlineLevel="0" collapsed="false">
      <c r="A16" s="23" t="s">
        <v>29</v>
      </c>
      <c r="B16" s="24" t="s">
        <v>30</v>
      </c>
      <c r="C16" s="24" t="s">
        <v>31</v>
      </c>
      <c r="D16" s="25" t="s">
        <v>32</v>
      </c>
      <c r="E16" s="25" t="s">
        <v>33</v>
      </c>
      <c r="F16" s="26" t="s">
        <v>34</v>
      </c>
      <c r="G16" s="24" t="s">
        <v>35</v>
      </c>
      <c r="H16" s="27" t="s">
        <v>36</v>
      </c>
      <c r="I16" s="28" t="s">
        <v>37</v>
      </c>
      <c r="J16" s="28" t="s">
        <v>38</v>
      </c>
      <c r="K16" s="28" t="s">
        <v>39</v>
      </c>
      <c r="L16" s="28" t="s">
        <v>40</v>
      </c>
      <c r="M16" s="28" t="s">
        <v>41</v>
      </c>
      <c r="N16" s="29" t="s">
        <v>42</v>
      </c>
      <c r="O16" s="28" t="s">
        <v>43</v>
      </c>
      <c r="P16" s="28" t="s">
        <v>44</v>
      </c>
      <c r="Q16" s="28" t="s">
        <v>45</v>
      </c>
    </row>
    <row r="17" customFormat="false" ht="24.05" hidden="false" customHeight="false" outlineLevel="0" collapsed="false">
      <c r="A17" s="31" t="s">
        <v>46</v>
      </c>
      <c r="B17" s="32" t="s">
        <v>47</v>
      </c>
      <c r="C17" s="32" t="s">
        <v>48</v>
      </c>
      <c r="D17" s="33" t="s">
        <v>49</v>
      </c>
      <c r="E17" s="33" t="s">
        <v>50</v>
      </c>
      <c r="F17" s="33" t="s">
        <v>51</v>
      </c>
      <c r="G17" s="32" t="s">
        <v>52</v>
      </c>
      <c r="H17" s="34" t="n">
        <v>2012</v>
      </c>
      <c r="I17" s="33" t="s">
        <v>53</v>
      </c>
      <c r="J17" s="35" t="s">
        <v>54</v>
      </c>
      <c r="K17" s="35" t="s">
        <v>55</v>
      </c>
      <c r="L17" s="35"/>
      <c r="M17" s="35"/>
      <c r="N17" s="36" t="s">
        <v>56</v>
      </c>
      <c r="O17" s="35"/>
      <c r="P17" s="35" t="s">
        <v>57</v>
      </c>
      <c r="Q17" s="35" t="s">
        <v>58</v>
      </c>
    </row>
    <row r="18" s="40" customFormat="true" ht="35.5" hidden="false" customHeight="false" outlineLevel="0" collapsed="false">
      <c r="A18" s="31" t="s">
        <v>59</v>
      </c>
      <c r="B18" s="37" t="s">
        <v>60</v>
      </c>
      <c r="C18" s="37" t="s">
        <v>60</v>
      </c>
      <c r="D18" s="37" t="s">
        <v>61</v>
      </c>
      <c r="E18" s="37" t="s">
        <v>61</v>
      </c>
      <c r="F18" s="37" t="s">
        <v>60</v>
      </c>
      <c r="G18" s="37" t="s">
        <v>60</v>
      </c>
      <c r="H18" s="38" t="s">
        <v>60</v>
      </c>
      <c r="I18" s="37" t="s">
        <v>62</v>
      </c>
      <c r="J18" s="37" t="s">
        <v>60</v>
      </c>
      <c r="K18" s="37" t="s">
        <v>60</v>
      </c>
      <c r="L18" s="39" t="s">
        <v>60</v>
      </c>
      <c r="M18" s="39" t="s">
        <v>60</v>
      </c>
      <c r="N18" s="39" t="s">
        <v>60</v>
      </c>
      <c r="O18" s="39" t="s">
        <v>60</v>
      </c>
      <c r="P18" s="39" t="s">
        <v>60</v>
      </c>
      <c r="Q18" s="39" t="s">
        <v>60</v>
      </c>
    </row>
    <row r="19" customFormat="false" ht="12.75" hidden="false" customHeight="false" outlineLevel="0" collapsed="false">
      <c r="A19" s="41"/>
      <c r="B19" s="42"/>
      <c r="C19" s="42"/>
      <c r="D19" s="42"/>
      <c r="E19" s="42"/>
      <c r="F19" s="42"/>
      <c r="G19" s="42"/>
      <c r="H19" s="42"/>
      <c r="I19" s="43"/>
      <c r="J19" s="43"/>
      <c r="K19" s="43"/>
      <c r="L19" s="43"/>
      <c r="M19" s="43"/>
      <c r="N19" s="43"/>
      <c r="O19" s="43"/>
      <c r="P19" s="9"/>
    </row>
    <row r="20" customFormat="false" ht="12.75" hidden="false" customHeight="false" outlineLevel="0" collapsed="false">
      <c r="A20" s="44"/>
      <c r="B20" s="45"/>
      <c r="C20" s="45"/>
      <c r="D20" s="45"/>
      <c r="E20" s="45"/>
      <c r="F20" s="45"/>
    </row>
    <row r="21" s="49" customFormat="true" ht="12.75" hidden="false" customHeight="true" outlineLevel="0" collapsed="false">
      <c r="A21" s="46" t="s">
        <v>63</v>
      </c>
      <c r="B21" s="47" t="s">
        <v>64</v>
      </c>
      <c r="C21" s="48"/>
      <c r="D21" s="48"/>
      <c r="E21" s="48"/>
      <c r="F21" s="48"/>
      <c r="G21" s="48"/>
      <c r="H21" s="48"/>
      <c r="I21" s="48"/>
      <c r="J21" s="48"/>
      <c r="K21" s="48"/>
      <c r="L21" s="48"/>
      <c r="M21" s="48"/>
      <c r="N21" s="48"/>
      <c r="O21" s="48"/>
      <c r="P21" s="48"/>
      <c r="Q21" s="48"/>
      <c r="R21" s="48"/>
      <c r="S21" s="48"/>
      <c r="T21" s="48"/>
    </row>
    <row r="22" customFormat="false" ht="12.75" hidden="false" customHeight="false" outlineLevel="0" collapsed="false">
      <c r="A22" s="50"/>
      <c r="B22" s="19" t="s">
        <v>65</v>
      </c>
      <c r="C22" s="20" t="s">
        <v>66</v>
      </c>
      <c r="D22" s="20" t="s">
        <v>67</v>
      </c>
      <c r="E22" s="20" t="s">
        <v>68</v>
      </c>
      <c r="F22" s="51" t="s">
        <v>69</v>
      </c>
      <c r="G22" s="51" t="s">
        <v>70</v>
      </c>
      <c r="H22" s="52" t="s">
        <v>71</v>
      </c>
      <c r="I22" s="20" t="s">
        <v>72</v>
      </c>
      <c r="J22" s="20" t="s">
        <v>73</v>
      </c>
      <c r="K22" s="20" t="s">
        <v>74</v>
      </c>
      <c r="L22" s="20" t="s">
        <v>75</v>
      </c>
      <c r="M22" s="20" t="s">
        <v>76</v>
      </c>
    </row>
    <row r="23" customFormat="false" ht="69.85" hidden="false" customHeight="false" outlineLevel="0" collapsed="false">
      <c r="A23" s="53" t="s">
        <v>29</v>
      </c>
      <c r="B23" s="24" t="s">
        <v>77</v>
      </c>
      <c r="C23" s="28" t="s">
        <v>78</v>
      </c>
      <c r="D23" s="28" t="s">
        <v>79</v>
      </c>
      <c r="E23" s="28" t="s">
        <v>80</v>
      </c>
      <c r="F23" s="54" t="s">
        <v>81</v>
      </c>
      <c r="G23" s="54" t="s">
        <v>82</v>
      </c>
      <c r="H23" s="54" t="s">
        <v>83</v>
      </c>
      <c r="I23" s="28" t="s">
        <v>84</v>
      </c>
      <c r="J23" s="28" t="s">
        <v>85</v>
      </c>
      <c r="K23" s="28" t="s">
        <v>86</v>
      </c>
      <c r="L23" s="25" t="s">
        <v>87</v>
      </c>
      <c r="M23" s="28" t="s">
        <v>88</v>
      </c>
    </row>
    <row r="24" customFormat="false" ht="12.75" hidden="false" customHeight="false" outlineLevel="0" collapsed="false">
      <c r="A24" s="55" t="s">
        <v>89</v>
      </c>
      <c r="B24" s="32" t="s">
        <v>90</v>
      </c>
      <c r="C24" s="35"/>
      <c r="D24" s="35"/>
      <c r="E24" s="35"/>
      <c r="F24" s="56"/>
      <c r="G24" s="56"/>
      <c r="H24" s="56" t="s">
        <v>91</v>
      </c>
      <c r="I24" s="35" t="s">
        <v>92</v>
      </c>
      <c r="J24" s="35" t="s">
        <v>93</v>
      </c>
      <c r="K24" s="35"/>
      <c r="L24" s="35"/>
      <c r="M24" s="35"/>
    </row>
    <row r="25" customFormat="false" ht="46.95" hidden="false" customHeight="false" outlineLevel="0" collapsed="false">
      <c r="A25" s="31" t="s">
        <v>59</v>
      </c>
      <c r="B25" s="37" t="s">
        <v>60</v>
      </c>
      <c r="C25" s="37" t="s">
        <v>62</v>
      </c>
      <c r="D25" s="37" t="s">
        <v>62</v>
      </c>
      <c r="E25" s="57" t="s">
        <v>62</v>
      </c>
      <c r="F25" s="58" t="s">
        <v>60</v>
      </c>
      <c r="G25" s="58" t="s">
        <v>60</v>
      </c>
      <c r="H25" s="58" t="s">
        <v>60</v>
      </c>
      <c r="I25" s="37" t="s">
        <v>94</v>
      </c>
      <c r="J25" s="57" t="s">
        <v>60</v>
      </c>
      <c r="K25" s="57" t="s">
        <v>60</v>
      </c>
      <c r="L25" s="37" t="s">
        <v>60</v>
      </c>
      <c r="M25" s="37" t="s">
        <v>60</v>
      </c>
    </row>
    <row r="26" customFormat="false" ht="12.75" hidden="false" customHeight="false" outlineLevel="0" collapsed="false">
      <c r="A26" s="41"/>
      <c r="B26" s="48"/>
      <c r="C26" s="45"/>
      <c r="D26" s="59"/>
      <c r="E26" s="45"/>
      <c r="F26" s="45"/>
      <c r="G26" s="45"/>
      <c r="H26" s="45"/>
      <c r="I26" s="45"/>
      <c r="J26" s="45"/>
    </row>
    <row r="27" customFormat="false" ht="12.75" hidden="false" customHeight="false" outlineLevel="0" collapsed="false">
      <c r="A27" s="9"/>
      <c r="B27" s="60"/>
      <c r="C27" s="9"/>
      <c r="D27" s="5"/>
      <c r="E27" s="5"/>
      <c r="F27" s="5"/>
      <c r="G27" s="5"/>
      <c r="H27" s="5"/>
    </row>
    <row r="28" customFormat="false" ht="12.75" hidden="false" customHeight="false" outlineLevel="0" collapsed="false">
      <c r="A28" s="61" t="s">
        <v>95</v>
      </c>
      <c r="B28" s="15" t="s">
        <v>96</v>
      </c>
      <c r="C28" s="9"/>
      <c r="D28" s="5"/>
      <c r="E28" s="5"/>
      <c r="F28" s="5"/>
      <c r="G28" s="5"/>
      <c r="H28" s="5"/>
    </row>
    <row r="29" customFormat="false" ht="12.75" hidden="false" customHeight="false" outlineLevel="0" collapsed="false">
      <c r="A29" s="50"/>
      <c r="B29" s="62" t="s">
        <v>97</v>
      </c>
      <c r="C29" s="62" t="s">
        <v>98</v>
      </c>
      <c r="D29" s="62" t="s">
        <v>99</v>
      </c>
      <c r="E29" s="63" t="s">
        <v>100</v>
      </c>
      <c r="F29" s="63" t="s">
        <v>101</v>
      </c>
      <c r="G29" s="62" t="s">
        <v>102</v>
      </c>
      <c r="H29" s="62" t="s">
        <v>103</v>
      </c>
      <c r="I29" s="63" t="s">
        <v>104</v>
      </c>
    </row>
    <row r="30" customFormat="false" ht="63.75" hidden="false" customHeight="true" outlineLevel="0" collapsed="false">
      <c r="A30" s="23" t="s">
        <v>29</v>
      </c>
      <c r="B30" s="25" t="s">
        <v>105</v>
      </c>
      <c r="C30" s="25" t="s">
        <v>106</v>
      </c>
      <c r="D30" s="25" t="s">
        <v>107</v>
      </c>
      <c r="E30" s="25" t="s">
        <v>108</v>
      </c>
      <c r="F30" s="25" t="s">
        <v>109</v>
      </c>
      <c r="G30" s="25" t="s">
        <v>110</v>
      </c>
      <c r="H30" s="25" t="s">
        <v>111</v>
      </c>
      <c r="I30" s="25" t="s">
        <v>112</v>
      </c>
    </row>
    <row r="31" customFormat="false" ht="12.75" hidden="false" customHeight="true" outlineLevel="0" collapsed="false">
      <c r="A31" s="55" t="s">
        <v>89</v>
      </c>
      <c r="B31" s="37" t="s">
        <v>113</v>
      </c>
      <c r="C31" s="37" t="s">
        <v>114</v>
      </c>
      <c r="D31" s="37" t="s">
        <v>115</v>
      </c>
      <c r="E31" s="37" t="s">
        <v>116</v>
      </c>
      <c r="F31" s="37" t="s">
        <v>117</v>
      </c>
      <c r="G31" s="64" t="s">
        <v>118</v>
      </c>
      <c r="H31" s="37" t="s">
        <v>119</v>
      </c>
      <c r="I31" s="37" t="s">
        <v>120</v>
      </c>
    </row>
    <row r="32" customFormat="false" ht="12.75" hidden="false" customHeight="false" outlineLevel="0" collapsed="false">
      <c r="A32" s="31" t="s">
        <v>59</v>
      </c>
      <c r="B32" s="37" t="s">
        <v>60</v>
      </c>
      <c r="C32" s="37" t="s">
        <v>60</v>
      </c>
      <c r="D32" s="37" t="s">
        <v>60</v>
      </c>
      <c r="E32" s="65" t="s">
        <v>121</v>
      </c>
      <c r="F32" s="65" t="s">
        <v>122</v>
      </c>
      <c r="G32" s="37" t="s">
        <v>60</v>
      </c>
      <c r="H32" s="37" t="s">
        <v>60</v>
      </c>
      <c r="I32" s="37" t="s">
        <v>60</v>
      </c>
    </row>
    <row r="33" s="67" customFormat="true" ht="12.75" hidden="false" customHeight="false" outlineLevel="0" collapsed="false">
      <c r="A33" s="41"/>
      <c r="B33" s="66"/>
      <c r="C33" s="66"/>
      <c r="D33" s="66"/>
      <c r="E33" s="45"/>
      <c r="F33" s="45"/>
      <c r="G33" s="45"/>
      <c r="H33" s="45"/>
      <c r="I33" s="45"/>
    </row>
    <row r="34" customFormat="false" ht="12.75" hidden="false" customHeight="false" outlineLevel="0" collapsed="false">
      <c r="A34" s="68"/>
      <c r="B34" s="42"/>
      <c r="C34" s="42"/>
      <c r="D34" s="42"/>
      <c r="E34" s="9"/>
      <c r="F34" s="9"/>
      <c r="G34" s="42"/>
      <c r="H34" s="42"/>
    </row>
    <row r="35" customFormat="false" ht="12.75" hidden="false" customHeight="false" outlineLevel="0" collapsed="false">
      <c r="A35" s="69" t="s">
        <v>123</v>
      </c>
      <c r="B35" s="70" t="s">
        <v>124</v>
      </c>
      <c r="C35" s="42"/>
      <c r="D35" s="42"/>
      <c r="E35" s="9"/>
      <c r="F35" s="9"/>
      <c r="G35" s="42"/>
      <c r="H35" s="42"/>
    </row>
    <row r="36" customFormat="false" ht="12.75" hidden="false" customHeight="false" outlineLevel="0" collapsed="false">
      <c r="B36" s="71" t="s">
        <v>125</v>
      </c>
      <c r="C36" s="42"/>
      <c r="D36" s="42"/>
      <c r="E36" s="9"/>
      <c r="F36" s="9"/>
      <c r="G36" s="42"/>
      <c r="H36" s="42"/>
    </row>
    <row r="37" customFormat="false" ht="12.75" hidden="false" customHeight="false" outlineLevel="0" collapsed="false">
      <c r="A37" s="50"/>
      <c r="B37" s="72" t="s">
        <v>126</v>
      </c>
      <c r="C37" s="72" t="s">
        <v>127</v>
      </c>
      <c r="D37" s="73" t="s">
        <v>128</v>
      </c>
      <c r="E37" s="73" t="s">
        <v>29</v>
      </c>
      <c r="F37" s="73" t="s">
        <v>129</v>
      </c>
      <c r="G37" s="73" t="s">
        <v>130</v>
      </c>
      <c r="H37" s="74" t="s">
        <v>131</v>
      </c>
      <c r="I37" s="73" t="s">
        <v>74</v>
      </c>
    </row>
    <row r="38" customFormat="false" ht="63.75" hidden="false" customHeight="true" outlineLevel="0" collapsed="false">
      <c r="A38" s="23" t="s">
        <v>29</v>
      </c>
      <c r="B38" s="28" t="s">
        <v>132</v>
      </c>
      <c r="C38" s="75" t="s">
        <v>133</v>
      </c>
      <c r="D38" s="25" t="s">
        <v>134</v>
      </c>
      <c r="E38" s="24" t="s">
        <v>135</v>
      </c>
      <c r="F38" s="25" t="s">
        <v>136</v>
      </c>
      <c r="G38" s="24" t="s">
        <v>137</v>
      </c>
      <c r="H38" s="76" t="s">
        <v>138</v>
      </c>
      <c r="I38" s="28" t="s">
        <v>139</v>
      </c>
    </row>
    <row r="39" customFormat="false" ht="12.75" hidden="false" customHeight="true" outlineLevel="0" collapsed="false">
      <c r="A39" s="55" t="s">
        <v>89</v>
      </c>
      <c r="B39" s="56" t="s">
        <v>140</v>
      </c>
      <c r="C39" s="77" t="s">
        <v>141</v>
      </c>
      <c r="D39" s="78" t="s">
        <v>142</v>
      </c>
      <c r="E39" s="37"/>
      <c r="F39" s="37" t="s">
        <v>143</v>
      </c>
      <c r="G39" s="37"/>
      <c r="H39" s="79"/>
      <c r="I39" s="37"/>
    </row>
    <row r="40" customFormat="false" ht="12.75" hidden="false" customHeight="false" outlineLevel="0" collapsed="false">
      <c r="A40" s="31" t="s">
        <v>59</v>
      </c>
      <c r="B40" s="56" t="s">
        <v>60</v>
      </c>
      <c r="C40" s="37" t="s">
        <v>60</v>
      </c>
      <c r="D40" s="37" t="s">
        <v>60</v>
      </c>
      <c r="E40" s="37" t="s">
        <v>60</v>
      </c>
      <c r="F40" s="37" t="s">
        <v>60</v>
      </c>
      <c r="G40" s="37" t="s">
        <v>60</v>
      </c>
      <c r="H40" s="38" t="s">
        <v>60</v>
      </c>
      <c r="I40" s="37" t="s">
        <v>60</v>
      </c>
    </row>
    <row r="41" customFormat="false" ht="12.75" hidden="false" customHeight="false" outlineLevel="0" collapsed="false">
      <c r="A41" s="41"/>
      <c r="B41" s="42"/>
      <c r="C41" s="42"/>
      <c r="D41" s="42"/>
      <c r="E41" s="9"/>
      <c r="F41" s="9"/>
      <c r="G41" s="42"/>
      <c r="H41" s="42"/>
      <c r="I41" s="42"/>
      <c r="J41" s="42"/>
      <c r="K41" s="42"/>
      <c r="L41" s="42"/>
      <c r="M41" s="9"/>
      <c r="N41" s="42"/>
      <c r="O41" s="42"/>
    </row>
    <row r="42" customFormat="false" ht="12.75" hidden="false" customHeight="false" outlineLevel="0" collapsed="false">
      <c r="A42" s="68"/>
      <c r="B42" s="42"/>
      <c r="C42" s="42"/>
      <c r="D42" s="42"/>
      <c r="E42" s="9"/>
      <c r="F42" s="9"/>
      <c r="G42" s="42"/>
      <c r="H42" s="42"/>
      <c r="I42" s="42"/>
      <c r="J42" s="42"/>
      <c r="K42" s="42"/>
      <c r="L42" s="42"/>
      <c r="M42" s="9"/>
      <c r="N42" s="42"/>
      <c r="O42" s="42"/>
    </row>
    <row r="43" customFormat="false" ht="12.75" hidden="false" customHeight="false" outlineLevel="0" collapsed="false">
      <c r="A43" s="69" t="s">
        <v>144</v>
      </c>
      <c r="B43" s="70" t="s">
        <v>145</v>
      </c>
      <c r="C43" s="42"/>
      <c r="D43" s="42"/>
      <c r="E43" s="9"/>
      <c r="F43" s="42"/>
      <c r="G43" s="42"/>
      <c r="H43" s="42"/>
      <c r="I43" s="9"/>
      <c r="J43" s="42"/>
      <c r="K43" s="42"/>
    </row>
    <row r="44" customFormat="false" ht="12.75" hidden="false" customHeight="false" outlineLevel="0" collapsed="false">
      <c r="A44" s="50"/>
      <c r="B44" s="80" t="s">
        <v>146</v>
      </c>
      <c r="C44" s="80" t="s">
        <v>147</v>
      </c>
      <c r="D44" s="80" t="s">
        <v>148</v>
      </c>
      <c r="E44" s="81" t="s">
        <v>149</v>
      </c>
      <c r="F44" s="80" t="s">
        <v>150</v>
      </c>
    </row>
    <row r="45" customFormat="false" ht="63.75" hidden="false" customHeight="true" outlineLevel="0" collapsed="false">
      <c r="A45" s="23" t="s">
        <v>29</v>
      </c>
      <c r="B45" s="25" t="s">
        <v>151</v>
      </c>
      <c r="C45" s="25" t="s">
        <v>152</v>
      </c>
      <c r="D45" s="25" t="s">
        <v>153</v>
      </c>
      <c r="E45" s="82" t="s">
        <v>154</v>
      </c>
      <c r="F45" s="25" t="s">
        <v>155</v>
      </c>
    </row>
    <row r="46" customFormat="false" ht="12.75" hidden="false" customHeight="true" outlineLevel="0" collapsed="false">
      <c r="A46" s="55" t="s">
        <v>89</v>
      </c>
      <c r="B46" s="83" t="s">
        <v>156</v>
      </c>
      <c r="C46" s="77" t="s">
        <v>157</v>
      </c>
      <c r="D46" s="77" t="s">
        <v>158</v>
      </c>
      <c r="E46" s="82"/>
      <c r="F46" s="77" t="s">
        <v>159</v>
      </c>
    </row>
    <row r="47" customFormat="false" ht="12.75" hidden="false" customHeight="false" outlineLevel="0" collapsed="false">
      <c r="A47" s="31" t="s">
        <v>59</v>
      </c>
      <c r="B47" s="37" t="s">
        <v>60</v>
      </c>
      <c r="C47" s="37" t="s">
        <v>60</v>
      </c>
      <c r="D47" s="37" t="s">
        <v>60</v>
      </c>
      <c r="E47" s="82" t="s">
        <v>60</v>
      </c>
      <c r="F47" s="65" t="s">
        <v>60</v>
      </c>
    </row>
    <row r="48" customFormat="false" ht="12.75" hidden="false" customHeight="false" outlineLevel="0" collapsed="false">
      <c r="A48" s="41"/>
    </row>
    <row r="49" s="85" customFormat="true" ht="12.75" hidden="false" customHeight="true" outlineLevel="0" collapsed="false">
      <c r="A49" s="84"/>
      <c r="B49" s="48"/>
      <c r="C49" s="48"/>
      <c r="D49" s="48"/>
      <c r="E49" s="48"/>
      <c r="F49" s="48"/>
      <c r="G49" s="48"/>
      <c r="H49" s="48"/>
      <c r="I49" s="48"/>
      <c r="J49" s="48"/>
      <c r="K49" s="48"/>
      <c r="L49" s="48"/>
      <c r="M49" s="48"/>
      <c r="N49" s="48"/>
      <c r="O49" s="48"/>
      <c r="P49" s="48"/>
      <c r="Q49" s="48"/>
      <c r="R49" s="48"/>
      <c r="S49" s="48"/>
      <c r="T49" s="48"/>
    </row>
    <row r="50" customFormat="false" ht="12.75" hidden="false" customHeight="true" outlineLevel="0" collapsed="false">
      <c r="A50" s="86" t="s">
        <v>160</v>
      </c>
      <c r="B50" s="47" t="s">
        <v>161</v>
      </c>
      <c r="C50" s="48"/>
      <c r="D50" s="48"/>
      <c r="E50" s="48"/>
      <c r="F50" s="48"/>
      <c r="G50" s="48"/>
      <c r="H50" s="48"/>
      <c r="I50" s="48"/>
      <c r="J50" s="48"/>
      <c r="K50" s="48"/>
      <c r="L50" s="48"/>
      <c r="M50" s="48"/>
      <c r="N50" s="48"/>
      <c r="O50" s="48"/>
      <c r="P50" s="48"/>
      <c r="Q50" s="48"/>
      <c r="R50" s="48"/>
      <c r="S50" s="48"/>
      <c r="T50" s="48"/>
    </row>
    <row r="51" customFormat="false" ht="12.75" hidden="false" customHeight="true" outlineLevel="0" collapsed="false">
      <c r="A51" s="84"/>
      <c r="B51" s="47" t="s">
        <v>162</v>
      </c>
      <c r="C51" s="48"/>
      <c r="D51" s="48"/>
      <c r="E51" s="48"/>
      <c r="F51" s="48"/>
      <c r="G51" s="48"/>
      <c r="H51" s="48"/>
      <c r="I51" s="48"/>
      <c r="J51" s="48"/>
      <c r="K51" s="48"/>
      <c r="L51" s="48"/>
      <c r="M51" s="48"/>
      <c r="N51" s="48"/>
      <c r="O51" s="48"/>
      <c r="P51" s="48"/>
      <c r="Q51" s="48"/>
      <c r="R51" s="48"/>
      <c r="S51" s="48"/>
      <c r="T51" s="48"/>
    </row>
    <row r="52" customFormat="false" ht="12.75" hidden="false" customHeight="false" outlineLevel="0" collapsed="false">
      <c r="A52" s="50"/>
      <c r="B52" s="19" t="s">
        <v>163</v>
      </c>
      <c r="C52" s="19" t="s">
        <v>164</v>
      </c>
      <c r="D52" s="19" t="s">
        <v>165</v>
      </c>
      <c r="E52" s="20" t="s">
        <v>166</v>
      </c>
    </row>
    <row r="53" customFormat="false" ht="63.75" hidden="false" customHeight="true" outlineLevel="0" collapsed="false">
      <c r="A53" s="23" t="s">
        <v>29</v>
      </c>
      <c r="B53" s="25" t="s">
        <v>167</v>
      </c>
      <c r="C53" s="25" t="s">
        <v>168</v>
      </c>
      <c r="D53" s="25" t="s">
        <v>169</v>
      </c>
      <c r="E53" s="25" t="s">
        <v>170</v>
      </c>
    </row>
    <row r="54" customFormat="false" ht="35.5" hidden="false" customHeight="false" outlineLevel="0" collapsed="false">
      <c r="A54" s="55" t="s">
        <v>89</v>
      </c>
      <c r="B54" s="87" t="s">
        <v>171</v>
      </c>
      <c r="C54" s="87" t="s">
        <v>172</v>
      </c>
      <c r="D54" s="87" t="s">
        <v>173</v>
      </c>
      <c r="E54" s="83" t="s">
        <v>174</v>
      </c>
    </row>
    <row r="55" customFormat="false" ht="12.75" hidden="false" customHeight="false" outlineLevel="0" collapsed="false">
      <c r="A55" s="31" t="s">
        <v>59</v>
      </c>
      <c r="B55" s="37" t="s">
        <v>60</v>
      </c>
      <c r="C55" s="37" t="s">
        <v>60</v>
      </c>
      <c r="D55" s="37" t="s">
        <v>60</v>
      </c>
      <c r="E55" s="65" t="s">
        <v>60</v>
      </c>
    </row>
    <row r="56" s="49" customFormat="true" ht="12.75" hidden="false" customHeight="false" outlineLevel="0" collapsed="false">
      <c r="A56" s="41"/>
      <c r="B56" s="48"/>
      <c r="C56" s="48"/>
      <c r="D56" s="48"/>
      <c r="E56" s="48"/>
      <c r="F56" s="48"/>
      <c r="G56" s="48"/>
      <c r="H56" s="48"/>
      <c r="I56" s="48"/>
      <c r="J56" s="48"/>
      <c r="K56" s="48"/>
      <c r="L56" s="48"/>
      <c r="M56" s="48"/>
      <c r="N56" s="48"/>
      <c r="O56" s="48"/>
      <c r="P56" s="48"/>
      <c r="Q56" s="48"/>
      <c r="R56" s="48"/>
      <c r="S56" s="48"/>
      <c r="T56" s="48"/>
    </row>
    <row r="57" customFormat="false" ht="12.75" hidden="false" customHeight="true" outlineLevel="0" collapsed="false">
      <c r="A57" s="84"/>
      <c r="B57" s="48"/>
      <c r="C57" s="48"/>
      <c r="D57" s="48"/>
      <c r="E57" s="48"/>
      <c r="F57" s="48"/>
      <c r="G57" s="48"/>
      <c r="H57" s="48"/>
      <c r="I57" s="48"/>
      <c r="J57" s="48"/>
      <c r="K57" s="48"/>
      <c r="L57" s="48"/>
      <c r="M57" s="48"/>
      <c r="N57" s="48"/>
      <c r="O57" s="48"/>
    </row>
    <row r="58" customFormat="false" ht="12.75" hidden="false" customHeight="true" outlineLevel="0" collapsed="false">
      <c r="A58" s="86" t="s">
        <v>175</v>
      </c>
      <c r="B58" s="47" t="s">
        <v>176</v>
      </c>
      <c r="C58" s="48"/>
      <c r="D58" s="48"/>
      <c r="E58" s="48"/>
      <c r="F58" s="48"/>
      <c r="G58" s="48"/>
      <c r="H58" s="48"/>
      <c r="I58" s="48"/>
      <c r="J58" s="48"/>
      <c r="K58" s="48"/>
      <c r="L58" s="48"/>
      <c r="M58" s="48"/>
      <c r="N58" s="48"/>
      <c r="O58" s="48"/>
    </row>
    <row r="59" customFormat="false" ht="12.75" hidden="false" customHeight="true" outlineLevel="0" collapsed="false">
      <c r="A59" s="84"/>
      <c r="B59" s="47" t="s">
        <v>177</v>
      </c>
      <c r="C59" s="48"/>
      <c r="D59" s="48"/>
      <c r="E59" s="48"/>
      <c r="F59" s="48"/>
      <c r="G59" s="48"/>
      <c r="H59" s="48"/>
      <c r="I59" s="48"/>
      <c r="J59" s="48"/>
      <c r="K59" s="48"/>
      <c r="L59" s="48"/>
      <c r="M59" s="48"/>
      <c r="N59" s="48"/>
      <c r="O59" s="48"/>
    </row>
    <row r="60" customFormat="false" ht="12.75" hidden="false" customHeight="false" outlineLevel="0" collapsed="false">
      <c r="A60" s="50"/>
      <c r="B60" s="72" t="s">
        <v>178</v>
      </c>
      <c r="C60" s="73" t="s">
        <v>179</v>
      </c>
      <c r="D60" s="73" t="s">
        <v>29</v>
      </c>
      <c r="E60" s="73" t="s">
        <v>180</v>
      </c>
    </row>
    <row r="61" customFormat="false" ht="63.75" hidden="false" customHeight="true" outlineLevel="0" collapsed="false">
      <c r="A61" s="23" t="s">
        <v>29</v>
      </c>
      <c r="B61" s="25" t="s">
        <v>181</v>
      </c>
      <c r="C61" s="25" t="s">
        <v>182</v>
      </c>
      <c r="D61" s="25" t="s">
        <v>183</v>
      </c>
      <c r="E61" s="23" t="s">
        <v>184</v>
      </c>
    </row>
    <row r="62" customFormat="false" ht="12.75" hidden="false" customHeight="true" outlineLevel="0" collapsed="false">
      <c r="A62" s="88" t="s">
        <v>89</v>
      </c>
      <c r="B62" s="25" t="s">
        <v>185</v>
      </c>
      <c r="C62" s="25" t="s">
        <v>186</v>
      </c>
      <c r="D62" s="25"/>
      <c r="E62" s="25"/>
    </row>
    <row r="63" customFormat="false" ht="12.75" hidden="false" customHeight="false" outlineLevel="0" collapsed="false">
      <c r="A63" s="88"/>
      <c r="B63" s="87" t="s">
        <v>187</v>
      </c>
      <c r="C63" s="87" t="s">
        <v>187</v>
      </c>
      <c r="E63" s="87" t="s">
        <v>185</v>
      </c>
    </row>
    <row r="64" customFormat="false" ht="12.75" hidden="false" customHeight="false" outlineLevel="0" collapsed="false">
      <c r="A64" s="31" t="s">
        <v>59</v>
      </c>
      <c r="B64" s="37" t="s">
        <v>60</v>
      </c>
      <c r="C64" s="37" t="s">
        <v>60</v>
      </c>
      <c r="D64" s="37" t="s">
        <v>60</v>
      </c>
      <c r="E64" s="65" t="s">
        <v>60</v>
      </c>
    </row>
    <row r="65" s="49" customFormat="true" ht="12.75" hidden="false" customHeight="false" outlineLevel="0" collapsed="false">
      <c r="A65" s="41"/>
      <c r="B65" s="48"/>
      <c r="C65" s="48"/>
      <c r="D65" s="48"/>
      <c r="E65" s="48"/>
      <c r="F65" s="48"/>
      <c r="G65" s="48"/>
      <c r="H65" s="48"/>
      <c r="I65" s="48"/>
      <c r="J65" s="48"/>
      <c r="K65" s="48"/>
      <c r="L65" s="48"/>
      <c r="M65" s="48"/>
      <c r="N65" s="48"/>
      <c r="O65" s="48"/>
      <c r="P65" s="48"/>
      <c r="Q65" s="48"/>
      <c r="R65" s="48"/>
      <c r="S65" s="48"/>
      <c r="T65" s="48"/>
    </row>
    <row r="66" s="49" customFormat="true" ht="12.75" hidden="false" customHeight="true" outlineLevel="0" collapsed="false">
      <c r="A66" s="84"/>
      <c r="B66" s="48"/>
      <c r="C66" s="48"/>
      <c r="D66" s="48"/>
      <c r="E66" s="48"/>
      <c r="F66" s="48"/>
      <c r="G66" s="48"/>
      <c r="H66" s="48"/>
      <c r="I66" s="48"/>
      <c r="J66" s="48"/>
      <c r="K66" s="48"/>
      <c r="L66" s="48"/>
      <c r="M66" s="48"/>
      <c r="N66" s="48"/>
      <c r="O66" s="48"/>
      <c r="P66" s="48"/>
      <c r="Q66" s="48"/>
      <c r="R66" s="48"/>
      <c r="S66" s="48"/>
      <c r="T66" s="48"/>
    </row>
    <row r="67" customFormat="false" ht="12.75" hidden="false" customHeight="true" outlineLevel="0" collapsed="false">
      <c r="A67" s="86" t="s">
        <v>188</v>
      </c>
      <c r="B67" s="47" t="s">
        <v>189</v>
      </c>
      <c r="C67" s="48"/>
      <c r="D67" s="48"/>
      <c r="E67" s="48"/>
      <c r="F67" s="48"/>
      <c r="G67" s="48"/>
      <c r="H67" s="48"/>
      <c r="I67" s="48"/>
      <c r="J67" s="48"/>
      <c r="K67" s="48"/>
      <c r="L67" s="48"/>
      <c r="M67" s="48"/>
      <c r="N67" s="48"/>
      <c r="O67" s="48"/>
      <c r="P67" s="48"/>
      <c r="Q67" s="48"/>
      <c r="R67" s="48"/>
      <c r="S67" s="48"/>
      <c r="T67" s="48"/>
    </row>
    <row r="68" customFormat="false" ht="12.75" hidden="false" customHeight="false" outlineLevel="0" collapsed="false">
      <c r="A68" s="50"/>
      <c r="B68" s="89" t="s">
        <v>150</v>
      </c>
      <c r="C68" s="90" t="s">
        <v>190</v>
      </c>
      <c r="D68" s="90" t="s">
        <v>191</v>
      </c>
      <c r="E68" s="91" t="s">
        <v>21</v>
      </c>
      <c r="F68" s="91" t="s">
        <v>22</v>
      </c>
      <c r="G68" s="91" t="s">
        <v>192</v>
      </c>
      <c r="H68" s="22" t="s">
        <v>193</v>
      </c>
      <c r="I68" s="92" t="s">
        <v>194</v>
      </c>
      <c r="J68" s="20" t="s">
        <v>195</v>
      </c>
    </row>
    <row r="69" customFormat="false" ht="52.5" hidden="false" customHeight="true" outlineLevel="0" collapsed="false">
      <c r="A69" s="23" t="s">
        <v>29</v>
      </c>
      <c r="B69" s="25" t="s">
        <v>196</v>
      </c>
      <c r="C69" s="93" t="s">
        <v>197</v>
      </c>
      <c r="D69" s="93" t="s">
        <v>198</v>
      </c>
      <c r="E69" s="32" t="s">
        <v>199</v>
      </c>
      <c r="F69" s="32" t="s">
        <v>200</v>
      </c>
      <c r="G69" s="32" t="s">
        <v>201</v>
      </c>
      <c r="H69" s="32" t="s">
        <v>202</v>
      </c>
      <c r="I69" s="94" t="s">
        <v>203</v>
      </c>
      <c r="J69" s="93" t="s">
        <v>203</v>
      </c>
      <c r="K69" s="95"/>
      <c r="L69" s="95"/>
    </row>
    <row r="70" customFormat="false" ht="35.5" hidden="false" customHeight="false" outlineLevel="0" collapsed="false">
      <c r="A70" s="23"/>
      <c r="B70" s="25"/>
      <c r="C70" s="96" t="s">
        <v>204</v>
      </c>
      <c r="D70" s="96" t="s">
        <v>205</v>
      </c>
      <c r="E70" s="32"/>
      <c r="F70" s="32"/>
      <c r="G70" s="32"/>
      <c r="H70" s="32"/>
      <c r="I70" s="96" t="s">
        <v>206</v>
      </c>
      <c r="J70" s="96" t="s">
        <v>207</v>
      </c>
      <c r="K70" s="45"/>
      <c r="L70" s="45"/>
    </row>
    <row r="71" customFormat="false" ht="24.05" hidden="false" customHeight="false" outlineLevel="0" collapsed="false">
      <c r="A71" s="55" t="s">
        <v>89</v>
      </c>
      <c r="B71" s="77" t="s">
        <v>159</v>
      </c>
      <c r="C71" s="96" t="s">
        <v>208</v>
      </c>
      <c r="D71" s="96" t="s">
        <v>209</v>
      </c>
      <c r="E71" s="25" t="n">
        <v>1</v>
      </c>
      <c r="F71" s="56" t="n">
        <v>3</v>
      </c>
      <c r="G71" s="56"/>
      <c r="H71" s="56"/>
      <c r="I71" s="96" t="s">
        <v>210</v>
      </c>
      <c r="J71" s="96" t="s">
        <v>211</v>
      </c>
      <c r="K71" s="45"/>
      <c r="L71" s="45"/>
    </row>
    <row r="72" customFormat="false" ht="12.75" hidden="false" customHeight="false" outlineLevel="0" collapsed="false">
      <c r="A72" s="31" t="s">
        <v>59</v>
      </c>
      <c r="B72" s="37" t="s">
        <v>60</v>
      </c>
      <c r="C72" s="37" t="s">
        <v>60</v>
      </c>
      <c r="D72" s="37" t="s">
        <v>60</v>
      </c>
      <c r="E72" s="65" t="s">
        <v>60</v>
      </c>
      <c r="F72" s="65" t="s">
        <v>60</v>
      </c>
      <c r="G72" s="56" t="s">
        <v>62</v>
      </c>
      <c r="H72" s="56" t="s">
        <v>62</v>
      </c>
      <c r="I72" s="97" t="s">
        <v>212</v>
      </c>
      <c r="J72" s="56" t="s">
        <v>213</v>
      </c>
      <c r="K72" s="45"/>
      <c r="L72" s="45"/>
    </row>
    <row r="73" customFormat="false" ht="12.75" hidden="false" customHeight="false" outlineLevel="0" collapsed="false">
      <c r="A73" s="68"/>
      <c r="B73" s="42"/>
      <c r="C73" s="42"/>
      <c r="D73" s="42"/>
      <c r="E73" s="9"/>
      <c r="F73" s="45"/>
      <c r="G73" s="45"/>
      <c r="H73" s="45"/>
      <c r="I73" s="45"/>
      <c r="J73" s="45"/>
      <c r="K73" s="45"/>
      <c r="L73" s="45"/>
    </row>
    <row r="74" customFormat="false" ht="12.75" hidden="false" customHeight="false" outlineLevel="0" collapsed="false">
      <c r="A74" s="41"/>
      <c r="B74" s="48"/>
      <c r="C74" s="45"/>
      <c r="D74" s="59"/>
      <c r="E74" s="45"/>
      <c r="F74" s="45"/>
    </row>
    <row r="75" customFormat="false" ht="12.75" hidden="false" customHeight="false" outlineLevel="0" collapsed="false">
      <c r="A75" s="98" t="s">
        <v>214</v>
      </c>
    </row>
    <row r="76" s="102" customFormat="true" ht="12.75" hidden="false" customHeight="false" outlineLevel="0" collapsed="false">
      <c r="A76" s="99"/>
      <c r="B76" s="100" t="s">
        <v>215</v>
      </c>
      <c r="C76" s="101" t="s">
        <v>216</v>
      </c>
      <c r="D76" s="100" t="s">
        <v>217</v>
      </c>
      <c r="E76" s="101" t="s">
        <v>218</v>
      </c>
      <c r="F76" s="101" t="s">
        <v>219</v>
      </c>
      <c r="G76" s="101" t="s">
        <v>29</v>
      </c>
    </row>
    <row r="77" s="106" customFormat="true" ht="24.05" hidden="false" customHeight="false" outlineLevel="0" collapsed="false">
      <c r="A77" s="103" t="s">
        <v>29</v>
      </c>
      <c r="B77" s="104" t="s">
        <v>220</v>
      </c>
      <c r="C77" s="104" t="s">
        <v>221</v>
      </c>
      <c r="D77" s="104" t="s">
        <v>222</v>
      </c>
      <c r="E77" s="104" t="s">
        <v>223</v>
      </c>
      <c r="F77" s="105" t="s">
        <v>224</v>
      </c>
      <c r="G77" s="104" t="s">
        <v>225</v>
      </c>
    </row>
    <row r="78" s="102" customFormat="true" ht="35.5" hidden="false" customHeight="false" outlineLevel="0" collapsed="false">
      <c r="A78" s="107" t="s">
        <v>46</v>
      </c>
      <c r="B78" s="108" t="s">
        <v>226</v>
      </c>
      <c r="C78" s="109" t="s">
        <v>227</v>
      </c>
      <c r="D78" s="104" t="s">
        <v>228</v>
      </c>
      <c r="E78" s="58" t="n">
        <v>39</v>
      </c>
      <c r="F78" s="110" t="n">
        <v>40568</v>
      </c>
      <c r="G78" s="58"/>
    </row>
    <row r="79" customFormat="false" ht="35.5" hidden="false" customHeight="false" outlineLevel="0" collapsed="false">
      <c r="A79" s="111" t="s">
        <v>59</v>
      </c>
      <c r="B79" s="104" t="s">
        <v>60</v>
      </c>
      <c r="C79" s="104" t="s">
        <v>60</v>
      </c>
      <c r="D79" s="104" t="s">
        <v>229</v>
      </c>
      <c r="E79" s="58" t="s">
        <v>62</v>
      </c>
      <c r="F79" s="58" t="s">
        <v>230</v>
      </c>
      <c r="G79" s="104" t="s">
        <v>60</v>
      </c>
    </row>
    <row r="80" customFormat="false" ht="12.75" hidden="false" customHeight="false" outlineLevel="0" collapsed="false">
      <c r="A80" s="112"/>
      <c r="B80" s="113"/>
      <c r="C80" s="113"/>
      <c r="D80" s="113"/>
      <c r="E80" s="114"/>
      <c r="F80" s="114"/>
      <c r="G80" s="113"/>
    </row>
    <row r="81" customFormat="false" ht="12.75" hidden="false" customHeight="false" outlineLevel="0" collapsed="false">
      <c r="A81" s="44"/>
      <c r="B81" s="45"/>
      <c r="C81" s="45"/>
      <c r="D81" s="45"/>
      <c r="E81" s="45"/>
      <c r="F81" s="45"/>
    </row>
    <row r="82" s="49" customFormat="true" ht="12.75" hidden="false" customHeight="true" outlineLevel="0" collapsed="false">
      <c r="A82" s="86" t="s">
        <v>231</v>
      </c>
      <c r="B82" s="47" t="s">
        <v>232</v>
      </c>
      <c r="C82" s="48"/>
      <c r="D82" s="48"/>
      <c r="E82" s="48"/>
      <c r="F82" s="48"/>
      <c r="G82" s="48"/>
      <c r="H82" s="48"/>
      <c r="I82" s="48"/>
      <c r="J82" s="48"/>
      <c r="K82" s="48"/>
      <c r="L82" s="48"/>
      <c r="M82" s="48"/>
      <c r="N82" s="48"/>
      <c r="O82" s="48"/>
      <c r="P82" s="48"/>
      <c r="Q82" s="48"/>
      <c r="R82" s="48"/>
      <c r="S82" s="48"/>
      <c r="T82" s="48"/>
    </row>
    <row r="83" customFormat="false" ht="12.75" hidden="false" customHeight="false" outlineLevel="0" collapsed="false">
      <c r="A83" s="50"/>
      <c r="B83" s="115" t="s">
        <v>233</v>
      </c>
      <c r="C83" s="115" t="s">
        <v>234</v>
      </c>
      <c r="D83" s="115" t="s">
        <v>235</v>
      </c>
    </row>
    <row r="84" customFormat="false" ht="38.25" hidden="false" customHeight="true" outlineLevel="0" collapsed="false">
      <c r="A84" s="53" t="s">
        <v>29</v>
      </c>
      <c r="B84" s="26" t="s">
        <v>236</v>
      </c>
      <c r="C84" s="26" t="s">
        <v>237</v>
      </c>
      <c r="D84" s="26" t="s">
        <v>238</v>
      </c>
    </row>
    <row r="85" customFormat="false" ht="12.75" hidden="false" customHeight="false" outlineLevel="0" collapsed="false">
      <c r="A85" s="55" t="s">
        <v>89</v>
      </c>
      <c r="B85" s="36" t="n">
        <v>1</v>
      </c>
      <c r="C85" s="116" t="n">
        <v>3</v>
      </c>
      <c r="D85" s="36" t="s">
        <v>239</v>
      </c>
    </row>
    <row r="86" customFormat="false" ht="127.1" hidden="false" customHeight="false" outlineLevel="0" collapsed="false">
      <c r="A86" s="31" t="s">
        <v>59</v>
      </c>
      <c r="B86" s="54" t="s">
        <v>240</v>
      </c>
      <c r="C86" s="54" t="s">
        <v>241</v>
      </c>
      <c r="D86" s="54" t="s">
        <v>242</v>
      </c>
    </row>
    <row r="89" customFormat="false" ht="12.75" hidden="false" customHeight="true" outlineLevel="0" collapsed="false"/>
    <row r="90" customFormat="false" ht="12.75" hidden="false" customHeight="true" outlineLevel="0" collapsed="false"/>
    <row r="92" customFormat="false" ht="12.75" hidden="false" customHeight="true" outlineLevel="0" collapsed="false"/>
    <row r="93" customFormat="false" ht="12.75" hidden="false" customHeight="true" outlineLevel="0" collapsed="false"/>
    <row r="95" customFormat="false" ht="12.75" hidden="false" customHeight="true" outlineLevel="0" collapsed="false"/>
  </sheetData>
  <mergeCells count="12">
    <mergeCell ref="A5:E5"/>
    <mergeCell ref="A7:A9"/>
    <mergeCell ref="B7:E7"/>
    <mergeCell ref="B8:E8"/>
    <mergeCell ref="B9:E9"/>
    <mergeCell ref="A62:A63"/>
    <mergeCell ref="A69:A70"/>
    <mergeCell ref="B69:B70"/>
    <mergeCell ref="E69:E70"/>
    <mergeCell ref="F69:F70"/>
    <mergeCell ref="G69:G70"/>
    <mergeCell ref="H69:H70"/>
  </mergeCells>
  <hyperlinks>
    <hyperlink ref="G31" r:id="rId2" display="jacques.dupond@email.com"/>
    <hyperlink ref="C78" r:id="rId3" display="http://urgi.versailles.inra.fr/Species/Wheat/Sequence-Repository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  <legacy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0000"/>
    <pageSetUpPr fitToPage="false"/>
  </sheetPr>
  <dimension ref="A1:W4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selection pane="topLeft" activeCell="G12" activeCellId="1" sqref="A2:A8 G12"/>
    </sheetView>
  </sheetViews>
  <sheetFormatPr defaultColWidth="12.86328125" defaultRowHeight="12.75" customHeight="true" zeroHeight="false" outlineLevelRow="0" outlineLevelCol="0"/>
  <cols>
    <col collapsed="false" customWidth="true" hidden="false" outlineLevel="0" max="1" min="1" style="117" width="18"/>
    <col collapsed="false" customWidth="true" hidden="false" outlineLevel="0" max="2" min="2" style="117" width="10.57"/>
    <col collapsed="false" customWidth="true" hidden="false" outlineLevel="0" max="3" min="3" style="118" width="15.86"/>
    <col collapsed="false" customWidth="true" hidden="false" outlineLevel="0" max="4" min="4" style="118" width="13.86"/>
    <col collapsed="false" customWidth="true" hidden="false" outlineLevel="0" max="5" min="5" style="118" width="12.43"/>
    <col collapsed="false" customWidth="true" hidden="false" outlineLevel="0" max="6" min="6" style="118" width="15.86"/>
    <col collapsed="false" customWidth="true" hidden="false" outlineLevel="0" max="7" min="7" style="118" width="22.29"/>
    <col collapsed="false" customWidth="true" hidden="false" outlineLevel="0" max="8" min="8" style="118" width="6.29"/>
    <col collapsed="false" customWidth="true" hidden="false" outlineLevel="0" max="9" min="9" style="119" width="7.43"/>
    <col collapsed="false" customWidth="true" hidden="false" outlineLevel="0" max="10" min="10" style="119" width="4"/>
    <col collapsed="false" customWidth="true" hidden="false" outlineLevel="0" max="11" min="11" style="118" width="19.29"/>
    <col collapsed="false" customWidth="true" hidden="false" outlineLevel="0" max="13" min="12" style="118" width="12.43"/>
    <col collapsed="false" customWidth="true" hidden="false" outlineLevel="0" max="14" min="14" style="118" width="17"/>
    <col collapsed="false" customWidth="true" hidden="false" outlineLevel="0" max="15" min="15" style="118" width="8.71"/>
    <col collapsed="false" customWidth="true" hidden="false" outlineLevel="0" max="16" min="16" style="118" width="13.57"/>
  </cols>
  <sheetData>
    <row r="1" customFormat="false" ht="12.75" hidden="false" customHeight="false" outlineLevel="0" collapsed="false">
      <c r="A1" s="120" t="s">
        <v>13</v>
      </c>
      <c r="B1" s="120" t="s">
        <v>14</v>
      </c>
      <c r="C1" s="121" t="s">
        <v>15</v>
      </c>
      <c r="D1" s="121" t="s">
        <v>16</v>
      </c>
      <c r="E1" s="121" t="s">
        <v>17</v>
      </c>
      <c r="F1" s="121" t="s">
        <v>18</v>
      </c>
      <c r="G1" s="121" t="s">
        <v>19</v>
      </c>
      <c r="H1" s="121" t="s">
        <v>20</v>
      </c>
      <c r="I1" s="122" t="s">
        <v>21</v>
      </c>
      <c r="J1" s="122" t="s">
        <v>22</v>
      </c>
      <c r="K1" s="121" t="s">
        <v>23</v>
      </c>
      <c r="L1" s="123" t="s">
        <v>24</v>
      </c>
      <c r="M1" s="121" t="s">
        <v>25</v>
      </c>
      <c r="N1" s="121" t="s">
        <v>26</v>
      </c>
      <c r="O1" s="121" t="s">
        <v>27</v>
      </c>
      <c r="P1" s="121" t="s">
        <v>28</v>
      </c>
    </row>
    <row r="2" customFormat="false" ht="13.8" hidden="false" customHeight="false" outlineLevel="0" collapsed="false">
      <c r="A2" s="117" t="s">
        <v>243</v>
      </c>
      <c r="B2" s="117" t="s">
        <v>244</v>
      </c>
      <c r="C2" s="124" t="s">
        <v>245</v>
      </c>
      <c r="D2" s="124" t="s">
        <v>246</v>
      </c>
      <c r="G2" s="118" t="s">
        <v>247</v>
      </c>
      <c r="I2" s="119" t="s">
        <v>55</v>
      </c>
      <c r="J2" s="119" t="s">
        <v>54</v>
      </c>
      <c r="L2" s="125" t="s">
        <v>248</v>
      </c>
      <c r="N2" s="118" t="s">
        <v>249</v>
      </c>
    </row>
    <row r="3" customFormat="false" ht="12.75" hidden="false" customHeight="false" outlineLevel="0" collapsed="false">
      <c r="R3" s="126"/>
      <c r="S3" s="126"/>
      <c r="T3" s="127"/>
      <c r="U3" s="127"/>
      <c r="V3" s="127"/>
      <c r="W3" s="127"/>
    </row>
    <row r="4" customFormat="false" ht="12.75" hidden="false" customHeight="false" outlineLevel="0" collapsed="false">
      <c r="R4" s="128"/>
      <c r="S4" s="128"/>
      <c r="T4" s="128"/>
      <c r="U4" s="128"/>
      <c r="V4" s="128"/>
      <c r="W4" s="128"/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&amp;C&amp;"Arial,Normal"&amp;10&amp;A</oddHeader>
    <oddFooter>&amp;C&amp;"Arial,Normal"&amp;10Page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0000"/>
    <pageSetUpPr fitToPage="false"/>
  </sheetPr>
  <dimension ref="A1:L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J6" activeCellId="1" sqref="A2:A8 J6"/>
    </sheetView>
  </sheetViews>
  <sheetFormatPr defaultColWidth="10.71484375" defaultRowHeight="12.75" customHeight="true" zeroHeight="false" outlineLevelRow="0" outlineLevelCol="0"/>
  <cols>
    <col collapsed="false" customWidth="true" hidden="false" outlineLevel="0" max="1" min="1" style="129" width="11.86"/>
    <col collapsed="false" customWidth="true" hidden="false" outlineLevel="0" max="2" min="2" style="130" width="14"/>
    <col collapsed="false" customWidth="true" hidden="false" outlineLevel="0" max="3" min="3" style="130" width="13"/>
    <col collapsed="false" customWidth="true" hidden="false" outlineLevel="0" max="4" min="4" style="130" width="10.14"/>
    <col collapsed="false" customWidth="true" hidden="false" outlineLevel="0" max="5" min="5" style="130" width="10.43"/>
    <col collapsed="false" customWidth="true" hidden="false" outlineLevel="0" max="6" min="6" style="130" width="6.57"/>
    <col collapsed="false" customWidth="true" hidden="false" outlineLevel="0" max="7" min="7" style="129" width="25.14"/>
    <col collapsed="false" customWidth="true" hidden="false" outlineLevel="0" max="8" min="8" style="130" width="11.29"/>
    <col collapsed="false" customWidth="true" hidden="false" outlineLevel="0" max="9" min="9" style="130" width="12.14"/>
    <col collapsed="false" customWidth="true" hidden="false" outlineLevel="0" max="10" min="10" style="130" width="10.43"/>
    <col collapsed="false" customWidth="true" hidden="false" outlineLevel="0" max="11" min="11" style="118" width="19.29"/>
    <col collapsed="false" customWidth="true" hidden="false" outlineLevel="0" max="12" min="12" style="118" width="22.43"/>
  </cols>
  <sheetData>
    <row r="1" s="98" customFormat="true" ht="12.75" hidden="false" customHeight="false" outlineLevel="0" collapsed="false">
      <c r="A1" s="131" t="s">
        <v>65</v>
      </c>
      <c r="B1" s="132" t="s">
        <v>66</v>
      </c>
      <c r="C1" s="132" t="s">
        <v>67</v>
      </c>
      <c r="D1" s="132" t="s">
        <v>68</v>
      </c>
      <c r="E1" s="132" t="s">
        <v>69</v>
      </c>
      <c r="F1" s="132" t="s">
        <v>70</v>
      </c>
      <c r="G1" s="131" t="s">
        <v>71</v>
      </c>
      <c r="H1" s="133" t="s">
        <v>72</v>
      </c>
      <c r="I1" s="133" t="s">
        <v>73</v>
      </c>
      <c r="J1" s="132" t="s">
        <v>74</v>
      </c>
      <c r="K1" s="134" t="s">
        <v>75</v>
      </c>
      <c r="L1" s="134" t="s">
        <v>76</v>
      </c>
    </row>
    <row r="2" customFormat="false" ht="12.75" hidden="false" customHeight="false" outlineLevel="0" collapsed="false">
      <c r="A2" s="129" t="s">
        <v>250</v>
      </c>
      <c r="B2" s="130" t="s">
        <v>251</v>
      </c>
      <c r="C2" s="130" t="s">
        <v>252</v>
      </c>
      <c r="G2" s="129" t="s">
        <v>253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0000"/>
    <pageSetUpPr fitToPage="false"/>
  </sheetPr>
  <dimension ref="A1:X10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selection pane="topLeft" activeCell="A4" activeCellId="0" sqref="A2:A8"/>
    </sheetView>
  </sheetViews>
  <sheetFormatPr defaultColWidth="10.71484375" defaultRowHeight="12.75" customHeight="true" zeroHeight="false" outlineLevelRow="0" outlineLevelCol="0"/>
  <cols>
    <col collapsed="false" customWidth="true" hidden="false" outlineLevel="0" max="1" min="1" style="135" width="16.43"/>
    <col collapsed="false" customWidth="true" hidden="false" outlineLevel="0" max="2" min="2" style="135" width="10.57"/>
    <col collapsed="false" customWidth="false" hidden="false" outlineLevel="0" max="3" min="3" style="135" width="10.71"/>
    <col collapsed="false" customWidth="true" hidden="false" outlineLevel="0" max="4" min="4" style="118" width="12.71"/>
    <col collapsed="false" customWidth="true" hidden="false" outlineLevel="0" max="5" min="5" style="130" width="4.71"/>
    <col collapsed="false" customWidth="true" hidden="false" outlineLevel="0" max="6" min="6" style="135" width="29.86"/>
    <col collapsed="false" customWidth="true" hidden="false" outlineLevel="0" max="7" min="7" style="135" width="10.43"/>
    <col collapsed="false" customWidth="true" hidden="false" outlineLevel="0" max="8" min="8" style="118" width="11.43"/>
  </cols>
  <sheetData>
    <row r="1" customFormat="false" ht="12.75" hidden="false" customHeight="false" outlineLevel="0" collapsed="false">
      <c r="A1" s="120" t="s">
        <v>97</v>
      </c>
      <c r="B1" s="120" t="s">
        <v>98</v>
      </c>
      <c r="C1" s="120" t="s">
        <v>99</v>
      </c>
      <c r="D1" s="121" t="s">
        <v>100</v>
      </c>
      <c r="E1" s="136" t="s">
        <v>101</v>
      </c>
      <c r="F1" s="120" t="s">
        <v>102</v>
      </c>
      <c r="G1" s="120" t="s">
        <v>103</v>
      </c>
      <c r="H1" s="121" t="s">
        <v>104</v>
      </c>
    </row>
    <row r="2" customFormat="false" ht="12.75" hidden="false" customHeight="false" outlineLevel="0" collapsed="false">
      <c r="A2" s="137" t="s">
        <v>113</v>
      </c>
      <c r="B2" s="137" t="s">
        <v>254</v>
      </c>
      <c r="C2" s="137" t="s">
        <v>255</v>
      </c>
      <c r="F2" s="138" t="s">
        <v>256</v>
      </c>
      <c r="G2" s="137" t="s">
        <v>119</v>
      </c>
      <c r="H2" s="139" t="s">
        <v>257</v>
      </c>
    </row>
    <row r="3" customFormat="false" ht="12.75" hidden="false" customHeight="false" outlineLevel="0" collapsed="false">
      <c r="H3" s="139"/>
    </row>
    <row r="4" customFormat="false" ht="12.75" hidden="false" customHeight="false" outlineLevel="0" collapsed="false">
      <c r="D4" s="140"/>
      <c r="H4" s="139"/>
    </row>
    <row r="8" customFormat="false" ht="12.75" hidden="false" customHeight="false" outlineLevel="0" collapsed="false">
      <c r="K8" s="141"/>
      <c r="L8" s="141"/>
      <c r="M8" s="141"/>
      <c r="N8" s="141"/>
      <c r="O8" s="127"/>
      <c r="P8" s="142"/>
      <c r="Q8" s="143"/>
      <c r="R8" s="144"/>
      <c r="S8" s="144"/>
      <c r="T8" s="144"/>
      <c r="U8" s="143"/>
      <c r="V8" s="144"/>
      <c r="W8" s="144"/>
      <c r="X8" s="143"/>
    </row>
    <row r="9" customFormat="false" ht="12.75" hidden="false" customHeight="false" outlineLevel="0" collapsed="false">
      <c r="L9" s="145"/>
      <c r="M9" s="145"/>
      <c r="N9" s="138"/>
      <c r="Q9" s="139"/>
      <c r="R9" s="139"/>
      <c r="S9" s="139"/>
      <c r="T9" s="146"/>
      <c r="U9" s="139"/>
      <c r="V9" s="139"/>
      <c r="W9" s="139"/>
      <c r="X9" s="147"/>
    </row>
    <row r="10" customFormat="false" ht="12.75" hidden="false" customHeight="false" outlineLevel="0" collapsed="false">
      <c r="K10" s="140"/>
      <c r="L10" s="145"/>
      <c r="M10" s="145"/>
      <c r="N10" s="138"/>
      <c r="O10" s="140"/>
      <c r="Q10" s="139"/>
      <c r="R10" s="139"/>
      <c r="S10" s="139"/>
      <c r="T10" s="146"/>
      <c r="U10" s="139"/>
      <c r="V10" s="139"/>
      <c r="W10" s="139"/>
      <c r="X10" s="147"/>
    </row>
  </sheetData>
  <dataValidations count="1">
    <dataValidation allowBlank="true" errorStyle="stop" operator="between" showDropDown="false" showErrorMessage="true" showInputMessage="false" sqref="G2" type="list">
      <formula1>InstitutionName</formula1>
      <formula2>0</formula2>
    </dataValidation>
  </dataValidations>
  <hyperlinks>
    <hyperlink ref="F2" r:id="rId1" display="nathalie.nesi@rennes.inra.fr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0000"/>
    <pageSetUpPr fitToPage="false"/>
  </sheetPr>
  <dimension ref="A1:H48"/>
  <sheetViews>
    <sheetView showFormulas="false" showGridLines="true" showRowColHeaders="true" showZeros="true" rightToLeft="false" tabSelected="false" showOutlineSymbols="true" defaultGridColor="true" view="normal" topLeftCell="B1" colorId="64" zoomScale="70" zoomScaleNormal="70" zoomScalePageLayoutView="100" workbookViewId="0">
      <selection pane="topLeft" activeCell="G44" activeCellId="1" sqref="A2:A8 G44"/>
    </sheetView>
  </sheetViews>
  <sheetFormatPr defaultColWidth="12.71484375" defaultRowHeight="12.75" customHeight="true" zeroHeight="false" outlineLevelRow="0" outlineLevelCol="0"/>
  <cols>
    <col collapsed="false" customWidth="true" hidden="false" outlineLevel="0" max="1" min="1" style="135" width="41.43"/>
    <col collapsed="false" customWidth="true" hidden="false" outlineLevel="0" max="2" min="2" style="135" width="30.29"/>
    <col collapsed="false" customWidth="true" hidden="false" outlineLevel="0" max="3" min="3" style="118" width="28.14"/>
    <col collapsed="false" customWidth="true" hidden="false" outlineLevel="0" max="4" min="4" style="118" width="85.29"/>
    <col collapsed="false" customWidth="true" hidden="false" outlineLevel="0" max="5" min="5" style="118" width="17.29"/>
    <col collapsed="false" customWidth="true" hidden="false" outlineLevel="0" max="6" min="6" style="118" width="49.57"/>
    <col collapsed="false" customWidth="true" hidden="false" outlineLevel="0" max="7" min="7" style="118" width="15.43"/>
    <col collapsed="false" customWidth="true" hidden="false" outlineLevel="0" max="8" min="8" style="118" width="10.43"/>
    <col collapsed="false" customWidth="false" hidden="false" outlineLevel="0" max="16384" min="9" style="148" width="12.71"/>
  </cols>
  <sheetData>
    <row r="1" s="153" customFormat="true" ht="12.75" hidden="false" customHeight="false" outlineLevel="0" collapsed="false">
      <c r="A1" s="149" t="s">
        <v>126</v>
      </c>
      <c r="B1" s="149" t="s">
        <v>127</v>
      </c>
      <c r="C1" s="150" t="s">
        <v>128</v>
      </c>
      <c r="D1" s="151" t="s">
        <v>29</v>
      </c>
      <c r="E1" s="151" t="s">
        <v>129</v>
      </c>
      <c r="F1" s="151" t="s">
        <v>130</v>
      </c>
      <c r="G1" s="152" t="s">
        <v>131</v>
      </c>
      <c r="H1" s="152" t="s">
        <v>74</v>
      </c>
    </row>
    <row r="2" customFormat="false" ht="92.75" hidden="false" customHeight="false" outlineLevel="0" collapsed="false">
      <c r="A2" s="154" t="s">
        <v>258</v>
      </c>
      <c r="B2" s="154" t="s">
        <v>259</v>
      </c>
      <c r="C2" s="155" t="s">
        <v>260</v>
      </c>
      <c r="D2" s="156" t="s">
        <v>261</v>
      </c>
      <c r="E2" s="156" t="s">
        <v>262</v>
      </c>
      <c r="F2" s="156" t="s">
        <v>263</v>
      </c>
      <c r="G2" s="157"/>
      <c r="H2" s="157"/>
    </row>
    <row r="3" customFormat="false" ht="31.9" hidden="false" customHeight="false" outlineLevel="0" collapsed="false">
      <c r="A3" s="158" t="s">
        <v>258</v>
      </c>
      <c r="B3" s="158" t="s">
        <v>264</v>
      </c>
      <c r="C3" s="159" t="s">
        <v>265</v>
      </c>
      <c r="D3" s="160" t="s">
        <v>266</v>
      </c>
      <c r="E3" s="160" t="s">
        <v>267</v>
      </c>
      <c r="F3" s="161" t="s">
        <v>268</v>
      </c>
      <c r="G3" s="162"/>
      <c r="H3" s="162"/>
    </row>
    <row r="4" customFormat="false" ht="31.9" hidden="false" customHeight="false" outlineLevel="0" collapsed="false">
      <c r="A4" s="158" t="s">
        <v>258</v>
      </c>
      <c r="B4" s="158" t="s">
        <v>269</v>
      </c>
      <c r="C4" s="159" t="s">
        <v>270</v>
      </c>
      <c r="D4" s="160" t="s">
        <v>271</v>
      </c>
      <c r="E4" s="160" t="s">
        <v>272</v>
      </c>
      <c r="F4" s="161" t="s">
        <v>273</v>
      </c>
      <c r="G4" s="162"/>
      <c r="H4" s="162"/>
    </row>
    <row r="5" customFormat="false" ht="62.65" hidden="false" customHeight="false" outlineLevel="0" collapsed="false">
      <c r="A5" s="158" t="s">
        <v>258</v>
      </c>
      <c r="B5" s="158" t="s">
        <v>274</v>
      </c>
      <c r="C5" s="159" t="s">
        <v>275</v>
      </c>
      <c r="D5" s="160" t="s">
        <v>276</v>
      </c>
      <c r="E5" s="160" t="s">
        <v>277</v>
      </c>
      <c r="F5" s="161" t="s">
        <v>278</v>
      </c>
      <c r="G5" s="162"/>
      <c r="H5" s="162"/>
    </row>
    <row r="6" customFormat="false" ht="42.15" hidden="false" customHeight="false" outlineLevel="0" collapsed="false">
      <c r="A6" s="158" t="s">
        <v>258</v>
      </c>
      <c r="B6" s="158" t="s">
        <v>279</v>
      </c>
      <c r="C6" s="159" t="s">
        <v>280</v>
      </c>
      <c r="D6" s="160" t="s">
        <v>281</v>
      </c>
      <c r="E6" s="160" t="s">
        <v>277</v>
      </c>
      <c r="F6" s="161" t="s">
        <v>282</v>
      </c>
      <c r="G6" s="162"/>
      <c r="H6" s="162"/>
    </row>
    <row r="7" customFormat="false" ht="12.75" hidden="false" customHeight="false" outlineLevel="0" collapsed="false">
      <c r="A7" s="158" t="s">
        <v>258</v>
      </c>
      <c r="B7" s="158" t="s">
        <v>283</v>
      </c>
      <c r="C7" s="159" t="s">
        <v>284</v>
      </c>
      <c r="D7" s="160" t="s">
        <v>285</v>
      </c>
      <c r="E7" s="160" t="s">
        <v>286</v>
      </c>
      <c r="F7" s="161" t="s">
        <v>287</v>
      </c>
      <c r="G7" s="162"/>
      <c r="H7" s="162"/>
    </row>
    <row r="8" customFormat="false" ht="42.15" hidden="false" customHeight="false" outlineLevel="0" collapsed="false">
      <c r="A8" s="158" t="s">
        <v>258</v>
      </c>
      <c r="B8" s="158" t="s">
        <v>288</v>
      </c>
      <c r="C8" s="159" t="s">
        <v>289</v>
      </c>
      <c r="D8" s="160" t="s">
        <v>290</v>
      </c>
      <c r="E8" s="160" t="s">
        <v>291</v>
      </c>
      <c r="F8" s="161" t="s">
        <v>292</v>
      </c>
      <c r="G8" s="162"/>
      <c r="H8" s="162"/>
    </row>
    <row r="9" customFormat="false" ht="21.65" hidden="false" customHeight="false" outlineLevel="0" collapsed="false">
      <c r="A9" s="158" t="s">
        <v>258</v>
      </c>
      <c r="B9" s="158" t="s">
        <v>293</v>
      </c>
      <c r="C9" s="159" t="s">
        <v>294</v>
      </c>
      <c r="D9" s="160" t="s">
        <v>295</v>
      </c>
      <c r="E9" s="160" t="s">
        <v>267</v>
      </c>
      <c r="F9" s="161" t="s">
        <v>296</v>
      </c>
      <c r="G9" s="162"/>
      <c r="H9" s="162"/>
    </row>
    <row r="10" customFormat="false" ht="12.75" hidden="false" customHeight="false" outlineLevel="0" collapsed="false">
      <c r="A10" s="158" t="s">
        <v>258</v>
      </c>
      <c r="B10" s="158" t="s">
        <v>297</v>
      </c>
      <c r="C10" s="159" t="s">
        <v>298</v>
      </c>
      <c r="D10" s="160" t="s">
        <v>299</v>
      </c>
      <c r="E10" s="160" t="s">
        <v>286</v>
      </c>
      <c r="F10" s="161" t="s">
        <v>300</v>
      </c>
      <c r="G10" s="162"/>
      <c r="H10" s="162"/>
    </row>
    <row r="11" customFormat="false" ht="12.75" hidden="false" customHeight="false" outlineLevel="0" collapsed="false">
      <c r="A11" s="158" t="s">
        <v>258</v>
      </c>
      <c r="B11" s="158" t="s">
        <v>301</v>
      </c>
      <c r="C11" s="159" t="s">
        <v>302</v>
      </c>
      <c r="D11" s="160" t="s">
        <v>303</v>
      </c>
      <c r="E11" s="160" t="s">
        <v>304</v>
      </c>
      <c r="F11" s="161" t="s">
        <v>305</v>
      </c>
      <c r="G11" s="162"/>
      <c r="H11" s="162"/>
    </row>
    <row r="12" customFormat="false" ht="31.9" hidden="false" customHeight="false" outlineLevel="0" collapsed="false">
      <c r="A12" s="158" t="s">
        <v>258</v>
      </c>
      <c r="B12" s="158" t="s">
        <v>306</v>
      </c>
      <c r="C12" s="159" t="s">
        <v>307</v>
      </c>
      <c r="D12" s="160" t="s">
        <v>308</v>
      </c>
      <c r="E12" s="160" t="s">
        <v>286</v>
      </c>
      <c r="F12" s="161" t="s">
        <v>309</v>
      </c>
      <c r="G12" s="162"/>
      <c r="H12" s="162"/>
    </row>
    <row r="13" customFormat="false" ht="31.9" hidden="false" customHeight="false" outlineLevel="0" collapsed="false">
      <c r="A13" s="158" t="s">
        <v>258</v>
      </c>
      <c r="B13" s="158" t="s">
        <v>310</v>
      </c>
      <c r="C13" s="159" t="s">
        <v>311</v>
      </c>
      <c r="D13" s="160" t="s">
        <v>312</v>
      </c>
      <c r="E13" s="160" t="s">
        <v>286</v>
      </c>
      <c r="F13" s="161" t="s">
        <v>313</v>
      </c>
      <c r="G13" s="162"/>
      <c r="H13" s="162"/>
    </row>
    <row r="14" customFormat="false" ht="60.75" hidden="false" customHeight="true" outlineLevel="0" collapsed="false">
      <c r="A14" s="158" t="s">
        <v>258</v>
      </c>
      <c r="B14" s="158" t="s">
        <v>314</v>
      </c>
      <c r="C14" s="159" t="s">
        <v>315</v>
      </c>
      <c r="D14" s="160" t="s">
        <v>316</v>
      </c>
      <c r="E14" s="160" t="s">
        <v>317</v>
      </c>
      <c r="F14" s="161" t="s">
        <v>318</v>
      </c>
      <c r="G14" s="162"/>
      <c r="H14" s="162"/>
    </row>
    <row r="15" customFormat="false" ht="31.9" hidden="false" customHeight="false" outlineLevel="0" collapsed="false">
      <c r="A15" s="158" t="s">
        <v>258</v>
      </c>
      <c r="B15" s="158" t="s">
        <v>319</v>
      </c>
      <c r="C15" s="159" t="s">
        <v>320</v>
      </c>
      <c r="D15" s="160" t="s">
        <v>321</v>
      </c>
      <c r="E15" s="160" t="s">
        <v>143</v>
      </c>
      <c r="F15" s="161" t="s">
        <v>322</v>
      </c>
      <c r="G15" s="162"/>
      <c r="H15" s="162"/>
    </row>
    <row r="16" customFormat="false" ht="52.4" hidden="false" customHeight="false" outlineLevel="0" collapsed="false">
      <c r="A16" s="158" t="s">
        <v>258</v>
      </c>
      <c r="B16" s="158" t="s">
        <v>323</v>
      </c>
      <c r="C16" s="159" t="s">
        <v>324</v>
      </c>
      <c r="D16" s="160" t="s">
        <v>325</v>
      </c>
      <c r="E16" s="160" t="s">
        <v>326</v>
      </c>
      <c r="F16" s="161" t="s">
        <v>327</v>
      </c>
      <c r="G16" s="162"/>
      <c r="H16" s="163"/>
    </row>
    <row r="17" customFormat="false" ht="31.9" hidden="false" customHeight="false" outlineLevel="0" collapsed="false">
      <c r="A17" s="158" t="s">
        <v>258</v>
      </c>
      <c r="B17" s="158" t="s">
        <v>328</v>
      </c>
      <c r="C17" s="159" t="s">
        <v>329</v>
      </c>
      <c r="D17" s="160" t="s">
        <v>330</v>
      </c>
      <c r="E17" s="160" t="s">
        <v>331</v>
      </c>
      <c r="F17" s="161" t="s">
        <v>327</v>
      </c>
      <c r="G17" s="162"/>
      <c r="H17" s="162"/>
    </row>
    <row r="18" customFormat="false" ht="31.9" hidden="false" customHeight="false" outlineLevel="0" collapsed="false">
      <c r="A18" s="158" t="s">
        <v>258</v>
      </c>
      <c r="B18" s="158" t="s">
        <v>332</v>
      </c>
      <c r="C18" s="159" t="s">
        <v>333</v>
      </c>
      <c r="D18" s="160" t="s">
        <v>334</v>
      </c>
      <c r="E18" s="160" t="s">
        <v>331</v>
      </c>
      <c r="F18" s="161" t="s">
        <v>327</v>
      </c>
      <c r="G18" s="162"/>
      <c r="H18" s="162"/>
    </row>
    <row r="19" customFormat="false" ht="93.35" hidden="false" customHeight="false" outlineLevel="0" collapsed="false">
      <c r="A19" s="164" t="s">
        <v>258</v>
      </c>
      <c r="B19" s="164" t="s">
        <v>335</v>
      </c>
      <c r="C19" s="159" t="s">
        <v>336</v>
      </c>
      <c r="D19" s="160" t="s">
        <v>337</v>
      </c>
      <c r="E19" s="160" t="s">
        <v>331</v>
      </c>
      <c r="F19" s="165" t="s">
        <v>338</v>
      </c>
      <c r="G19" s="166"/>
      <c r="H19" s="166"/>
    </row>
    <row r="20" customFormat="false" ht="31.9" hidden="false" customHeight="false" outlineLevel="0" collapsed="false">
      <c r="A20" s="158" t="s">
        <v>258</v>
      </c>
      <c r="B20" s="158" t="s">
        <v>339</v>
      </c>
      <c r="C20" s="159" t="s">
        <v>340</v>
      </c>
      <c r="D20" s="167" t="s">
        <v>341</v>
      </c>
      <c r="E20" s="160" t="s">
        <v>331</v>
      </c>
      <c r="F20" s="161" t="s">
        <v>327</v>
      </c>
      <c r="G20" s="162"/>
      <c r="H20" s="162"/>
    </row>
    <row r="21" customFormat="false" ht="31.9" hidden="false" customHeight="false" outlineLevel="0" collapsed="false">
      <c r="A21" s="158" t="s">
        <v>258</v>
      </c>
      <c r="B21" s="158" t="s">
        <v>342</v>
      </c>
      <c r="C21" s="159" t="s">
        <v>343</v>
      </c>
      <c r="D21" s="160" t="s">
        <v>344</v>
      </c>
      <c r="E21" s="160" t="s">
        <v>331</v>
      </c>
      <c r="F21" s="161" t="s">
        <v>327</v>
      </c>
      <c r="G21" s="162"/>
      <c r="H21" s="162"/>
    </row>
    <row r="22" customFormat="false" ht="31.9" hidden="false" customHeight="false" outlineLevel="0" collapsed="false">
      <c r="A22" s="158" t="s">
        <v>258</v>
      </c>
      <c r="B22" s="158" t="s">
        <v>345</v>
      </c>
      <c r="C22" s="159" t="s">
        <v>346</v>
      </c>
      <c r="D22" s="160" t="s">
        <v>347</v>
      </c>
      <c r="E22" s="160" t="s">
        <v>331</v>
      </c>
      <c r="F22" s="161" t="s">
        <v>327</v>
      </c>
      <c r="G22" s="162"/>
      <c r="H22" s="162"/>
    </row>
    <row r="23" customFormat="false" ht="72.85" hidden="false" customHeight="false" outlineLevel="0" collapsed="false">
      <c r="A23" s="158" t="s">
        <v>258</v>
      </c>
      <c r="B23" s="158" t="s">
        <v>348</v>
      </c>
      <c r="C23" s="159" t="s">
        <v>349</v>
      </c>
      <c r="D23" s="160" t="s">
        <v>350</v>
      </c>
      <c r="E23" s="160" t="s">
        <v>331</v>
      </c>
      <c r="F23" s="161" t="s">
        <v>351</v>
      </c>
      <c r="G23" s="162"/>
      <c r="H23" s="162"/>
    </row>
    <row r="24" customFormat="false" ht="31.9" hidden="false" customHeight="false" outlineLevel="0" collapsed="false">
      <c r="A24" s="158" t="s">
        <v>258</v>
      </c>
      <c r="B24" s="158" t="s">
        <v>352</v>
      </c>
      <c r="C24" s="159" t="s">
        <v>353</v>
      </c>
      <c r="D24" s="160" t="s">
        <v>354</v>
      </c>
      <c r="E24" s="160" t="s">
        <v>331</v>
      </c>
      <c r="F24" s="161" t="s">
        <v>327</v>
      </c>
      <c r="G24" s="162"/>
      <c r="H24" s="163"/>
    </row>
    <row r="25" customFormat="false" ht="72.85" hidden="false" customHeight="false" outlineLevel="0" collapsed="false">
      <c r="A25" s="158" t="s">
        <v>258</v>
      </c>
      <c r="B25" s="158" t="s">
        <v>355</v>
      </c>
      <c r="C25" s="159" t="s">
        <v>356</v>
      </c>
      <c r="D25" s="160" t="s">
        <v>357</v>
      </c>
      <c r="E25" s="160" t="s">
        <v>331</v>
      </c>
      <c r="F25" s="161" t="s">
        <v>358</v>
      </c>
      <c r="G25" s="162"/>
      <c r="H25" s="163"/>
    </row>
    <row r="26" customFormat="false" ht="31.9" hidden="false" customHeight="false" outlineLevel="0" collapsed="false">
      <c r="A26" s="158" t="s">
        <v>258</v>
      </c>
      <c r="B26" s="158" t="s">
        <v>359</v>
      </c>
      <c r="C26" s="159" t="s">
        <v>360</v>
      </c>
      <c r="D26" s="160" t="s">
        <v>361</v>
      </c>
      <c r="E26" s="160" t="s">
        <v>277</v>
      </c>
      <c r="F26" s="161" t="s">
        <v>362</v>
      </c>
      <c r="G26" s="162"/>
      <c r="H26" s="163"/>
    </row>
    <row r="27" customFormat="false" ht="12.75" hidden="false" customHeight="false" outlineLevel="0" collapsed="false">
      <c r="A27" s="158" t="s">
        <v>258</v>
      </c>
      <c r="B27" s="158" t="s">
        <v>363</v>
      </c>
      <c r="C27" s="159" t="s">
        <v>364</v>
      </c>
      <c r="D27" s="160" t="s">
        <v>365</v>
      </c>
      <c r="E27" s="160" t="s">
        <v>366</v>
      </c>
      <c r="F27" s="161" t="s">
        <v>367</v>
      </c>
      <c r="G27" s="162"/>
      <c r="H27" s="163"/>
    </row>
    <row r="28" customFormat="false" ht="12.75" hidden="false" customHeight="false" outlineLevel="0" collapsed="false">
      <c r="A28" s="158" t="s">
        <v>258</v>
      </c>
      <c r="B28" s="158" t="s">
        <v>368</v>
      </c>
      <c r="C28" s="159" t="s">
        <v>369</v>
      </c>
      <c r="D28" s="160" t="s">
        <v>370</v>
      </c>
      <c r="E28" s="160" t="s">
        <v>366</v>
      </c>
      <c r="F28" s="161" t="s">
        <v>367</v>
      </c>
      <c r="G28" s="162"/>
      <c r="H28" s="163"/>
    </row>
    <row r="29" customFormat="false" ht="12.75" hidden="false" customHeight="false" outlineLevel="0" collapsed="false">
      <c r="A29" s="158" t="s">
        <v>258</v>
      </c>
      <c r="B29" s="158" t="s">
        <v>371</v>
      </c>
      <c r="C29" s="159" t="s">
        <v>372</v>
      </c>
      <c r="D29" s="160" t="s">
        <v>373</v>
      </c>
      <c r="E29" s="160" t="s">
        <v>366</v>
      </c>
      <c r="F29" s="161" t="s">
        <v>367</v>
      </c>
      <c r="G29" s="162"/>
      <c r="H29" s="163"/>
    </row>
    <row r="30" customFormat="false" ht="12.75" hidden="false" customHeight="false" outlineLevel="0" collapsed="false">
      <c r="A30" s="158" t="s">
        <v>258</v>
      </c>
      <c r="B30" s="158" t="s">
        <v>374</v>
      </c>
      <c r="C30" s="159" t="s">
        <v>375</v>
      </c>
      <c r="D30" s="160" t="s">
        <v>376</v>
      </c>
      <c r="E30" s="160" t="s">
        <v>366</v>
      </c>
      <c r="F30" s="161" t="s">
        <v>367</v>
      </c>
      <c r="G30" s="162"/>
      <c r="H30" s="163"/>
    </row>
    <row r="31" customFormat="false" ht="12.75" hidden="false" customHeight="false" outlineLevel="0" collapsed="false">
      <c r="A31" s="158" t="s">
        <v>258</v>
      </c>
      <c r="B31" s="158" t="s">
        <v>377</v>
      </c>
      <c r="C31" s="159" t="s">
        <v>378</v>
      </c>
      <c r="D31" s="160" t="s">
        <v>379</v>
      </c>
      <c r="E31" s="160" t="s">
        <v>366</v>
      </c>
      <c r="F31" s="161" t="s">
        <v>367</v>
      </c>
      <c r="G31" s="162"/>
      <c r="H31" s="163"/>
    </row>
    <row r="32" customFormat="false" ht="12.75" hidden="false" customHeight="false" outlineLevel="0" collapsed="false">
      <c r="A32" s="158" t="s">
        <v>258</v>
      </c>
      <c r="B32" s="158" t="s">
        <v>380</v>
      </c>
      <c r="C32" s="159" t="s">
        <v>381</v>
      </c>
      <c r="D32" s="160" t="s">
        <v>382</v>
      </c>
      <c r="E32" s="160" t="s">
        <v>366</v>
      </c>
      <c r="F32" s="161" t="s">
        <v>367</v>
      </c>
      <c r="G32" s="162"/>
      <c r="H32" s="163"/>
    </row>
    <row r="33" customFormat="false" ht="21.65" hidden="false" customHeight="false" outlineLevel="0" collapsed="false">
      <c r="A33" s="158" t="s">
        <v>258</v>
      </c>
      <c r="B33" s="158" t="s">
        <v>383</v>
      </c>
      <c r="C33" s="159" t="s">
        <v>384</v>
      </c>
      <c r="D33" s="160" t="s">
        <v>385</v>
      </c>
      <c r="E33" s="160" t="s">
        <v>386</v>
      </c>
      <c r="F33" s="161" t="s">
        <v>367</v>
      </c>
      <c r="G33" s="162"/>
      <c r="H33" s="163"/>
    </row>
    <row r="34" customFormat="false" ht="21.65" hidden="false" customHeight="false" outlineLevel="0" collapsed="false">
      <c r="A34" s="158" t="s">
        <v>258</v>
      </c>
      <c r="B34" s="158" t="s">
        <v>387</v>
      </c>
      <c r="C34" s="159" t="s">
        <v>388</v>
      </c>
      <c r="D34" s="160" t="s">
        <v>389</v>
      </c>
      <c r="E34" s="160" t="s">
        <v>386</v>
      </c>
      <c r="F34" s="161" t="s">
        <v>367</v>
      </c>
      <c r="G34" s="162"/>
      <c r="H34" s="163"/>
    </row>
    <row r="35" customFormat="false" ht="12.75" hidden="false" customHeight="false" outlineLevel="0" collapsed="false">
      <c r="A35" s="158" t="s">
        <v>258</v>
      </c>
      <c r="B35" s="158" t="s">
        <v>390</v>
      </c>
      <c r="C35" s="159" t="s">
        <v>391</v>
      </c>
      <c r="D35" s="160" t="s">
        <v>392</v>
      </c>
      <c r="E35" s="160" t="s">
        <v>393</v>
      </c>
      <c r="F35" s="161" t="s">
        <v>367</v>
      </c>
      <c r="G35" s="162"/>
      <c r="H35" s="163"/>
    </row>
    <row r="36" customFormat="false" ht="12.75" hidden="false" customHeight="false" outlineLevel="0" collapsed="false">
      <c r="A36" s="158" t="s">
        <v>258</v>
      </c>
      <c r="B36" s="158" t="s">
        <v>394</v>
      </c>
      <c r="C36" s="159" t="s">
        <v>395</v>
      </c>
      <c r="D36" s="160" t="s">
        <v>396</v>
      </c>
      <c r="E36" s="160" t="s">
        <v>277</v>
      </c>
      <c r="F36" s="161" t="s">
        <v>367</v>
      </c>
      <c r="G36" s="162"/>
      <c r="H36" s="162"/>
    </row>
    <row r="37" customFormat="false" ht="21.65" hidden="false" customHeight="false" outlineLevel="0" collapsed="false">
      <c r="A37" s="158" t="s">
        <v>258</v>
      </c>
      <c r="B37" s="158" t="s">
        <v>397</v>
      </c>
      <c r="C37" s="159" t="s">
        <v>398</v>
      </c>
      <c r="D37" s="160" t="s">
        <v>399</v>
      </c>
      <c r="E37" s="160" t="s">
        <v>386</v>
      </c>
      <c r="F37" s="161" t="s">
        <v>367</v>
      </c>
      <c r="G37" s="162"/>
      <c r="H37" s="162"/>
    </row>
    <row r="38" customFormat="false" ht="12.75" hidden="false" customHeight="false" outlineLevel="0" collapsed="false">
      <c r="A38" s="158" t="s">
        <v>258</v>
      </c>
      <c r="B38" s="158" t="s">
        <v>400</v>
      </c>
      <c r="C38" s="159" t="s">
        <v>401</v>
      </c>
      <c r="D38" s="160" t="s">
        <v>402</v>
      </c>
      <c r="E38" s="160" t="s">
        <v>277</v>
      </c>
      <c r="F38" s="161" t="s">
        <v>403</v>
      </c>
      <c r="G38" s="162"/>
      <c r="H38" s="162"/>
    </row>
    <row r="39" customFormat="false" ht="62.65" hidden="false" customHeight="false" outlineLevel="0" collapsed="false">
      <c r="A39" s="158" t="s">
        <v>258</v>
      </c>
      <c r="B39" s="158" t="s">
        <v>404</v>
      </c>
      <c r="C39" s="159" t="s">
        <v>405</v>
      </c>
      <c r="D39" s="160" t="s">
        <v>406</v>
      </c>
      <c r="E39" s="160" t="s">
        <v>277</v>
      </c>
      <c r="F39" s="161" t="s">
        <v>407</v>
      </c>
      <c r="G39" s="162"/>
      <c r="H39" s="162"/>
    </row>
    <row r="40" customFormat="false" ht="62.65" hidden="false" customHeight="false" outlineLevel="0" collapsed="false">
      <c r="A40" s="158" t="s">
        <v>258</v>
      </c>
      <c r="B40" s="158" t="s">
        <v>408</v>
      </c>
      <c r="C40" s="159" t="s">
        <v>409</v>
      </c>
      <c r="D40" s="160" t="s">
        <v>410</v>
      </c>
      <c r="E40" s="160" t="s">
        <v>277</v>
      </c>
      <c r="F40" s="161" t="s">
        <v>411</v>
      </c>
      <c r="G40" s="162"/>
      <c r="H40" s="162"/>
    </row>
    <row r="41" customFormat="false" ht="31.9" hidden="false" customHeight="false" outlineLevel="0" collapsed="false">
      <c r="A41" s="158" t="s">
        <v>258</v>
      </c>
      <c r="B41" s="158" t="s">
        <v>412</v>
      </c>
      <c r="C41" s="159" t="s">
        <v>413</v>
      </c>
      <c r="D41" s="160" t="s">
        <v>414</v>
      </c>
      <c r="E41" s="160" t="s">
        <v>415</v>
      </c>
      <c r="F41" s="161" t="s">
        <v>416</v>
      </c>
      <c r="G41" s="162"/>
      <c r="H41" s="162"/>
    </row>
    <row r="42" customFormat="false" ht="31.9" hidden="false" customHeight="false" outlineLevel="0" collapsed="false">
      <c r="A42" s="158" t="s">
        <v>258</v>
      </c>
      <c r="B42" s="158" t="s">
        <v>417</v>
      </c>
      <c r="C42" s="159" t="s">
        <v>418</v>
      </c>
      <c r="D42" s="160" t="s">
        <v>419</v>
      </c>
      <c r="E42" s="160" t="s">
        <v>420</v>
      </c>
      <c r="F42" s="161" t="s">
        <v>416</v>
      </c>
      <c r="G42" s="162"/>
      <c r="H42" s="162"/>
    </row>
    <row r="43" customFormat="false" ht="31.9" hidden="false" customHeight="false" outlineLevel="0" collapsed="false">
      <c r="A43" s="158" t="s">
        <v>258</v>
      </c>
      <c r="B43" s="158" t="s">
        <v>421</v>
      </c>
      <c r="C43" s="159" t="s">
        <v>422</v>
      </c>
      <c r="D43" s="160" t="s">
        <v>423</v>
      </c>
      <c r="E43" s="160" t="s">
        <v>424</v>
      </c>
      <c r="F43" s="161" t="s">
        <v>416</v>
      </c>
      <c r="G43" s="162"/>
      <c r="H43" s="162"/>
    </row>
    <row r="44" customFormat="false" ht="113.85" hidden="false" customHeight="false" outlineLevel="0" collapsed="false">
      <c r="A44" s="158" t="s">
        <v>258</v>
      </c>
      <c r="B44" s="158" t="s">
        <v>425</v>
      </c>
      <c r="C44" s="159" t="s">
        <v>426</v>
      </c>
      <c r="D44" s="160" t="s">
        <v>427</v>
      </c>
      <c r="E44" s="160" t="s">
        <v>267</v>
      </c>
      <c r="F44" s="161" t="s">
        <v>428</v>
      </c>
      <c r="G44" s="168"/>
      <c r="H44" s="168"/>
    </row>
    <row r="45" customFormat="false" ht="12.75" hidden="false" customHeight="false" outlineLevel="0" collapsed="false">
      <c r="A45" s="169"/>
      <c r="B45" s="169"/>
      <c r="C45" s="170"/>
      <c r="D45" s="170"/>
      <c r="E45" s="170"/>
      <c r="F45" s="170"/>
    </row>
    <row r="48" customFormat="false" ht="25.5" hidden="false" customHeight="tru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0000"/>
    <pageSetUpPr fitToPage="false"/>
  </sheetPr>
  <dimension ref="A1:E118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selection pane="topLeft" activeCell="D110" activeCellId="1" sqref="A2:A8 D110"/>
    </sheetView>
  </sheetViews>
  <sheetFormatPr defaultColWidth="12.71484375" defaultRowHeight="12.75" customHeight="true" zeroHeight="false" outlineLevelRow="0" outlineLevelCol="0"/>
  <cols>
    <col collapsed="false" customWidth="true" hidden="false" outlineLevel="0" max="1" min="1" style="135" width="21.86"/>
    <col collapsed="false" customWidth="true" hidden="false" outlineLevel="0" max="2" min="2" style="135" width="24.43"/>
    <col collapsed="false" customWidth="true" hidden="false" outlineLevel="0" max="3" min="3" style="135" width="26"/>
    <col collapsed="false" customWidth="true" hidden="false" outlineLevel="0" max="4" min="4" style="171" width="18.57"/>
    <col collapsed="false" customWidth="true" hidden="false" outlineLevel="0" max="5" min="5" style="135" width="12.14"/>
    <col collapsed="false" customWidth="false" hidden="false" outlineLevel="0" max="16384" min="6" style="172" width="12.71"/>
  </cols>
  <sheetData>
    <row r="1" s="174" customFormat="true" ht="12.75" hidden="false" customHeight="false" outlineLevel="0" collapsed="false">
      <c r="A1" s="120" t="s">
        <v>146</v>
      </c>
      <c r="B1" s="120" t="s">
        <v>147</v>
      </c>
      <c r="C1" s="120" t="s">
        <v>148</v>
      </c>
      <c r="D1" s="173" t="s">
        <v>149</v>
      </c>
      <c r="E1" s="120" t="s">
        <v>150</v>
      </c>
    </row>
    <row r="2" customFormat="false" ht="12.75" hidden="false" customHeight="false" outlineLevel="0" collapsed="false">
      <c r="A2" s="175" t="s">
        <v>429</v>
      </c>
      <c r="B2" s="135" t="s">
        <v>430</v>
      </c>
      <c r="C2" s="135" t="s">
        <v>431</v>
      </c>
      <c r="D2" s="176"/>
      <c r="E2" s="135" t="s">
        <v>432</v>
      </c>
    </row>
    <row r="3" customFormat="false" ht="12.75" hidden="false" customHeight="false" outlineLevel="0" collapsed="false">
      <c r="A3" s="175" t="s">
        <v>429</v>
      </c>
      <c r="B3" s="135" t="s">
        <v>433</v>
      </c>
      <c r="C3" s="135" t="s">
        <v>434</v>
      </c>
      <c r="E3" s="135" t="s">
        <v>435</v>
      </c>
    </row>
    <row r="4" customFormat="false" ht="12.75" hidden="false" customHeight="false" outlineLevel="0" collapsed="false">
      <c r="A4" s="175" t="s">
        <v>429</v>
      </c>
      <c r="B4" s="135" t="s">
        <v>436</v>
      </c>
      <c r="C4" s="135" t="s">
        <v>437</v>
      </c>
      <c r="E4" s="135" t="s">
        <v>438</v>
      </c>
    </row>
    <row r="5" customFormat="false" ht="12.75" hidden="false" customHeight="false" outlineLevel="0" collapsed="false">
      <c r="A5" s="175" t="s">
        <v>429</v>
      </c>
      <c r="B5" s="135" t="s">
        <v>439</v>
      </c>
      <c r="C5" s="135" t="s">
        <v>440</v>
      </c>
      <c r="E5" s="135" t="s">
        <v>441</v>
      </c>
    </row>
    <row r="6" customFormat="false" ht="12.75" hidden="false" customHeight="false" outlineLevel="0" collapsed="false">
      <c r="A6" s="175" t="s">
        <v>429</v>
      </c>
      <c r="B6" s="135" t="s">
        <v>442</v>
      </c>
      <c r="C6" s="135" t="s">
        <v>443</v>
      </c>
      <c r="E6" s="135" t="s">
        <v>444</v>
      </c>
    </row>
    <row r="7" customFormat="false" ht="12.75" hidden="false" customHeight="false" outlineLevel="0" collapsed="false">
      <c r="A7" s="175" t="s">
        <v>429</v>
      </c>
      <c r="B7" s="135" t="s">
        <v>445</v>
      </c>
      <c r="C7" s="135" t="s">
        <v>446</v>
      </c>
      <c r="E7" s="135" t="s">
        <v>447</v>
      </c>
    </row>
    <row r="8" customFormat="false" ht="12.75" hidden="false" customHeight="false" outlineLevel="0" collapsed="false">
      <c r="A8" s="175" t="s">
        <v>429</v>
      </c>
      <c r="B8" s="135" t="s">
        <v>448</v>
      </c>
      <c r="C8" s="135" t="s">
        <v>449</v>
      </c>
      <c r="E8" s="135" t="s">
        <v>450</v>
      </c>
    </row>
    <row r="9" customFormat="false" ht="12.75" hidden="false" customHeight="false" outlineLevel="0" collapsed="false">
      <c r="A9" s="175" t="s">
        <v>429</v>
      </c>
      <c r="B9" s="135" t="s">
        <v>451</v>
      </c>
      <c r="C9" s="135" t="s">
        <v>452</v>
      </c>
      <c r="E9" s="135" t="s">
        <v>453</v>
      </c>
    </row>
    <row r="10" customFormat="false" ht="12.75" hidden="false" customHeight="false" outlineLevel="0" collapsed="false">
      <c r="A10" s="175" t="s">
        <v>429</v>
      </c>
      <c r="B10" s="135" t="s">
        <v>454</v>
      </c>
      <c r="C10" s="135" t="s">
        <v>455</v>
      </c>
      <c r="E10" s="135" t="s">
        <v>456</v>
      </c>
    </row>
    <row r="11" customFormat="false" ht="12.75" hidden="false" customHeight="false" outlineLevel="0" collapsed="false">
      <c r="A11" s="175" t="s">
        <v>429</v>
      </c>
      <c r="B11" s="135" t="s">
        <v>457</v>
      </c>
      <c r="C11" s="135" t="s">
        <v>458</v>
      </c>
      <c r="E11" s="135" t="s">
        <v>459</v>
      </c>
    </row>
    <row r="12" customFormat="false" ht="12.75" hidden="false" customHeight="false" outlineLevel="0" collapsed="false">
      <c r="A12" s="175" t="s">
        <v>429</v>
      </c>
      <c r="B12" s="135" t="s">
        <v>460</v>
      </c>
      <c r="C12" s="135" t="s">
        <v>461</v>
      </c>
      <c r="E12" s="135" t="s">
        <v>462</v>
      </c>
    </row>
    <row r="13" customFormat="false" ht="12.75" hidden="false" customHeight="false" outlineLevel="0" collapsed="false">
      <c r="A13" s="175" t="s">
        <v>429</v>
      </c>
      <c r="B13" s="135" t="s">
        <v>463</v>
      </c>
      <c r="C13" s="135" t="s">
        <v>464</v>
      </c>
      <c r="E13" s="135" t="s">
        <v>465</v>
      </c>
    </row>
    <row r="14" customFormat="false" ht="12.75" hidden="false" customHeight="false" outlineLevel="0" collapsed="false">
      <c r="A14" s="175" t="s">
        <v>429</v>
      </c>
      <c r="B14" s="135" t="s">
        <v>466</v>
      </c>
      <c r="C14" s="135" t="s">
        <v>467</v>
      </c>
      <c r="E14" s="135" t="s">
        <v>468</v>
      </c>
    </row>
    <row r="15" customFormat="false" ht="12.75" hidden="false" customHeight="false" outlineLevel="0" collapsed="false">
      <c r="A15" s="175" t="s">
        <v>429</v>
      </c>
      <c r="B15" s="135" t="s">
        <v>469</v>
      </c>
      <c r="C15" s="135" t="s">
        <v>470</v>
      </c>
      <c r="E15" s="135" t="s">
        <v>471</v>
      </c>
    </row>
    <row r="16" customFormat="false" ht="12.75" hidden="false" customHeight="false" outlineLevel="0" collapsed="false">
      <c r="A16" s="175" t="s">
        <v>429</v>
      </c>
      <c r="B16" s="135" t="s">
        <v>472</v>
      </c>
      <c r="C16" s="135" t="s">
        <v>473</v>
      </c>
      <c r="E16" s="135" t="s">
        <v>474</v>
      </c>
    </row>
    <row r="17" customFormat="false" ht="12.75" hidden="false" customHeight="false" outlineLevel="0" collapsed="false">
      <c r="A17" s="175" t="s">
        <v>429</v>
      </c>
      <c r="B17" s="135" t="s">
        <v>475</v>
      </c>
      <c r="C17" s="135" t="s">
        <v>476</v>
      </c>
      <c r="E17" s="135" t="s">
        <v>477</v>
      </c>
    </row>
    <row r="18" customFormat="false" ht="12.75" hidden="false" customHeight="false" outlineLevel="0" collapsed="false">
      <c r="A18" s="175" t="s">
        <v>429</v>
      </c>
      <c r="B18" s="135" t="s">
        <v>478</v>
      </c>
      <c r="C18" s="135" t="s">
        <v>479</v>
      </c>
      <c r="E18" s="135" t="s">
        <v>480</v>
      </c>
    </row>
    <row r="19" customFormat="false" ht="12.75" hidden="false" customHeight="false" outlineLevel="0" collapsed="false">
      <c r="A19" s="175" t="s">
        <v>429</v>
      </c>
      <c r="B19" s="135" t="s">
        <v>481</v>
      </c>
      <c r="C19" s="135" t="s">
        <v>482</v>
      </c>
      <c r="E19" s="135" t="s">
        <v>483</v>
      </c>
    </row>
    <row r="20" customFormat="false" ht="12.75" hidden="false" customHeight="false" outlineLevel="0" collapsed="false">
      <c r="A20" s="175" t="s">
        <v>429</v>
      </c>
      <c r="B20" s="135" t="s">
        <v>484</v>
      </c>
      <c r="C20" s="135" t="s">
        <v>485</v>
      </c>
      <c r="E20" s="135" t="s">
        <v>486</v>
      </c>
    </row>
    <row r="21" customFormat="false" ht="12.75" hidden="false" customHeight="false" outlineLevel="0" collapsed="false">
      <c r="A21" s="175" t="s">
        <v>429</v>
      </c>
      <c r="B21" s="135" t="s">
        <v>487</v>
      </c>
      <c r="C21" s="135" t="s">
        <v>488</v>
      </c>
      <c r="E21" s="135" t="s">
        <v>489</v>
      </c>
    </row>
    <row r="22" customFormat="false" ht="12.75" hidden="false" customHeight="false" outlineLevel="0" collapsed="false">
      <c r="A22" s="175" t="s">
        <v>429</v>
      </c>
      <c r="B22" s="135" t="s">
        <v>490</v>
      </c>
      <c r="C22" s="135" t="s">
        <v>491</v>
      </c>
      <c r="E22" s="135" t="s">
        <v>492</v>
      </c>
    </row>
    <row r="23" customFormat="false" ht="12.75" hidden="false" customHeight="false" outlineLevel="0" collapsed="false">
      <c r="A23" s="175" t="s">
        <v>429</v>
      </c>
      <c r="B23" s="135" t="s">
        <v>493</v>
      </c>
      <c r="C23" s="135" t="s">
        <v>494</v>
      </c>
      <c r="E23" s="135" t="s">
        <v>495</v>
      </c>
    </row>
    <row r="24" customFormat="false" ht="12.75" hidden="false" customHeight="false" outlineLevel="0" collapsed="false">
      <c r="A24" s="175" t="s">
        <v>429</v>
      </c>
      <c r="B24" s="135" t="s">
        <v>496</v>
      </c>
      <c r="C24" s="135" t="s">
        <v>497</v>
      </c>
      <c r="E24" s="135" t="s">
        <v>498</v>
      </c>
    </row>
    <row r="25" customFormat="false" ht="12.75" hidden="false" customHeight="false" outlineLevel="0" collapsed="false">
      <c r="A25" s="175" t="s">
        <v>429</v>
      </c>
      <c r="B25" s="135" t="s">
        <v>499</v>
      </c>
      <c r="C25" s="135" t="s">
        <v>500</v>
      </c>
      <c r="E25" s="135" t="s">
        <v>501</v>
      </c>
    </row>
    <row r="26" customFormat="false" ht="12.75" hidden="false" customHeight="false" outlineLevel="0" collapsed="false">
      <c r="A26" s="175" t="s">
        <v>429</v>
      </c>
      <c r="B26" s="135" t="s">
        <v>502</v>
      </c>
      <c r="C26" s="135" t="s">
        <v>503</v>
      </c>
      <c r="E26" s="135" t="s">
        <v>504</v>
      </c>
    </row>
    <row r="27" customFormat="false" ht="12.75" hidden="false" customHeight="false" outlineLevel="0" collapsed="false">
      <c r="A27" s="175" t="s">
        <v>429</v>
      </c>
      <c r="B27" s="135" t="s">
        <v>505</v>
      </c>
      <c r="C27" s="135" t="s">
        <v>506</v>
      </c>
      <c r="E27" s="135" t="s">
        <v>507</v>
      </c>
    </row>
    <row r="28" customFormat="false" ht="12.75" hidden="false" customHeight="false" outlineLevel="0" collapsed="false">
      <c r="A28" s="175" t="s">
        <v>429</v>
      </c>
      <c r="B28" s="135" t="s">
        <v>508</v>
      </c>
      <c r="C28" s="135" t="s">
        <v>509</v>
      </c>
      <c r="E28" s="135" t="s">
        <v>510</v>
      </c>
    </row>
    <row r="29" customFormat="false" ht="12.75" hidden="false" customHeight="false" outlineLevel="0" collapsed="false">
      <c r="A29" s="175" t="s">
        <v>429</v>
      </c>
      <c r="B29" s="135" t="s">
        <v>511</v>
      </c>
      <c r="C29" s="135" t="s">
        <v>512</v>
      </c>
      <c r="E29" s="135" t="s">
        <v>513</v>
      </c>
    </row>
    <row r="30" customFormat="false" ht="12.75" hidden="false" customHeight="false" outlineLevel="0" collapsed="false">
      <c r="A30" s="175" t="s">
        <v>429</v>
      </c>
      <c r="B30" s="135" t="s">
        <v>514</v>
      </c>
      <c r="C30" s="135" t="s">
        <v>515</v>
      </c>
      <c r="E30" s="135" t="s">
        <v>516</v>
      </c>
    </row>
    <row r="31" customFormat="false" ht="12.75" hidden="false" customHeight="false" outlineLevel="0" collapsed="false">
      <c r="A31" s="175" t="s">
        <v>429</v>
      </c>
      <c r="B31" s="135" t="s">
        <v>517</v>
      </c>
      <c r="C31" s="135" t="s">
        <v>518</v>
      </c>
      <c r="E31" s="135" t="s">
        <v>519</v>
      </c>
    </row>
    <row r="32" customFormat="false" ht="12.75" hidden="false" customHeight="false" outlineLevel="0" collapsed="false">
      <c r="A32" s="175" t="s">
        <v>429</v>
      </c>
      <c r="B32" s="135" t="s">
        <v>520</v>
      </c>
      <c r="C32" s="135" t="s">
        <v>521</v>
      </c>
      <c r="E32" s="135" t="s">
        <v>522</v>
      </c>
    </row>
    <row r="33" customFormat="false" ht="12.75" hidden="false" customHeight="false" outlineLevel="0" collapsed="false">
      <c r="A33" s="175" t="s">
        <v>429</v>
      </c>
      <c r="B33" s="135" t="s">
        <v>523</v>
      </c>
      <c r="C33" s="135" t="s">
        <v>524</v>
      </c>
      <c r="E33" s="135" t="s">
        <v>525</v>
      </c>
    </row>
    <row r="34" customFormat="false" ht="12.75" hidden="false" customHeight="false" outlineLevel="0" collapsed="false">
      <c r="A34" s="175" t="s">
        <v>429</v>
      </c>
      <c r="B34" s="135" t="s">
        <v>526</v>
      </c>
      <c r="C34" s="135" t="s">
        <v>527</v>
      </c>
      <c r="E34" s="135" t="s">
        <v>528</v>
      </c>
    </row>
    <row r="35" customFormat="false" ht="12.75" hidden="false" customHeight="false" outlineLevel="0" collapsed="false">
      <c r="A35" s="175" t="s">
        <v>429</v>
      </c>
      <c r="B35" s="135" t="s">
        <v>529</v>
      </c>
      <c r="C35" s="135" t="s">
        <v>530</v>
      </c>
      <c r="E35" s="135" t="s">
        <v>531</v>
      </c>
    </row>
    <row r="36" customFormat="false" ht="12.75" hidden="false" customHeight="false" outlineLevel="0" collapsed="false">
      <c r="A36" s="175" t="s">
        <v>429</v>
      </c>
      <c r="B36" s="135" t="s">
        <v>532</v>
      </c>
      <c r="C36" s="135" t="s">
        <v>533</v>
      </c>
      <c r="E36" s="135" t="s">
        <v>534</v>
      </c>
    </row>
    <row r="37" customFormat="false" ht="12.75" hidden="false" customHeight="false" outlineLevel="0" collapsed="false">
      <c r="A37" s="175" t="s">
        <v>429</v>
      </c>
      <c r="B37" s="135" t="s">
        <v>535</v>
      </c>
      <c r="C37" s="135" t="s">
        <v>536</v>
      </c>
      <c r="E37" s="135" t="s">
        <v>537</v>
      </c>
    </row>
    <row r="38" customFormat="false" ht="12.75" hidden="false" customHeight="false" outlineLevel="0" collapsed="false">
      <c r="A38" s="175" t="s">
        <v>429</v>
      </c>
      <c r="B38" s="135" t="s">
        <v>538</v>
      </c>
      <c r="C38" s="135" t="s">
        <v>539</v>
      </c>
      <c r="E38" s="135" t="s">
        <v>540</v>
      </c>
    </row>
    <row r="39" customFormat="false" ht="12.75" hidden="false" customHeight="false" outlineLevel="0" collapsed="false">
      <c r="A39" s="175" t="s">
        <v>429</v>
      </c>
      <c r="B39" s="135" t="s">
        <v>541</v>
      </c>
      <c r="C39" s="135" t="s">
        <v>542</v>
      </c>
      <c r="E39" s="135" t="s">
        <v>543</v>
      </c>
    </row>
    <row r="40" customFormat="false" ht="12.75" hidden="false" customHeight="false" outlineLevel="0" collapsed="false">
      <c r="A40" s="175" t="s">
        <v>429</v>
      </c>
      <c r="B40" s="135" t="s">
        <v>544</v>
      </c>
      <c r="C40" s="135" t="s">
        <v>545</v>
      </c>
      <c r="E40" s="135" t="s">
        <v>546</v>
      </c>
    </row>
    <row r="41" customFormat="false" ht="12.75" hidden="false" customHeight="false" outlineLevel="0" collapsed="false">
      <c r="A41" s="175" t="s">
        <v>429</v>
      </c>
      <c r="B41" s="137" t="s">
        <v>547</v>
      </c>
      <c r="C41" s="137" t="s">
        <v>548</v>
      </c>
      <c r="E41" s="137" t="s">
        <v>549</v>
      </c>
    </row>
    <row r="42" customFormat="false" ht="12.75" hidden="false" customHeight="false" outlineLevel="0" collapsed="false">
      <c r="A42" s="175" t="s">
        <v>429</v>
      </c>
      <c r="B42" s="135" t="s">
        <v>550</v>
      </c>
      <c r="C42" s="135" t="s">
        <v>551</v>
      </c>
      <c r="E42" s="135" t="s">
        <v>552</v>
      </c>
    </row>
    <row r="43" customFormat="false" ht="12.75" hidden="false" customHeight="false" outlineLevel="0" collapsed="false">
      <c r="A43" s="175" t="s">
        <v>429</v>
      </c>
      <c r="B43" s="135" t="s">
        <v>553</v>
      </c>
      <c r="C43" s="135" t="s">
        <v>554</v>
      </c>
      <c r="E43" s="135" t="s">
        <v>555</v>
      </c>
    </row>
    <row r="44" customFormat="false" ht="12.75" hidden="false" customHeight="false" outlineLevel="0" collapsed="false">
      <c r="A44" s="175" t="s">
        <v>429</v>
      </c>
      <c r="B44" s="135" t="s">
        <v>556</v>
      </c>
      <c r="C44" s="135" t="s">
        <v>557</v>
      </c>
      <c r="E44" s="135" t="s">
        <v>558</v>
      </c>
    </row>
    <row r="45" customFormat="false" ht="12.75" hidden="false" customHeight="false" outlineLevel="0" collapsed="false">
      <c r="A45" s="175" t="s">
        <v>429</v>
      </c>
      <c r="B45" s="135" t="s">
        <v>559</v>
      </c>
      <c r="C45" s="135" t="s">
        <v>560</v>
      </c>
      <c r="E45" s="135" t="s">
        <v>561</v>
      </c>
    </row>
    <row r="46" customFormat="false" ht="12.75" hidden="false" customHeight="false" outlineLevel="0" collapsed="false">
      <c r="A46" s="175" t="s">
        <v>429</v>
      </c>
      <c r="B46" s="135" t="s">
        <v>562</v>
      </c>
      <c r="C46" s="135" t="s">
        <v>563</v>
      </c>
      <c r="E46" s="135" t="s">
        <v>564</v>
      </c>
    </row>
    <row r="47" customFormat="false" ht="12.75" hidden="false" customHeight="false" outlineLevel="0" collapsed="false">
      <c r="A47" s="175" t="s">
        <v>429</v>
      </c>
      <c r="B47" s="135" t="s">
        <v>565</v>
      </c>
      <c r="C47" s="135" t="s">
        <v>566</v>
      </c>
      <c r="E47" s="135" t="s">
        <v>567</v>
      </c>
    </row>
    <row r="48" customFormat="false" ht="12.75" hidden="false" customHeight="false" outlineLevel="0" collapsed="false">
      <c r="A48" s="175" t="s">
        <v>429</v>
      </c>
      <c r="B48" s="135" t="s">
        <v>568</v>
      </c>
      <c r="C48" s="135" t="s">
        <v>569</v>
      </c>
      <c r="E48" s="135" t="s">
        <v>570</v>
      </c>
    </row>
    <row r="49" customFormat="false" ht="12.75" hidden="false" customHeight="false" outlineLevel="0" collapsed="false">
      <c r="A49" s="175" t="s">
        <v>429</v>
      </c>
      <c r="B49" s="135" t="s">
        <v>571</v>
      </c>
      <c r="C49" s="135" t="s">
        <v>572</v>
      </c>
      <c r="E49" s="135" t="s">
        <v>573</v>
      </c>
    </row>
    <row r="50" customFormat="false" ht="12.75" hidden="false" customHeight="false" outlineLevel="0" collapsed="false">
      <c r="A50" s="175" t="s">
        <v>429</v>
      </c>
      <c r="B50" s="135" t="s">
        <v>574</v>
      </c>
      <c r="C50" s="135" t="s">
        <v>575</v>
      </c>
      <c r="E50" s="135" t="s">
        <v>576</v>
      </c>
    </row>
    <row r="51" customFormat="false" ht="12.75" hidden="false" customHeight="false" outlineLevel="0" collapsed="false">
      <c r="A51" s="175" t="s">
        <v>429</v>
      </c>
      <c r="B51" s="135" t="s">
        <v>577</v>
      </c>
      <c r="C51" s="135" t="s">
        <v>578</v>
      </c>
      <c r="E51" s="135" t="s">
        <v>579</v>
      </c>
    </row>
    <row r="52" customFormat="false" ht="12.75" hidden="false" customHeight="false" outlineLevel="0" collapsed="false">
      <c r="A52" s="175" t="s">
        <v>429</v>
      </c>
      <c r="B52" s="135" t="s">
        <v>580</v>
      </c>
      <c r="C52" s="135" t="s">
        <v>581</v>
      </c>
      <c r="E52" s="135" t="s">
        <v>582</v>
      </c>
    </row>
    <row r="53" customFormat="false" ht="12.75" hidden="false" customHeight="false" outlineLevel="0" collapsed="false">
      <c r="A53" s="175" t="s">
        <v>429</v>
      </c>
      <c r="B53" s="135" t="s">
        <v>583</v>
      </c>
      <c r="C53" s="135" t="s">
        <v>584</v>
      </c>
      <c r="E53" s="135" t="s">
        <v>585</v>
      </c>
    </row>
    <row r="54" customFormat="false" ht="12.75" hidden="false" customHeight="false" outlineLevel="0" collapsed="false">
      <c r="A54" s="175" t="s">
        <v>429</v>
      </c>
      <c r="B54" s="135" t="s">
        <v>586</v>
      </c>
      <c r="C54" s="135" t="s">
        <v>587</v>
      </c>
      <c r="E54" s="135" t="s">
        <v>588</v>
      </c>
    </row>
    <row r="55" customFormat="false" ht="12.75" hidden="false" customHeight="false" outlineLevel="0" collapsed="false">
      <c r="A55" s="175" t="s">
        <v>429</v>
      </c>
      <c r="B55" s="135" t="s">
        <v>589</v>
      </c>
      <c r="C55" s="135" t="s">
        <v>590</v>
      </c>
      <c r="E55" s="135" t="s">
        <v>591</v>
      </c>
    </row>
    <row r="56" customFormat="false" ht="12.75" hidden="false" customHeight="false" outlineLevel="0" collapsed="false">
      <c r="A56" s="175" t="s">
        <v>429</v>
      </c>
      <c r="B56" s="135" t="s">
        <v>592</v>
      </c>
      <c r="C56" s="135" t="s">
        <v>593</v>
      </c>
      <c r="E56" s="135" t="s">
        <v>594</v>
      </c>
    </row>
    <row r="57" customFormat="false" ht="12.75" hidden="false" customHeight="false" outlineLevel="0" collapsed="false">
      <c r="A57" s="175" t="s">
        <v>429</v>
      </c>
      <c r="B57" s="135" t="s">
        <v>595</v>
      </c>
      <c r="C57" s="135" t="s">
        <v>596</v>
      </c>
      <c r="E57" s="135" t="s">
        <v>597</v>
      </c>
    </row>
    <row r="58" customFormat="false" ht="12.75" hidden="false" customHeight="false" outlineLevel="0" collapsed="false">
      <c r="A58" s="175" t="s">
        <v>429</v>
      </c>
      <c r="B58" s="135" t="s">
        <v>598</v>
      </c>
      <c r="C58" s="135" t="s">
        <v>599</v>
      </c>
      <c r="E58" s="135" t="s">
        <v>600</v>
      </c>
    </row>
    <row r="59" customFormat="false" ht="12.75" hidden="false" customHeight="false" outlineLevel="0" collapsed="false">
      <c r="A59" s="175" t="s">
        <v>429</v>
      </c>
      <c r="B59" s="135" t="s">
        <v>601</v>
      </c>
      <c r="C59" s="135" t="s">
        <v>602</v>
      </c>
      <c r="E59" s="135" t="s">
        <v>603</v>
      </c>
    </row>
    <row r="60" customFormat="false" ht="12.75" hidden="false" customHeight="false" outlineLevel="0" collapsed="false">
      <c r="A60" s="175" t="s">
        <v>429</v>
      </c>
      <c r="B60" s="135" t="s">
        <v>604</v>
      </c>
      <c r="C60" s="135" t="s">
        <v>605</v>
      </c>
      <c r="E60" s="135" t="s">
        <v>606</v>
      </c>
    </row>
    <row r="61" customFormat="false" ht="12.75" hidden="false" customHeight="false" outlineLevel="0" collapsed="false">
      <c r="A61" s="175" t="s">
        <v>429</v>
      </c>
      <c r="B61" s="135" t="s">
        <v>607</v>
      </c>
      <c r="C61" s="135" t="s">
        <v>608</v>
      </c>
      <c r="E61" s="135" t="s">
        <v>609</v>
      </c>
    </row>
    <row r="62" customFormat="false" ht="12.75" hidden="false" customHeight="false" outlineLevel="0" collapsed="false">
      <c r="A62" s="175" t="s">
        <v>429</v>
      </c>
      <c r="B62" s="135" t="s">
        <v>610</v>
      </c>
      <c r="C62" s="135" t="s">
        <v>611</v>
      </c>
      <c r="E62" s="135" t="s">
        <v>612</v>
      </c>
    </row>
    <row r="63" customFormat="false" ht="12.75" hidden="false" customHeight="false" outlineLevel="0" collapsed="false">
      <c r="A63" s="175" t="s">
        <v>429</v>
      </c>
      <c r="B63" s="135" t="s">
        <v>613</v>
      </c>
      <c r="C63" s="135" t="s">
        <v>614</v>
      </c>
      <c r="E63" s="135" t="s">
        <v>615</v>
      </c>
    </row>
    <row r="64" customFormat="false" ht="12.75" hidden="false" customHeight="false" outlineLevel="0" collapsed="false">
      <c r="A64" s="175" t="s">
        <v>429</v>
      </c>
      <c r="B64" s="135" t="s">
        <v>616</v>
      </c>
      <c r="C64" s="135" t="s">
        <v>617</v>
      </c>
      <c r="E64" s="135" t="s">
        <v>618</v>
      </c>
    </row>
    <row r="65" customFormat="false" ht="12.75" hidden="false" customHeight="false" outlineLevel="0" collapsed="false">
      <c r="A65" s="175" t="s">
        <v>429</v>
      </c>
      <c r="B65" s="135" t="s">
        <v>619</v>
      </c>
      <c r="C65" s="135" t="s">
        <v>620</v>
      </c>
      <c r="E65" s="135" t="s">
        <v>621</v>
      </c>
    </row>
    <row r="66" customFormat="false" ht="12.75" hidden="false" customHeight="false" outlineLevel="0" collapsed="false">
      <c r="A66" s="175" t="s">
        <v>429</v>
      </c>
      <c r="B66" s="135" t="s">
        <v>622</v>
      </c>
      <c r="C66" s="135" t="s">
        <v>623</v>
      </c>
      <c r="E66" s="135" t="s">
        <v>624</v>
      </c>
    </row>
    <row r="67" customFormat="false" ht="12.75" hidden="false" customHeight="false" outlineLevel="0" collapsed="false">
      <c r="A67" s="175" t="s">
        <v>429</v>
      </c>
      <c r="B67" s="135" t="s">
        <v>625</v>
      </c>
      <c r="C67" s="135" t="s">
        <v>626</v>
      </c>
      <c r="E67" s="135" t="s">
        <v>627</v>
      </c>
    </row>
    <row r="68" customFormat="false" ht="12.75" hidden="false" customHeight="false" outlineLevel="0" collapsed="false">
      <c r="A68" s="175" t="s">
        <v>429</v>
      </c>
      <c r="B68" s="135" t="s">
        <v>628</v>
      </c>
      <c r="C68" s="135" t="s">
        <v>629</v>
      </c>
      <c r="E68" s="135" t="s">
        <v>630</v>
      </c>
    </row>
    <row r="69" customFormat="false" ht="12.75" hidden="false" customHeight="false" outlineLevel="0" collapsed="false">
      <c r="A69" s="175" t="s">
        <v>429</v>
      </c>
      <c r="B69" s="135" t="s">
        <v>631</v>
      </c>
      <c r="C69" s="135" t="s">
        <v>632</v>
      </c>
      <c r="E69" s="135" t="s">
        <v>633</v>
      </c>
    </row>
    <row r="70" customFormat="false" ht="12.75" hidden="false" customHeight="false" outlineLevel="0" collapsed="false">
      <c r="A70" s="175" t="s">
        <v>429</v>
      </c>
      <c r="B70" s="135" t="s">
        <v>634</v>
      </c>
      <c r="C70" s="135" t="s">
        <v>635</v>
      </c>
      <c r="E70" s="135" t="s">
        <v>636</v>
      </c>
    </row>
    <row r="71" customFormat="false" ht="12.75" hidden="false" customHeight="false" outlineLevel="0" collapsed="false">
      <c r="A71" s="175" t="s">
        <v>429</v>
      </c>
      <c r="B71" s="135" t="s">
        <v>637</v>
      </c>
      <c r="C71" s="135" t="s">
        <v>638</v>
      </c>
      <c r="E71" s="135" t="s">
        <v>639</v>
      </c>
    </row>
    <row r="72" customFormat="false" ht="12.75" hidden="false" customHeight="false" outlineLevel="0" collapsed="false">
      <c r="A72" s="175" t="s">
        <v>429</v>
      </c>
      <c r="B72" s="135" t="s">
        <v>640</v>
      </c>
      <c r="C72" s="135" t="s">
        <v>641</v>
      </c>
      <c r="E72" s="135" t="s">
        <v>642</v>
      </c>
    </row>
    <row r="73" customFormat="false" ht="12.75" hidden="false" customHeight="false" outlineLevel="0" collapsed="false">
      <c r="A73" s="175" t="s">
        <v>429</v>
      </c>
      <c r="B73" s="135" t="s">
        <v>643</v>
      </c>
      <c r="C73" s="135" t="s">
        <v>644</v>
      </c>
      <c r="E73" s="135" t="s">
        <v>645</v>
      </c>
    </row>
    <row r="74" customFormat="false" ht="12.75" hidden="false" customHeight="false" outlineLevel="0" collapsed="false">
      <c r="A74" s="175" t="s">
        <v>429</v>
      </c>
      <c r="B74" s="135" t="s">
        <v>646</v>
      </c>
      <c r="C74" s="135" t="s">
        <v>647</v>
      </c>
      <c r="E74" s="135" t="s">
        <v>648</v>
      </c>
    </row>
    <row r="75" customFormat="false" ht="12.75" hidden="false" customHeight="false" outlineLevel="0" collapsed="false">
      <c r="A75" s="175" t="s">
        <v>429</v>
      </c>
      <c r="B75" s="135" t="s">
        <v>649</v>
      </c>
      <c r="C75" s="135" t="s">
        <v>650</v>
      </c>
      <c r="E75" s="135" t="s">
        <v>651</v>
      </c>
    </row>
    <row r="76" customFormat="false" ht="12.75" hidden="false" customHeight="false" outlineLevel="0" collapsed="false">
      <c r="A76" s="175" t="s">
        <v>429</v>
      </c>
      <c r="B76" s="135" t="s">
        <v>652</v>
      </c>
      <c r="C76" s="135" t="s">
        <v>653</v>
      </c>
      <c r="E76" s="135" t="s">
        <v>654</v>
      </c>
    </row>
    <row r="77" customFormat="false" ht="12.75" hidden="false" customHeight="false" outlineLevel="0" collapsed="false">
      <c r="A77" s="175" t="s">
        <v>429</v>
      </c>
      <c r="B77" s="135" t="s">
        <v>655</v>
      </c>
      <c r="C77" s="135" t="s">
        <v>656</v>
      </c>
      <c r="E77" s="135" t="s">
        <v>657</v>
      </c>
    </row>
    <row r="78" customFormat="false" ht="12.75" hidden="false" customHeight="false" outlineLevel="0" collapsed="false">
      <c r="A78" s="175" t="s">
        <v>429</v>
      </c>
      <c r="B78" s="135" t="s">
        <v>658</v>
      </c>
      <c r="C78" s="135" t="s">
        <v>659</v>
      </c>
      <c r="E78" s="135" t="s">
        <v>660</v>
      </c>
    </row>
    <row r="79" customFormat="false" ht="12.75" hidden="false" customHeight="false" outlineLevel="0" collapsed="false">
      <c r="A79" s="175" t="s">
        <v>429</v>
      </c>
      <c r="B79" s="135" t="s">
        <v>661</v>
      </c>
      <c r="C79" s="135" t="s">
        <v>662</v>
      </c>
      <c r="E79" s="135" t="s">
        <v>663</v>
      </c>
    </row>
    <row r="80" customFormat="false" ht="12.75" hidden="false" customHeight="false" outlineLevel="0" collapsed="false">
      <c r="A80" s="175" t="s">
        <v>429</v>
      </c>
      <c r="B80" s="135" t="s">
        <v>664</v>
      </c>
      <c r="C80" s="135" t="s">
        <v>665</v>
      </c>
      <c r="E80" s="135" t="s">
        <v>666</v>
      </c>
    </row>
    <row r="81" customFormat="false" ht="12.75" hidden="false" customHeight="false" outlineLevel="0" collapsed="false">
      <c r="A81" s="175" t="s">
        <v>429</v>
      </c>
      <c r="B81" s="135" t="s">
        <v>667</v>
      </c>
      <c r="C81" s="135" t="s">
        <v>668</v>
      </c>
      <c r="E81" s="135" t="s">
        <v>669</v>
      </c>
    </row>
    <row r="82" customFormat="false" ht="12.75" hidden="false" customHeight="false" outlineLevel="0" collapsed="false">
      <c r="A82" s="175" t="s">
        <v>429</v>
      </c>
      <c r="B82" s="135" t="s">
        <v>670</v>
      </c>
      <c r="C82" s="135" t="s">
        <v>671</v>
      </c>
      <c r="E82" s="135" t="s">
        <v>672</v>
      </c>
    </row>
    <row r="83" customFormat="false" ht="12.75" hidden="false" customHeight="false" outlineLevel="0" collapsed="false">
      <c r="A83" s="175" t="s">
        <v>429</v>
      </c>
      <c r="B83" s="135" t="s">
        <v>673</v>
      </c>
      <c r="C83" s="135" t="s">
        <v>674</v>
      </c>
      <c r="E83" s="135" t="s">
        <v>675</v>
      </c>
    </row>
    <row r="84" customFormat="false" ht="12.75" hidden="false" customHeight="false" outlineLevel="0" collapsed="false">
      <c r="A84" s="175" t="s">
        <v>429</v>
      </c>
      <c r="B84" s="135" t="s">
        <v>676</v>
      </c>
      <c r="C84" s="135" t="s">
        <v>677</v>
      </c>
      <c r="E84" s="135" t="s">
        <v>678</v>
      </c>
    </row>
    <row r="85" customFormat="false" ht="12.75" hidden="false" customHeight="false" outlineLevel="0" collapsed="false">
      <c r="A85" s="175" t="s">
        <v>429</v>
      </c>
      <c r="B85" s="135" t="s">
        <v>679</v>
      </c>
      <c r="C85" s="135" t="s">
        <v>680</v>
      </c>
      <c r="E85" s="135" t="s">
        <v>681</v>
      </c>
    </row>
    <row r="86" customFormat="false" ht="12.75" hidden="false" customHeight="false" outlineLevel="0" collapsed="false">
      <c r="A86" s="175" t="s">
        <v>429</v>
      </c>
      <c r="B86" s="135" t="s">
        <v>682</v>
      </c>
      <c r="C86" s="135" t="s">
        <v>683</v>
      </c>
      <c r="E86" s="135" t="s">
        <v>684</v>
      </c>
    </row>
    <row r="87" customFormat="false" ht="12.75" hidden="false" customHeight="false" outlineLevel="0" collapsed="false">
      <c r="A87" s="175" t="s">
        <v>429</v>
      </c>
      <c r="B87" s="135" t="s">
        <v>685</v>
      </c>
      <c r="C87" s="135" t="s">
        <v>686</v>
      </c>
      <c r="E87" s="135" t="s">
        <v>687</v>
      </c>
    </row>
    <row r="88" customFormat="false" ht="12.75" hidden="false" customHeight="false" outlineLevel="0" collapsed="false">
      <c r="A88" s="175" t="s">
        <v>429</v>
      </c>
      <c r="B88" s="135" t="s">
        <v>688</v>
      </c>
      <c r="C88" s="135" t="s">
        <v>689</v>
      </c>
      <c r="E88" s="135" t="s">
        <v>690</v>
      </c>
    </row>
    <row r="89" customFormat="false" ht="12.75" hidden="false" customHeight="false" outlineLevel="0" collapsed="false">
      <c r="A89" s="175" t="s">
        <v>429</v>
      </c>
      <c r="B89" s="135" t="s">
        <v>691</v>
      </c>
      <c r="C89" s="135" t="s">
        <v>692</v>
      </c>
      <c r="E89" s="135" t="s">
        <v>693</v>
      </c>
    </row>
    <row r="90" customFormat="false" ht="12.75" hidden="false" customHeight="false" outlineLevel="0" collapsed="false">
      <c r="A90" s="175" t="s">
        <v>429</v>
      </c>
      <c r="B90" s="135" t="s">
        <v>694</v>
      </c>
      <c r="C90" s="135" t="s">
        <v>695</v>
      </c>
      <c r="E90" s="135" t="s">
        <v>696</v>
      </c>
    </row>
    <row r="91" customFormat="false" ht="12.75" hidden="false" customHeight="false" outlineLevel="0" collapsed="false">
      <c r="A91" s="175" t="s">
        <v>429</v>
      </c>
      <c r="B91" s="135" t="s">
        <v>697</v>
      </c>
      <c r="C91" s="135" t="s">
        <v>698</v>
      </c>
      <c r="E91" s="135" t="s">
        <v>699</v>
      </c>
    </row>
    <row r="92" customFormat="false" ht="12.75" hidden="false" customHeight="false" outlineLevel="0" collapsed="false">
      <c r="A92" s="175" t="s">
        <v>429</v>
      </c>
      <c r="B92" s="135" t="s">
        <v>700</v>
      </c>
      <c r="C92" s="135" t="s">
        <v>701</v>
      </c>
      <c r="E92" s="135" t="s">
        <v>702</v>
      </c>
    </row>
    <row r="93" customFormat="false" ht="12.75" hidden="false" customHeight="false" outlineLevel="0" collapsed="false">
      <c r="A93" s="175" t="s">
        <v>429</v>
      </c>
      <c r="B93" s="135" t="s">
        <v>703</v>
      </c>
      <c r="C93" s="135" t="s">
        <v>704</v>
      </c>
      <c r="E93" s="135" t="s">
        <v>705</v>
      </c>
    </row>
    <row r="94" customFormat="false" ht="12.75" hidden="false" customHeight="false" outlineLevel="0" collapsed="false">
      <c r="A94" s="175" t="s">
        <v>429</v>
      </c>
      <c r="B94" s="135" t="s">
        <v>706</v>
      </c>
      <c r="C94" s="135" t="s">
        <v>707</v>
      </c>
      <c r="E94" s="135" t="s">
        <v>708</v>
      </c>
    </row>
    <row r="95" customFormat="false" ht="12.75" hidden="false" customHeight="false" outlineLevel="0" collapsed="false">
      <c r="A95" s="175" t="s">
        <v>429</v>
      </c>
      <c r="B95" s="135" t="s">
        <v>709</v>
      </c>
      <c r="C95" s="135" t="s">
        <v>710</v>
      </c>
      <c r="E95" s="135" t="s">
        <v>711</v>
      </c>
    </row>
    <row r="96" customFormat="false" ht="12.75" hidden="false" customHeight="false" outlineLevel="0" collapsed="false">
      <c r="A96" s="175" t="s">
        <v>429</v>
      </c>
      <c r="B96" s="135" t="s">
        <v>712</v>
      </c>
      <c r="C96" s="135" t="s">
        <v>713</v>
      </c>
      <c r="E96" s="135" t="s">
        <v>714</v>
      </c>
    </row>
    <row r="97" customFormat="false" ht="12.75" hidden="false" customHeight="false" outlineLevel="0" collapsed="false">
      <c r="A97" s="175" t="s">
        <v>429</v>
      </c>
      <c r="B97" s="135" t="s">
        <v>715</v>
      </c>
      <c r="C97" s="135" t="s">
        <v>716</v>
      </c>
      <c r="E97" s="135" t="s">
        <v>717</v>
      </c>
    </row>
    <row r="98" customFormat="false" ht="12.75" hidden="false" customHeight="false" outlineLevel="0" collapsed="false">
      <c r="A98" s="175" t="s">
        <v>429</v>
      </c>
      <c r="B98" s="135" t="s">
        <v>718</v>
      </c>
      <c r="C98" s="135" t="s">
        <v>719</v>
      </c>
      <c r="E98" s="135" t="s">
        <v>720</v>
      </c>
    </row>
    <row r="99" customFormat="false" ht="12.75" hidden="false" customHeight="false" outlineLevel="0" collapsed="false">
      <c r="A99" s="175" t="s">
        <v>429</v>
      </c>
      <c r="B99" s="135" t="s">
        <v>721</v>
      </c>
      <c r="C99" s="135" t="s">
        <v>722</v>
      </c>
      <c r="E99" s="135" t="s">
        <v>723</v>
      </c>
    </row>
    <row r="100" customFormat="false" ht="12.75" hidden="false" customHeight="false" outlineLevel="0" collapsed="false">
      <c r="A100" s="175" t="s">
        <v>429</v>
      </c>
      <c r="B100" s="135" t="s">
        <v>724</v>
      </c>
      <c r="C100" s="135" t="s">
        <v>725</v>
      </c>
      <c r="E100" s="135" t="s">
        <v>726</v>
      </c>
    </row>
    <row r="101" customFormat="false" ht="12.75" hidden="false" customHeight="false" outlineLevel="0" collapsed="false">
      <c r="A101" s="175" t="s">
        <v>429</v>
      </c>
      <c r="B101" s="135" t="s">
        <v>727</v>
      </c>
      <c r="C101" s="135" t="s">
        <v>728</v>
      </c>
      <c r="E101" s="135" t="s">
        <v>729</v>
      </c>
    </row>
    <row r="102" customFormat="false" ht="12.75" hidden="false" customHeight="false" outlineLevel="0" collapsed="false">
      <c r="A102" s="175" t="s">
        <v>429</v>
      </c>
      <c r="B102" s="135" t="s">
        <v>730</v>
      </c>
      <c r="C102" s="135" t="s">
        <v>731</v>
      </c>
      <c r="E102" s="135" t="s">
        <v>732</v>
      </c>
    </row>
    <row r="103" customFormat="false" ht="12.75" hidden="false" customHeight="false" outlineLevel="0" collapsed="false">
      <c r="A103" s="175" t="s">
        <v>429</v>
      </c>
      <c r="B103" s="135" t="s">
        <v>733</v>
      </c>
      <c r="C103" s="135" t="s">
        <v>734</v>
      </c>
      <c r="E103" s="135" t="s">
        <v>735</v>
      </c>
    </row>
    <row r="104" customFormat="false" ht="12.75" hidden="false" customHeight="false" outlineLevel="0" collapsed="false">
      <c r="A104" s="175" t="s">
        <v>429</v>
      </c>
      <c r="B104" s="135" t="s">
        <v>736</v>
      </c>
      <c r="C104" s="135" t="s">
        <v>737</v>
      </c>
      <c r="E104" s="135" t="s">
        <v>738</v>
      </c>
    </row>
    <row r="105" customFormat="false" ht="12.75" hidden="false" customHeight="false" outlineLevel="0" collapsed="false">
      <c r="A105" s="175" t="s">
        <v>429</v>
      </c>
      <c r="B105" s="135" t="s">
        <v>739</v>
      </c>
      <c r="C105" s="135" t="s">
        <v>740</v>
      </c>
      <c r="E105" s="135" t="s">
        <v>741</v>
      </c>
    </row>
    <row r="106" customFormat="false" ht="12.75" hidden="false" customHeight="false" outlineLevel="0" collapsed="false">
      <c r="A106" s="175" t="s">
        <v>429</v>
      </c>
      <c r="B106" s="135" t="s">
        <v>742</v>
      </c>
      <c r="C106" s="135" t="s">
        <v>743</v>
      </c>
      <c r="E106" s="135" t="s">
        <v>744</v>
      </c>
    </row>
    <row r="107" customFormat="false" ht="12.75" hidden="false" customHeight="false" outlineLevel="0" collapsed="false">
      <c r="A107" s="175" t="s">
        <v>429</v>
      </c>
      <c r="B107" s="135" t="s">
        <v>745</v>
      </c>
      <c r="C107" s="135" t="s">
        <v>746</v>
      </c>
      <c r="E107" s="135" t="s">
        <v>747</v>
      </c>
    </row>
    <row r="108" customFormat="false" ht="12.75" hidden="false" customHeight="false" outlineLevel="0" collapsed="false">
      <c r="A108" s="175" t="s">
        <v>429</v>
      </c>
      <c r="B108" s="135" t="s">
        <v>748</v>
      </c>
      <c r="C108" s="135" t="s">
        <v>749</v>
      </c>
      <c r="E108" s="135" t="s">
        <v>750</v>
      </c>
    </row>
    <row r="109" customFormat="false" ht="12.75" hidden="false" customHeight="false" outlineLevel="0" collapsed="false">
      <c r="A109" s="175" t="s">
        <v>429</v>
      </c>
      <c r="B109" s="135" t="s">
        <v>751</v>
      </c>
      <c r="C109" s="135" t="s">
        <v>752</v>
      </c>
      <c r="E109" s="135" t="s">
        <v>753</v>
      </c>
    </row>
    <row r="110" customFormat="false" ht="12.75" hidden="false" customHeight="false" outlineLevel="0" collapsed="false">
      <c r="A110" s="175" t="s">
        <v>429</v>
      </c>
      <c r="B110" s="135" t="s">
        <v>754</v>
      </c>
      <c r="C110" s="135" t="s">
        <v>755</v>
      </c>
      <c r="E110" s="135" t="s">
        <v>756</v>
      </c>
    </row>
    <row r="111" customFormat="false" ht="12.75" hidden="false" customHeight="false" outlineLevel="0" collapsed="false">
      <c r="A111" s="175" t="s">
        <v>429</v>
      </c>
      <c r="B111" s="135" t="s">
        <v>757</v>
      </c>
      <c r="C111" s="135" t="s">
        <v>758</v>
      </c>
      <c r="E111" s="135" t="s">
        <v>759</v>
      </c>
    </row>
    <row r="112" customFormat="false" ht="12.75" hidden="false" customHeight="false" outlineLevel="0" collapsed="false">
      <c r="A112" s="175" t="s">
        <v>429</v>
      </c>
      <c r="B112" s="135" t="s">
        <v>760</v>
      </c>
      <c r="C112" s="135" t="s">
        <v>761</v>
      </c>
      <c r="E112" s="135" t="s">
        <v>762</v>
      </c>
    </row>
    <row r="113" customFormat="false" ht="12.75" hidden="false" customHeight="false" outlineLevel="0" collapsed="false">
      <c r="A113" s="175" t="s">
        <v>429</v>
      </c>
      <c r="B113" s="135" t="s">
        <v>763</v>
      </c>
      <c r="C113" s="135" t="s">
        <v>764</v>
      </c>
      <c r="E113" s="135" t="s">
        <v>765</v>
      </c>
    </row>
    <row r="114" customFormat="false" ht="12.75" hidden="false" customHeight="false" outlineLevel="0" collapsed="false">
      <c r="A114" s="175" t="s">
        <v>429</v>
      </c>
      <c r="B114" s="135" t="s">
        <v>766</v>
      </c>
      <c r="C114" s="135" t="s">
        <v>767</v>
      </c>
      <c r="E114" s="135" t="s">
        <v>768</v>
      </c>
    </row>
    <row r="115" customFormat="false" ht="12.75" hidden="false" customHeight="false" outlineLevel="0" collapsed="false">
      <c r="A115" s="175" t="s">
        <v>429</v>
      </c>
      <c r="B115" s="135" t="s">
        <v>769</v>
      </c>
      <c r="C115" s="135" t="s">
        <v>770</v>
      </c>
      <c r="E115" s="135" t="s">
        <v>771</v>
      </c>
    </row>
    <row r="116" customFormat="false" ht="12.75" hidden="false" customHeight="false" outlineLevel="0" collapsed="false">
      <c r="A116" s="175" t="s">
        <v>429</v>
      </c>
      <c r="B116" s="135" t="s">
        <v>772</v>
      </c>
      <c r="C116" s="135" t="s">
        <v>773</v>
      </c>
      <c r="E116" s="135" t="s">
        <v>774</v>
      </c>
    </row>
    <row r="117" customFormat="false" ht="12.75" hidden="false" customHeight="false" outlineLevel="0" collapsed="false">
      <c r="A117" s="175" t="s">
        <v>429</v>
      </c>
      <c r="B117" s="135" t="s">
        <v>775</v>
      </c>
      <c r="C117" s="135" t="s">
        <v>776</v>
      </c>
      <c r="E117" s="135" t="s">
        <v>777</v>
      </c>
    </row>
    <row r="118" customFormat="false" ht="12.75" hidden="false" customHeight="false" outlineLevel="0" collapsed="false">
      <c r="A118" s="175" t="s">
        <v>429</v>
      </c>
      <c r="B118" s="135" t="s">
        <v>778</v>
      </c>
      <c r="C118" s="135" t="s">
        <v>779</v>
      </c>
      <c r="E118" s="135" t="s">
        <v>780</v>
      </c>
    </row>
  </sheetData>
  <dataValidations count="2">
    <dataValidation allowBlank="true" errorStyle="stop" operator="between" showDropDown="false" showErrorMessage="true" showInputMessage="false" sqref="D2:D17" type="list">
      <formula1>HoldingInstitution</formula1>
      <formula2>0</formula2>
    </dataValidation>
    <dataValidation allowBlank="true" errorStyle="stop" operator="between" showDropDown="false" showErrorMessage="true" showInputMessage="false" sqref="A2:A118" type="list">
      <formula1>TaxonScientificName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FFFF"/>
    <pageSetUpPr fitToPage="false"/>
  </sheetPr>
  <dimension ref="A1:J6"/>
  <sheetViews>
    <sheetView showFormulas="false" showGridLines="true" showRowColHeaders="true" showZeros="true" rightToLeft="false" tabSelected="false" showOutlineSymbols="true" defaultGridColor="true" view="normal" topLeftCell="A1" colorId="64" zoomScale="89" zoomScaleNormal="89" zoomScalePageLayoutView="100" workbookViewId="0">
      <selection pane="topLeft" activeCell="D7" activeCellId="1" sqref="A2:A8 D7"/>
    </sheetView>
  </sheetViews>
  <sheetFormatPr defaultColWidth="10.71484375" defaultRowHeight="12.75" customHeight="true" zeroHeight="false" outlineLevelRow="0" outlineLevelCol="0"/>
  <cols>
    <col collapsed="false" customWidth="true" hidden="false" outlineLevel="0" max="1" min="1" style="135" width="7.43"/>
    <col collapsed="false" customWidth="true" hidden="false" outlineLevel="0" max="2" min="2" style="135" width="11.71"/>
    <col collapsed="false" customWidth="true" hidden="false" outlineLevel="0" max="3" min="3" style="135" width="12.86"/>
    <col collapsed="false" customWidth="true" hidden="false" outlineLevel="0" max="4" min="4" style="118" width="23.57"/>
    <col collapsed="false" customWidth="true" hidden="false" outlineLevel="0" max="9" min="9" style="0" width="58.43"/>
  </cols>
  <sheetData>
    <row r="1" customFormat="false" ht="12.75" hidden="false" customHeight="false" outlineLevel="0" collapsed="false">
      <c r="A1" s="120" t="s">
        <v>163</v>
      </c>
      <c r="B1" s="120" t="s">
        <v>164</v>
      </c>
      <c r="C1" s="120" t="s">
        <v>165</v>
      </c>
      <c r="D1" s="121" t="s">
        <v>166</v>
      </c>
      <c r="G1" s="177"/>
      <c r="H1" s="177"/>
      <c r="I1" s="127"/>
      <c r="J1" s="177"/>
    </row>
    <row r="2" customFormat="false" ht="12.75" hidden="false" customHeight="false" outlineLevel="0" collapsed="false">
      <c r="A2" s="137" t="s">
        <v>781</v>
      </c>
      <c r="B2" s="137" t="s">
        <v>782</v>
      </c>
      <c r="C2" s="137" t="s">
        <v>783</v>
      </c>
      <c r="D2" s="118" t="s">
        <v>784</v>
      </c>
      <c r="J2" s="178"/>
    </row>
    <row r="3" customFormat="false" ht="12.75" hidden="false" customHeight="false" outlineLevel="0" collapsed="false">
      <c r="A3" s="135" t="s">
        <v>781</v>
      </c>
      <c r="B3" s="135" t="s">
        <v>785</v>
      </c>
      <c r="C3" s="135" t="s">
        <v>786</v>
      </c>
      <c r="D3" s="118" t="s">
        <v>787</v>
      </c>
      <c r="J3" s="178"/>
    </row>
    <row r="4" customFormat="false" ht="12.75" hidden="false" customHeight="false" outlineLevel="0" collapsed="false">
      <c r="J4" s="178"/>
    </row>
    <row r="5" customFormat="false" ht="12.75" hidden="false" customHeight="false" outlineLevel="0" collapsed="false">
      <c r="G5" s="179"/>
      <c r="H5" s="179"/>
      <c r="J5" s="178"/>
    </row>
    <row r="6" customFormat="false" ht="12.75" hidden="false" customHeight="false" outlineLevel="0" collapsed="false">
      <c r="G6" s="177"/>
      <c r="H6" s="177"/>
      <c r="I6" s="127"/>
      <c r="J6" s="177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FFFF"/>
    <pageSetUpPr fitToPage="false"/>
  </sheetPr>
  <dimension ref="A1:D4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selection pane="topLeft" activeCell="B5" activeCellId="1" sqref="A2:A8 B5"/>
    </sheetView>
  </sheetViews>
  <sheetFormatPr defaultColWidth="12.86328125" defaultRowHeight="12.75" customHeight="true" zeroHeight="false" outlineLevelRow="0" outlineLevelCol="0"/>
  <cols>
    <col collapsed="false" customWidth="true" hidden="false" outlineLevel="0" max="1" min="1" style="135" width="13.29"/>
    <col collapsed="false" customWidth="true" hidden="false" outlineLevel="0" max="2" min="2" style="118" width="13.71"/>
    <col collapsed="false" customWidth="true" hidden="false" outlineLevel="0" max="3" min="3" style="118" width="12.43"/>
    <col collapsed="false" customWidth="true" hidden="false" outlineLevel="0" max="4" min="4" style="118" width="13"/>
  </cols>
  <sheetData>
    <row r="1" customFormat="false" ht="12.75" hidden="false" customHeight="false" outlineLevel="0" collapsed="false">
      <c r="A1" s="120" t="s">
        <v>178</v>
      </c>
      <c r="B1" s="121" t="s">
        <v>179</v>
      </c>
      <c r="C1" s="121" t="s">
        <v>29</v>
      </c>
      <c r="D1" s="121" t="s">
        <v>180</v>
      </c>
    </row>
    <row r="2" customFormat="false" ht="12.75" hidden="false" customHeight="false" outlineLevel="0" collapsed="false">
      <c r="A2" s="137" t="s">
        <v>788</v>
      </c>
      <c r="B2" s="118" t="s">
        <v>788</v>
      </c>
    </row>
    <row r="3" customFormat="false" ht="12.75" hidden="false" customHeight="false" outlineLevel="0" collapsed="false">
      <c r="A3" s="135" t="s">
        <v>789</v>
      </c>
      <c r="B3" s="180" t="s">
        <v>790</v>
      </c>
      <c r="D3" s="118" t="s">
        <v>788</v>
      </c>
    </row>
    <row r="4" customFormat="false" ht="12.75" hidden="false" customHeight="false" outlineLevel="0" collapsed="false">
      <c r="A4" s="135" t="s">
        <v>791</v>
      </c>
      <c r="B4" s="118" t="s">
        <v>792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&amp;C&amp;"Arial,Normal"&amp;10&amp;A</oddHeader>
    <oddFooter>&amp;C&amp;"Arial,Normal"&amp;10Page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FFFF"/>
    <pageSetUpPr fitToPage="false"/>
  </sheetPr>
  <dimension ref="A1:CM705"/>
  <sheetViews>
    <sheetView showFormulas="false" showGridLines="true" showRowColHeaders="true" showZeros="true" rightToLeft="false" tabSelected="true" showOutlineSymbols="true" defaultGridColor="true" view="normal" topLeftCell="A1" colorId="64" zoomScale="95" zoomScaleNormal="95" zoomScalePageLayoutView="100" workbookViewId="0">
      <pane xSplit="6" ySplit="1" topLeftCell="G2" activePane="bottomRight" state="frozen"/>
      <selection pane="topLeft" activeCell="A1" activeCellId="0" sqref="A1"/>
      <selection pane="topRight" activeCell="G1" activeCellId="0" sqref="G1"/>
      <selection pane="bottomLeft" activeCell="A2" activeCellId="0" sqref="A2"/>
      <selection pane="bottomRight" activeCell="A3" activeCellId="0" sqref="A2:A8"/>
    </sheetView>
  </sheetViews>
  <sheetFormatPr defaultColWidth="11.29296875" defaultRowHeight="12.75" customHeight="true" zeroHeight="false" outlineLevelRow="0" outlineLevelCol="0"/>
  <cols>
    <col collapsed="false" customWidth="true" hidden="false" outlineLevel="0" max="1" min="1" style="0" width="14.43"/>
    <col collapsed="false" customWidth="true" hidden="false" outlineLevel="0" max="2" min="2" style="0" width="9"/>
    <col collapsed="false" customWidth="true" hidden="false" outlineLevel="0" max="3" min="3" style="119" width="7.14"/>
    <col collapsed="false" customWidth="true" hidden="false" outlineLevel="0" max="4" min="4" style="119" width="7"/>
    <col collapsed="false" customWidth="true" hidden="false" outlineLevel="0" max="5" min="5" style="119" width="5.43"/>
    <col collapsed="false" customWidth="true" hidden="false" outlineLevel="0" max="6" min="6" style="119" width="5.29"/>
    <col collapsed="false" customWidth="true" hidden="false" outlineLevel="0" max="7" min="7" style="118" width="5.57"/>
    <col collapsed="false" customWidth="true" hidden="false" outlineLevel="0" max="8" min="8" style="118" width="5.29"/>
    <col collapsed="false" customWidth="true" hidden="false" outlineLevel="0" max="9" min="9" style="118" width="17.29"/>
    <col collapsed="false" customWidth="true" hidden="false" outlineLevel="0" max="10" min="10" style="181" width="16.71"/>
    <col collapsed="false" customWidth="true" hidden="false" outlineLevel="0" max="11" min="11" style="182" width="20.86"/>
    <col collapsed="false" customWidth="true" hidden="false" outlineLevel="0" max="12" min="12" style="182" width="20.29"/>
    <col collapsed="false" customWidth="true" hidden="false" outlineLevel="0" max="13" min="13" style="182" width="12.14"/>
    <col collapsed="false" customWidth="true" hidden="false" outlineLevel="0" max="14" min="14" style="183" width="7.71"/>
    <col collapsed="false" customWidth="true" hidden="false" outlineLevel="0" max="15" min="15" style="183" width="9.57"/>
    <col collapsed="false" customWidth="true" hidden="false" outlineLevel="0" max="16" min="16" style="183" width="9"/>
    <col collapsed="false" customWidth="true" hidden="false" outlineLevel="0" max="17" min="17" style="183" width="9.29"/>
    <col collapsed="false" customWidth="true" hidden="false" outlineLevel="0" max="18" min="18" style="183" width="11.14"/>
    <col collapsed="false" customWidth="true" hidden="false" outlineLevel="0" max="19" min="19" style="182" width="16.86"/>
    <col collapsed="false" customWidth="true" hidden="false" outlineLevel="0" max="20" min="20" style="182" width="16.29"/>
    <col collapsed="false" customWidth="true" hidden="false" outlineLevel="0" max="21" min="21" style="183" width="16"/>
    <col collapsed="false" customWidth="true" hidden="false" outlineLevel="0" max="22" min="22" style="183" width="15.29"/>
    <col collapsed="false" customWidth="true" hidden="false" outlineLevel="0" max="23" min="23" style="182" width="9.71"/>
    <col collapsed="false" customWidth="true" hidden="false" outlineLevel="0" max="24" min="24" style="182" width="9.14"/>
    <col collapsed="false" customWidth="true" hidden="false" outlineLevel="0" max="25" min="25" style="183" width="12.29"/>
    <col collapsed="false" customWidth="true" hidden="false" outlineLevel="0" max="26" min="26" style="183" width="11"/>
    <col collapsed="false" customWidth="true" hidden="false" outlineLevel="0" max="27" min="27" style="182" width="10"/>
    <col collapsed="false" customWidth="true" hidden="false" outlineLevel="0" max="28" min="28" style="182" width="10.57"/>
    <col collapsed="false" customWidth="true" hidden="false" outlineLevel="0" max="29" min="29" style="184" width="15.14"/>
    <col collapsed="false" customWidth="true" hidden="false" outlineLevel="0" max="30" min="30" style="185" width="14.43"/>
    <col collapsed="false" customWidth="true" hidden="false" outlineLevel="0" max="31" min="31" style="182" width="16.71"/>
    <col collapsed="false" customWidth="true" hidden="false" outlineLevel="0" max="32" min="32" style="182" width="10.29"/>
    <col collapsed="false" customWidth="true" hidden="false" outlineLevel="0" max="33" min="33" style="183" width="17"/>
    <col collapsed="false" customWidth="true" hidden="false" outlineLevel="0" max="34" min="34" style="183" width="16.43"/>
    <col collapsed="false" customWidth="true" hidden="false" outlineLevel="0" max="35" min="35" style="182" width="18.86"/>
    <col collapsed="false" customWidth="true" hidden="false" outlineLevel="0" max="36" min="36" style="182" width="18.14"/>
    <col collapsed="false" customWidth="true" hidden="false" outlineLevel="0" max="37" min="37" style="183" width="18.57"/>
    <col collapsed="false" customWidth="true" hidden="false" outlineLevel="0" max="38" min="38" style="183" width="18"/>
    <col collapsed="false" customWidth="true" hidden="false" outlineLevel="0" max="39" min="39" style="184" width="18.57"/>
    <col collapsed="false" customWidth="true" hidden="false" outlineLevel="0" max="40" min="40" style="182" width="18"/>
    <col collapsed="false" customWidth="true" hidden="false" outlineLevel="0" max="41" min="41" style="183" width="20.29"/>
    <col collapsed="false" customWidth="true" hidden="false" outlineLevel="0" max="42" min="42" style="183" width="19.71"/>
    <col collapsed="false" customWidth="true" hidden="false" outlineLevel="0" max="43" min="43" style="182" width="24.57"/>
    <col collapsed="false" customWidth="true" hidden="false" outlineLevel="0" max="44" min="44" style="182" width="23.71"/>
    <col collapsed="false" customWidth="true" hidden="false" outlineLevel="0" max="45" min="45" style="183" width="19"/>
    <col collapsed="false" customWidth="true" hidden="false" outlineLevel="0" max="46" min="46" style="183" width="18.29"/>
    <col collapsed="false" customWidth="true" hidden="false" outlineLevel="0" max="47" min="47" style="182" width="19"/>
    <col collapsed="false" customWidth="true" hidden="false" outlineLevel="0" max="48" min="48" style="182" width="18.29"/>
    <col collapsed="false" customWidth="true" hidden="false" outlineLevel="0" max="49" min="49" style="183" width="25"/>
    <col collapsed="false" customWidth="true" hidden="false" outlineLevel="0" max="50" min="50" style="183" width="24.29"/>
    <col collapsed="false" customWidth="true" hidden="false" outlineLevel="0" max="51" min="51" style="182" width="19"/>
    <col collapsed="false" customWidth="true" hidden="false" outlineLevel="0" max="52" min="52" style="182" width="18.29"/>
    <col collapsed="false" customWidth="true" hidden="false" outlineLevel="0" max="53" min="53" style="183" width="30.71"/>
    <col collapsed="false" customWidth="true" hidden="false" outlineLevel="0" max="54" min="54" style="183" width="30"/>
    <col collapsed="false" customWidth="true" hidden="false" outlineLevel="0" max="55" min="55" style="183" width="13.71"/>
    <col collapsed="false" customWidth="true" hidden="false" outlineLevel="0" max="56" min="56" style="183" width="13.14"/>
    <col collapsed="false" customWidth="true" hidden="false" outlineLevel="0" max="57" min="57" style="183" width="13.71"/>
    <col collapsed="false" customWidth="true" hidden="false" outlineLevel="0" max="58" min="58" style="183" width="13.14"/>
    <col collapsed="false" customWidth="true" hidden="false" outlineLevel="0" max="59" min="59" style="183" width="15.29"/>
    <col collapsed="false" customWidth="true" hidden="false" outlineLevel="0" max="60" min="60" style="183" width="14.14"/>
    <col collapsed="false" customWidth="true" hidden="false" outlineLevel="0" max="61" min="61" style="183" width="14.86"/>
    <col collapsed="false" customWidth="true" hidden="false" outlineLevel="0" max="62" min="62" style="183" width="14.14"/>
    <col collapsed="false" customWidth="true" hidden="false" outlineLevel="0" max="63" min="63" style="182" width="12.14"/>
    <col collapsed="false" customWidth="true" hidden="false" outlineLevel="0" max="64" min="64" style="182" width="11.57"/>
    <col collapsed="false" customWidth="true" hidden="false" outlineLevel="0" max="65" min="65" style="183" width="15.14"/>
    <col collapsed="false" customWidth="true" hidden="false" outlineLevel="0" max="66" min="66" style="183" width="14.43"/>
    <col collapsed="false" customWidth="true" hidden="false" outlineLevel="0" max="67" min="67" style="182" width="16.57"/>
    <col collapsed="false" customWidth="true" hidden="false" outlineLevel="0" max="68" min="68" style="182" width="16"/>
    <col collapsed="false" customWidth="true" hidden="false" outlineLevel="0" max="69" min="69" style="183" width="10.71"/>
    <col collapsed="false" customWidth="true" hidden="false" outlineLevel="0" max="70" min="70" style="183" width="9.86"/>
    <col collapsed="false" customWidth="true" hidden="false" outlineLevel="0" max="72" min="71" style="182" width="10.29"/>
    <col collapsed="false" customWidth="true" hidden="false" outlineLevel="0" max="73" min="73" style="182" width="14.43"/>
    <col collapsed="false" customWidth="true" hidden="false" outlineLevel="0" max="74" min="74" style="182" width="9.71"/>
    <col collapsed="false" customWidth="true" hidden="false" outlineLevel="0" max="75" min="75" style="182" width="21.71"/>
    <col collapsed="false" customWidth="true" hidden="false" outlineLevel="0" max="76" min="76" style="182" width="21"/>
    <col collapsed="false" customWidth="true" hidden="false" outlineLevel="0" max="77" min="77" style="182" width="14.71"/>
    <col collapsed="false" customWidth="true" hidden="false" outlineLevel="0" max="78" min="78" style="182" width="14"/>
    <col collapsed="false" customWidth="true" hidden="false" outlineLevel="0" max="79" min="79" style="182" width="22.57"/>
    <col collapsed="false" customWidth="true" hidden="false" outlineLevel="0" max="80" min="80" style="182" width="22"/>
    <col collapsed="false" customWidth="true" hidden="false" outlineLevel="0" max="81" min="81" style="182" width="20.86"/>
    <col collapsed="false" customWidth="true" hidden="false" outlineLevel="0" max="82" min="82" style="182" width="20.29"/>
    <col collapsed="false" customWidth="true" hidden="false" outlineLevel="0" max="83" min="83" style="182" width="18.14"/>
    <col collapsed="false" customWidth="true" hidden="false" outlineLevel="0" max="84" min="84" style="182" width="17.57"/>
    <col collapsed="false" customWidth="true" hidden="false" outlineLevel="0" max="85" min="85" style="182" width="7.14"/>
    <col collapsed="false" customWidth="true" hidden="false" outlineLevel="0" max="86" min="86" style="182" width="6.57"/>
    <col collapsed="false" customWidth="true" hidden="false" outlineLevel="0" max="87" min="87" style="182" width="9.71"/>
    <col collapsed="false" customWidth="true" hidden="false" outlineLevel="0" max="88" min="88" style="182" width="15.29"/>
    <col collapsed="false" customWidth="true" hidden="false" outlineLevel="0" max="89" min="89" style="182" width="14.71"/>
    <col collapsed="false" customWidth="false" hidden="false" outlineLevel="0" max="16384" min="90" style="179" width="11.29"/>
  </cols>
  <sheetData>
    <row r="1" s="192" customFormat="true" ht="12.75" hidden="false" customHeight="false" outlineLevel="0" collapsed="false">
      <c r="A1" s="186" t="s">
        <v>150</v>
      </c>
      <c r="B1" s="121" t="s">
        <v>171</v>
      </c>
      <c r="C1" s="121" t="s">
        <v>187</v>
      </c>
      <c r="D1" s="121" t="s">
        <v>793</v>
      </c>
      <c r="E1" s="119" t="s">
        <v>21</v>
      </c>
      <c r="F1" s="119" t="s">
        <v>22</v>
      </c>
      <c r="G1" s="122" t="s">
        <v>192</v>
      </c>
      <c r="H1" s="122" t="s">
        <v>193</v>
      </c>
      <c r="I1" s="187" t="s">
        <v>794</v>
      </c>
      <c r="J1" s="148" t="s">
        <v>795</v>
      </c>
      <c r="K1" s="148" t="s">
        <v>796</v>
      </c>
      <c r="L1" s="148" t="s">
        <v>797</v>
      </c>
      <c r="M1" s="148" t="s">
        <v>798</v>
      </c>
      <c r="N1" s="148" t="s">
        <v>799</v>
      </c>
      <c r="O1" s="148" t="s">
        <v>800</v>
      </c>
      <c r="P1" s="148" t="s">
        <v>801</v>
      </c>
      <c r="Q1" s="148" t="s">
        <v>802</v>
      </c>
      <c r="R1" s="148" t="s">
        <v>803</v>
      </c>
      <c r="S1" s="148" t="s">
        <v>804</v>
      </c>
      <c r="T1" s="148" t="s">
        <v>805</v>
      </c>
      <c r="U1" s="148" t="s">
        <v>806</v>
      </c>
      <c r="V1" s="148" t="s">
        <v>807</v>
      </c>
      <c r="W1" s="148" t="s">
        <v>808</v>
      </c>
      <c r="X1" s="148" t="s">
        <v>809</v>
      </c>
      <c r="Y1" s="148" t="s">
        <v>810</v>
      </c>
      <c r="Z1" s="148" t="s">
        <v>811</v>
      </c>
      <c r="AA1" s="148" t="s">
        <v>812</v>
      </c>
      <c r="AB1" s="148" t="s">
        <v>813</v>
      </c>
      <c r="AC1" s="188" t="s">
        <v>814</v>
      </c>
      <c r="AD1" s="148" t="s">
        <v>815</v>
      </c>
      <c r="AE1" s="189" t="s">
        <v>816</v>
      </c>
      <c r="AF1" s="190" t="s">
        <v>817</v>
      </c>
      <c r="AG1" s="148" t="s">
        <v>818</v>
      </c>
      <c r="AH1" s="148" t="s">
        <v>819</v>
      </c>
      <c r="AI1" s="148" t="s">
        <v>820</v>
      </c>
      <c r="AJ1" s="148" t="s">
        <v>821</v>
      </c>
      <c r="AK1" s="148" t="s">
        <v>822</v>
      </c>
      <c r="AL1" s="148" t="s">
        <v>823</v>
      </c>
      <c r="AM1" s="188" t="s">
        <v>824</v>
      </c>
      <c r="AN1" s="191" t="s">
        <v>825</v>
      </c>
      <c r="AO1" s="148" t="s">
        <v>826</v>
      </c>
      <c r="AP1" s="148" t="s">
        <v>827</v>
      </c>
      <c r="AQ1" s="148" t="s">
        <v>828</v>
      </c>
      <c r="AR1" s="148" t="s">
        <v>829</v>
      </c>
      <c r="AS1" s="148" t="s">
        <v>830</v>
      </c>
      <c r="AT1" s="148" t="s">
        <v>831</v>
      </c>
      <c r="AU1" s="148" t="s">
        <v>832</v>
      </c>
      <c r="AV1" s="148" t="s">
        <v>833</v>
      </c>
      <c r="AW1" s="148" t="s">
        <v>834</v>
      </c>
      <c r="AX1" s="148" t="s">
        <v>835</v>
      </c>
      <c r="AY1" s="148" t="s">
        <v>836</v>
      </c>
      <c r="AZ1" s="148" t="s">
        <v>837</v>
      </c>
      <c r="BA1" s="148" t="s">
        <v>838</v>
      </c>
      <c r="BB1" s="148" t="s">
        <v>839</v>
      </c>
      <c r="BC1" s="148" t="s">
        <v>840</v>
      </c>
      <c r="BD1" s="148" t="s">
        <v>841</v>
      </c>
      <c r="BE1" s="148" t="s">
        <v>842</v>
      </c>
      <c r="BF1" s="148" t="s">
        <v>843</v>
      </c>
      <c r="BG1" s="148" t="s">
        <v>844</v>
      </c>
      <c r="BH1" s="148" t="s">
        <v>845</v>
      </c>
      <c r="BI1" s="148" t="s">
        <v>846</v>
      </c>
      <c r="BJ1" s="148" t="s">
        <v>847</v>
      </c>
      <c r="BK1" s="148" t="s">
        <v>848</v>
      </c>
      <c r="BL1" s="148" t="s">
        <v>849</v>
      </c>
      <c r="BM1" s="148" t="s">
        <v>850</v>
      </c>
      <c r="BN1" s="148" t="s">
        <v>851</v>
      </c>
      <c r="BO1" s="148" t="s">
        <v>852</v>
      </c>
      <c r="BP1" s="148" t="s">
        <v>853</v>
      </c>
      <c r="BQ1" s="148" t="s">
        <v>854</v>
      </c>
      <c r="BR1" s="148" t="s">
        <v>855</v>
      </c>
      <c r="BS1" s="148" t="s">
        <v>856</v>
      </c>
      <c r="BT1" s="148" t="s">
        <v>857</v>
      </c>
      <c r="BU1" s="148" t="s">
        <v>858</v>
      </c>
      <c r="BV1" s="148" t="s">
        <v>859</v>
      </c>
      <c r="BW1" s="148" t="s">
        <v>860</v>
      </c>
      <c r="BX1" s="148" t="s">
        <v>861</v>
      </c>
      <c r="BY1" s="148" t="s">
        <v>862</v>
      </c>
      <c r="BZ1" s="148" t="s">
        <v>863</v>
      </c>
      <c r="CA1" s="148" t="s">
        <v>864</v>
      </c>
      <c r="CB1" s="148" t="s">
        <v>865</v>
      </c>
      <c r="CC1" s="148" t="s">
        <v>866</v>
      </c>
      <c r="CD1" s="148" t="s">
        <v>867</v>
      </c>
      <c r="CE1" s="148" t="s">
        <v>868</v>
      </c>
      <c r="CF1" s="148" t="s">
        <v>869</v>
      </c>
      <c r="CG1" s="148" t="s">
        <v>870</v>
      </c>
      <c r="CH1" s="148" t="s">
        <v>871</v>
      </c>
      <c r="CI1" s="148" t="s">
        <v>412</v>
      </c>
      <c r="CJ1" s="148" t="s">
        <v>417</v>
      </c>
      <c r="CK1" s="148" t="s">
        <v>421</v>
      </c>
      <c r="CL1" s="148" t="s">
        <v>872</v>
      </c>
      <c r="CM1" s="148" t="s">
        <v>873</v>
      </c>
    </row>
    <row r="2" customFormat="false" ht="12.75" hidden="false" customHeight="false" outlineLevel="0" collapsed="false">
      <c r="A2" s="135" t="s">
        <v>874</v>
      </c>
      <c r="B2" s="193" t="s">
        <v>782</v>
      </c>
      <c r="C2" s="193" t="s">
        <v>875</v>
      </c>
      <c r="D2" s="193"/>
      <c r="E2" s="194" t="n">
        <v>3</v>
      </c>
      <c r="F2" s="195" t="n">
        <v>4</v>
      </c>
      <c r="G2" s="119"/>
      <c r="H2" s="119"/>
      <c r="J2" s="118"/>
      <c r="K2" s="118"/>
      <c r="L2" s="181"/>
      <c r="N2" s="182"/>
      <c r="O2" s="182"/>
      <c r="S2" s="184" t="n">
        <v>1880</v>
      </c>
      <c r="T2" s="185" t="n">
        <v>40725</v>
      </c>
      <c r="U2" s="182"/>
      <c r="V2" s="182"/>
      <c r="W2" s="183"/>
      <c r="X2" s="183"/>
      <c r="Y2" s="184" t="n">
        <v>543</v>
      </c>
      <c r="Z2" s="185" t="n">
        <v>40725</v>
      </c>
      <c r="AA2" s="184" t="n">
        <v>81236</v>
      </c>
      <c r="AB2" s="185" t="n">
        <v>40725</v>
      </c>
      <c r="AC2" s="184" t="n">
        <v>35.7</v>
      </c>
      <c r="AD2" s="185" t="n">
        <v>40725</v>
      </c>
      <c r="AE2" s="196"/>
      <c r="AF2" s="185"/>
      <c r="AG2" s="184" t="n">
        <v>4.39</v>
      </c>
      <c r="AH2" s="185" t="n">
        <v>40725</v>
      </c>
      <c r="AI2" s="183"/>
      <c r="AJ2" s="183"/>
      <c r="AK2" s="182"/>
      <c r="AL2" s="182"/>
      <c r="AM2" s="184" t="n">
        <v>89</v>
      </c>
      <c r="AN2" s="183" t="n">
        <v>40630</v>
      </c>
      <c r="AO2" s="182"/>
      <c r="AP2" s="182"/>
      <c r="AQ2" s="183"/>
      <c r="AR2" s="183"/>
      <c r="AS2" s="182"/>
      <c r="AT2" s="182"/>
      <c r="AU2" s="183"/>
      <c r="AV2" s="183"/>
      <c r="AW2" s="182"/>
      <c r="AX2" s="182"/>
      <c r="AY2" s="183"/>
      <c r="AZ2" s="183"/>
      <c r="BA2" s="182"/>
      <c r="BB2" s="182"/>
      <c r="BK2" s="183"/>
      <c r="BL2" s="183"/>
      <c r="BM2" s="182"/>
      <c r="BN2" s="182"/>
      <c r="BO2" s="183"/>
      <c r="BP2" s="183"/>
      <c r="BQ2" s="182"/>
      <c r="BR2" s="182"/>
      <c r="BS2" s="184" t="n">
        <v>52.7</v>
      </c>
      <c r="BT2" s="185" t="n">
        <v>40725</v>
      </c>
      <c r="BU2" s="184" t="n">
        <v>15.2</v>
      </c>
      <c r="BV2" s="185" t="n">
        <v>40725</v>
      </c>
      <c r="CL2" s="182"/>
      <c r="CM2" s="182"/>
    </row>
    <row r="3" customFormat="false" ht="12.75" hidden="false" customHeight="false" outlineLevel="0" collapsed="false">
      <c r="A3" s="135" t="s">
        <v>874</v>
      </c>
      <c r="B3" s="193" t="s">
        <v>782</v>
      </c>
      <c r="C3" s="193" t="s">
        <v>876</v>
      </c>
      <c r="D3" s="193"/>
      <c r="E3" s="194" t="n">
        <v>6</v>
      </c>
      <c r="F3" s="195" t="n">
        <v>54</v>
      </c>
      <c r="G3" s="119"/>
      <c r="H3" s="119"/>
      <c r="J3" s="118"/>
      <c r="K3" s="118"/>
      <c r="L3" s="181"/>
      <c r="N3" s="182"/>
      <c r="O3" s="182"/>
      <c r="S3" s="184" t="n">
        <v>1485</v>
      </c>
      <c r="T3" s="185" t="n">
        <v>40725</v>
      </c>
      <c r="U3" s="182"/>
      <c r="V3" s="182"/>
      <c r="W3" s="183"/>
      <c r="X3" s="183"/>
      <c r="Y3" s="184" t="n">
        <v>439</v>
      </c>
      <c r="Z3" s="185" t="n">
        <v>40725</v>
      </c>
      <c r="AA3" s="184" t="n">
        <v>64658</v>
      </c>
      <c r="AB3" s="185" t="n">
        <v>40725</v>
      </c>
      <c r="AC3" s="184" t="n">
        <v>28.5</v>
      </c>
      <c r="AD3" s="185" t="n">
        <v>40725</v>
      </c>
      <c r="AE3" s="196"/>
      <c r="AF3" s="185"/>
      <c r="AG3" s="184" t="n">
        <v>4.4</v>
      </c>
      <c r="AH3" s="185" t="n">
        <v>40725</v>
      </c>
      <c r="AI3" s="183"/>
      <c r="AJ3" s="183"/>
      <c r="AK3" s="182"/>
      <c r="AL3" s="182"/>
      <c r="AM3" s="184" t="n">
        <v>88</v>
      </c>
      <c r="AN3" s="183" t="n">
        <v>40630</v>
      </c>
      <c r="AO3" s="182"/>
      <c r="AP3" s="182"/>
      <c r="AQ3" s="183"/>
      <c r="AR3" s="183"/>
      <c r="AS3" s="182"/>
      <c r="AT3" s="182"/>
      <c r="AU3" s="183"/>
      <c r="AV3" s="183"/>
      <c r="AW3" s="182"/>
      <c r="AX3" s="182"/>
      <c r="AY3" s="183"/>
      <c r="AZ3" s="183"/>
      <c r="BA3" s="182"/>
      <c r="BB3" s="182"/>
      <c r="BK3" s="183"/>
      <c r="BL3" s="183"/>
      <c r="BM3" s="182"/>
      <c r="BN3" s="182"/>
      <c r="BO3" s="183"/>
      <c r="BP3" s="183"/>
      <c r="BQ3" s="182"/>
      <c r="BR3" s="182"/>
      <c r="BS3" s="184" t="n">
        <v>52.2</v>
      </c>
      <c r="BT3" s="185" t="n">
        <v>40725</v>
      </c>
      <c r="BU3" s="184" t="n">
        <v>15.4</v>
      </c>
      <c r="BV3" s="185" t="n">
        <v>40725</v>
      </c>
      <c r="CL3" s="182"/>
      <c r="CM3" s="182"/>
    </row>
    <row r="4" customFormat="false" ht="12.75" hidden="false" customHeight="false" outlineLevel="0" collapsed="false">
      <c r="A4" s="197" t="s">
        <v>874</v>
      </c>
      <c r="B4" s="193" t="s">
        <v>782</v>
      </c>
      <c r="C4" s="193" t="s">
        <v>877</v>
      </c>
      <c r="D4" s="193"/>
      <c r="E4" s="198" t="n">
        <v>19</v>
      </c>
      <c r="F4" s="195" t="n">
        <v>86</v>
      </c>
      <c r="G4" s="198"/>
      <c r="H4" s="198"/>
      <c r="J4" s="199"/>
      <c r="K4" s="199"/>
      <c r="L4" s="200"/>
      <c r="N4" s="182"/>
      <c r="O4" s="182"/>
      <c r="S4" s="184" t="n">
        <v>1517</v>
      </c>
      <c r="T4" s="185" t="n">
        <v>40725</v>
      </c>
      <c r="U4" s="182"/>
      <c r="V4" s="182"/>
      <c r="W4" s="183"/>
      <c r="X4" s="183"/>
      <c r="Y4" s="184" t="n">
        <v>471</v>
      </c>
      <c r="Z4" s="185" t="n">
        <v>40725</v>
      </c>
      <c r="AA4" s="184" t="n">
        <v>68835</v>
      </c>
      <c r="AB4" s="185" t="n">
        <v>40725</v>
      </c>
      <c r="AC4" s="184" t="n">
        <v>29.5</v>
      </c>
      <c r="AD4" s="185" t="n">
        <v>40725</v>
      </c>
      <c r="AE4" s="196"/>
      <c r="AF4" s="185"/>
      <c r="AG4" s="184" t="n">
        <v>4.28</v>
      </c>
      <c r="AH4" s="185" t="n">
        <v>40725</v>
      </c>
      <c r="AI4" s="183"/>
      <c r="AJ4" s="183"/>
      <c r="AK4" s="182"/>
      <c r="AL4" s="182"/>
      <c r="AM4" s="184" t="n">
        <v>87</v>
      </c>
      <c r="AN4" s="183" t="n">
        <v>40630</v>
      </c>
      <c r="AO4" s="182"/>
      <c r="AP4" s="182"/>
      <c r="AQ4" s="183"/>
      <c r="AR4" s="183"/>
      <c r="AS4" s="182"/>
      <c r="AT4" s="182"/>
      <c r="AU4" s="183"/>
      <c r="AV4" s="183"/>
      <c r="AW4" s="182"/>
      <c r="AX4" s="182"/>
      <c r="AY4" s="183"/>
      <c r="AZ4" s="183"/>
      <c r="BA4" s="182"/>
      <c r="BB4" s="182"/>
      <c r="BK4" s="183"/>
      <c r="BL4" s="183"/>
      <c r="BM4" s="182"/>
      <c r="BN4" s="182"/>
      <c r="BO4" s="183"/>
      <c r="BP4" s="183"/>
      <c r="BQ4" s="182"/>
      <c r="BR4" s="182"/>
      <c r="BS4" s="184" t="n">
        <v>51.5</v>
      </c>
      <c r="BT4" s="185" t="n">
        <v>40725</v>
      </c>
      <c r="BU4" s="184" t="n">
        <v>16</v>
      </c>
      <c r="BV4" s="185" t="n">
        <v>40725</v>
      </c>
      <c r="CL4" s="182"/>
      <c r="CM4" s="182"/>
    </row>
    <row r="5" customFormat="false" ht="12.75" hidden="false" customHeight="false" outlineLevel="0" collapsed="false">
      <c r="A5" s="197" t="s">
        <v>874</v>
      </c>
      <c r="B5" s="193" t="s">
        <v>782</v>
      </c>
      <c r="C5" s="193" t="s">
        <v>877</v>
      </c>
      <c r="D5" s="193"/>
      <c r="E5" s="198"/>
      <c r="F5" s="195"/>
      <c r="G5" s="198"/>
      <c r="H5" s="198"/>
      <c r="J5" s="199"/>
      <c r="K5" s="199"/>
      <c r="L5" s="200"/>
      <c r="N5" s="182"/>
      <c r="O5" s="182"/>
      <c r="S5" s="184" t="n">
        <v>1687</v>
      </c>
      <c r="T5" s="185" t="n">
        <v>40725</v>
      </c>
      <c r="U5" s="182"/>
      <c r="V5" s="182"/>
      <c r="W5" s="183"/>
      <c r="X5" s="183"/>
      <c r="Y5" s="184" t="n">
        <v>536</v>
      </c>
      <c r="Z5" s="185" t="n">
        <v>40725</v>
      </c>
      <c r="AA5" s="184" t="n">
        <v>74398</v>
      </c>
      <c r="AB5" s="185" t="n">
        <v>40725</v>
      </c>
      <c r="AC5" s="184" t="n">
        <v>32.6</v>
      </c>
      <c r="AD5" s="185" t="n">
        <v>40725</v>
      </c>
      <c r="AE5" s="196"/>
      <c r="AF5" s="185"/>
      <c r="AG5" s="184" t="n">
        <v>4.38</v>
      </c>
      <c r="AH5" s="185" t="n">
        <v>40725</v>
      </c>
      <c r="AI5" s="183"/>
      <c r="AJ5" s="183"/>
      <c r="AK5" s="182"/>
      <c r="AL5" s="182"/>
      <c r="AM5" s="184" t="n">
        <v>87</v>
      </c>
      <c r="AN5" s="183" t="n">
        <v>40630</v>
      </c>
      <c r="AO5" s="182"/>
      <c r="AP5" s="182"/>
      <c r="AQ5" s="183"/>
      <c r="AR5" s="183"/>
      <c r="AS5" s="182"/>
      <c r="AT5" s="182"/>
      <c r="AU5" s="183"/>
      <c r="AV5" s="183"/>
      <c r="AW5" s="182"/>
      <c r="AX5" s="182"/>
      <c r="AY5" s="183"/>
      <c r="AZ5" s="183"/>
      <c r="BA5" s="182"/>
      <c r="BB5" s="182"/>
      <c r="BK5" s="183"/>
      <c r="BL5" s="183"/>
      <c r="BM5" s="182"/>
      <c r="BN5" s="182"/>
      <c r="BO5" s="183"/>
      <c r="BP5" s="183"/>
      <c r="BQ5" s="182"/>
      <c r="BR5" s="182"/>
      <c r="BS5" s="184" t="n">
        <v>51.8</v>
      </c>
      <c r="BT5" s="185" t="n">
        <v>40725</v>
      </c>
      <c r="BU5" s="184" t="n">
        <v>16.4</v>
      </c>
      <c r="BV5" s="185" t="n">
        <v>40725</v>
      </c>
      <c r="CL5" s="182"/>
      <c r="CM5" s="182"/>
    </row>
    <row r="6" customFormat="false" ht="12.75" hidden="false" customHeight="false" outlineLevel="0" collapsed="false">
      <c r="A6" s="135" t="s">
        <v>874</v>
      </c>
      <c r="B6" s="193" t="s">
        <v>785</v>
      </c>
      <c r="C6" s="193" t="s">
        <v>875</v>
      </c>
      <c r="D6" s="193"/>
      <c r="E6" s="194" t="n">
        <v>5</v>
      </c>
      <c r="F6" s="195" t="n">
        <v>19</v>
      </c>
      <c r="G6" s="119"/>
      <c r="H6" s="119"/>
      <c r="J6" s="118"/>
      <c r="K6" s="118"/>
      <c r="L6" s="181"/>
      <c r="N6" s="182"/>
      <c r="O6" s="182"/>
      <c r="S6" s="184" t="n">
        <v>2074</v>
      </c>
      <c r="T6" s="185" t="n">
        <v>40725</v>
      </c>
      <c r="U6" s="182"/>
      <c r="V6" s="182"/>
      <c r="W6" s="183"/>
      <c r="X6" s="183"/>
      <c r="Y6" s="184" t="n">
        <v>660</v>
      </c>
      <c r="Z6" s="185" t="n">
        <v>40725</v>
      </c>
      <c r="AA6" s="184" t="n">
        <v>95386</v>
      </c>
      <c r="AB6" s="185" t="n">
        <v>40725</v>
      </c>
      <c r="AC6" s="184" t="n">
        <v>40.4</v>
      </c>
      <c r="AD6" s="185" t="n">
        <v>40725</v>
      </c>
      <c r="AE6" s="196"/>
      <c r="AF6" s="185"/>
      <c r="AG6" s="184" t="n">
        <v>4.23</v>
      </c>
      <c r="AH6" s="185" t="n">
        <v>40725</v>
      </c>
      <c r="AI6" s="183"/>
      <c r="AJ6" s="183"/>
      <c r="AK6" s="182"/>
      <c r="AL6" s="182"/>
      <c r="AM6" s="184" t="n">
        <v>90</v>
      </c>
      <c r="AN6" s="183" t="n">
        <v>40630</v>
      </c>
      <c r="AO6" s="182"/>
      <c r="AP6" s="182"/>
      <c r="AQ6" s="183"/>
      <c r="AR6" s="183"/>
      <c r="AS6" s="182"/>
      <c r="AT6" s="182"/>
      <c r="AU6" s="183"/>
      <c r="AV6" s="183"/>
      <c r="AW6" s="182"/>
      <c r="AX6" s="182"/>
      <c r="AY6" s="183"/>
      <c r="AZ6" s="183"/>
      <c r="BA6" s="182"/>
      <c r="BB6" s="182"/>
      <c r="BK6" s="183"/>
      <c r="BL6" s="183"/>
      <c r="BM6" s="182"/>
      <c r="BN6" s="182"/>
      <c r="BO6" s="183"/>
      <c r="BP6" s="183"/>
      <c r="BQ6" s="182"/>
      <c r="BR6" s="182"/>
      <c r="BS6" s="184" t="n">
        <v>51.4</v>
      </c>
      <c r="BT6" s="185" t="n">
        <v>40725</v>
      </c>
      <c r="BU6" s="184" t="n">
        <v>16.4</v>
      </c>
      <c r="BV6" s="185" t="n">
        <v>40725</v>
      </c>
      <c r="CL6" s="182"/>
      <c r="CM6" s="182"/>
    </row>
    <row r="7" customFormat="false" ht="12.75" hidden="false" customHeight="false" outlineLevel="0" collapsed="false">
      <c r="A7" s="135" t="s">
        <v>874</v>
      </c>
      <c r="B7" s="193" t="s">
        <v>785</v>
      </c>
      <c r="C7" s="193" t="s">
        <v>876</v>
      </c>
      <c r="D7" s="193"/>
      <c r="E7" s="194" t="n">
        <v>2</v>
      </c>
      <c r="F7" s="195" t="n">
        <v>57</v>
      </c>
      <c r="G7" s="119"/>
      <c r="H7" s="119"/>
      <c r="J7" s="118"/>
      <c r="K7" s="118"/>
      <c r="L7" s="181"/>
      <c r="N7" s="182"/>
      <c r="O7" s="182"/>
      <c r="S7" s="184" t="n">
        <v>1922</v>
      </c>
      <c r="T7" s="185" t="n">
        <v>40725</v>
      </c>
      <c r="U7" s="182"/>
      <c r="V7" s="182"/>
      <c r="W7" s="183"/>
      <c r="X7" s="183"/>
      <c r="Y7" s="184" t="n">
        <v>677</v>
      </c>
      <c r="Z7" s="185" t="n">
        <v>40725</v>
      </c>
      <c r="AA7" s="184" t="n">
        <v>84953</v>
      </c>
      <c r="AB7" s="185" t="n">
        <v>40725</v>
      </c>
      <c r="AC7" s="184" t="n">
        <v>37.8</v>
      </c>
      <c r="AD7" s="185" t="n">
        <v>40725</v>
      </c>
      <c r="AE7" s="196"/>
      <c r="AF7" s="185"/>
      <c r="AG7" s="184" t="n">
        <v>4.45</v>
      </c>
      <c r="AH7" s="185" t="n">
        <v>40725</v>
      </c>
      <c r="AI7" s="183"/>
      <c r="AJ7" s="183"/>
      <c r="AK7" s="182"/>
      <c r="AL7" s="182"/>
      <c r="AM7" s="184" t="n">
        <v>89</v>
      </c>
      <c r="AN7" s="183" t="n">
        <v>40630</v>
      </c>
      <c r="AO7" s="182"/>
      <c r="AP7" s="182"/>
      <c r="AQ7" s="183"/>
      <c r="AR7" s="183"/>
      <c r="AS7" s="182"/>
      <c r="AT7" s="182"/>
      <c r="AU7" s="183"/>
      <c r="AV7" s="183"/>
      <c r="AW7" s="182"/>
      <c r="AX7" s="182"/>
      <c r="AY7" s="183"/>
      <c r="AZ7" s="183"/>
      <c r="BA7" s="182"/>
      <c r="BB7" s="182"/>
      <c r="BK7" s="183"/>
      <c r="BL7" s="183"/>
      <c r="BM7" s="182"/>
      <c r="BN7" s="182"/>
      <c r="BO7" s="183"/>
      <c r="BP7" s="183"/>
      <c r="BQ7" s="182"/>
      <c r="BR7" s="182"/>
      <c r="BS7" s="184" t="n">
        <v>50.8</v>
      </c>
      <c r="BT7" s="185" t="n">
        <v>40725</v>
      </c>
      <c r="BU7" s="184" t="n">
        <v>17.9</v>
      </c>
      <c r="BV7" s="185" t="n">
        <v>40725</v>
      </c>
      <c r="CL7" s="182"/>
      <c r="CM7" s="182"/>
    </row>
    <row r="8" customFormat="false" ht="12.75" hidden="false" customHeight="false" outlineLevel="0" collapsed="false">
      <c r="A8" s="135" t="s">
        <v>874</v>
      </c>
      <c r="B8" s="193" t="s">
        <v>785</v>
      </c>
      <c r="C8" s="193" t="s">
        <v>877</v>
      </c>
      <c r="D8" s="201"/>
      <c r="E8" s="194" t="n">
        <v>21</v>
      </c>
      <c r="F8" s="195" t="n">
        <v>74</v>
      </c>
      <c r="G8" s="119"/>
      <c r="H8" s="119"/>
      <c r="J8" s="118"/>
      <c r="K8" s="118"/>
      <c r="L8" s="181"/>
      <c r="N8" s="182"/>
      <c r="O8" s="182"/>
      <c r="S8" s="184" t="n">
        <v>2095</v>
      </c>
      <c r="T8" s="185" t="n">
        <v>40725</v>
      </c>
      <c r="U8" s="182"/>
      <c r="V8" s="182"/>
      <c r="W8" s="183"/>
      <c r="X8" s="183"/>
      <c r="Y8" s="184" t="n">
        <v>727</v>
      </c>
      <c r="Z8" s="185" t="n">
        <v>40725</v>
      </c>
      <c r="AA8" s="184" t="n">
        <v>92816</v>
      </c>
      <c r="AB8" s="185" t="n">
        <v>40725</v>
      </c>
      <c r="AC8" s="184" t="n">
        <v>41</v>
      </c>
      <c r="AD8" s="185" t="n">
        <v>40725</v>
      </c>
      <c r="AE8" s="196"/>
      <c r="AF8" s="185"/>
      <c r="AG8" s="184" t="n">
        <v>4.42</v>
      </c>
      <c r="AH8" s="185" t="n">
        <v>40725</v>
      </c>
      <c r="AI8" s="183"/>
      <c r="AJ8" s="183"/>
      <c r="AK8" s="182"/>
      <c r="AL8" s="182"/>
      <c r="AM8" s="184" t="n">
        <v>89</v>
      </c>
      <c r="AN8" s="183" t="n">
        <v>40630</v>
      </c>
      <c r="AO8" s="182"/>
      <c r="AP8" s="182"/>
      <c r="AQ8" s="183"/>
      <c r="AR8" s="183"/>
      <c r="AS8" s="182"/>
      <c r="AT8" s="182"/>
      <c r="AU8" s="183"/>
      <c r="AV8" s="183"/>
      <c r="AW8" s="182"/>
      <c r="AX8" s="182"/>
      <c r="AY8" s="183"/>
      <c r="AZ8" s="183"/>
      <c r="BA8" s="182"/>
      <c r="BB8" s="182"/>
      <c r="BK8" s="183"/>
      <c r="BL8" s="183"/>
      <c r="BM8" s="182"/>
      <c r="BN8" s="182"/>
      <c r="BO8" s="183"/>
      <c r="BP8" s="183"/>
      <c r="BQ8" s="182"/>
      <c r="BR8" s="182"/>
      <c r="BS8" s="184" t="n">
        <v>51.1</v>
      </c>
      <c r="BT8" s="185" t="n">
        <v>40725</v>
      </c>
      <c r="BU8" s="184" t="n">
        <v>17.7</v>
      </c>
      <c r="BV8" s="185" t="n">
        <v>40725</v>
      </c>
      <c r="CL8" s="182"/>
      <c r="CM8" s="182"/>
    </row>
    <row r="9" customFormat="false" ht="12.75" hidden="false" customHeight="false" outlineLevel="0" collapsed="false">
      <c r="A9" s="135" t="s">
        <v>878</v>
      </c>
      <c r="B9" s="202" t="s">
        <v>782</v>
      </c>
      <c r="C9" s="202" t="s">
        <v>875</v>
      </c>
      <c r="D9" s="201"/>
      <c r="E9" s="194" t="n">
        <v>3</v>
      </c>
      <c r="F9" s="195" t="n">
        <v>21</v>
      </c>
      <c r="G9" s="119"/>
      <c r="H9" s="119"/>
      <c r="J9" s="118"/>
      <c r="K9" s="118"/>
      <c r="L9" s="181"/>
      <c r="N9" s="182"/>
      <c r="O9" s="182"/>
      <c r="S9" s="184" t="n">
        <v>2127</v>
      </c>
      <c r="T9" s="185" t="n">
        <v>40725</v>
      </c>
      <c r="U9" s="182"/>
      <c r="V9" s="182"/>
      <c r="W9" s="183"/>
      <c r="X9" s="183"/>
      <c r="Y9" s="184" t="n">
        <v>770</v>
      </c>
      <c r="Z9" s="185" t="n">
        <v>40725</v>
      </c>
      <c r="AA9" s="184" t="n">
        <v>101705</v>
      </c>
      <c r="AB9" s="185" t="n">
        <v>40725</v>
      </c>
      <c r="AC9" s="184" t="n">
        <v>41.9</v>
      </c>
      <c r="AD9" s="185" t="n">
        <v>40725</v>
      </c>
      <c r="AE9" s="196"/>
      <c r="AF9" s="185"/>
      <c r="AG9" s="184" t="n">
        <v>4.12</v>
      </c>
      <c r="AH9" s="185" t="n">
        <v>40725</v>
      </c>
      <c r="AI9" s="183"/>
      <c r="AJ9" s="183"/>
      <c r="AK9" s="182"/>
      <c r="AL9" s="182"/>
      <c r="AM9" s="184" t="n">
        <v>87</v>
      </c>
      <c r="AN9" s="183" t="n">
        <v>40630</v>
      </c>
      <c r="AO9" s="182"/>
      <c r="AP9" s="182"/>
      <c r="AQ9" s="183"/>
      <c r="AR9" s="183"/>
      <c r="AS9" s="182"/>
      <c r="AT9" s="182"/>
      <c r="AU9" s="183"/>
      <c r="AV9" s="183"/>
      <c r="AW9" s="182"/>
      <c r="AX9" s="182"/>
      <c r="AY9" s="183"/>
      <c r="AZ9" s="183"/>
      <c r="BA9" s="182"/>
      <c r="BB9" s="182"/>
      <c r="BK9" s="183"/>
      <c r="BL9" s="183"/>
      <c r="BM9" s="182"/>
      <c r="BN9" s="182"/>
      <c r="BO9" s="183"/>
      <c r="BP9" s="183"/>
      <c r="BQ9" s="182"/>
      <c r="BR9" s="182"/>
      <c r="BS9" s="184" t="n">
        <v>50.8</v>
      </c>
      <c r="BT9" s="185" t="n">
        <v>40725</v>
      </c>
      <c r="BU9" s="184" t="n">
        <v>18.4</v>
      </c>
      <c r="BV9" s="185" t="n">
        <v>40725</v>
      </c>
      <c r="CL9" s="182"/>
      <c r="CM9" s="182"/>
    </row>
    <row r="10" customFormat="false" ht="12.75" hidden="false" customHeight="false" outlineLevel="0" collapsed="false">
      <c r="A10" s="135" t="s">
        <v>878</v>
      </c>
      <c r="B10" s="193" t="s">
        <v>782</v>
      </c>
      <c r="C10" s="193" t="s">
        <v>876</v>
      </c>
      <c r="D10" s="201"/>
      <c r="E10" s="194" t="n">
        <v>5</v>
      </c>
      <c r="F10" s="195" t="n">
        <v>62</v>
      </c>
      <c r="G10" s="119"/>
      <c r="H10" s="119"/>
      <c r="J10" s="118"/>
      <c r="K10" s="118"/>
      <c r="L10" s="181"/>
      <c r="N10" s="182"/>
      <c r="O10" s="182"/>
      <c r="S10" s="184" t="n">
        <v>1572</v>
      </c>
      <c r="T10" s="185" t="n">
        <v>40725</v>
      </c>
      <c r="U10" s="182"/>
      <c r="V10" s="182"/>
      <c r="W10" s="183"/>
      <c r="X10" s="183"/>
      <c r="Y10" s="184" t="n">
        <v>466</v>
      </c>
      <c r="Z10" s="185" t="n">
        <v>40725</v>
      </c>
      <c r="AA10" s="184" t="n">
        <v>75714</v>
      </c>
      <c r="AB10" s="185" t="n">
        <v>40725</v>
      </c>
      <c r="AC10" s="184" t="n">
        <v>29.5</v>
      </c>
      <c r="AD10" s="185" t="n">
        <v>40725</v>
      </c>
      <c r="AE10" s="196"/>
      <c r="AF10" s="185"/>
      <c r="AG10" s="184" t="n">
        <v>3.89</v>
      </c>
      <c r="AH10" s="185" t="n">
        <v>40725</v>
      </c>
      <c r="AI10" s="183"/>
      <c r="AJ10" s="183"/>
      <c r="AK10" s="182"/>
      <c r="AL10" s="182"/>
      <c r="AM10" s="184" t="n">
        <v>85</v>
      </c>
      <c r="AN10" s="183" t="n">
        <v>40630</v>
      </c>
      <c r="AO10" s="182"/>
      <c r="AP10" s="182"/>
      <c r="AQ10" s="183"/>
      <c r="AR10" s="183"/>
      <c r="AS10" s="182"/>
      <c r="AT10" s="182"/>
      <c r="AU10" s="183"/>
      <c r="AV10" s="183"/>
      <c r="AW10" s="182"/>
      <c r="AX10" s="182"/>
      <c r="AY10" s="183"/>
      <c r="AZ10" s="183"/>
      <c r="BA10" s="182"/>
      <c r="BB10" s="182"/>
      <c r="BK10" s="183"/>
      <c r="BL10" s="183"/>
      <c r="BM10" s="182"/>
      <c r="BN10" s="182"/>
      <c r="BO10" s="183"/>
      <c r="BP10" s="183"/>
      <c r="BQ10" s="182"/>
      <c r="BR10" s="182"/>
      <c r="BS10" s="184" t="n">
        <v>53.3</v>
      </c>
      <c r="BT10" s="185" t="n">
        <v>40725</v>
      </c>
      <c r="BU10" s="184" t="n">
        <v>15.8</v>
      </c>
      <c r="BV10" s="185" t="n">
        <v>40725</v>
      </c>
      <c r="CL10" s="182"/>
      <c r="CM10" s="182"/>
    </row>
    <row r="11" customFormat="false" ht="12.75" hidden="false" customHeight="false" outlineLevel="0" collapsed="false">
      <c r="A11" s="197" t="s">
        <v>878</v>
      </c>
      <c r="B11" s="193" t="s">
        <v>782</v>
      </c>
      <c r="C11" s="193" t="s">
        <v>877</v>
      </c>
      <c r="D11" s="193"/>
      <c r="E11" s="198" t="n">
        <v>15</v>
      </c>
      <c r="F11" s="195" t="n">
        <v>66</v>
      </c>
      <c r="G11" s="119"/>
      <c r="H11" s="119"/>
      <c r="J11" s="199"/>
      <c r="K11" s="199"/>
      <c r="L11" s="200"/>
      <c r="N11" s="182"/>
      <c r="O11" s="182"/>
      <c r="S11" s="184" t="n">
        <v>1629</v>
      </c>
      <c r="T11" s="185" t="n">
        <v>40725</v>
      </c>
      <c r="U11" s="182"/>
      <c r="V11" s="182"/>
      <c r="W11" s="183"/>
      <c r="X11" s="183"/>
      <c r="Y11" s="184" t="n">
        <v>531</v>
      </c>
      <c r="Z11" s="185" t="n">
        <v>40725</v>
      </c>
      <c r="AA11" s="184" t="n">
        <v>74989</v>
      </c>
      <c r="AB11" s="185" t="n">
        <v>40725</v>
      </c>
      <c r="AC11" s="184" t="n">
        <v>31.4</v>
      </c>
      <c r="AD11" s="185" t="n">
        <v>40725</v>
      </c>
      <c r="AE11" s="196"/>
      <c r="AF11" s="185"/>
      <c r="AG11" s="184" t="n">
        <v>4.18</v>
      </c>
      <c r="AH11" s="185" t="n">
        <v>40725</v>
      </c>
      <c r="AI11" s="183"/>
      <c r="AJ11" s="183"/>
      <c r="AK11" s="182"/>
      <c r="AL11" s="182"/>
      <c r="AM11" s="184" t="n">
        <v>84</v>
      </c>
      <c r="AN11" s="183" t="n">
        <v>40630</v>
      </c>
      <c r="AO11" s="182"/>
      <c r="AP11" s="182"/>
      <c r="AQ11" s="183"/>
      <c r="AR11" s="183"/>
      <c r="AS11" s="182"/>
      <c r="AT11" s="182"/>
      <c r="AU11" s="183"/>
      <c r="AV11" s="183"/>
      <c r="AW11" s="182"/>
      <c r="AX11" s="182"/>
      <c r="AY11" s="183"/>
      <c r="AZ11" s="183"/>
      <c r="BA11" s="182"/>
      <c r="BB11" s="182"/>
      <c r="BK11" s="183"/>
      <c r="BL11" s="183"/>
      <c r="BM11" s="182"/>
      <c r="BN11" s="182"/>
      <c r="BO11" s="183"/>
      <c r="BP11" s="183"/>
      <c r="BQ11" s="182"/>
      <c r="BR11" s="182"/>
      <c r="BS11" s="184" t="n">
        <v>51.9</v>
      </c>
      <c r="BT11" s="185" t="n">
        <v>40725</v>
      </c>
      <c r="BU11" s="184" t="n">
        <v>16.9</v>
      </c>
      <c r="BV11" s="185" t="n">
        <v>40725</v>
      </c>
      <c r="CL11" s="182"/>
      <c r="CM11" s="182"/>
    </row>
    <row r="12" customFormat="false" ht="12.75" hidden="false" customHeight="false" outlineLevel="0" collapsed="false">
      <c r="A12" s="197" t="s">
        <v>878</v>
      </c>
      <c r="B12" s="193" t="s">
        <v>782</v>
      </c>
      <c r="C12" s="193" t="s">
        <v>877</v>
      </c>
      <c r="D12" s="193"/>
      <c r="E12" s="198"/>
      <c r="F12" s="195"/>
      <c r="G12" s="119"/>
      <c r="H12" s="119"/>
      <c r="J12" s="199"/>
      <c r="K12" s="203"/>
      <c r="S12" s="184" t="n">
        <v>1715</v>
      </c>
      <c r="T12" s="185" t="n">
        <v>40725</v>
      </c>
      <c r="Y12" s="184" t="n">
        <v>548</v>
      </c>
      <c r="Z12" s="185" t="n">
        <v>40725</v>
      </c>
      <c r="AA12" s="184" t="n">
        <v>80725</v>
      </c>
      <c r="AB12" s="185" t="n">
        <v>40725</v>
      </c>
      <c r="AC12" s="184" t="n">
        <v>32.7</v>
      </c>
      <c r="AD12" s="185" t="n">
        <v>40725</v>
      </c>
      <c r="AG12" s="184" t="n">
        <v>4.05</v>
      </c>
      <c r="AH12" s="185" t="n">
        <v>40725</v>
      </c>
      <c r="AM12" s="184" t="n">
        <v>85</v>
      </c>
      <c r="AN12" s="183" t="n">
        <v>40630</v>
      </c>
      <c r="BS12" s="184" t="n">
        <v>52.5</v>
      </c>
      <c r="BT12" s="185" t="n">
        <v>40725</v>
      </c>
      <c r="BU12" s="184" t="n">
        <v>16.8</v>
      </c>
      <c r="BV12" s="185" t="n">
        <v>40725</v>
      </c>
    </row>
    <row r="13" customFormat="false" ht="12.75" hidden="false" customHeight="false" outlineLevel="0" collapsed="false">
      <c r="A13" s="135" t="s">
        <v>878</v>
      </c>
      <c r="B13" s="193" t="s">
        <v>785</v>
      </c>
      <c r="C13" s="193" t="s">
        <v>875</v>
      </c>
      <c r="D13" s="193"/>
      <c r="E13" s="194" t="n">
        <v>5</v>
      </c>
      <c r="F13" s="195" t="n">
        <v>22</v>
      </c>
      <c r="G13" s="119"/>
      <c r="H13" s="119"/>
      <c r="J13" s="118"/>
      <c r="K13" s="118"/>
      <c r="L13" s="181"/>
      <c r="N13" s="182"/>
      <c r="O13" s="182"/>
      <c r="S13" s="184" t="n">
        <v>2851</v>
      </c>
      <c r="T13" s="185" t="n">
        <v>40725</v>
      </c>
      <c r="U13" s="182"/>
      <c r="V13" s="182"/>
      <c r="W13" s="183"/>
      <c r="X13" s="183"/>
      <c r="Y13" s="184" t="n">
        <v>943</v>
      </c>
      <c r="Z13" s="185" t="n">
        <v>40725</v>
      </c>
      <c r="AA13" s="184" t="n">
        <v>140813</v>
      </c>
      <c r="AB13" s="185" t="n">
        <v>40725</v>
      </c>
      <c r="AC13" s="184" t="n">
        <v>55.1</v>
      </c>
      <c r="AD13" s="185" t="n">
        <v>40725</v>
      </c>
      <c r="AE13" s="196"/>
      <c r="AF13" s="185"/>
      <c r="AG13" s="184" t="n">
        <v>3.91</v>
      </c>
      <c r="AH13" s="185" t="n">
        <v>40725</v>
      </c>
      <c r="AI13" s="183"/>
      <c r="AJ13" s="183"/>
      <c r="AK13" s="182"/>
      <c r="AL13" s="182"/>
      <c r="AM13" s="184" t="n">
        <v>86</v>
      </c>
      <c r="AN13" s="183" t="n">
        <v>40630</v>
      </c>
      <c r="AO13" s="182"/>
      <c r="AP13" s="182"/>
      <c r="AQ13" s="183"/>
      <c r="AR13" s="183"/>
      <c r="AS13" s="182"/>
      <c r="AT13" s="182"/>
      <c r="AU13" s="183"/>
      <c r="AV13" s="183"/>
      <c r="AW13" s="182"/>
      <c r="AX13" s="182"/>
      <c r="AY13" s="183"/>
      <c r="AZ13" s="183"/>
      <c r="BA13" s="182"/>
      <c r="BB13" s="182"/>
      <c r="BK13" s="183"/>
      <c r="BL13" s="183"/>
      <c r="BM13" s="182"/>
      <c r="BN13" s="182"/>
      <c r="BO13" s="183"/>
      <c r="BP13" s="183"/>
      <c r="BQ13" s="182"/>
      <c r="BR13" s="182"/>
      <c r="BS13" s="184" t="n">
        <v>51.8</v>
      </c>
      <c r="BT13" s="185" t="n">
        <v>40725</v>
      </c>
      <c r="BU13" s="184" t="n">
        <v>17.1</v>
      </c>
      <c r="BV13" s="185" t="n">
        <v>40725</v>
      </c>
      <c r="CL13" s="182"/>
      <c r="CM13" s="182"/>
    </row>
    <row r="14" customFormat="false" ht="12.75" hidden="false" customHeight="false" outlineLevel="0" collapsed="false">
      <c r="A14" s="135" t="s">
        <v>878</v>
      </c>
      <c r="B14" s="193" t="s">
        <v>785</v>
      </c>
      <c r="C14" s="193" t="s">
        <v>876</v>
      </c>
      <c r="D14" s="193"/>
      <c r="E14" s="119" t="n">
        <v>3</v>
      </c>
      <c r="F14" s="195" t="n">
        <v>53</v>
      </c>
      <c r="G14" s="119"/>
      <c r="H14" s="119"/>
      <c r="J14" s="118"/>
      <c r="K14" s="118"/>
      <c r="L14" s="181"/>
      <c r="N14" s="182"/>
      <c r="O14" s="182"/>
      <c r="S14" s="184" t="n">
        <v>2038</v>
      </c>
      <c r="T14" s="185" t="n">
        <v>40725</v>
      </c>
      <c r="U14" s="182"/>
      <c r="V14" s="182"/>
      <c r="W14" s="183"/>
      <c r="X14" s="183"/>
      <c r="Y14" s="184" t="n">
        <v>652</v>
      </c>
      <c r="Z14" s="185" t="n">
        <v>40725</v>
      </c>
      <c r="AA14" s="184" t="n">
        <v>96437</v>
      </c>
      <c r="AB14" s="185" t="n">
        <v>40725</v>
      </c>
      <c r="AC14" s="184" t="n">
        <v>39.1</v>
      </c>
      <c r="AD14" s="185" t="n">
        <v>40725</v>
      </c>
      <c r="AE14" s="196"/>
      <c r="AF14" s="185"/>
      <c r="AG14" s="184" t="n">
        <v>4.05</v>
      </c>
      <c r="AH14" s="185" t="n">
        <v>40725</v>
      </c>
      <c r="AI14" s="183"/>
      <c r="AJ14" s="183"/>
      <c r="AK14" s="182"/>
      <c r="AL14" s="182"/>
      <c r="AM14" s="184" t="n">
        <v>85</v>
      </c>
      <c r="AN14" s="183" t="n">
        <v>40630</v>
      </c>
      <c r="AO14" s="182"/>
      <c r="AP14" s="182"/>
      <c r="AQ14" s="183"/>
      <c r="AR14" s="183"/>
      <c r="AS14" s="182"/>
      <c r="AT14" s="182"/>
      <c r="AU14" s="183"/>
      <c r="AV14" s="183"/>
      <c r="AW14" s="182"/>
      <c r="AX14" s="182"/>
      <c r="AY14" s="183"/>
      <c r="AZ14" s="183"/>
      <c r="BA14" s="182"/>
      <c r="BB14" s="182"/>
      <c r="BK14" s="183"/>
      <c r="BL14" s="183"/>
      <c r="BM14" s="182"/>
      <c r="BN14" s="182"/>
      <c r="BO14" s="183"/>
      <c r="BP14" s="183"/>
      <c r="BQ14" s="182"/>
      <c r="BR14" s="182"/>
      <c r="BS14" s="184" t="n">
        <v>52.1</v>
      </c>
      <c r="BT14" s="185" t="n">
        <v>40725</v>
      </c>
      <c r="BU14" s="184" t="n">
        <v>16.7</v>
      </c>
      <c r="BV14" s="185" t="n">
        <v>40725</v>
      </c>
      <c r="CL14" s="182"/>
      <c r="CM14" s="182"/>
    </row>
    <row r="15" customFormat="false" ht="12.75" hidden="false" customHeight="false" outlineLevel="0" collapsed="false">
      <c r="A15" s="197" t="s">
        <v>878</v>
      </c>
      <c r="B15" s="193" t="s">
        <v>785</v>
      </c>
      <c r="C15" s="193" t="s">
        <v>877</v>
      </c>
      <c r="D15" s="193"/>
      <c r="E15" s="198" t="n">
        <v>21</v>
      </c>
      <c r="F15" s="195" t="n">
        <v>90</v>
      </c>
      <c r="G15" s="119"/>
      <c r="H15" s="119"/>
      <c r="J15" s="199"/>
      <c r="K15" s="203"/>
      <c r="S15" s="184" t="n">
        <v>2244</v>
      </c>
      <c r="T15" s="185" t="n">
        <v>40725</v>
      </c>
      <c r="Y15" s="184" t="n">
        <v>753</v>
      </c>
      <c r="Z15" s="185" t="n">
        <v>40725</v>
      </c>
      <c r="AA15" s="184" t="n">
        <v>101070</v>
      </c>
      <c r="AB15" s="185" t="n">
        <v>40725</v>
      </c>
      <c r="AC15" s="184" t="n">
        <v>43.4</v>
      </c>
      <c r="AD15" s="185" t="n">
        <v>40725</v>
      </c>
      <c r="AG15" s="184" t="n">
        <v>4.29</v>
      </c>
      <c r="AH15" s="185" t="n">
        <v>40725</v>
      </c>
      <c r="AM15" s="184" t="n">
        <v>85</v>
      </c>
      <c r="AN15" s="183" t="n">
        <v>40630</v>
      </c>
      <c r="BS15" s="184" t="n">
        <v>51.7</v>
      </c>
      <c r="BT15" s="185" t="n">
        <v>40725</v>
      </c>
      <c r="BU15" s="184" t="n">
        <v>17.4</v>
      </c>
      <c r="BV15" s="185" t="n">
        <v>40725</v>
      </c>
    </row>
    <row r="16" customFormat="false" ht="12.75" hidden="false" customHeight="false" outlineLevel="0" collapsed="false">
      <c r="A16" s="135" t="s">
        <v>432</v>
      </c>
      <c r="B16" s="193" t="s">
        <v>782</v>
      </c>
      <c r="C16" s="193" t="s">
        <v>875</v>
      </c>
      <c r="D16" s="193"/>
      <c r="E16" s="194" t="n">
        <v>2</v>
      </c>
      <c r="F16" s="195" t="n">
        <v>1</v>
      </c>
      <c r="G16" s="119"/>
      <c r="H16" s="119"/>
      <c r="J16" s="118"/>
      <c r="K16" s="118"/>
      <c r="L16" s="181"/>
      <c r="N16" s="182"/>
      <c r="O16" s="182"/>
      <c r="S16" s="184" t="n">
        <v>1707</v>
      </c>
      <c r="T16" s="185" t="n">
        <v>40725</v>
      </c>
      <c r="U16" s="182"/>
      <c r="V16" s="182"/>
      <c r="W16" s="183"/>
      <c r="X16" s="183"/>
      <c r="Y16" s="184" t="n">
        <v>543</v>
      </c>
      <c r="Z16" s="185" t="n">
        <v>40725</v>
      </c>
      <c r="AA16" s="184" t="n">
        <v>73764</v>
      </c>
      <c r="AB16" s="185" t="n">
        <v>40725</v>
      </c>
      <c r="AC16" s="184" t="n">
        <v>32.8</v>
      </c>
      <c r="AD16" s="185" t="n">
        <v>40725</v>
      </c>
      <c r="AE16" s="196"/>
      <c r="AF16" s="185"/>
      <c r="AG16" s="184" t="n">
        <v>4.45</v>
      </c>
      <c r="AH16" s="185" t="n">
        <v>40725</v>
      </c>
      <c r="AI16" s="183"/>
      <c r="AJ16" s="183"/>
      <c r="AK16" s="182"/>
      <c r="AL16" s="182"/>
      <c r="AM16" s="184" t="n">
        <v>84</v>
      </c>
      <c r="AN16" s="183" t="n">
        <v>40630</v>
      </c>
      <c r="AO16" s="182"/>
      <c r="AP16" s="182"/>
      <c r="AQ16" s="183"/>
      <c r="AR16" s="183"/>
      <c r="AS16" s="182"/>
      <c r="AT16" s="182"/>
      <c r="AU16" s="183"/>
      <c r="AV16" s="183"/>
      <c r="AW16" s="182"/>
      <c r="AX16" s="182"/>
      <c r="AY16" s="183"/>
      <c r="AZ16" s="183"/>
      <c r="BA16" s="182"/>
      <c r="BB16" s="182"/>
      <c r="BK16" s="183"/>
      <c r="BL16" s="183"/>
      <c r="BM16" s="182"/>
      <c r="BN16" s="182"/>
      <c r="BO16" s="183"/>
      <c r="BP16" s="183"/>
      <c r="BQ16" s="182"/>
      <c r="BR16" s="182"/>
      <c r="BS16" s="184" t="n">
        <v>52</v>
      </c>
      <c r="BT16" s="185" t="n">
        <v>40725</v>
      </c>
      <c r="BU16" s="184" t="n">
        <v>16.5</v>
      </c>
      <c r="BV16" s="185" t="n">
        <v>40725</v>
      </c>
      <c r="CL16" s="182"/>
      <c r="CM16" s="182"/>
    </row>
    <row r="17" customFormat="false" ht="12.75" hidden="false" customHeight="false" outlineLevel="0" collapsed="false">
      <c r="A17" s="135" t="s">
        <v>432</v>
      </c>
      <c r="B17" s="193" t="s">
        <v>782</v>
      </c>
      <c r="C17" s="193" t="s">
        <v>876</v>
      </c>
      <c r="D17" s="193"/>
      <c r="E17" s="194" t="n">
        <v>5</v>
      </c>
      <c r="F17" s="195" t="n">
        <v>54</v>
      </c>
      <c r="G17" s="119"/>
      <c r="H17" s="119"/>
      <c r="J17" s="118"/>
      <c r="K17" s="118"/>
      <c r="L17" s="181"/>
      <c r="N17" s="182"/>
      <c r="O17" s="182"/>
      <c r="S17" s="184" t="n">
        <v>1450</v>
      </c>
      <c r="T17" s="185" t="n">
        <v>40725</v>
      </c>
      <c r="U17" s="182"/>
      <c r="V17" s="182"/>
      <c r="W17" s="183"/>
      <c r="X17" s="183"/>
      <c r="Y17" s="184" t="n">
        <v>462</v>
      </c>
      <c r="Z17" s="185" t="n">
        <v>40725</v>
      </c>
      <c r="AA17" s="184" t="n">
        <v>61029</v>
      </c>
      <c r="AB17" s="185" t="n">
        <v>40725</v>
      </c>
      <c r="AC17" s="184" t="n">
        <v>27.8</v>
      </c>
      <c r="AD17" s="185" t="n">
        <v>40725</v>
      </c>
      <c r="AE17" s="196"/>
      <c r="AF17" s="185"/>
      <c r="AG17" s="184" t="n">
        <v>4.55</v>
      </c>
      <c r="AH17" s="185" t="n">
        <v>40725</v>
      </c>
      <c r="AI17" s="183"/>
      <c r="AJ17" s="183"/>
      <c r="AK17" s="182"/>
      <c r="AL17" s="182"/>
      <c r="AM17" s="184" t="n">
        <v>83</v>
      </c>
      <c r="AN17" s="183" t="n">
        <v>40630</v>
      </c>
      <c r="AO17" s="182"/>
      <c r="AP17" s="182"/>
      <c r="AQ17" s="183"/>
      <c r="AR17" s="183"/>
      <c r="AS17" s="182"/>
      <c r="AT17" s="182"/>
      <c r="AU17" s="183"/>
      <c r="AV17" s="183"/>
      <c r="AW17" s="182"/>
      <c r="AX17" s="182"/>
      <c r="AY17" s="183"/>
      <c r="AZ17" s="183"/>
      <c r="BA17" s="182"/>
      <c r="BB17" s="182"/>
      <c r="BK17" s="183"/>
      <c r="BL17" s="183"/>
      <c r="BM17" s="182"/>
      <c r="BN17" s="182"/>
      <c r="BO17" s="183"/>
      <c r="BP17" s="183"/>
      <c r="BQ17" s="182"/>
      <c r="BR17" s="182"/>
      <c r="BS17" s="184" t="n">
        <v>52.2</v>
      </c>
      <c r="BT17" s="185" t="n">
        <v>40725</v>
      </c>
      <c r="BU17" s="184" t="n">
        <v>16.6</v>
      </c>
      <c r="BV17" s="185" t="n">
        <v>40725</v>
      </c>
      <c r="CL17" s="182"/>
      <c r="CM17" s="182"/>
    </row>
    <row r="18" customFormat="false" ht="12.75" hidden="false" customHeight="false" outlineLevel="0" collapsed="false">
      <c r="A18" s="135" t="s">
        <v>432</v>
      </c>
      <c r="B18" s="193" t="s">
        <v>782</v>
      </c>
      <c r="C18" s="193" t="s">
        <v>877</v>
      </c>
      <c r="D18" s="193"/>
      <c r="E18" s="119" t="n">
        <v>19</v>
      </c>
      <c r="F18" s="195" t="n">
        <v>69</v>
      </c>
      <c r="G18" s="119"/>
      <c r="H18" s="119"/>
      <c r="J18" s="118"/>
      <c r="K18" s="118"/>
      <c r="L18" s="181"/>
      <c r="N18" s="182"/>
      <c r="O18" s="182"/>
      <c r="S18" s="184" t="n">
        <v>1203</v>
      </c>
      <c r="T18" s="185" t="n">
        <v>40725</v>
      </c>
      <c r="U18" s="182"/>
      <c r="V18" s="182"/>
      <c r="W18" s="183"/>
      <c r="X18" s="183"/>
      <c r="Y18" s="184" t="n">
        <v>410</v>
      </c>
      <c r="Z18" s="185" t="n">
        <v>40725</v>
      </c>
      <c r="AA18" s="184" t="n">
        <v>50486</v>
      </c>
      <c r="AB18" s="185" t="n">
        <v>40725</v>
      </c>
      <c r="AC18" s="184" t="n">
        <v>23.7</v>
      </c>
      <c r="AD18" s="185" t="n">
        <v>40725</v>
      </c>
      <c r="AE18" s="196"/>
      <c r="AF18" s="185"/>
      <c r="AG18" s="184" t="n">
        <v>4.69</v>
      </c>
      <c r="AH18" s="185" t="n">
        <v>40725</v>
      </c>
      <c r="AI18" s="183"/>
      <c r="AJ18" s="183"/>
      <c r="AK18" s="182"/>
      <c r="AL18" s="182"/>
      <c r="AM18" s="184" t="n">
        <v>84</v>
      </c>
      <c r="AN18" s="183" t="n">
        <v>40630</v>
      </c>
      <c r="AO18" s="182"/>
      <c r="AP18" s="182"/>
      <c r="AQ18" s="183"/>
      <c r="AR18" s="183"/>
      <c r="AS18" s="182"/>
      <c r="AT18" s="182"/>
      <c r="AU18" s="183"/>
      <c r="AV18" s="183"/>
      <c r="AW18" s="182"/>
      <c r="AX18" s="182"/>
      <c r="AY18" s="183"/>
      <c r="AZ18" s="183"/>
      <c r="BA18" s="182"/>
      <c r="BB18" s="182"/>
      <c r="BK18" s="183"/>
      <c r="BL18" s="183"/>
      <c r="BM18" s="182"/>
      <c r="BN18" s="182"/>
      <c r="BO18" s="183"/>
      <c r="BP18" s="183"/>
      <c r="BQ18" s="182"/>
      <c r="BR18" s="182"/>
      <c r="BS18" s="184" t="n">
        <v>50.8</v>
      </c>
      <c r="BT18" s="185" t="n">
        <v>40725</v>
      </c>
      <c r="BU18" s="184" t="n">
        <v>17.3</v>
      </c>
      <c r="BV18" s="185" t="n">
        <v>40725</v>
      </c>
      <c r="CL18" s="182"/>
      <c r="CM18" s="182"/>
    </row>
    <row r="19" customFormat="false" ht="12.75" hidden="false" customHeight="false" outlineLevel="0" collapsed="false">
      <c r="A19" s="135" t="s">
        <v>432</v>
      </c>
      <c r="B19" s="193" t="s">
        <v>785</v>
      </c>
      <c r="C19" s="193" t="s">
        <v>875</v>
      </c>
      <c r="D19" s="193"/>
      <c r="E19" s="194" t="n">
        <v>6</v>
      </c>
      <c r="F19" s="195" t="n">
        <v>19</v>
      </c>
      <c r="G19" s="119"/>
      <c r="H19" s="119"/>
      <c r="J19" s="118"/>
      <c r="K19" s="118"/>
      <c r="L19" s="181"/>
      <c r="N19" s="182"/>
      <c r="O19" s="182"/>
      <c r="S19" s="184" t="n">
        <v>1551</v>
      </c>
      <c r="T19" s="185" t="n">
        <v>40725</v>
      </c>
      <c r="U19" s="182"/>
      <c r="V19" s="182"/>
      <c r="W19" s="183"/>
      <c r="X19" s="183"/>
      <c r="Y19" s="184" t="n">
        <v>507</v>
      </c>
      <c r="Z19" s="185" t="n">
        <v>40725</v>
      </c>
      <c r="AA19" s="184" t="n">
        <v>68417</v>
      </c>
      <c r="AB19" s="185" t="n">
        <v>40725</v>
      </c>
      <c r="AC19" s="184" t="n">
        <v>30</v>
      </c>
      <c r="AD19" s="185" t="n">
        <v>40725</v>
      </c>
      <c r="AE19" s="196"/>
      <c r="AF19" s="185"/>
      <c r="AG19" s="184" t="n">
        <v>4.39</v>
      </c>
      <c r="AH19" s="185" t="n">
        <v>40725</v>
      </c>
      <c r="AI19" s="183"/>
      <c r="AJ19" s="183"/>
      <c r="AK19" s="182"/>
      <c r="AL19" s="182"/>
      <c r="AM19" s="184" t="n">
        <v>84</v>
      </c>
      <c r="AN19" s="183" t="n">
        <v>40630</v>
      </c>
      <c r="AO19" s="182"/>
      <c r="AP19" s="182"/>
      <c r="AQ19" s="183"/>
      <c r="AR19" s="183"/>
      <c r="AS19" s="182"/>
      <c r="AT19" s="182"/>
      <c r="AU19" s="183"/>
      <c r="AV19" s="183"/>
      <c r="AW19" s="182"/>
      <c r="AX19" s="182"/>
      <c r="AY19" s="183"/>
      <c r="AZ19" s="183"/>
      <c r="BA19" s="182"/>
      <c r="BB19" s="182"/>
      <c r="BK19" s="183"/>
      <c r="BL19" s="183"/>
      <c r="BM19" s="182"/>
      <c r="BN19" s="182"/>
      <c r="BO19" s="183"/>
      <c r="BP19" s="183"/>
      <c r="BQ19" s="182"/>
      <c r="BR19" s="182"/>
      <c r="BS19" s="184" t="n">
        <v>51.6</v>
      </c>
      <c r="BT19" s="185" t="n">
        <v>40725</v>
      </c>
      <c r="BU19" s="184" t="n">
        <v>16.9</v>
      </c>
      <c r="BV19" s="185" t="n">
        <v>40725</v>
      </c>
      <c r="CL19" s="182"/>
      <c r="CM19" s="182"/>
    </row>
    <row r="20" customFormat="false" ht="12.75" hidden="false" customHeight="false" outlineLevel="0" collapsed="false">
      <c r="A20" s="135" t="s">
        <v>432</v>
      </c>
      <c r="B20" s="193" t="s">
        <v>785</v>
      </c>
      <c r="C20" s="193" t="s">
        <v>876</v>
      </c>
      <c r="D20" s="193"/>
      <c r="E20" s="194" t="n">
        <v>4</v>
      </c>
      <c r="F20" s="195" t="n">
        <v>47</v>
      </c>
      <c r="G20" s="119"/>
      <c r="H20" s="119"/>
      <c r="J20" s="118"/>
      <c r="K20" s="118"/>
      <c r="L20" s="181"/>
      <c r="N20" s="182"/>
      <c r="O20" s="182"/>
      <c r="S20" s="184" t="n">
        <v>1630</v>
      </c>
      <c r="T20" s="185" t="n">
        <v>40725</v>
      </c>
      <c r="U20" s="182"/>
      <c r="V20" s="182"/>
      <c r="W20" s="183"/>
      <c r="X20" s="183"/>
      <c r="Y20" s="184" t="n">
        <v>580</v>
      </c>
      <c r="Z20" s="185" t="n">
        <v>40725</v>
      </c>
      <c r="AA20" s="184" t="n">
        <v>70520</v>
      </c>
      <c r="AB20" s="185" t="n">
        <v>40725</v>
      </c>
      <c r="AC20" s="184" t="n">
        <v>32.2</v>
      </c>
      <c r="AD20" s="185" t="n">
        <v>40725</v>
      </c>
      <c r="AE20" s="196"/>
      <c r="AF20" s="185"/>
      <c r="AG20" s="184" t="n">
        <v>4.57</v>
      </c>
      <c r="AH20" s="185" t="n">
        <v>40725</v>
      </c>
      <c r="AI20" s="183"/>
      <c r="AJ20" s="183"/>
      <c r="AK20" s="182"/>
      <c r="AL20" s="182"/>
      <c r="AM20" s="184" t="n">
        <v>84</v>
      </c>
      <c r="AN20" s="183" t="n">
        <v>40630</v>
      </c>
      <c r="AO20" s="182"/>
      <c r="AP20" s="182"/>
      <c r="AQ20" s="183"/>
      <c r="AR20" s="183"/>
      <c r="AS20" s="182"/>
      <c r="AT20" s="182"/>
      <c r="AU20" s="183"/>
      <c r="AV20" s="183"/>
      <c r="AW20" s="182"/>
      <c r="AX20" s="182"/>
      <c r="AY20" s="183"/>
      <c r="AZ20" s="183"/>
      <c r="BA20" s="182"/>
      <c r="BB20" s="182"/>
      <c r="BK20" s="183"/>
      <c r="BL20" s="183"/>
      <c r="BM20" s="182"/>
      <c r="BN20" s="182"/>
      <c r="BO20" s="183"/>
      <c r="BP20" s="183"/>
      <c r="BQ20" s="182"/>
      <c r="BR20" s="182"/>
      <c r="BS20" s="184" t="n">
        <v>50.6</v>
      </c>
      <c r="BT20" s="185" t="n">
        <v>40725</v>
      </c>
      <c r="BU20" s="184" t="n">
        <v>18</v>
      </c>
      <c r="BV20" s="185" t="n">
        <v>40725</v>
      </c>
      <c r="CL20" s="182"/>
      <c r="CM20" s="182"/>
    </row>
    <row r="21" customFormat="false" ht="12.75" hidden="false" customHeight="false" outlineLevel="0" collapsed="false">
      <c r="A21" s="135" t="s">
        <v>432</v>
      </c>
      <c r="B21" s="193" t="s">
        <v>785</v>
      </c>
      <c r="C21" s="193" t="s">
        <v>877</v>
      </c>
      <c r="D21" s="193"/>
      <c r="E21" s="119" t="n">
        <v>20</v>
      </c>
      <c r="F21" s="195" t="n">
        <v>71</v>
      </c>
      <c r="G21" s="119"/>
      <c r="H21" s="119"/>
      <c r="J21" s="118"/>
      <c r="K21" s="118"/>
      <c r="L21" s="181"/>
      <c r="N21" s="182"/>
      <c r="O21" s="182"/>
      <c r="S21" s="184" t="n">
        <v>1930</v>
      </c>
      <c r="T21" s="185" t="n">
        <v>40725</v>
      </c>
      <c r="U21" s="182"/>
      <c r="V21" s="182"/>
      <c r="W21" s="183"/>
      <c r="X21" s="183"/>
      <c r="Y21" s="184" t="n">
        <v>728</v>
      </c>
      <c r="Z21" s="185" t="n">
        <v>40725</v>
      </c>
      <c r="AA21" s="184" t="n">
        <v>81325</v>
      </c>
      <c r="AB21" s="185" t="n">
        <v>40725</v>
      </c>
      <c r="AC21" s="184" t="n">
        <v>38.6</v>
      </c>
      <c r="AD21" s="185" t="n">
        <v>40725</v>
      </c>
      <c r="AE21" s="196"/>
      <c r="AF21" s="185"/>
      <c r="AG21" s="184" t="n">
        <v>4.74</v>
      </c>
      <c r="AH21" s="185" t="n">
        <v>40725</v>
      </c>
      <c r="AI21" s="183"/>
      <c r="AJ21" s="183"/>
      <c r="AK21" s="182"/>
      <c r="AL21" s="182"/>
      <c r="AM21" s="184" t="n">
        <v>84</v>
      </c>
      <c r="AN21" s="183" t="n">
        <v>40630</v>
      </c>
      <c r="AO21" s="182"/>
      <c r="AP21" s="182"/>
      <c r="AQ21" s="183"/>
      <c r="AR21" s="183"/>
      <c r="AS21" s="182"/>
      <c r="AT21" s="182"/>
      <c r="AU21" s="183"/>
      <c r="AV21" s="183"/>
      <c r="AW21" s="182"/>
      <c r="AX21" s="182"/>
      <c r="AY21" s="183"/>
      <c r="AZ21" s="183"/>
      <c r="BA21" s="182"/>
      <c r="BB21" s="182"/>
      <c r="BK21" s="183"/>
      <c r="BL21" s="183"/>
      <c r="BM21" s="182"/>
      <c r="BN21" s="182"/>
      <c r="BO21" s="183"/>
      <c r="BP21" s="183"/>
      <c r="BQ21" s="182"/>
      <c r="BR21" s="182"/>
      <c r="BS21" s="184" t="n">
        <v>50</v>
      </c>
      <c r="BT21" s="185" t="n">
        <v>40725</v>
      </c>
      <c r="BU21" s="184" t="n">
        <v>18.9</v>
      </c>
      <c r="BV21" s="185" t="n">
        <v>40725</v>
      </c>
      <c r="CL21" s="182"/>
      <c r="CM21" s="182"/>
    </row>
    <row r="22" customFormat="false" ht="12.75" hidden="false" customHeight="false" outlineLevel="0" collapsed="false">
      <c r="A22" s="135" t="s">
        <v>435</v>
      </c>
      <c r="B22" s="193" t="s">
        <v>782</v>
      </c>
      <c r="C22" s="193" t="s">
        <v>875</v>
      </c>
      <c r="D22" s="193"/>
      <c r="E22" s="194" t="n">
        <v>4</v>
      </c>
      <c r="F22" s="195" t="n">
        <v>22</v>
      </c>
      <c r="G22" s="119"/>
      <c r="H22" s="119"/>
      <c r="J22" s="118"/>
      <c r="K22" s="118"/>
      <c r="L22" s="181"/>
      <c r="N22" s="182"/>
      <c r="O22" s="182"/>
      <c r="S22" s="184" t="n">
        <v>1820</v>
      </c>
      <c r="T22" s="185" t="n">
        <v>40725</v>
      </c>
      <c r="U22" s="182"/>
      <c r="V22" s="182"/>
      <c r="W22" s="183"/>
      <c r="X22" s="183"/>
      <c r="Y22" s="184" t="n">
        <v>541</v>
      </c>
      <c r="Z22" s="185" t="n">
        <v>40725</v>
      </c>
      <c r="AA22" s="184" t="n">
        <v>80565</v>
      </c>
      <c r="AB22" s="185" t="n">
        <v>40725</v>
      </c>
      <c r="AC22" s="184" t="n">
        <v>33.9</v>
      </c>
      <c r="AD22" s="185" t="n">
        <v>40725</v>
      </c>
      <c r="AE22" s="196"/>
      <c r="AF22" s="185"/>
      <c r="AG22" s="184" t="n">
        <v>4.2</v>
      </c>
      <c r="AH22" s="185" t="n">
        <v>40725</v>
      </c>
      <c r="AI22" s="183"/>
      <c r="AJ22" s="183"/>
      <c r="AK22" s="182"/>
      <c r="AL22" s="182"/>
      <c r="AM22" s="184" t="n">
        <v>84</v>
      </c>
      <c r="AN22" s="183" t="n">
        <v>40630</v>
      </c>
      <c r="AO22" s="182"/>
      <c r="AP22" s="182"/>
      <c r="AQ22" s="183"/>
      <c r="AR22" s="183"/>
      <c r="AS22" s="182"/>
      <c r="AT22" s="182"/>
      <c r="AU22" s="183"/>
      <c r="AV22" s="183"/>
      <c r="AW22" s="182"/>
      <c r="AX22" s="182"/>
      <c r="AY22" s="183"/>
      <c r="AZ22" s="183"/>
      <c r="BA22" s="182"/>
      <c r="BB22" s="182"/>
      <c r="BK22" s="183"/>
      <c r="BL22" s="183"/>
      <c r="BM22" s="182"/>
      <c r="BN22" s="182"/>
      <c r="BO22" s="183"/>
      <c r="BP22" s="183"/>
      <c r="BQ22" s="182"/>
      <c r="BR22" s="182"/>
      <c r="BS22" s="184" t="n">
        <v>53.7</v>
      </c>
      <c r="BT22" s="185" t="n">
        <v>40725</v>
      </c>
      <c r="BU22" s="184" t="n">
        <v>16</v>
      </c>
      <c r="BV22" s="185" t="n">
        <v>40725</v>
      </c>
      <c r="CL22" s="182"/>
      <c r="CM22" s="182"/>
    </row>
    <row r="23" customFormat="false" ht="12.75" hidden="false" customHeight="false" outlineLevel="0" collapsed="false">
      <c r="A23" s="135" t="s">
        <v>435</v>
      </c>
      <c r="B23" s="193" t="s">
        <v>782</v>
      </c>
      <c r="C23" s="193" t="s">
        <v>876</v>
      </c>
      <c r="D23" s="193"/>
      <c r="E23" s="194" t="n">
        <v>7</v>
      </c>
      <c r="F23" s="195" t="n">
        <v>48</v>
      </c>
      <c r="G23" s="119"/>
      <c r="H23" s="119"/>
      <c r="J23" s="118"/>
      <c r="K23" s="118"/>
      <c r="L23" s="181"/>
      <c r="N23" s="182"/>
      <c r="O23" s="182"/>
      <c r="S23" s="184" t="n">
        <v>1841</v>
      </c>
      <c r="T23" s="185" t="n">
        <v>40725</v>
      </c>
      <c r="U23" s="182"/>
      <c r="V23" s="182"/>
      <c r="W23" s="183"/>
      <c r="X23" s="183"/>
      <c r="Y23" s="184" t="n">
        <v>520</v>
      </c>
      <c r="Z23" s="185" t="n">
        <v>40725</v>
      </c>
      <c r="AA23" s="184" t="n">
        <v>75714</v>
      </c>
      <c r="AB23" s="185" t="n">
        <v>40725</v>
      </c>
      <c r="AC23" s="184" t="n">
        <v>34.1</v>
      </c>
      <c r="AD23" s="185" t="n">
        <v>40725</v>
      </c>
      <c r="AE23" s="196"/>
      <c r="AF23" s="185"/>
      <c r="AG23" s="184" t="n">
        <v>4.51</v>
      </c>
      <c r="AH23" s="185" t="n">
        <v>40725</v>
      </c>
      <c r="AI23" s="183"/>
      <c r="AJ23" s="183"/>
      <c r="AK23" s="182"/>
      <c r="AL23" s="182"/>
      <c r="AM23" s="184" t="n">
        <v>83</v>
      </c>
      <c r="AN23" s="183" t="n">
        <v>40630</v>
      </c>
      <c r="AO23" s="182"/>
      <c r="AP23" s="182"/>
      <c r="AQ23" s="183"/>
      <c r="AR23" s="183"/>
      <c r="AS23" s="182"/>
      <c r="AT23" s="182"/>
      <c r="AU23" s="183"/>
      <c r="AV23" s="183"/>
      <c r="AW23" s="182"/>
      <c r="AX23" s="182"/>
      <c r="AY23" s="183"/>
      <c r="AZ23" s="183"/>
      <c r="BA23" s="182"/>
      <c r="BB23" s="182"/>
      <c r="BK23" s="183"/>
      <c r="BL23" s="183"/>
      <c r="BM23" s="182"/>
      <c r="BN23" s="182"/>
      <c r="BO23" s="183"/>
      <c r="BP23" s="183"/>
      <c r="BQ23" s="182"/>
      <c r="BR23" s="182"/>
      <c r="BS23" s="184" t="n">
        <v>54</v>
      </c>
      <c r="BT23" s="185" t="n">
        <v>40725</v>
      </c>
      <c r="BU23" s="184" t="n">
        <v>15.3</v>
      </c>
      <c r="BV23" s="185" t="n">
        <v>40725</v>
      </c>
      <c r="CL23" s="182"/>
      <c r="CM23" s="182"/>
    </row>
    <row r="24" customFormat="false" ht="12.75" hidden="false" customHeight="false" outlineLevel="0" collapsed="false">
      <c r="A24" s="135" t="s">
        <v>435</v>
      </c>
      <c r="B24" s="193" t="s">
        <v>782</v>
      </c>
      <c r="C24" s="193" t="s">
        <v>877</v>
      </c>
      <c r="D24" s="193"/>
      <c r="E24" s="119" t="n">
        <v>18</v>
      </c>
      <c r="F24" s="195" t="n">
        <v>80</v>
      </c>
      <c r="G24" s="119"/>
      <c r="H24" s="119"/>
      <c r="J24" s="118"/>
      <c r="K24" s="118"/>
      <c r="L24" s="181"/>
      <c r="N24" s="182"/>
      <c r="O24" s="182"/>
      <c r="S24" s="184" t="n">
        <v>1690</v>
      </c>
      <c r="T24" s="185" t="n">
        <v>40725</v>
      </c>
      <c r="U24" s="182"/>
      <c r="V24" s="182"/>
      <c r="W24" s="183"/>
      <c r="X24" s="183"/>
      <c r="Y24" s="184" t="n">
        <v>509</v>
      </c>
      <c r="Z24" s="185" t="n">
        <v>40725</v>
      </c>
      <c r="AA24" s="184" t="n">
        <v>70674</v>
      </c>
      <c r="AB24" s="185" t="n">
        <v>40725</v>
      </c>
      <c r="AC24" s="184" t="n">
        <v>31.7</v>
      </c>
      <c r="AD24" s="185" t="n">
        <v>40725</v>
      </c>
      <c r="AE24" s="196"/>
      <c r="AF24" s="185"/>
      <c r="AG24" s="184" t="n">
        <v>4.48</v>
      </c>
      <c r="AH24" s="185" t="n">
        <v>40725</v>
      </c>
      <c r="AI24" s="183"/>
      <c r="AJ24" s="183"/>
      <c r="AK24" s="182"/>
      <c r="AL24" s="182"/>
      <c r="AM24" s="184" t="n">
        <v>82</v>
      </c>
      <c r="AN24" s="183" t="n">
        <v>40630</v>
      </c>
      <c r="AO24" s="182"/>
      <c r="AP24" s="182"/>
      <c r="AQ24" s="183"/>
      <c r="AR24" s="183"/>
      <c r="AS24" s="182"/>
      <c r="AT24" s="182"/>
      <c r="AU24" s="183"/>
      <c r="AV24" s="183"/>
      <c r="AW24" s="182"/>
      <c r="AX24" s="182"/>
      <c r="AY24" s="183"/>
      <c r="AZ24" s="183"/>
      <c r="BA24" s="182"/>
      <c r="BB24" s="182"/>
      <c r="BK24" s="183"/>
      <c r="BL24" s="183"/>
      <c r="BM24" s="182"/>
      <c r="BN24" s="182"/>
      <c r="BO24" s="183"/>
      <c r="BP24" s="183"/>
      <c r="BQ24" s="182"/>
      <c r="BR24" s="182"/>
      <c r="BS24" s="184" t="n">
        <v>53.4</v>
      </c>
      <c r="BT24" s="185" t="n">
        <v>40725</v>
      </c>
      <c r="BU24" s="184" t="n">
        <v>16.1</v>
      </c>
      <c r="BV24" s="185" t="n">
        <v>40725</v>
      </c>
      <c r="CL24" s="182"/>
      <c r="CM24" s="182"/>
    </row>
    <row r="25" customFormat="false" ht="12.75" hidden="false" customHeight="false" outlineLevel="0" collapsed="false">
      <c r="A25" s="135" t="s">
        <v>435</v>
      </c>
      <c r="B25" s="193" t="s">
        <v>785</v>
      </c>
      <c r="C25" s="193" t="s">
        <v>875</v>
      </c>
      <c r="D25" s="193"/>
      <c r="E25" s="194" t="n">
        <v>6</v>
      </c>
      <c r="F25" s="195" t="n">
        <v>15</v>
      </c>
      <c r="G25" s="119"/>
      <c r="H25" s="119"/>
      <c r="J25" s="118"/>
      <c r="K25" s="118"/>
      <c r="L25" s="181"/>
      <c r="N25" s="182"/>
      <c r="O25" s="182"/>
      <c r="S25" s="184" t="n">
        <v>2438</v>
      </c>
      <c r="T25" s="185" t="n">
        <v>40725</v>
      </c>
      <c r="U25" s="182"/>
      <c r="V25" s="182"/>
      <c r="W25" s="183"/>
      <c r="X25" s="183"/>
      <c r="Y25" s="184" t="n">
        <v>738</v>
      </c>
      <c r="Z25" s="185" t="n">
        <v>40725</v>
      </c>
      <c r="AA25" s="184" t="n">
        <v>109009</v>
      </c>
      <c r="AB25" s="185" t="n">
        <v>40725</v>
      </c>
      <c r="AC25" s="184" t="n">
        <v>45.8</v>
      </c>
      <c r="AD25" s="185" t="n">
        <v>40725</v>
      </c>
      <c r="AE25" s="196"/>
      <c r="AF25" s="185"/>
      <c r="AG25" s="184" t="n">
        <v>4.21</v>
      </c>
      <c r="AH25" s="185" t="n">
        <v>40725</v>
      </c>
      <c r="AI25" s="183"/>
      <c r="AJ25" s="183"/>
      <c r="AK25" s="182"/>
      <c r="AL25" s="182"/>
      <c r="AM25" s="184" t="n">
        <v>85</v>
      </c>
      <c r="AN25" s="183" t="n">
        <v>40630</v>
      </c>
      <c r="AO25" s="182"/>
      <c r="AP25" s="182"/>
      <c r="AQ25" s="183"/>
      <c r="AR25" s="183"/>
      <c r="AS25" s="182"/>
      <c r="AT25" s="182"/>
      <c r="AU25" s="183"/>
      <c r="AV25" s="183"/>
      <c r="AW25" s="182"/>
      <c r="AX25" s="182"/>
      <c r="AY25" s="183"/>
      <c r="AZ25" s="183"/>
      <c r="BA25" s="182"/>
      <c r="BB25" s="182"/>
      <c r="BK25" s="183"/>
      <c r="BL25" s="183"/>
      <c r="BM25" s="182"/>
      <c r="BN25" s="182"/>
      <c r="BO25" s="183"/>
      <c r="BP25" s="183"/>
      <c r="BQ25" s="182"/>
      <c r="BR25" s="182"/>
      <c r="BS25" s="184" t="n">
        <v>53.2</v>
      </c>
      <c r="BT25" s="185" t="n">
        <v>40725</v>
      </c>
      <c r="BU25" s="184" t="n">
        <v>16.1</v>
      </c>
      <c r="BV25" s="185" t="n">
        <v>40725</v>
      </c>
      <c r="CL25" s="182"/>
      <c r="CM25" s="182"/>
    </row>
    <row r="26" customFormat="false" ht="12.75" hidden="false" customHeight="false" outlineLevel="0" collapsed="false">
      <c r="A26" s="135" t="s">
        <v>435</v>
      </c>
      <c r="B26" s="193" t="s">
        <v>785</v>
      </c>
      <c r="C26" s="193" t="s">
        <v>876</v>
      </c>
      <c r="D26" s="193"/>
      <c r="E26" s="194" t="n">
        <v>1</v>
      </c>
      <c r="F26" s="195" t="n">
        <v>63</v>
      </c>
      <c r="G26" s="119"/>
      <c r="H26" s="119"/>
      <c r="J26" s="118"/>
      <c r="K26" s="118"/>
      <c r="L26" s="181"/>
      <c r="N26" s="182"/>
      <c r="O26" s="182"/>
      <c r="S26" s="184" t="n">
        <v>1862</v>
      </c>
      <c r="T26" s="185" t="n">
        <v>40725</v>
      </c>
      <c r="U26" s="182"/>
      <c r="V26" s="182"/>
      <c r="W26" s="183"/>
      <c r="X26" s="183"/>
      <c r="Y26" s="184" t="n">
        <v>587</v>
      </c>
      <c r="Z26" s="185" t="n">
        <v>40725</v>
      </c>
      <c r="AA26" s="184" t="n">
        <v>81507</v>
      </c>
      <c r="AB26" s="185" t="n">
        <v>40725</v>
      </c>
      <c r="AC26" s="184" t="n">
        <v>35.2</v>
      </c>
      <c r="AD26" s="185" t="n">
        <v>40725</v>
      </c>
      <c r="AE26" s="196"/>
      <c r="AF26" s="185"/>
      <c r="AG26" s="184" t="n">
        <v>4.32</v>
      </c>
      <c r="AH26" s="185" t="n">
        <v>40725</v>
      </c>
      <c r="AI26" s="183"/>
      <c r="AJ26" s="183"/>
      <c r="AK26" s="182"/>
      <c r="AL26" s="182"/>
      <c r="AM26" s="184" t="n">
        <v>84</v>
      </c>
      <c r="AN26" s="183" t="n">
        <v>40630</v>
      </c>
      <c r="AO26" s="182"/>
      <c r="AP26" s="182"/>
      <c r="AQ26" s="183"/>
      <c r="AR26" s="183"/>
      <c r="AS26" s="182"/>
      <c r="AT26" s="182"/>
      <c r="AU26" s="183"/>
      <c r="AV26" s="183"/>
      <c r="AW26" s="182"/>
      <c r="AX26" s="182"/>
      <c r="AY26" s="183"/>
      <c r="AZ26" s="183"/>
      <c r="BA26" s="182"/>
      <c r="BB26" s="182"/>
      <c r="BK26" s="183"/>
      <c r="BL26" s="183"/>
      <c r="BM26" s="182"/>
      <c r="BN26" s="182"/>
      <c r="BO26" s="183"/>
      <c r="BP26" s="183"/>
      <c r="BQ26" s="182"/>
      <c r="BR26" s="182"/>
      <c r="BS26" s="184" t="n">
        <v>52.8</v>
      </c>
      <c r="BT26" s="185" t="n">
        <v>40725</v>
      </c>
      <c r="BU26" s="184" t="n">
        <v>16.6</v>
      </c>
      <c r="BV26" s="185" t="n">
        <v>40725</v>
      </c>
      <c r="CL26" s="182"/>
      <c r="CM26" s="182"/>
    </row>
    <row r="27" customFormat="false" ht="12.75" hidden="false" customHeight="false" outlineLevel="0" collapsed="false">
      <c r="A27" s="135" t="s">
        <v>435</v>
      </c>
      <c r="B27" s="193" t="s">
        <v>785</v>
      </c>
      <c r="C27" s="193" t="s">
        <v>877</v>
      </c>
      <c r="D27" s="193"/>
      <c r="E27" s="119" t="n">
        <v>22</v>
      </c>
      <c r="F27" s="195" t="n">
        <v>88</v>
      </c>
      <c r="G27" s="119"/>
      <c r="H27" s="119"/>
      <c r="J27" s="118"/>
      <c r="K27" s="118"/>
      <c r="L27" s="181"/>
      <c r="N27" s="182"/>
      <c r="O27" s="182"/>
      <c r="S27" s="184" t="n">
        <v>1805</v>
      </c>
      <c r="T27" s="185" t="n">
        <v>40725</v>
      </c>
      <c r="U27" s="182"/>
      <c r="V27" s="182"/>
      <c r="W27" s="183"/>
      <c r="X27" s="183"/>
      <c r="Y27" s="184" t="n">
        <v>607</v>
      </c>
      <c r="Z27" s="185" t="n">
        <v>40725</v>
      </c>
      <c r="AA27" s="184" t="n">
        <v>76975</v>
      </c>
      <c r="AB27" s="185" t="n">
        <v>40725</v>
      </c>
      <c r="AC27" s="184" t="n">
        <v>34.6</v>
      </c>
      <c r="AD27" s="185" t="n">
        <v>40725</v>
      </c>
      <c r="AE27" s="196"/>
      <c r="AF27" s="185"/>
      <c r="AG27" s="184" t="n">
        <v>4.5</v>
      </c>
      <c r="AH27" s="185" t="n">
        <v>40725</v>
      </c>
      <c r="AI27" s="183"/>
      <c r="AJ27" s="183"/>
      <c r="AK27" s="182"/>
      <c r="AL27" s="182"/>
      <c r="AM27" s="184" t="n">
        <v>84</v>
      </c>
      <c r="AN27" s="183" t="n">
        <v>40630</v>
      </c>
      <c r="AO27" s="182"/>
      <c r="AP27" s="182"/>
      <c r="AQ27" s="183"/>
      <c r="AR27" s="183"/>
      <c r="AS27" s="182"/>
      <c r="AT27" s="182"/>
      <c r="AU27" s="183"/>
      <c r="AV27" s="183"/>
      <c r="AW27" s="182"/>
      <c r="AX27" s="182"/>
      <c r="AY27" s="183"/>
      <c r="AZ27" s="183"/>
      <c r="BA27" s="182"/>
      <c r="BB27" s="182"/>
      <c r="BK27" s="183"/>
      <c r="BL27" s="183"/>
      <c r="BM27" s="182"/>
      <c r="BN27" s="182"/>
      <c r="BO27" s="183"/>
      <c r="BP27" s="183"/>
      <c r="BQ27" s="182"/>
      <c r="BR27" s="182"/>
      <c r="BS27" s="184" t="n">
        <v>52.2</v>
      </c>
      <c r="BT27" s="185" t="n">
        <v>40725</v>
      </c>
      <c r="BU27" s="184" t="n">
        <v>17.5</v>
      </c>
      <c r="BV27" s="185" t="n">
        <v>40725</v>
      </c>
      <c r="CL27" s="182"/>
      <c r="CM27" s="182"/>
    </row>
    <row r="28" customFormat="false" ht="12.75" hidden="false" customHeight="false" outlineLevel="0" collapsed="false">
      <c r="A28" s="135" t="s">
        <v>438</v>
      </c>
      <c r="B28" s="193" t="s">
        <v>782</v>
      </c>
      <c r="C28" s="193" t="s">
        <v>875</v>
      </c>
      <c r="D28" s="193"/>
      <c r="E28" s="194" t="n">
        <v>4</v>
      </c>
      <c r="F28" s="195" t="n">
        <v>27</v>
      </c>
      <c r="G28" s="119"/>
      <c r="H28" s="119"/>
      <c r="J28" s="118"/>
      <c r="K28" s="118"/>
      <c r="L28" s="181"/>
      <c r="N28" s="182"/>
      <c r="O28" s="182"/>
      <c r="S28" s="184" t="n">
        <v>1438</v>
      </c>
      <c r="T28" s="185" t="n">
        <v>40725</v>
      </c>
      <c r="U28" s="182"/>
      <c r="V28" s="182"/>
      <c r="W28" s="183"/>
      <c r="X28" s="183"/>
      <c r="Y28" s="184" t="n">
        <v>427</v>
      </c>
      <c r="Z28" s="185" t="n">
        <v>40725</v>
      </c>
      <c r="AA28" s="184" t="n">
        <v>67864</v>
      </c>
      <c r="AB28" s="185" t="n">
        <v>40725</v>
      </c>
      <c r="AC28" s="184" t="n">
        <v>27.2</v>
      </c>
      <c r="AD28" s="185" t="n">
        <v>40725</v>
      </c>
      <c r="AE28" s="196"/>
      <c r="AF28" s="185"/>
      <c r="AG28" s="184" t="n">
        <v>4.01</v>
      </c>
      <c r="AH28" s="185" t="n">
        <v>40725</v>
      </c>
      <c r="AI28" s="183"/>
      <c r="AJ28" s="183"/>
      <c r="AK28" s="182"/>
      <c r="AL28" s="182"/>
      <c r="AM28" s="184" t="n">
        <v>85</v>
      </c>
      <c r="AN28" s="183" t="n">
        <v>40630</v>
      </c>
      <c r="AO28" s="182"/>
      <c r="AP28" s="182"/>
      <c r="AQ28" s="183"/>
      <c r="AR28" s="183"/>
      <c r="AS28" s="182"/>
      <c r="AT28" s="182"/>
      <c r="AU28" s="183"/>
      <c r="AV28" s="183"/>
      <c r="AW28" s="182"/>
      <c r="AX28" s="182"/>
      <c r="AY28" s="183"/>
      <c r="AZ28" s="183"/>
      <c r="BA28" s="182"/>
      <c r="BB28" s="182"/>
      <c r="BK28" s="183"/>
      <c r="BL28" s="183"/>
      <c r="BM28" s="182"/>
      <c r="BN28" s="182"/>
      <c r="BO28" s="183"/>
      <c r="BP28" s="183"/>
      <c r="BQ28" s="182"/>
      <c r="BR28" s="182"/>
      <c r="BS28" s="184" t="n">
        <v>52.8</v>
      </c>
      <c r="BT28" s="185" t="n">
        <v>40725</v>
      </c>
      <c r="BU28" s="184" t="n">
        <v>15.7</v>
      </c>
      <c r="BV28" s="185" t="n">
        <v>40725</v>
      </c>
      <c r="CL28" s="182"/>
      <c r="CM28" s="182"/>
    </row>
    <row r="29" customFormat="false" ht="12.75" hidden="false" customHeight="false" outlineLevel="0" collapsed="false">
      <c r="A29" s="135" t="s">
        <v>438</v>
      </c>
      <c r="B29" s="193" t="s">
        <v>782</v>
      </c>
      <c r="C29" s="193" t="s">
        <v>876</v>
      </c>
      <c r="D29" s="193"/>
      <c r="E29" s="194" t="n">
        <v>6</v>
      </c>
      <c r="F29" s="195" t="n">
        <v>47</v>
      </c>
      <c r="G29" s="119"/>
      <c r="H29" s="119"/>
      <c r="J29" s="118"/>
      <c r="K29" s="118"/>
      <c r="L29" s="181"/>
      <c r="N29" s="182"/>
      <c r="O29" s="182"/>
      <c r="S29" s="184" t="n">
        <v>1395</v>
      </c>
      <c r="T29" s="185" t="n">
        <v>40725</v>
      </c>
      <c r="U29" s="182"/>
      <c r="V29" s="182"/>
      <c r="W29" s="183"/>
      <c r="X29" s="183"/>
      <c r="Y29" s="184" t="n">
        <v>419</v>
      </c>
      <c r="Z29" s="185" t="n">
        <v>40725</v>
      </c>
      <c r="AA29" s="184" t="n">
        <v>63570</v>
      </c>
      <c r="AB29" s="185" t="n">
        <v>40725</v>
      </c>
      <c r="AC29" s="184" t="n">
        <v>26.3</v>
      </c>
      <c r="AD29" s="185" t="n">
        <v>40725</v>
      </c>
      <c r="AE29" s="196"/>
      <c r="AF29" s="185"/>
      <c r="AG29" s="184" t="n">
        <v>4.14</v>
      </c>
      <c r="AH29" s="185" t="n">
        <v>40725</v>
      </c>
      <c r="AI29" s="183"/>
      <c r="AJ29" s="183"/>
      <c r="AK29" s="182"/>
      <c r="AL29" s="182"/>
      <c r="AM29" s="184" t="n">
        <v>84</v>
      </c>
      <c r="AN29" s="183" t="n">
        <v>40630</v>
      </c>
      <c r="AO29" s="182"/>
      <c r="AP29" s="182"/>
      <c r="AQ29" s="183"/>
      <c r="AR29" s="183"/>
      <c r="AS29" s="182"/>
      <c r="AT29" s="182"/>
      <c r="AU29" s="183"/>
      <c r="AV29" s="183"/>
      <c r="AW29" s="182"/>
      <c r="AX29" s="182"/>
      <c r="AY29" s="183"/>
      <c r="AZ29" s="183"/>
      <c r="BA29" s="182"/>
      <c r="BB29" s="182"/>
      <c r="BK29" s="183"/>
      <c r="BL29" s="183"/>
      <c r="BM29" s="182"/>
      <c r="BN29" s="182"/>
      <c r="BO29" s="183"/>
      <c r="BP29" s="183"/>
      <c r="BQ29" s="182"/>
      <c r="BR29" s="182"/>
      <c r="BS29" s="184" t="n">
        <v>53</v>
      </c>
      <c r="BT29" s="185" t="n">
        <v>40725</v>
      </c>
      <c r="BU29" s="184" t="n">
        <v>15.9</v>
      </c>
      <c r="BV29" s="185" t="n">
        <v>40725</v>
      </c>
      <c r="CL29" s="182"/>
      <c r="CM29" s="182"/>
    </row>
    <row r="30" customFormat="false" ht="12.75" hidden="false" customHeight="false" outlineLevel="0" collapsed="false">
      <c r="A30" s="135" t="s">
        <v>438</v>
      </c>
      <c r="B30" s="193" t="s">
        <v>782</v>
      </c>
      <c r="C30" s="193" t="s">
        <v>877</v>
      </c>
      <c r="D30" s="193"/>
      <c r="E30" s="119" t="n">
        <v>17</v>
      </c>
      <c r="F30" s="195" t="n">
        <v>88</v>
      </c>
      <c r="G30" s="119"/>
      <c r="H30" s="119"/>
      <c r="J30" s="118"/>
      <c r="K30" s="118"/>
      <c r="L30" s="181"/>
      <c r="N30" s="182"/>
      <c r="O30" s="182"/>
      <c r="S30" s="184" t="n">
        <v>1276</v>
      </c>
      <c r="T30" s="185" t="n">
        <v>40725</v>
      </c>
      <c r="U30" s="182"/>
      <c r="V30" s="182"/>
      <c r="W30" s="183"/>
      <c r="X30" s="183"/>
      <c r="Y30" s="184" t="n">
        <v>410</v>
      </c>
      <c r="Z30" s="185" t="n">
        <v>40725</v>
      </c>
      <c r="AA30" s="184" t="n">
        <v>60358</v>
      </c>
      <c r="AB30" s="185" t="n">
        <v>40725</v>
      </c>
      <c r="AC30" s="184" t="n">
        <v>24.8</v>
      </c>
      <c r="AD30" s="185" t="n">
        <v>40725</v>
      </c>
      <c r="AE30" s="196"/>
      <c r="AF30" s="185"/>
      <c r="AG30" s="184" t="n">
        <v>4.1</v>
      </c>
      <c r="AH30" s="185" t="n">
        <v>40725</v>
      </c>
      <c r="AI30" s="183"/>
      <c r="AJ30" s="183"/>
      <c r="AK30" s="182"/>
      <c r="AL30" s="182"/>
      <c r="AM30" s="184" t="n">
        <v>84</v>
      </c>
      <c r="AN30" s="183" t="n">
        <v>40630</v>
      </c>
      <c r="AO30" s="182"/>
      <c r="AP30" s="182"/>
      <c r="AQ30" s="183"/>
      <c r="AR30" s="183"/>
      <c r="AS30" s="182"/>
      <c r="AT30" s="182"/>
      <c r="AU30" s="183"/>
      <c r="AV30" s="183"/>
      <c r="AW30" s="182"/>
      <c r="AX30" s="182"/>
      <c r="AY30" s="183"/>
      <c r="AZ30" s="183"/>
      <c r="BA30" s="182"/>
      <c r="BB30" s="182"/>
      <c r="BK30" s="183"/>
      <c r="BL30" s="183"/>
      <c r="BM30" s="182"/>
      <c r="BN30" s="182"/>
      <c r="BO30" s="183"/>
      <c r="BP30" s="183"/>
      <c r="BQ30" s="182"/>
      <c r="BR30" s="182"/>
      <c r="BS30" s="184" t="n">
        <v>51.6</v>
      </c>
      <c r="BT30" s="185" t="n">
        <v>40725</v>
      </c>
      <c r="BU30" s="184" t="n">
        <v>16.5</v>
      </c>
      <c r="BV30" s="185" t="n">
        <v>40725</v>
      </c>
      <c r="CL30" s="182"/>
      <c r="CM30" s="182"/>
    </row>
    <row r="31" customFormat="false" ht="12.75" hidden="false" customHeight="false" outlineLevel="0" collapsed="false">
      <c r="A31" s="135" t="s">
        <v>438</v>
      </c>
      <c r="B31" s="193" t="s">
        <v>785</v>
      </c>
      <c r="C31" s="193" t="s">
        <v>875</v>
      </c>
      <c r="D31" s="193"/>
      <c r="E31" s="194" t="n">
        <v>6</v>
      </c>
      <c r="F31" s="195" t="n">
        <v>12</v>
      </c>
      <c r="G31" s="119"/>
      <c r="H31" s="119"/>
      <c r="J31" s="118"/>
      <c r="K31" s="118"/>
      <c r="L31" s="181"/>
      <c r="N31" s="182"/>
      <c r="O31" s="182"/>
      <c r="S31" s="184" t="n">
        <v>1601</v>
      </c>
      <c r="T31" s="185" t="n">
        <v>40725</v>
      </c>
      <c r="U31" s="182"/>
      <c r="V31" s="182"/>
      <c r="W31" s="183"/>
      <c r="X31" s="183"/>
      <c r="Y31" s="184" t="n">
        <v>550</v>
      </c>
      <c r="Z31" s="185" t="n">
        <v>40725</v>
      </c>
      <c r="AA31" s="184" t="n">
        <v>74953</v>
      </c>
      <c r="AB31" s="185" t="n">
        <v>40725</v>
      </c>
      <c r="AC31" s="184" t="n">
        <v>31.2</v>
      </c>
      <c r="AD31" s="185" t="n">
        <v>40725</v>
      </c>
      <c r="AE31" s="196"/>
      <c r="AF31" s="185"/>
      <c r="AG31" s="184" t="n">
        <v>4.16</v>
      </c>
      <c r="AH31" s="185" t="n">
        <v>40725</v>
      </c>
      <c r="AI31" s="183"/>
      <c r="AJ31" s="183"/>
      <c r="AK31" s="182"/>
      <c r="AL31" s="182"/>
      <c r="AM31" s="184" t="n">
        <v>88</v>
      </c>
      <c r="AN31" s="183" t="n">
        <v>40630</v>
      </c>
      <c r="AO31" s="182"/>
      <c r="AP31" s="182"/>
      <c r="AQ31" s="183"/>
      <c r="AR31" s="183"/>
      <c r="AS31" s="182"/>
      <c r="AT31" s="182"/>
      <c r="AU31" s="183"/>
      <c r="AV31" s="183"/>
      <c r="AW31" s="182"/>
      <c r="AX31" s="182"/>
      <c r="AY31" s="183"/>
      <c r="AZ31" s="183"/>
      <c r="BA31" s="182"/>
      <c r="BB31" s="182"/>
      <c r="BK31" s="183"/>
      <c r="BL31" s="183"/>
      <c r="BM31" s="182"/>
      <c r="BN31" s="182"/>
      <c r="BO31" s="183"/>
      <c r="BP31" s="183"/>
      <c r="BQ31" s="182"/>
      <c r="BR31" s="182"/>
      <c r="BS31" s="184" t="n">
        <v>51.3</v>
      </c>
      <c r="BT31" s="185" t="n">
        <v>40725</v>
      </c>
      <c r="BU31" s="184" t="n">
        <v>17.7</v>
      </c>
      <c r="BV31" s="185" t="n">
        <v>40725</v>
      </c>
      <c r="CL31" s="182"/>
      <c r="CM31" s="182"/>
    </row>
    <row r="32" customFormat="false" ht="12.75" hidden="false" customHeight="false" outlineLevel="0" collapsed="false">
      <c r="A32" s="135" t="s">
        <v>438</v>
      </c>
      <c r="B32" s="193" t="s">
        <v>785</v>
      </c>
      <c r="C32" s="193" t="s">
        <v>876</v>
      </c>
      <c r="D32" s="193"/>
      <c r="E32" s="194" t="n">
        <v>3</v>
      </c>
      <c r="F32" s="195" t="n">
        <v>41</v>
      </c>
      <c r="G32" s="119"/>
      <c r="H32" s="119"/>
      <c r="J32" s="118"/>
      <c r="K32" s="118"/>
      <c r="L32" s="181"/>
      <c r="N32" s="182"/>
      <c r="O32" s="182"/>
      <c r="S32" s="184" t="n">
        <v>1679</v>
      </c>
      <c r="T32" s="185" t="n">
        <v>40725</v>
      </c>
      <c r="U32" s="182"/>
      <c r="V32" s="182"/>
      <c r="W32" s="183"/>
      <c r="X32" s="183"/>
      <c r="Y32" s="184" t="n">
        <v>586</v>
      </c>
      <c r="Z32" s="185" t="n">
        <v>40725</v>
      </c>
      <c r="AA32" s="184" t="n">
        <v>78623</v>
      </c>
      <c r="AB32" s="185" t="n">
        <v>40725</v>
      </c>
      <c r="AC32" s="184" t="n">
        <v>32.9</v>
      </c>
      <c r="AD32" s="185" t="n">
        <v>40725</v>
      </c>
      <c r="AE32" s="196"/>
      <c r="AF32" s="185"/>
      <c r="AG32" s="184" t="n">
        <v>4.19</v>
      </c>
      <c r="AH32" s="185" t="n">
        <v>40725</v>
      </c>
      <c r="AI32" s="183"/>
      <c r="AJ32" s="183"/>
      <c r="AK32" s="182"/>
      <c r="AL32" s="182"/>
      <c r="AM32" s="184" t="n">
        <v>84</v>
      </c>
      <c r="AN32" s="183" t="n">
        <v>40630</v>
      </c>
      <c r="AO32" s="182"/>
      <c r="AP32" s="182"/>
      <c r="AQ32" s="183"/>
      <c r="AR32" s="183"/>
      <c r="AS32" s="182"/>
      <c r="AT32" s="182"/>
      <c r="AU32" s="183"/>
      <c r="AV32" s="183"/>
      <c r="AW32" s="182"/>
      <c r="AX32" s="182"/>
      <c r="AY32" s="183"/>
      <c r="AZ32" s="183"/>
      <c r="BA32" s="182"/>
      <c r="BB32" s="182"/>
      <c r="BK32" s="183"/>
      <c r="BL32" s="183"/>
      <c r="BM32" s="182"/>
      <c r="BN32" s="182"/>
      <c r="BO32" s="183"/>
      <c r="BP32" s="183"/>
      <c r="BQ32" s="182"/>
      <c r="BR32" s="182"/>
      <c r="BS32" s="184" t="n">
        <v>51</v>
      </c>
      <c r="BT32" s="185" t="n">
        <v>40725</v>
      </c>
      <c r="BU32" s="184" t="n">
        <v>17.8</v>
      </c>
      <c r="BV32" s="185" t="n">
        <v>40725</v>
      </c>
      <c r="CL32" s="182"/>
      <c r="CM32" s="182"/>
    </row>
    <row r="33" customFormat="false" ht="12.75" hidden="false" customHeight="false" outlineLevel="0" collapsed="false">
      <c r="A33" s="135" t="s">
        <v>438</v>
      </c>
      <c r="B33" s="193" t="s">
        <v>785</v>
      </c>
      <c r="C33" s="193" t="s">
        <v>877</v>
      </c>
      <c r="D33" s="193"/>
      <c r="E33" s="119" t="n">
        <v>24</v>
      </c>
      <c r="F33" s="195" t="n">
        <v>70</v>
      </c>
      <c r="G33" s="119"/>
      <c r="H33" s="119"/>
      <c r="J33" s="118"/>
      <c r="K33" s="118"/>
      <c r="L33" s="181"/>
      <c r="N33" s="182"/>
      <c r="O33" s="182"/>
      <c r="S33" s="184" t="n">
        <v>1983</v>
      </c>
      <c r="T33" s="185" t="n">
        <v>40725</v>
      </c>
      <c r="U33" s="182"/>
      <c r="V33" s="182"/>
      <c r="W33" s="183"/>
      <c r="X33" s="183"/>
      <c r="Y33" s="184" t="n">
        <v>699</v>
      </c>
      <c r="Z33" s="185" t="n">
        <v>40725</v>
      </c>
      <c r="AA33" s="184" t="n">
        <v>91713</v>
      </c>
      <c r="AB33" s="185" t="n">
        <v>40725</v>
      </c>
      <c r="AC33" s="184" t="n">
        <v>38.9</v>
      </c>
      <c r="AD33" s="185" t="n">
        <v>40725</v>
      </c>
      <c r="AE33" s="196"/>
      <c r="AF33" s="185"/>
      <c r="AG33" s="184" t="n">
        <v>4.24</v>
      </c>
      <c r="AH33" s="185" t="n">
        <v>40725</v>
      </c>
      <c r="AI33" s="183"/>
      <c r="AJ33" s="183"/>
      <c r="AK33" s="182"/>
      <c r="AL33" s="182"/>
      <c r="AM33" s="184" t="n">
        <v>85</v>
      </c>
      <c r="AN33" s="183" t="n">
        <v>40630</v>
      </c>
      <c r="AO33" s="182"/>
      <c r="AP33" s="182"/>
      <c r="AQ33" s="183"/>
      <c r="AR33" s="183"/>
      <c r="AS33" s="182"/>
      <c r="AT33" s="182"/>
      <c r="AU33" s="183"/>
      <c r="AV33" s="183"/>
      <c r="AW33" s="182"/>
      <c r="AX33" s="182"/>
      <c r="AY33" s="183"/>
      <c r="AZ33" s="183"/>
      <c r="BA33" s="182"/>
      <c r="BB33" s="182"/>
      <c r="BK33" s="183"/>
      <c r="BL33" s="183"/>
      <c r="BM33" s="182"/>
      <c r="BN33" s="182"/>
      <c r="BO33" s="183"/>
      <c r="BP33" s="183"/>
      <c r="BQ33" s="182"/>
      <c r="BR33" s="182"/>
      <c r="BS33" s="184" t="n">
        <v>51</v>
      </c>
      <c r="BT33" s="185" t="n">
        <v>40725</v>
      </c>
      <c r="BU33" s="184" t="n">
        <v>18</v>
      </c>
      <c r="BV33" s="185" t="n">
        <v>40725</v>
      </c>
      <c r="CL33" s="182"/>
      <c r="CM33" s="182"/>
    </row>
    <row r="34" customFormat="false" ht="12.75" hidden="false" customHeight="false" outlineLevel="0" collapsed="false">
      <c r="A34" s="135" t="s">
        <v>441</v>
      </c>
      <c r="B34" s="193" t="s">
        <v>782</v>
      </c>
      <c r="C34" s="193" t="s">
        <v>875</v>
      </c>
      <c r="D34" s="193"/>
      <c r="E34" s="194" t="n">
        <v>1</v>
      </c>
      <c r="F34" s="195" t="n">
        <v>26</v>
      </c>
      <c r="G34" s="119"/>
      <c r="H34" s="119"/>
      <c r="J34" s="118"/>
      <c r="K34" s="118"/>
      <c r="L34" s="181"/>
      <c r="N34" s="182"/>
      <c r="O34" s="182"/>
      <c r="S34" s="184" t="n">
        <v>2060</v>
      </c>
      <c r="T34" s="185" t="n">
        <v>40725</v>
      </c>
      <c r="U34" s="182"/>
      <c r="V34" s="182"/>
      <c r="W34" s="183"/>
      <c r="X34" s="183"/>
      <c r="Y34" s="184" t="n">
        <v>648</v>
      </c>
      <c r="Z34" s="185" t="n">
        <v>40725</v>
      </c>
      <c r="AA34" s="184" t="n">
        <v>84379</v>
      </c>
      <c r="AB34" s="185" t="n">
        <v>40725</v>
      </c>
      <c r="AC34" s="184" t="n">
        <v>39.5</v>
      </c>
      <c r="AD34" s="185" t="n">
        <v>40725</v>
      </c>
      <c r="AE34" s="196"/>
      <c r="AF34" s="185"/>
      <c r="AG34" s="184" t="n">
        <v>4.68</v>
      </c>
      <c r="AH34" s="185" t="n">
        <v>40725</v>
      </c>
      <c r="AI34" s="183"/>
      <c r="AJ34" s="183"/>
      <c r="AK34" s="182"/>
      <c r="AL34" s="182"/>
      <c r="AM34" s="184" t="n">
        <v>79</v>
      </c>
      <c r="AN34" s="183" t="n">
        <v>40630</v>
      </c>
      <c r="AO34" s="182"/>
      <c r="AP34" s="182"/>
      <c r="AQ34" s="183"/>
      <c r="AR34" s="183"/>
      <c r="AS34" s="182"/>
      <c r="AT34" s="182"/>
      <c r="AU34" s="183"/>
      <c r="AV34" s="183"/>
      <c r="AW34" s="182"/>
      <c r="AX34" s="182"/>
      <c r="AY34" s="183"/>
      <c r="AZ34" s="183"/>
      <c r="BA34" s="182"/>
      <c r="BB34" s="182"/>
      <c r="BK34" s="183"/>
      <c r="BL34" s="183"/>
      <c r="BM34" s="182"/>
      <c r="BN34" s="182"/>
      <c r="BO34" s="183"/>
      <c r="BP34" s="183"/>
      <c r="BQ34" s="182"/>
      <c r="BR34" s="182"/>
      <c r="BS34" s="184" t="n">
        <v>52.1</v>
      </c>
      <c r="BT34" s="185" t="n">
        <v>40725</v>
      </c>
      <c r="BU34" s="184" t="n">
        <v>16.4</v>
      </c>
      <c r="BV34" s="185" t="n">
        <v>40725</v>
      </c>
      <c r="CL34" s="182"/>
      <c r="CM34" s="182"/>
    </row>
    <row r="35" customFormat="false" ht="12.75" hidden="false" customHeight="false" outlineLevel="0" collapsed="false">
      <c r="A35" s="135" t="s">
        <v>441</v>
      </c>
      <c r="B35" s="193" t="s">
        <v>782</v>
      </c>
      <c r="C35" s="193" t="s">
        <v>876</v>
      </c>
      <c r="D35" s="193"/>
      <c r="E35" s="194" t="n">
        <v>7</v>
      </c>
      <c r="F35" s="195" t="n">
        <v>64</v>
      </c>
      <c r="G35" s="119"/>
      <c r="H35" s="119"/>
      <c r="J35" s="118"/>
      <c r="K35" s="118"/>
      <c r="L35" s="181"/>
      <c r="N35" s="182"/>
      <c r="O35" s="182"/>
      <c r="S35" s="184" t="n">
        <v>1440</v>
      </c>
      <c r="T35" s="185" t="n">
        <v>40725</v>
      </c>
      <c r="U35" s="182"/>
      <c r="V35" s="182"/>
      <c r="W35" s="183"/>
      <c r="X35" s="183"/>
      <c r="Y35" s="184" t="n">
        <v>417</v>
      </c>
      <c r="Z35" s="185" t="n">
        <v>40725</v>
      </c>
      <c r="AA35" s="184" t="n">
        <v>58176</v>
      </c>
      <c r="AB35" s="185" t="n">
        <v>40725</v>
      </c>
      <c r="AC35" s="184" t="n">
        <v>26.9</v>
      </c>
      <c r="AD35" s="185" t="n">
        <v>40725</v>
      </c>
      <c r="AE35" s="196"/>
      <c r="AF35" s="185"/>
      <c r="AG35" s="184" t="n">
        <v>4.62</v>
      </c>
      <c r="AH35" s="185" t="n">
        <v>40725</v>
      </c>
      <c r="AI35" s="183"/>
      <c r="AJ35" s="183"/>
      <c r="AK35" s="182"/>
      <c r="AL35" s="182"/>
      <c r="AM35" s="184" t="n">
        <v>78</v>
      </c>
      <c r="AN35" s="183" t="n">
        <v>40630</v>
      </c>
      <c r="AO35" s="182"/>
      <c r="AP35" s="182"/>
      <c r="AQ35" s="183"/>
      <c r="AR35" s="183"/>
      <c r="AS35" s="182"/>
      <c r="AT35" s="182"/>
      <c r="AU35" s="183"/>
      <c r="AV35" s="183"/>
      <c r="AW35" s="182"/>
      <c r="AX35" s="182"/>
      <c r="AY35" s="183"/>
      <c r="AZ35" s="183"/>
      <c r="BA35" s="182"/>
      <c r="BB35" s="182"/>
      <c r="BK35" s="183"/>
      <c r="BL35" s="183"/>
      <c r="BM35" s="182"/>
      <c r="BN35" s="182"/>
      <c r="BO35" s="183"/>
      <c r="BP35" s="183"/>
      <c r="BQ35" s="182"/>
      <c r="BR35" s="182"/>
      <c r="BS35" s="184" t="n">
        <v>53.6</v>
      </c>
      <c r="BT35" s="185" t="n">
        <v>40725</v>
      </c>
      <c r="BU35" s="184" t="n">
        <v>15.5</v>
      </c>
      <c r="BV35" s="185" t="n">
        <v>40725</v>
      </c>
      <c r="CL35" s="182"/>
      <c r="CM35" s="182"/>
    </row>
    <row r="36" customFormat="false" ht="12.75" hidden="false" customHeight="false" outlineLevel="0" collapsed="false">
      <c r="A36" s="135" t="s">
        <v>441</v>
      </c>
      <c r="B36" s="193" t="s">
        <v>782</v>
      </c>
      <c r="C36" s="193" t="s">
        <v>877</v>
      </c>
      <c r="D36" s="193"/>
      <c r="E36" s="119" t="n">
        <v>15</v>
      </c>
      <c r="F36" s="195" t="n">
        <v>71</v>
      </c>
      <c r="G36" s="119"/>
      <c r="H36" s="119"/>
      <c r="J36" s="118"/>
      <c r="K36" s="118"/>
      <c r="L36" s="181"/>
      <c r="N36" s="182"/>
      <c r="O36" s="182"/>
      <c r="S36" s="184" t="n">
        <v>1569</v>
      </c>
      <c r="T36" s="185" t="n">
        <v>40725</v>
      </c>
      <c r="U36" s="182"/>
      <c r="V36" s="182"/>
      <c r="W36" s="183"/>
      <c r="X36" s="183"/>
      <c r="Y36" s="184" t="n">
        <v>504</v>
      </c>
      <c r="Z36" s="185" t="n">
        <v>40725</v>
      </c>
      <c r="AA36" s="184" t="n">
        <v>64903</v>
      </c>
      <c r="AB36" s="185" t="n">
        <v>40725</v>
      </c>
      <c r="AC36" s="184" t="n">
        <v>30.1</v>
      </c>
      <c r="AD36" s="185" t="n">
        <v>40725</v>
      </c>
      <c r="AE36" s="196"/>
      <c r="AF36" s="185"/>
      <c r="AG36" s="184" t="n">
        <v>4.64</v>
      </c>
      <c r="AH36" s="185" t="n">
        <v>40725</v>
      </c>
      <c r="AI36" s="183"/>
      <c r="AJ36" s="183"/>
      <c r="AK36" s="182"/>
      <c r="AL36" s="182"/>
      <c r="AM36" s="184" t="n">
        <v>77</v>
      </c>
      <c r="AN36" s="183" t="n">
        <v>40630</v>
      </c>
      <c r="AO36" s="182"/>
      <c r="AP36" s="182"/>
      <c r="AQ36" s="183"/>
      <c r="AR36" s="183"/>
      <c r="AS36" s="182"/>
      <c r="AT36" s="182"/>
      <c r="AU36" s="183"/>
      <c r="AV36" s="183"/>
      <c r="AW36" s="182"/>
      <c r="AX36" s="182"/>
      <c r="AY36" s="183"/>
      <c r="AZ36" s="183"/>
      <c r="BA36" s="182"/>
      <c r="BB36" s="182"/>
      <c r="BK36" s="183"/>
      <c r="BL36" s="183"/>
      <c r="BM36" s="182"/>
      <c r="BN36" s="182"/>
      <c r="BO36" s="183"/>
      <c r="BP36" s="183"/>
      <c r="BQ36" s="182"/>
      <c r="BR36" s="182"/>
      <c r="BS36" s="184" t="n">
        <v>52.1</v>
      </c>
      <c r="BT36" s="185" t="n">
        <v>40725</v>
      </c>
      <c r="BU36" s="184" t="n">
        <v>16.7</v>
      </c>
      <c r="BV36" s="185" t="n">
        <v>40725</v>
      </c>
      <c r="CL36" s="182"/>
      <c r="CM36" s="182"/>
    </row>
    <row r="37" customFormat="false" ht="12.75" hidden="false" customHeight="false" outlineLevel="0" collapsed="false">
      <c r="A37" s="135" t="s">
        <v>441</v>
      </c>
      <c r="B37" s="193" t="s">
        <v>785</v>
      </c>
      <c r="C37" s="193" t="s">
        <v>875</v>
      </c>
      <c r="D37" s="193"/>
      <c r="E37" s="194" t="n">
        <v>6</v>
      </c>
      <c r="F37" s="195" t="n">
        <v>23</v>
      </c>
      <c r="G37" s="119"/>
      <c r="H37" s="119"/>
      <c r="J37" s="118"/>
      <c r="K37" s="118"/>
      <c r="L37" s="181"/>
      <c r="N37" s="182"/>
      <c r="O37" s="182"/>
      <c r="S37" s="184" t="n">
        <v>2036</v>
      </c>
      <c r="T37" s="185" t="n">
        <v>40725</v>
      </c>
      <c r="U37" s="182"/>
      <c r="V37" s="182"/>
      <c r="W37" s="183"/>
      <c r="X37" s="183"/>
      <c r="Y37" s="184" t="n">
        <v>644</v>
      </c>
      <c r="Z37" s="185" t="n">
        <v>40725</v>
      </c>
      <c r="AA37" s="184" t="n">
        <v>86674</v>
      </c>
      <c r="AB37" s="185" t="n">
        <v>40725</v>
      </c>
      <c r="AC37" s="184" t="n">
        <v>38.8</v>
      </c>
      <c r="AD37" s="185" t="n">
        <v>40725</v>
      </c>
      <c r="AE37" s="196"/>
      <c r="AF37" s="185"/>
      <c r="AG37" s="184" t="n">
        <v>4.48</v>
      </c>
      <c r="AH37" s="185" t="n">
        <v>40725</v>
      </c>
      <c r="AI37" s="183"/>
      <c r="AJ37" s="183"/>
      <c r="AK37" s="182"/>
      <c r="AL37" s="182"/>
      <c r="AM37" s="184" t="n">
        <v>81</v>
      </c>
      <c r="AN37" s="183" t="n">
        <v>40630</v>
      </c>
      <c r="AO37" s="182"/>
      <c r="AP37" s="182"/>
      <c r="AQ37" s="183"/>
      <c r="AR37" s="183"/>
      <c r="AS37" s="182"/>
      <c r="AT37" s="182"/>
      <c r="AU37" s="183"/>
      <c r="AV37" s="183"/>
      <c r="AW37" s="182"/>
      <c r="AX37" s="182"/>
      <c r="AY37" s="183"/>
      <c r="AZ37" s="183"/>
      <c r="BA37" s="182"/>
      <c r="BB37" s="182"/>
      <c r="BK37" s="183"/>
      <c r="BL37" s="183"/>
      <c r="BM37" s="182"/>
      <c r="BN37" s="182"/>
      <c r="BO37" s="183"/>
      <c r="BP37" s="183"/>
      <c r="BQ37" s="182"/>
      <c r="BR37" s="182"/>
      <c r="BS37" s="184" t="n">
        <v>52.5</v>
      </c>
      <c r="BT37" s="185" t="n">
        <v>40725</v>
      </c>
      <c r="BU37" s="184" t="n">
        <v>16.6</v>
      </c>
      <c r="BV37" s="185" t="n">
        <v>40725</v>
      </c>
      <c r="CL37" s="182"/>
      <c r="CM37" s="182"/>
    </row>
    <row r="38" customFormat="false" ht="12.75" hidden="false" customHeight="false" outlineLevel="0" collapsed="false">
      <c r="A38" s="135" t="s">
        <v>441</v>
      </c>
      <c r="B38" s="193" t="s">
        <v>785</v>
      </c>
      <c r="C38" s="193" t="s">
        <v>876</v>
      </c>
      <c r="D38" s="193"/>
      <c r="E38" s="194" t="n">
        <v>4</v>
      </c>
      <c r="F38" s="195" t="n">
        <v>49</v>
      </c>
      <c r="G38" s="119"/>
      <c r="H38" s="119"/>
      <c r="J38" s="118"/>
      <c r="K38" s="118"/>
      <c r="L38" s="181"/>
      <c r="N38" s="182"/>
      <c r="O38" s="182"/>
      <c r="S38" s="184" t="n">
        <v>1746</v>
      </c>
      <c r="T38" s="185" t="n">
        <v>40725</v>
      </c>
      <c r="U38" s="182"/>
      <c r="V38" s="182"/>
      <c r="W38" s="183"/>
      <c r="X38" s="183"/>
      <c r="Y38" s="184" t="n">
        <v>578</v>
      </c>
      <c r="Z38" s="185" t="n">
        <v>40725</v>
      </c>
      <c r="AA38" s="184" t="n">
        <v>71183</v>
      </c>
      <c r="AB38" s="185" t="n">
        <v>40725</v>
      </c>
      <c r="AC38" s="184" t="n">
        <v>33.2</v>
      </c>
      <c r="AD38" s="185" t="n">
        <v>40725</v>
      </c>
      <c r="AE38" s="196"/>
      <c r="AF38" s="185"/>
      <c r="AG38" s="184" t="n">
        <v>4.66</v>
      </c>
      <c r="AH38" s="185" t="n">
        <v>40725</v>
      </c>
      <c r="AI38" s="183"/>
      <c r="AJ38" s="183"/>
      <c r="AK38" s="182"/>
      <c r="AL38" s="182"/>
      <c r="AM38" s="184" t="n">
        <v>79</v>
      </c>
      <c r="AN38" s="183" t="n">
        <v>40630</v>
      </c>
      <c r="AO38" s="182"/>
      <c r="AP38" s="182"/>
      <c r="AQ38" s="183"/>
      <c r="AR38" s="183"/>
      <c r="AS38" s="182"/>
      <c r="AT38" s="182"/>
      <c r="AU38" s="183"/>
      <c r="AV38" s="183"/>
      <c r="AW38" s="182"/>
      <c r="AX38" s="182"/>
      <c r="AY38" s="183"/>
      <c r="AZ38" s="183"/>
      <c r="BA38" s="182"/>
      <c r="BB38" s="182"/>
      <c r="BK38" s="183"/>
      <c r="BL38" s="183"/>
      <c r="BM38" s="182"/>
      <c r="BN38" s="182"/>
      <c r="BO38" s="183"/>
      <c r="BP38" s="183"/>
      <c r="BQ38" s="182"/>
      <c r="BR38" s="182"/>
      <c r="BS38" s="184" t="n">
        <v>52.6</v>
      </c>
      <c r="BT38" s="185" t="n">
        <v>40725</v>
      </c>
      <c r="BU38" s="184" t="n">
        <v>17.4</v>
      </c>
      <c r="BV38" s="185" t="n">
        <v>40725</v>
      </c>
      <c r="CL38" s="182"/>
      <c r="CM38" s="182"/>
    </row>
    <row r="39" customFormat="false" ht="12.75" hidden="false" customHeight="false" outlineLevel="0" collapsed="false">
      <c r="A39" s="135" t="s">
        <v>441</v>
      </c>
      <c r="B39" s="193" t="s">
        <v>785</v>
      </c>
      <c r="C39" s="193" t="s">
        <v>877</v>
      </c>
      <c r="D39" s="193"/>
      <c r="E39" s="119" t="n">
        <v>23</v>
      </c>
      <c r="F39" s="195" t="n">
        <v>73</v>
      </c>
      <c r="G39" s="119"/>
      <c r="H39" s="119"/>
      <c r="J39" s="118"/>
      <c r="K39" s="118"/>
      <c r="L39" s="181"/>
      <c r="N39" s="182"/>
      <c r="O39" s="182"/>
      <c r="S39" s="184" t="n">
        <v>1899</v>
      </c>
      <c r="T39" s="185" t="n">
        <v>40725</v>
      </c>
      <c r="U39" s="182"/>
      <c r="V39" s="182"/>
      <c r="W39" s="183"/>
      <c r="X39" s="183"/>
      <c r="Y39" s="184" t="n">
        <v>576</v>
      </c>
      <c r="Z39" s="185" t="n">
        <v>40725</v>
      </c>
      <c r="AA39" s="184" t="n">
        <v>78052</v>
      </c>
      <c r="AB39" s="185" t="n">
        <v>40725</v>
      </c>
      <c r="AC39" s="184" t="n">
        <v>35.7</v>
      </c>
      <c r="AD39" s="185" t="n">
        <v>40725</v>
      </c>
      <c r="AE39" s="196"/>
      <c r="AF39" s="185"/>
      <c r="AG39" s="184" t="n">
        <v>4.58</v>
      </c>
      <c r="AH39" s="185" t="n">
        <v>40725</v>
      </c>
      <c r="AI39" s="183"/>
      <c r="AJ39" s="183"/>
      <c r="AK39" s="182"/>
      <c r="AL39" s="182"/>
      <c r="AM39" s="184" t="n">
        <v>81</v>
      </c>
      <c r="AN39" s="183" t="n">
        <v>40630</v>
      </c>
      <c r="AO39" s="182"/>
      <c r="AP39" s="182"/>
      <c r="AQ39" s="183"/>
      <c r="AR39" s="183"/>
      <c r="AS39" s="182"/>
      <c r="AT39" s="182"/>
      <c r="AU39" s="183"/>
      <c r="AV39" s="183"/>
      <c r="AW39" s="182"/>
      <c r="AX39" s="182"/>
      <c r="AY39" s="183"/>
      <c r="AZ39" s="183"/>
      <c r="BA39" s="182"/>
      <c r="BB39" s="182"/>
      <c r="BK39" s="183"/>
      <c r="BL39" s="183"/>
      <c r="BM39" s="182"/>
      <c r="BN39" s="182"/>
      <c r="BO39" s="183"/>
      <c r="BP39" s="183"/>
      <c r="BQ39" s="182"/>
      <c r="BR39" s="182"/>
      <c r="BS39" s="184" t="n">
        <v>53.1</v>
      </c>
      <c r="BT39" s="185" t="n">
        <v>40725</v>
      </c>
      <c r="BU39" s="184" t="n">
        <v>16.1</v>
      </c>
      <c r="BV39" s="185" t="n">
        <v>40725</v>
      </c>
      <c r="CL39" s="182"/>
      <c r="CM39" s="182"/>
    </row>
    <row r="40" customFormat="false" ht="12.75" hidden="false" customHeight="false" outlineLevel="0" collapsed="false">
      <c r="A40" s="135" t="s">
        <v>444</v>
      </c>
      <c r="B40" s="193" t="s">
        <v>782</v>
      </c>
      <c r="C40" s="193" t="s">
        <v>875</v>
      </c>
      <c r="D40" s="193"/>
      <c r="E40" s="194" t="n">
        <v>2</v>
      </c>
      <c r="F40" s="195" t="n">
        <v>32</v>
      </c>
      <c r="G40" s="119"/>
      <c r="H40" s="119"/>
      <c r="J40" s="118"/>
      <c r="K40" s="118"/>
      <c r="L40" s="181"/>
      <c r="N40" s="182"/>
      <c r="O40" s="182"/>
      <c r="S40" s="184" t="n">
        <v>1493</v>
      </c>
      <c r="T40" s="185" t="n">
        <v>40725</v>
      </c>
      <c r="U40" s="182"/>
      <c r="V40" s="182"/>
      <c r="W40" s="183"/>
      <c r="X40" s="183"/>
      <c r="Y40" s="184" t="n">
        <v>512</v>
      </c>
      <c r="Z40" s="185" t="n">
        <v>40725</v>
      </c>
      <c r="AA40" s="184" t="n">
        <v>70299</v>
      </c>
      <c r="AB40" s="185" t="n">
        <v>40725</v>
      </c>
      <c r="AC40" s="184" t="n">
        <v>29.2</v>
      </c>
      <c r="AD40" s="185" t="n">
        <v>40725</v>
      </c>
      <c r="AE40" s="196"/>
      <c r="AF40" s="185"/>
      <c r="AG40" s="184" t="n">
        <v>4.15</v>
      </c>
      <c r="AH40" s="185" t="n">
        <v>40725</v>
      </c>
      <c r="AI40" s="183"/>
      <c r="AJ40" s="183"/>
      <c r="AK40" s="182"/>
      <c r="AL40" s="182"/>
      <c r="AM40" s="184" t="n">
        <v>81</v>
      </c>
      <c r="AN40" s="183" t="n">
        <v>40630</v>
      </c>
      <c r="AO40" s="182"/>
      <c r="AP40" s="182"/>
      <c r="AQ40" s="183"/>
      <c r="AR40" s="183"/>
      <c r="AS40" s="182"/>
      <c r="AT40" s="182"/>
      <c r="AU40" s="183"/>
      <c r="AV40" s="183"/>
      <c r="AW40" s="182"/>
      <c r="AX40" s="182"/>
      <c r="AY40" s="183"/>
      <c r="AZ40" s="183"/>
      <c r="BA40" s="182"/>
      <c r="BB40" s="182"/>
      <c r="BK40" s="183"/>
      <c r="BL40" s="183"/>
      <c r="BM40" s="182"/>
      <c r="BN40" s="182"/>
      <c r="BO40" s="183"/>
      <c r="BP40" s="183"/>
      <c r="BQ40" s="182"/>
      <c r="BR40" s="182"/>
      <c r="BS40" s="184" t="n">
        <v>51.2</v>
      </c>
      <c r="BT40" s="185" t="n">
        <v>40725</v>
      </c>
      <c r="BU40" s="184" t="n">
        <v>17.5</v>
      </c>
      <c r="BV40" s="185" t="n">
        <v>40725</v>
      </c>
      <c r="CL40" s="182"/>
      <c r="CM40" s="182"/>
    </row>
    <row r="41" customFormat="false" ht="12.75" hidden="false" customHeight="false" outlineLevel="0" collapsed="false">
      <c r="A41" s="137" t="s">
        <v>444</v>
      </c>
      <c r="B41" s="193" t="s">
        <v>782</v>
      </c>
      <c r="C41" s="193" t="s">
        <v>876</v>
      </c>
      <c r="D41" s="193"/>
      <c r="E41" s="194" t="n">
        <v>5</v>
      </c>
      <c r="F41" s="195" t="n">
        <v>39</v>
      </c>
      <c r="G41" s="119"/>
      <c r="H41" s="119"/>
      <c r="J41" s="118"/>
      <c r="K41" s="118"/>
      <c r="L41" s="181"/>
      <c r="N41" s="182"/>
      <c r="O41" s="182"/>
      <c r="S41" s="184" t="n">
        <v>1332</v>
      </c>
      <c r="T41" s="185" t="n">
        <v>40725</v>
      </c>
      <c r="U41" s="182"/>
      <c r="V41" s="182"/>
      <c r="W41" s="183"/>
      <c r="X41" s="183"/>
      <c r="Y41" s="184" t="n">
        <v>438</v>
      </c>
      <c r="Z41" s="185" t="n">
        <v>40725</v>
      </c>
      <c r="AA41" s="184" t="n">
        <v>60322</v>
      </c>
      <c r="AB41" s="185" t="n">
        <v>40725</v>
      </c>
      <c r="AC41" s="184" t="n">
        <v>25.7</v>
      </c>
      <c r="AD41" s="185" t="n">
        <v>40725</v>
      </c>
      <c r="AE41" s="196"/>
      <c r="AF41" s="185"/>
      <c r="AG41" s="184" t="n">
        <v>4.27</v>
      </c>
      <c r="AH41" s="185" t="n">
        <v>40725</v>
      </c>
      <c r="AI41" s="183"/>
      <c r="AJ41" s="183"/>
      <c r="AK41" s="182"/>
      <c r="AL41" s="182"/>
      <c r="AM41" s="184" t="n">
        <v>81</v>
      </c>
      <c r="AN41" s="183" t="n">
        <v>40630</v>
      </c>
      <c r="AO41" s="182"/>
      <c r="AP41" s="182"/>
      <c r="AQ41" s="183"/>
      <c r="AR41" s="183"/>
      <c r="AS41" s="182"/>
      <c r="AT41" s="182"/>
      <c r="AU41" s="183"/>
      <c r="AV41" s="183"/>
      <c r="AW41" s="182"/>
      <c r="AX41" s="182"/>
      <c r="AY41" s="183"/>
      <c r="AZ41" s="183"/>
      <c r="BA41" s="182"/>
      <c r="BB41" s="182"/>
      <c r="BK41" s="183"/>
      <c r="BL41" s="183"/>
      <c r="BM41" s="182"/>
      <c r="BN41" s="182"/>
      <c r="BO41" s="183"/>
      <c r="BP41" s="183"/>
      <c r="BQ41" s="182"/>
      <c r="BR41" s="182"/>
      <c r="BS41" s="184" t="n">
        <v>51.7</v>
      </c>
      <c r="BT41" s="185" t="n">
        <v>40725</v>
      </c>
      <c r="BU41" s="184" t="n">
        <v>17</v>
      </c>
      <c r="BV41" s="185" t="n">
        <v>40725</v>
      </c>
      <c r="CL41" s="182"/>
      <c r="CM41" s="182"/>
    </row>
    <row r="42" customFormat="false" ht="12.75" hidden="false" customHeight="false" outlineLevel="0" collapsed="false">
      <c r="A42" s="135" t="s">
        <v>444</v>
      </c>
      <c r="B42" s="193" t="s">
        <v>782</v>
      </c>
      <c r="C42" s="193" t="s">
        <v>877</v>
      </c>
      <c r="D42" s="193"/>
      <c r="E42" s="119" t="n">
        <v>17</v>
      </c>
      <c r="F42" s="195" t="n">
        <v>84</v>
      </c>
      <c r="G42" s="119"/>
      <c r="H42" s="119"/>
      <c r="J42" s="118"/>
      <c r="K42" s="118"/>
      <c r="L42" s="181"/>
      <c r="N42" s="182"/>
      <c r="O42" s="182"/>
      <c r="S42" s="184" t="n">
        <v>1334</v>
      </c>
      <c r="T42" s="185" t="n">
        <v>40725</v>
      </c>
      <c r="U42" s="182"/>
      <c r="V42" s="182"/>
      <c r="W42" s="183"/>
      <c r="X42" s="183"/>
      <c r="Y42" s="184" t="n">
        <v>452</v>
      </c>
      <c r="Z42" s="185" t="n">
        <v>40725</v>
      </c>
      <c r="AA42" s="184" t="n">
        <v>63528</v>
      </c>
      <c r="AB42" s="185" t="n">
        <v>40725</v>
      </c>
      <c r="AC42" s="184" t="n">
        <v>25.9</v>
      </c>
      <c r="AD42" s="185" t="n">
        <v>40725</v>
      </c>
      <c r="AE42" s="196"/>
      <c r="AF42" s="185"/>
      <c r="AG42" s="184" t="n">
        <v>4.08</v>
      </c>
      <c r="AH42" s="185" t="n">
        <v>40725</v>
      </c>
      <c r="AI42" s="183"/>
      <c r="AJ42" s="183"/>
      <c r="AK42" s="182"/>
      <c r="AL42" s="182"/>
      <c r="AM42" s="184" t="n">
        <v>81</v>
      </c>
      <c r="AN42" s="183" t="n">
        <v>40630</v>
      </c>
      <c r="AO42" s="182"/>
      <c r="AP42" s="182"/>
      <c r="AQ42" s="183"/>
      <c r="AR42" s="183"/>
      <c r="AS42" s="182"/>
      <c r="AT42" s="182"/>
      <c r="AU42" s="183"/>
      <c r="AV42" s="183"/>
      <c r="AW42" s="182"/>
      <c r="AX42" s="182"/>
      <c r="AY42" s="183"/>
      <c r="AZ42" s="183"/>
      <c r="BA42" s="182"/>
      <c r="BB42" s="182"/>
      <c r="BK42" s="183"/>
      <c r="BL42" s="183"/>
      <c r="BM42" s="182"/>
      <c r="BN42" s="182"/>
      <c r="BO42" s="183"/>
      <c r="BP42" s="183"/>
      <c r="BQ42" s="182"/>
      <c r="BR42" s="182"/>
      <c r="BS42" s="184" t="n">
        <v>51.5</v>
      </c>
      <c r="BT42" s="185" t="n">
        <v>40725</v>
      </c>
      <c r="BU42" s="184" t="n">
        <v>17.4</v>
      </c>
      <c r="BV42" s="185" t="n">
        <v>40725</v>
      </c>
      <c r="CL42" s="182"/>
      <c r="CM42" s="182"/>
    </row>
    <row r="43" customFormat="false" ht="12.75" hidden="false" customHeight="false" outlineLevel="0" collapsed="false">
      <c r="A43" s="135" t="s">
        <v>444</v>
      </c>
      <c r="B43" s="193" t="s">
        <v>785</v>
      </c>
      <c r="C43" s="193" t="s">
        <v>875</v>
      </c>
      <c r="D43" s="193"/>
      <c r="E43" s="194" t="n">
        <v>6</v>
      </c>
      <c r="F43" s="195" t="n">
        <v>10</v>
      </c>
      <c r="G43" s="119"/>
      <c r="H43" s="119"/>
      <c r="J43" s="118"/>
      <c r="K43" s="118"/>
      <c r="L43" s="181"/>
      <c r="N43" s="182"/>
      <c r="O43" s="182"/>
      <c r="S43" s="184" t="n">
        <v>1984</v>
      </c>
      <c r="T43" s="185" t="n">
        <v>40725</v>
      </c>
      <c r="U43" s="182"/>
      <c r="V43" s="182"/>
      <c r="W43" s="183"/>
      <c r="X43" s="183"/>
      <c r="Y43" s="184" t="n">
        <v>635</v>
      </c>
      <c r="Z43" s="185" t="n">
        <v>40725</v>
      </c>
      <c r="AA43" s="184" t="n">
        <v>91303</v>
      </c>
      <c r="AB43" s="185" t="n">
        <v>40725</v>
      </c>
      <c r="AC43" s="184" t="n">
        <v>38</v>
      </c>
      <c r="AD43" s="185" t="n">
        <v>40725</v>
      </c>
      <c r="AE43" s="196"/>
      <c r="AF43" s="185"/>
      <c r="AG43" s="184" t="n">
        <v>4.16</v>
      </c>
      <c r="AH43" s="185" t="n">
        <v>40725</v>
      </c>
      <c r="AI43" s="183"/>
      <c r="AJ43" s="183"/>
      <c r="AK43" s="182"/>
      <c r="AL43" s="182"/>
      <c r="AM43" s="184" t="n">
        <v>84</v>
      </c>
      <c r="AN43" s="183" t="n">
        <v>40630</v>
      </c>
      <c r="AO43" s="182"/>
      <c r="AP43" s="182"/>
      <c r="AQ43" s="183"/>
      <c r="AR43" s="183"/>
      <c r="AS43" s="182"/>
      <c r="AT43" s="182"/>
      <c r="AU43" s="183"/>
      <c r="AV43" s="183"/>
      <c r="AW43" s="182"/>
      <c r="AX43" s="182"/>
      <c r="AY43" s="183"/>
      <c r="AZ43" s="183"/>
      <c r="BA43" s="182"/>
      <c r="BB43" s="182"/>
      <c r="BK43" s="183"/>
      <c r="BL43" s="183"/>
      <c r="BM43" s="182"/>
      <c r="BN43" s="182"/>
      <c r="BO43" s="183"/>
      <c r="BP43" s="183"/>
      <c r="BQ43" s="182"/>
      <c r="BR43" s="182"/>
      <c r="BS43" s="184" t="n">
        <v>52.3</v>
      </c>
      <c r="BT43" s="185" t="n">
        <v>40725</v>
      </c>
      <c r="BU43" s="184" t="n">
        <v>16.7</v>
      </c>
      <c r="BV43" s="185" t="n">
        <v>40725</v>
      </c>
      <c r="CL43" s="182"/>
      <c r="CM43" s="182"/>
    </row>
    <row r="44" customFormat="false" ht="12.75" hidden="false" customHeight="false" outlineLevel="0" collapsed="false">
      <c r="A44" s="135" t="s">
        <v>444</v>
      </c>
      <c r="B44" s="193" t="s">
        <v>785</v>
      </c>
      <c r="C44" s="193" t="s">
        <v>876</v>
      </c>
      <c r="D44" s="193"/>
      <c r="E44" s="194" t="n">
        <v>4</v>
      </c>
      <c r="F44" s="195" t="n">
        <v>38</v>
      </c>
      <c r="G44" s="119"/>
      <c r="H44" s="119"/>
      <c r="J44" s="118"/>
      <c r="K44" s="118"/>
      <c r="L44" s="181"/>
      <c r="N44" s="182"/>
      <c r="O44" s="182"/>
      <c r="S44" s="184" t="n">
        <v>2037</v>
      </c>
      <c r="T44" s="185" t="n">
        <v>40725</v>
      </c>
      <c r="U44" s="182"/>
      <c r="V44" s="182"/>
      <c r="W44" s="183"/>
      <c r="X44" s="183"/>
      <c r="Y44" s="184" t="n">
        <v>713</v>
      </c>
      <c r="Z44" s="185" t="n">
        <v>40725</v>
      </c>
      <c r="AA44" s="184" t="n">
        <v>93994</v>
      </c>
      <c r="AB44" s="185" t="n">
        <v>40725</v>
      </c>
      <c r="AC44" s="184" t="n">
        <v>39.9</v>
      </c>
      <c r="AD44" s="185" t="n">
        <v>40725</v>
      </c>
      <c r="AE44" s="196"/>
      <c r="AF44" s="185"/>
      <c r="AG44" s="184" t="n">
        <v>4.24</v>
      </c>
      <c r="AH44" s="185" t="n">
        <v>40725</v>
      </c>
      <c r="AI44" s="183"/>
      <c r="AJ44" s="183"/>
      <c r="AK44" s="182"/>
      <c r="AL44" s="182"/>
      <c r="AM44" s="184" t="n">
        <v>82</v>
      </c>
      <c r="AN44" s="183" t="n">
        <v>40630</v>
      </c>
      <c r="AO44" s="182"/>
      <c r="AP44" s="182"/>
      <c r="AQ44" s="183"/>
      <c r="AR44" s="183"/>
      <c r="AS44" s="182"/>
      <c r="AT44" s="182"/>
      <c r="AU44" s="183"/>
      <c r="AV44" s="183"/>
      <c r="AW44" s="182"/>
      <c r="AX44" s="182"/>
      <c r="AY44" s="183"/>
      <c r="AZ44" s="183"/>
      <c r="BA44" s="182"/>
      <c r="BB44" s="182"/>
      <c r="BK44" s="183"/>
      <c r="BL44" s="183"/>
      <c r="BM44" s="182"/>
      <c r="BN44" s="182"/>
      <c r="BO44" s="183"/>
      <c r="BP44" s="183"/>
      <c r="BQ44" s="182"/>
      <c r="BR44" s="182"/>
      <c r="BS44" s="184" t="n">
        <v>51.1</v>
      </c>
      <c r="BT44" s="185" t="n">
        <v>40725</v>
      </c>
      <c r="BU44" s="184" t="n">
        <v>17.9</v>
      </c>
      <c r="BV44" s="185" t="n">
        <v>40725</v>
      </c>
      <c r="CL44" s="182"/>
      <c r="CM44" s="182"/>
    </row>
    <row r="45" customFormat="false" ht="12.75" hidden="false" customHeight="false" outlineLevel="0" collapsed="false">
      <c r="A45" s="135" t="s">
        <v>444</v>
      </c>
      <c r="B45" s="193" t="s">
        <v>785</v>
      </c>
      <c r="C45" s="193" t="s">
        <v>877</v>
      </c>
      <c r="D45" s="193"/>
      <c r="E45" s="119" t="n">
        <v>22</v>
      </c>
      <c r="F45" s="195" t="n">
        <v>73</v>
      </c>
      <c r="G45" s="119"/>
      <c r="H45" s="119"/>
      <c r="J45" s="118"/>
      <c r="K45" s="118"/>
      <c r="L45" s="181"/>
      <c r="N45" s="182"/>
      <c r="O45" s="182"/>
      <c r="S45" s="184" t="n">
        <v>1632</v>
      </c>
      <c r="T45" s="185" t="n">
        <v>40725</v>
      </c>
      <c r="U45" s="182"/>
      <c r="V45" s="182"/>
      <c r="W45" s="183"/>
      <c r="X45" s="183"/>
      <c r="Y45" s="184" t="n">
        <v>548</v>
      </c>
      <c r="Z45" s="185" t="n">
        <v>40725</v>
      </c>
      <c r="AA45" s="184" t="n">
        <v>75557</v>
      </c>
      <c r="AB45" s="185" t="n">
        <v>40725</v>
      </c>
      <c r="AC45" s="184" t="n">
        <v>31.4</v>
      </c>
      <c r="AD45" s="185" t="n">
        <v>40725</v>
      </c>
      <c r="AE45" s="196"/>
      <c r="AF45" s="185"/>
      <c r="AG45" s="184" t="n">
        <v>4.15</v>
      </c>
      <c r="AH45" s="185" t="n">
        <v>40725</v>
      </c>
      <c r="AI45" s="183"/>
      <c r="AJ45" s="183"/>
      <c r="AK45" s="182"/>
      <c r="AL45" s="182"/>
      <c r="AM45" s="184" t="n">
        <v>83</v>
      </c>
      <c r="AN45" s="183" t="n">
        <v>40630</v>
      </c>
      <c r="AO45" s="182"/>
      <c r="AP45" s="182"/>
      <c r="AQ45" s="183"/>
      <c r="AR45" s="183"/>
      <c r="AS45" s="182"/>
      <c r="AT45" s="182"/>
      <c r="AU45" s="183"/>
      <c r="AV45" s="183"/>
      <c r="AW45" s="182"/>
      <c r="AX45" s="182"/>
      <c r="AY45" s="183"/>
      <c r="AZ45" s="183"/>
      <c r="BA45" s="182"/>
      <c r="BB45" s="182"/>
      <c r="BK45" s="183"/>
      <c r="BL45" s="183"/>
      <c r="BM45" s="182"/>
      <c r="BN45" s="182"/>
      <c r="BO45" s="183"/>
      <c r="BP45" s="183"/>
      <c r="BQ45" s="182"/>
      <c r="BR45" s="182"/>
      <c r="BS45" s="184" t="n">
        <v>52</v>
      </c>
      <c r="BT45" s="185" t="n">
        <v>40725</v>
      </c>
      <c r="BU45" s="184" t="n">
        <v>17.5</v>
      </c>
      <c r="BV45" s="185" t="n">
        <v>40725</v>
      </c>
      <c r="CL45" s="182"/>
      <c r="CM45" s="182"/>
    </row>
    <row r="46" customFormat="false" ht="12.75" hidden="false" customHeight="false" outlineLevel="0" collapsed="false">
      <c r="A46" s="135" t="s">
        <v>447</v>
      </c>
      <c r="B46" s="193" t="s">
        <v>782</v>
      </c>
      <c r="C46" s="193" t="s">
        <v>875</v>
      </c>
      <c r="D46" s="193"/>
      <c r="E46" s="194" t="n">
        <v>4</v>
      </c>
      <c r="F46" s="195" t="n">
        <v>10</v>
      </c>
      <c r="G46" s="119"/>
      <c r="H46" s="119"/>
      <c r="J46" s="118"/>
      <c r="K46" s="118"/>
      <c r="L46" s="181"/>
      <c r="N46" s="182"/>
      <c r="O46" s="182"/>
      <c r="S46" s="184" t="n">
        <v>2003</v>
      </c>
      <c r="T46" s="185" t="n">
        <v>40725</v>
      </c>
      <c r="U46" s="182"/>
      <c r="V46" s="182"/>
      <c r="W46" s="183"/>
      <c r="X46" s="183"/>
      <c r="Y46" s="184" t="n">
        <v>652</v>
      </c>
      <c r="Z46" s="185" t="n">
        <v>40725</v>
      </c>
      <c r="AA46" s="184" t="n">
        <v>89274</v>
      </c>
      <c r="AB46" s="185" t="n">
        <v>40725</v>
      </c>
      <c r="AC46" s="184" t="n">
        <v>38.3</v>
      </c>
      <c r="AD46" s="185" t="n">
        <v>40725</v>
      </c>
      <c r="AE46" s="196"/>
      <c r="AF46" s="185"/>
      <c r="AG46" s="184" t="n">
        <v>4.29</v>
      </c>
      <c r="AH46" s="185" t="n">
        <v>40725</v>
      </c>
      <c r="AI46" s="183"/>
      <c r="AJ46" s="183"/>
      <c r="AK46" s="182"/>
      <c r="AL46" s="182"/>
      <c r="AM46" s="184" t="n">
        <v>79</v>
      </c>
      <c r="AN46" s="183" t="n">
        <v>40630</v>
      </c>
      <c r="AO46" s="182"/>
      <c r="AP46" s="182"/>
      <c r="AQ46" s="183"/>
      <c r="AR46" s="183"/>
      <c r="AS46" s="182"/>
      <c r="AT46" s="182"/>
      <c r="AU46" s="183"/>
      <c r="AV46" s="183"/>
      <c r="AW46" s="182"/>
      <c r="AX46" s="182"/>
      <c r="AY46" s="183"/>
      <c r="AZ46" s="183"/>
      <c r="BA46" s="182"/>
      <c r="BB46" s="182"/>
      <c r="BK46" s="183"/>
      <c r="BL46" s="183"/>
      <c r="BM46" s="182"/>
      <c r="BN46" s="182"/>
      <c r="BO46" s="183"/>
      <c r="BP46" s="183"/>
      <c r="BQ46" s="182"/>
      <c r="BR46" s="182"/>
      <c r="BS46" s="184" t="n">
        <v>52.2</v>
      </c>
      <c r="BT46" s="185" t="n">
        <v>40725</v>
      </c>
      <c r="BU46" s="184" t="n">
        <v>17</v>
      </c>
      <c r="BV46" s="185" t="n">
        <v>40725</v>
      </c>
      <c r="CL46" s="182"/>
      <c r="CM46" s="182"/>
    </row>
    <row r="47" customFormat="false" ht="12.75" hidden="false" customHeight="false" outlineLevel="0" collapsed="false">
      <c r="A47" s="135" t="s">
        <v>447</v>
      </c>
      <c r="B47" s="193" t="s">
        <v>782</v>
      </c>
      <c r="C47" s="193" t="s">
        <v>876</v>
      </c>
      <c r="D47" s="193"/>
      <c r="E47" s="194" t="n">
        <v>6</v>
      </c>
      <c r="F47" s="195" t="n">
        <v>43</v>
      </c>
      <c r="G47" s="119"/>
      <c r="H47" s="119"/>
      <c r="J47" s="118"/>
      <c r="K47" s="118"/>
      <c r="L47" s="181"/>
      <c r="N47" s="182"/>
      <c r="O47" s="182"/>
      <c r="S47" s="184" t="n">
        <v>1878</v>
      </c>
      <c r="T47" s="185" t="n">
        <v>40725</v>
      </c>
      <c r="U47" s="182"/>
      <c r="V47" s="182"/>
      <c r="W47" s="183"/>
      <c r="X47" s="183"/>
      <c r="Y47" s="184" t="n">
        <v>544</v>
      </c>
      <c r="Z47" s="185" t="n">
        <v>40725</v>
      </c>
      <c r="AA47" s="184" t="n">
        <v>78353</v>
      </c>
      <c r="AB47" s="185" t="n">
        <v>40725</v>
      </c>
      <c r="AC47" s="184" t="n">
        <v>35.1</v>
      </c>
      <c r="AD47" s="185" t="n">
        <v>40725</v>
      </c>
      <c r="AE47" s="196"/>
      <c r="AF47" s="185"/>
      <c r="AG47" s="184" t="n">
        <v>4.48</v>
      </c>
      <c r="AH47" s="185" t="n">
        <v>40725</v>
      </c>
      <c r="AI47" s="183"/>
      <c r="AJ47" s="183"/>
      <c r="AK47" s="182"/>
      <c r="AL47" s="182"/>
      <c r="AM47" s="184" t="n">
        <v>77</v>
      </c>
      <c r="AN47" s="183" t="n">
        <v>40630</v>
      </c>
      <c r="AO47" s="182"/>
      <c r="AP47" s="182"/>
      <c r="AQ47" s="183"/>
      <c r="AR47" s="183"/>
      <c r="AS47" s="182"/>
      <c r="AT47" s="182"/>
      <c r="AU47" s="183"/>
      <c r="AV47" s="183"/>
      <c r="AW47" s="182"/>
      <c r="AX47" s="182"/>
      <c r="AY47" s="183"/>
      <c r="AZ47" s="183"/>
      <c r="BA47" s="182"/>
      <c r="BB47" s="182"/>
      <c r="BK47" s="183"/>
      <c r="BL47" s="183"/>
      <c r="BM47" s="182"/>
      <c r="BN47" s="182"/>
      <c r="BO47" s="183"/>
      <c r="BP47" s="183"/>
      <c r="BQ47" s="182"/>
      <c r="BR47" s="182"/>
      <c r="BS47" s="184" t="n">
        <v>53.5</v>
      </c>
      <c r="BT47" s="185" t="n">
        <v>40725</v>
      </c>
      <c r="BU47" s="184" t="n">
        <v>15.5</v>
      </c>
      <c r="BV47" s="185" t="n">
        <v>40725</v>
      </c>
      <c r="CL47" s="182"/>
      <c r="CM47" s="182"/>
    </row>
    <row r="48" customFormat="false" ht="12.75" hidden="false" customHeight="false" outlineLevel="0" collapsed="false">
      <c r="A48" s="135" t="s">
        <v>447</v>
      </c>
      <c r="B48" s="193" t="s">
        <v>782</v>
      </c>
      <c r="C48" s="193" t="s">
        <v>877</v>
      </c>
      <c r="D48" s="193"/>
      <c r="E48" s="119" t="n">
        <v>18</v>
      </c>
      <c r="F48" s="195" t="n">
        <v>76</v>
      </c>
      <c r="G48" s="119"/>
      <c r="H48" s="119"/>
      <c r="J48" s="118"/>
      <c r="K48" s="118"/>
      <c r="L48" s="181"/>
      <c r="N48" s="182"/>
      <c r="O48" s="182"/>
      <c r="S48" s="184" t="n">
        <v>1747</v>
      </c>
      <c r="T48" s="185" t="n">
        <v>40725</v>
      </c>
      <c r="U48" s="182"/>
      <c r="V48" s="182"/>
      <c r="W48" s="183"/>
      <c r="X48" s="183"/>
      <c r="Y48" s="184" t="n">
        <v>567</v>
      </c>
      <c r="Z48" s="185" t="n">
        <v>40725</v>
      </c>
      <c r="AA48" s="184" t="n">
        <v>73201</v>
      </c>
      <c r="AB48" s="185" t="n">
        <v>40725</v>
      </c>
      <c r="AC48" s="184" t="n">
        <v>33.4</v>
      </c>
      <c r="AD48" s="185" t="n">
        <v>40725</v>
      </c>
      <c r="AE48" s="196"/>
      <c r="AF48" s="185"/>
      <c r="AG48" s="184" t="n">
        <v>4.57</v>
      </c>
      <c r="AH48" s="185" t="n">
        <v>40725</v>
      </c>
      <c r="AI48" s="183"/>
      <c r="AJ48" s="183"/>
      <c r="AK48" s="182"/>
      <c r="AL48" s="182"/>
      <c r="AM48" s="184" t="n">
        <v>77</v>
      </c>
      <c r="AN48" s="183" t="n">
        <v>40630</v>
      </c>
      <c r="AO48" s="182"/>
      <c r="AP48" s="182"/>
      <c r="AQ48" s="183"/>
      <c r="AR48" s="183"/>
      <c r="AS48" s="182"/>
      <c r="AT48" s="182"/>
      <c r="AU48" s="183"/>
      <c r="AV48" s="183"/>
      <c r="AW48" s="182"/>
      <c r="AX48" s="182"/>
      <c r="AY48" s="183"/>
      <c r="AZ48" s="183"/>
      <c r="BA48" s="182"/>
      <c r="BB48" s="182"/>
      <c r="BK48" s="183"/>
      <c r="BL48" s="183"/>
      <c r="BM48" s="182"/>
      <c r="BN48" s="182"/>
      <c r="BO48" s="183"/>
      <c r="BP48" s="183"/>
      <c r="BQ48" s="182"/>
      <c r="BR48" s="182"/>
      <c r="BS48" s="184" t="n">
        <v>52.3</v>
      </c>
      <c r="BT48" s="185" t="n">
        <v>40725</v>
      </c>
      <c r="BU48" s="184" t="n">
        <v>17</v>
      </c>
      <c r="BV48" s="185" t="n">
        <v>40725</v>
      </c>
      <c r="CL48" s="182"/>
      <c r="CM48" s="182"/>
    </row>
    <row r="49" customFormat="false" ht="12.75" hidden="false" customHeight="false" outlineLevel="0" collapsed="false">
      <c r="A49" s="135" t="s">
        <v>447</v>
      </c>
      <c r="B49" s="193" t="s">
        <v>785</v>
      </c>
      <c r="C49" s="193" t="s">
        <v>875</v>
      </c>
      <c r="D49" s="193"/>
      <c r="E49" s="194" t="n">
        <v>5</v>
      </c>
      <c r="F49" s="195" t="n">
        <v>20</v>
      </c>
      <c r="G49" s="119"/>
      <c r="H49" s="119"/>
      <c r="J49" s="118"/>
      <c r="K49" s="118"/>
      <c r="L49" s="181"/>
      <c r="N49" s="182"/>
      <c r="O49" s="182"/>
      <c r="S49" s="184" t="n">
        <v>2461</v>
      </c>
      <c r="T49" s="185" t="n">
        <v>40725</v>
      </c>
      <c r="U49" s="182"/>
      <c r="V49" s="182"/>
      <c r="W49" s="183"/>
      <c r="X49" s="183"/>
      <c r="Y49" s="184" t="n">
        <v>709</v>
      </c>
      <c r="Z49" s="185" t="n">
        <v>40725</v>
      </c>
      <c r="AA49" s="184" t="n">
        <v>105805</v>
      </c>
      <c r="AB49" s="185" t="n">
        <v>40725</v>
      </c>
      <c r="AC49" s="184" t="n">
        <v>45.7</v>
      </c>
      <c r="AD49" s="185" t="n">
        <v>40725</v>
      </c>
      <c r="AE49" s="196"/>
      <c r="AF49" s="185"/>
      <c r="AG49" s="184" t="n">
        <v>4.32</v>
      </c>
      <c r="AH49" s="185" t="n">
        <v>40725</v>
      </c>
      <c r="AI49" s="183"/>
      <c r="AJ49" s="183"/>
      <c r="AK49" s="182"/>
      <c r="AL49" s="182"/>
      <c r="AM49" s="184" t="n">
        <v>81</v>
      </c>
      <c r="AN49" s="183" t="n">
        <v>40630</v>
      </c>
      <c r="AO49" s="182"/>
      <c r="AP49" s="182"/>
      <c r="AQ49" s="183"/>
      <c r="AR49" s="183"/>
      <c r="AS49" s="182"/>
      <c r="AT49" s="182"/>
      <c r="AU49" s="183"/>
      <c r="AV49" s="183"/>
      <c r="AW49" s="182"/>
      <c r="AX49" s="182"/>
      <c r="AY49" s="183"/>
      <c r="AZ49" s="183"/>
      <c r="BA49" s="182"/>
      <c r="BB49" s="182"/>
      <c r="BK49" s="183"/>
      <c r="BL49" s="183"/>
      <c r="BM49" s="182"/>
      <c r="BN49" s="182"/>
      <c r="BO49" s="183"/>
      <c r="BP49" s="183"/>
      <c r="BQ49" s="182"/>
      <c r="BR49" s="182"/>
      <c r="BS49" s="184" t="n">
        <v>53.8</v>
      </c>
      <c r="BT49" s="185" t="n">
        <v>40725</v>
      </c>
      <c r="BU49" s="184" t="n">
        <v>15.5</v>
      </c>
      <c r="BV49" s="185" t="n">
        <v>40725</v>
      </c>
      <c r="CL49" s="182"/>
      <c r="CM49" s="182"/>
    </row>
    <row r="50" customFormat="false" ht="12.75" hidden="false" customHeight="false" outlineLevel="0" collapsed="false">
      <c r="A50" s="135" t="s">
        <v>447</v>
      </c>
      <c r="B50" s="193" t="s">
        <v>785</v>
      </c>
      <c r="C50" s="193" t="s">
        <v>876</v>
      </c>
      <c r="D50" s="193"/>
      <c r="E50" s="194" t="n">
        <v>2</v>
      </c>
      <c r="F50" s="195" t="n">
        <v>44</v>
      </c>
      <c r="G50" s="119"/>
      <c r="H50" s="119"/>
      <c r="J50" s="118"/>
      <c r="K50" s="118"/>
      <c r="L50" s="181"/>
      <c r="N50" s="182"/>
      <c r="O50" s="182"/>
      <c r="S50" s="184" t="n">
        <v>2126</v>
      </c>
      <c r="T50" s="185" t="n">
        <v>40725</v>
      </c>
      <c r="U50" s="182"/>
      <c r="V50" s="182"/>
      <c r="W50" s="183"/>
      <c r="X50" s="183"/>
      <c r="Y50" s="184" t="n">
        <v>674</v>
      </c>
      <c r="Z50" s="185" t="n">
        <v>40725</v>
      </c>
      <c r="AA50" s="184" t="n">
        <v>87892</v>
      </c>
      <c r="AB50" s="185" t="n">
        <v>40725</v>
      </c>
      <c r="AC50" s="184" t="n">
        <v>40.2</v>
      </c>
      <c r="AD50" s="185" t="n">
        <v>40725</v>
      </c>
      <c r="AE50" s="196"/>
      <c r="AF50" s="185"/>
      <c r="AG50" s="184" t="n">
        <v>4.57</v>
      </c>
      <c r="AH50" s="185" t="n">
        <v>40725</v>
      </c>
      <c r="AI50" s="183"/>
      <c r="AJ50" s="183"/>
      <c r="AK50" s="182"/>
      <c r="AL50" s="182"/>
      <c r="AM50" s="184" t="n">
        <v>81</v>
      </c>
      <c r="AN50" s="183" t="n">
        <v>40630</v>
      </c>
      <c r="AO50" s="182"/>
      <c r="AP50" s="182"/>
      <c r="AQ50" s="183"/>
      <c r="AR50" s="183"/>
      <c r="AS50" s="182"/>
      <c r="AT50" s="182"/>
      <c r="AU50" s="183"/>
      <c r="AV50" s="183"/>
      <c r="AW50" s="182"/>
      <c r="AX50" s="182"/>
      <c r="AY50" s="183"/>
      <c r="AZ50" s="183"/>
      <c r="BA50" s="182"/>
      <c r="BB50" s="182"/>
      <c r="BK50" s="183"/>
      <c r="BL50" s="183"/>
      <c r="BM50" s="182"/>
      <c r="BN50" s="182"/>
      <c r="BO50" s="183"/>
      <c r="BP50" s="183"/>
      <c r="BQ50" s="182"/>
      <c r="BR50" s="182"/>
      <c r="BS50" s="184" t="n">
        <v>52.9</v>
      </c>
      <c r="BT50" s="185" t="n">
        <v>40725</v>
      </c>
      <c r="BU50" s="184" t="n">
        <v>16.8</v>
      </c>
      <c r="BV50" s="185" t="n">
        <v>40725</v>
      </c>
      <c r="CL50" s="182"/>
      <c r="CM50" s="182"/>
    </row>
    <row r="51" customFormat="false" ht="12.75" hidden="false" customHeight="false" outlineLevel="0" collapsed="false">
      <c r="A51" s="135" t="s">
        <v>447</v>
      </c>
      <c r="B51" s="193" t="s">
        <v>785</v>
      </c>
      <c r="C51" s="193" t="s">
        <v>877</v>
      </c>
      <c r="D51" s="193"/>
      <c r="E51" s="119" t="n">
        <v>24</v>
      </c>
      <c r="F51" s="195" t="n">
        <v>72</v>
      </c>
      <c r="G51" s="119"/>
      <c r="H51" s="119"/>
      <c r="J51" s="118"/>
      <c r="K51" s="118"/>
      <c r="L51" s="181"/>
      <c r="N51" s="182"/>
      <c r="O51" s="182"/>
      <c r="S51" s="184" t="n">
        <v>1979</v>
      </c>
      <c r="T51" s="185" t="n">
        <v>40725</v>
      </c>
      <c r="U51" s="182"/>
      <c r="V51" s="182"/>
      <c r="W51" s="183"/>
      <c r="X51" s="183"/>
      <c r="Y51" s="184" t="n">
        <v>621</v>
      </c>
      <c r="Z51" s="185" t="n">
        <v>40725</v>
      </c>
      <c r="AA51" s="184" t="n">
        <v>84244</v>
      </c>
      <c r="AB51" s="185" t="n">
        <v>40725</v>
      </c>
      <c r="AC51" s="184" t="n">
        <v>37.5</v>
      </c>
      <c r="AD51" s="185" t="n">
        <v>40725</v>
      </c>
      <c r="AE51" s="196"/>
      <c r="AF51" s="185"/>
      <c r="AG51" s="184" t="n">
        <v>4.45</v>
      </c>
      <c r="AH51" s="185" t="n">
        <v>40725</v>
      </c>
      <c r="AI51" s="183"/>
      <c r="AJ51" s="183"/>
      <c r="AK51" s="182"/>
      <c r="AL51" s="182"/>
      <c r="AM51" s="184" t="n">
        <v>81</v>
      </c>
      <c r="AN51" s="183" t="n">
        <v>40630</v>
      </c>
      <c r="AO51" s="182"/>
      <c r="AP51" s="182"/>
      <c r="AQ51" s="183"/>
      <c r="AR51" s="183"/>
      <c r="AS51" s="182"/>
      <c r="AT51" s="182"/>
      <c r="AU51" s="183"/>
      <c r="AV51" s="183"/>
      <c r="AW51" s="182"/>
      <c r="AX51" s="182"/>
      <c r="AY51" s="183"/>
      <c r="AZ51" s="183"/>
      <c r="BA51" s="182"/>
      <c r="BB51" s="182"/>
      <c r="BK51" s="183"/>
      <c r="BL51" s="183"/>
      <c r="BM51" s="182"/>
      <c r="BN51" s="182"/>
      <c r="BO51" s="183"/>
      <c r="BP51" s="183"/>
      <c r="BQ51" s="182"/>
      <c r="BR51" s="182"/>
      <c r="BS51" s="184" t="n">
        <v>52.8</v>
      </c>
      <c r="BT51" s="185" t="n">
        <v>40725</v>
      </c>
      <c r="BU51" s="184" t="n">
        <v>16.6</v>
      </c>
      <c r="BV51" s="185" t="n">
        <v>40725</v>
      </c>
      <c r="CL51" s="182"/>
      <c r="CM51" s="182"/>
    </row>
    <row r="52" customFormat="false" ht="12.75" hidden="false" customHeight="false" outlineLevel="0" collapsed="false">
      <c r="A52" s="135" t="s">
        <v>450</v>
      </c>
      <c r="B52" s="193" t="s">
        <v>782</v>
      </c>
      <c r="C52" s="193" t="s">
        <v>875</v>
      </c>
      <c r="D52" s="193"/>
      <c r="E52" s="194" t="n">
        <v>1</v>
      </c>
      <c r="F52" s="195" t="n">
        <v>15</v>
      </c>
      <c r="G52" s="119"/>
      <c r="H52" s="119"/>
      <c r="J52" s="118"/>
      <c r="K52" s="118"/>
      <c r="L52" s="181"/>
      <c r="N52" s="182"/>
      <c r="O52" s="182"/>
      <c r="S52" s="184" t="n">
        <v>1766</v>
      </c>
      <c r="T52" s="185" t="n">
        <v>40725</v>
      </c>
      <c r="U52" s="182"/>
      <c r="V52" s="182"/>
      <c r="W52" s="183"/>
      <c r="X52" s="183"/>
      <c r="Y52" s="184" t="n">
        <v>511</v>
      </c>
      <c r="Z52" s="185" t="n">
        <v>40725</v>
      </c>
      <c r="AA52" s="184" t="n">
        <v>80638</v>
      </c>
      <c r="AB52" s="185" t="n">
        <v>40725</v>
      </c>
      <c r="AC52" s="184" t="n">
        <v>33</v>
      </c>
      <c r="AD52" s="185" t="n">
        <v>40725</v>
      </c>
      <c r="AE52" s="196"/>
      <c r="AF52" s="185"/>
      <c r="AG52" s="184" t="n">
        <v>4.09</v>
      </c>
      <c r="AH52" s="185" t="n">
        <v>40725</v>
      </c>
      <c r="AI52" s="183"/>
      <c r="AJ52" s="183"/>
      <c r="AK52" s="182"/>
      <c r="AL52" s="182"/>
      <c r="AM52" s="184" t="n">
        <v>84</v>
      </c>
      <c r="AN52" s="183" t="n">
        <v>40630</v>
      </c>
      <c r="AO52" s="182"/>
      <c r="AP52" s="182"/>
      <c r="AQ52" s="183"/>
      <c r="AR52" s="183"/>
      <c r="AS52" s="182"/>
      <c r="AT52" s="182"/>
      <c r="AU52" s="183"/>
      <c r="AV52" s="183"/>
      <c r="AW52" s="182"/>
      <c r="AX52" s="182"/>
      <c r="AY52" s="183"/>
      <c r="AZ52" s="183"/>
      <c r="BA52" s="182"/>
      <c r="BB52" s="182"/>
      <c r="BK52" s="183"/>
      <c r="BL52" s="183"/>
      <c r="BM52" s="182"/>
      <c r="BN52" s="182"/>
      <c r="BO52" s="183"/>
      <c r="BP52" s="183"/>
      <c r="BQ52" s="182"/>
      <c r="BR52" s="182"/>
      <c r="BS52" s="184" t="n">
        <v>53.5</v>
      </c>
      <c r="BT52" s="185" t="n">
        <v>40725</v>
      </c>
      <c r="BU52" s="184" t="n">
        <v>15.5</v>
      </c>
      <c r="BV52" s="185" t="n">
        <v>40725</v>
      </c>
      <c r="CL52" s="182"/>
      <c r="CM52" s="182"/>
    </row>
    <row r="53" customFormat="false" ht="12.75" hidden="false" customHeight="false" outlineLevel="0" collapsed="false">
      <c r="A53" s="135" t="s">
        <v>450</v>
      </c>
      <c r="B53" s="193" t="s">
        <v>782</v>
      </c>
      <c r="C53" s="193" t="s">
        <v>876</v>
      </c>
      <c r="D53" s="193"/>
      <c r="E53" s="194" t="n">
        <v>6</v>
      </c>
      <c r="F53" s="195" t="n">
        <v>34</v>
      </c>
      <c r="G53" s="119"/>
      <c r="H53" s="119"/>
      <c r="J53" s="118"/>
      <c r="K53" s="118"/>
      <c r="L53" s="181"/>
      <c r="N53" s="182"/>
      <c r="O53" s="182"/>
      <c r="S53" s="184" t="n">
        <v>1865</v>
      </c>
      <c r="T53" s="185" t="n">
        <v>40725</v>
      </c>
      <c r="U53" s="182"/>
      <c r="V53" s="182"/>
      <c r="W53" s="183"/>
      <c r="X53" s="183"/>
      <c r="Y53" s="184" t="n">
        <v>552</v>
      </c>
      <c r="Z53" s="185" t="n">
        <v>40725</v>
      </c>
      <c r="AA53" s="184" t="n">
        <v>83139</v>
      </c>
      <c r="AB53" s="185" t="n">
        <v>40725</v>
      </c>
      <c r="AC53" s="184" t="n">
        <v>35.2</v>
      </c>
      <c r="AD53" s="185" t="n">
        <v>40725</v>
      </c>
      <c r="AE53" s="196"/>
      <c r="AF53" s="185"/>
      <c r="AG53" s="184" t="n">
        <v>4.23</v>
      </c>
      <c r="AH53" s="185" t="n">
        <v>40725</v>
      </c>
      <c r="AI53" s="183"/>
      <c r="AJ53" s="183"/>
      <c r="AK53" s="182"/>
      <c r="AL53" s="182"/>
      <c r="AM53" s="184" t="n">
        <v>83</v>
      </c>
      <c r="AN53" s="183" t="n">
        <v>40630</v>
      </c>
      <c r="AO53" s="182"/>
      <c r="AP53" s="182"/>
      <c r="AQ53" s="183"/>
      <c r="AR53" s="183"/>
      <c r="AS53" s="182"/>
      <c r="AT53" s="182"/>
      <c r="AU53" s="183"/>
      <c r="AV53" s="183"/>
      <c r="AW53" s="182"/>
      <c r="AX53" s="182"/>
      <c r="AY53" s="183"/>
      <c r="AZ53" s="183"/>
      <c r="BA53" s="182"/>
      <c r="BB53" s="182"/>
      <c r="BK53" s="183"/>
      <c r="BL53" s="183"/>
      <c r="BM53" s="182"/>
      <c r="BN53" s="182"/>
      <c r="BO53" s="183"/>
      <c r="BP53" s="183"/>
      <c r="BQ53" s="182"/>
      <c r="BR53" s="182"/>
      <c r="BS53" s="184" t="n">
        <v>53</v>
      </c>
      <c r="BT53" s="185" t="n">
        <v>40725</v>
      </c>
      <c r="BU53" s="184" t="n">
        <v>15.7</v>
      </c>
      <c r="BV53" s="185" t="n">
        <v>40725</v>
      </c>
      <c r="CL53" s="182"/>
      <c r="CM53" s="182"/>
    </row>
    <row r="54" customFormat="false" ht="12.75" hidden="false" customHeight="false" outlineLevel="0" collapsed="false">
      <c r="A54" s="135" t="s">
        <v>450</v>
      </c>
      <c r="B54" s="193" t="s">
        <v>782</v>
      </c>
      <c r="C54" s="193" t="s">
        <v>877</v>
      </c>
      <c r="D54" s="193"/>
      <c r="E54" s="119" t="n">
        <v>15</v>
      </c>
      <c r="F54" s="195" t="n">
        <v>65</v>
      </c>
      <c r="G54" s="119"/>
      <c r="H54" s="119"/>
      <c r="J54" s="118"/>
      <c r="K54" s="118"/>
      <c r="L54" s="181"/>
      <c r="N54" s="182"/>
      <c r="O54" s="182"/>
      <c r="S54" s="184" t="n">
        <v>1400</v>
      </c>
      <c r="T54" s="185" t="n">
        <v>40725</v>
      </c>
      <c r="U54" s="182"/>
      <c r="V54" s="182"/>
      <c r="W54" s="183"/>
      <c r="X54" s="183"/>
      <c r="Y54" s="184" t="n">
        <v>431</v>
      </c>
      <c r="Z54" s="185" t="n">
        <v>40725</v>
      </c>
      <c r="AA54" s="184" t="n">
        <v>62206</v>
      </c>
      <c r="AB54" s="185" t="n">
        <v>40725</v>
      </c>
      <c r="AC54" s="184" t="n">
        <v>26.5</v>
      </c>
      <c r="AD54" s="185" t="n">
        <v>40725</v>
      </c>
      <c r="AE54" s="196"/>
      <c r="AF54" s="185"/>
      <c r="AG54" s="184" t="n">
        <v>4.27</v>
      </c>
      <c r="AH54" s="185" t="n">
        <v>40725</v>
      </c>
      <c r="AI54" s="183"/>
      <c r="AJ54" s="183"/>
      <c r="AK54" s="182"/>
      <c r="AL54" s="182"/>
      <c r="AM54" s="184" t="n">
        <v>84</v>
      </c>
      <c r="AN54" s="183" t="n">
        <v>40630</v>
      </c>
      <c r="AO54" s="182"/>
      <c r="AP54" s="182"/>
      <c r="AQ54" s="183"/>
      <c r="AR54" s="183"/>
      <c r="AS54" s="182"/>
      <c r="AT54" s="182"/>
      <c r="AU54" s="183"/>
      <c r="AV54" s="183"/>
      <c r="AW54" s="182"/>
      <c r="AX54" s="182"/>
      <c r="AY54" s="183"/>
      <c r="AZ54" s="183"/>
      <c r="BA54" s="182"/>
      <c r="BB54" s="182"/>
      <c r="BK54" s="183"/>
      <c r="BL54" s="183"/>
      <c r="BM54" s="182"/>
      <c r="BN54" s="182"/>
      <c r="BO54" s="183"/>
      <c r="BP54" s="183"/>
      <c r="BQ54" s="182"/>
      <c r="BR54" s="182"/>
      <c r="BS54" s="184" t="n">
        <v>52.8</v>
      </c>
      <c r="BT54" s="185" t="n">
        <v>40725</v>
      </c>
      <c r="BU54" s="184" t="n">
        <v>16.3</v>
      </c>
      <c r="BV54" s="185" t="n">
        <v>40725</v>
      </c>
      <c r="CL54" s="182"/>
      <c r="CM54" s="182"/>
    </row>
    <row r="55" customFormat="false" ht="12.75" hidden="false" customHeight="false" outlineLevel="0" collapsed="false">
      <c r="A55" s="135" t="s">
        <v>450</v>
      </c>
      <c r="B55" s="193" t="s">
        <v>785</v>
      </c>
      <c r="C55" s="193" t="s">
        <v>875</v>
      </c>
      <c r="D55" s="193"/>
      <c r="E55" s="194" t="n">
        <v>5</v>
      </c>
      <c r="F55" s="195" t="n">
        <v>29</v>
      </c>
      <c r="G55" s="119"/>
      <c r="H55" s="119"/>
      <c r="J55" s="118"/>
      <c r="K55" s="118"/>
      <c r="L55" s="181"/>
      <c r="N55" s="182"/>
      <c r="O55" s="182"/>
      <c r="S55" s="184" t="n">
        <v>2611</v>
      </c>
      <c r="T55" s="185" t="n">
        <v>40725</v>
      </c>
      <c r="U55" s="182"/>
      <c r="V55" s="182"/>
      <c r="W55" s="183"/>
      <c r="X55" s="183"/>
      <c r="Y55" s="184" t="n">
        <v>804</v>
      </c>
      <c r="Z55" s="185" t="n">
        <v>40725</v>
      </c>
      <c r="AA55" s="184" t="n">
        <v>118782</v>
      </c>
      <c r="AB55" s="185" t="n">
        <v>40725</v>
      </c>
      <c r="AC55" s="184" t="n">
        <v>49.5</v>
      </c>
      <c r="AD55" s="185" t="n">
        <v>40725</v>
      </c>
      <c r="AE55" s="196"/>
      <c r="AF55" s="185"/>
      <c r="AG55" s="184" t="n">
        <v>4.17</v>
      </c>
      <c r="AH55" s="185" t="n">
        <v>40725</v>
      </c>
      <c r="AI55" s="183"/>
      <c r="AJ55" s="183"/>
      <c r="AK55" s="182"/>
      <c r="AL55" s="182"/>
      <c r="AM55" s="184" t="n">
        <v>85</v>
      </c>
      <c r="AN55" s="183" t="n">
        <v>40630</v>
      </c>
      <c r="AO55" s="182"/>
      <c r="AP55" s="182"/>
      <c r="AQ55" s="183"/>
      <c r="AR55" s="183"/>
      <c r="AS55" s="182"/>
      <c r="AT55" s="182"/>
      <c r="AU55" s="183"/>
      <c r="AV55" s="183"/>
      <c r="AW55" s="182"/>
      <c r="AX55" s="182"/>
      <c r="AY55" s="183"/>
      <c r="AZ55" s="183"/>
      <c r="BA55" s="182"/>
      <c r="BB55" s="182"/>
      <c r="BK55" s="183"/>
      <c r="BL55" s="183"/>
      <c r="BM55" s="182"/>
      <c r="BN55" s="182"/>
      <c r="BO55" s="183"/>
      <c r="BP55" s="183"/>
      <c r="BQ55" s="182"/>
      <c r="BR55" s="182"/>
      <c r="BS55" s="184" t="n">
        <v>52.7</v>
      </c>
      <c r="BT55" s="185" t="n">
        <v>40725</v>
      </c>
      <c r="BU55" s="184" t="n">
        <v>16.2</v>
      </c>
      <c r="BV55" s="185" t="n">
        <v>40725</v>
      </c>
      <c r="CL55" s="182"/>
      <c r="CM55" s="182"/>
    </row>
    <row r="56" customFormat="false" ht="12.75" hidden="false" customHeight="false" outlineLevel="0" collapsed="false">
      <c r="A56" s="135" t="s">
        <v>450</v>
      </c>
      <c r="B56" s="193" t="s">
        <v>785</v>
      </c>
      <c r="C56" s="193" t="s">
        <v>876</v>
      </c>
      <c r="D56" s="193"/>
      <c r="E56" s="194" t="n">
        <v>3</v>
      </c>
      <c r="F56" s="195" t="n">
        <v>35</v>
      </c>
      <c r="G56" s="119"/>
      <c r="H56" s="119"/>
      <c r="J56" s="118"/>
      <c r="K56" s="118"/>
      <c r="L56" s="181"/>
      <c r="N56" s="182"/>
      <c r="O56" s="182"/>
      <c r="S56" s="184" t="n">
        <v>2137</v>
      </c>
      <c r="T56" s="185" t="n">
        <v>40725</v>
      </c>
      <c r="U56" s="182"/>
      <c r="V56" s="182"/>
      <c r="W56" s="183"/>
      <c r="X56" s="183"/>
      <c r="Y56" s="184" t="n">
        <v>727</v>
      </c>
      <c r="Z56" s="185" t="n">
        <v>40725</v>
      </c>
      <c r="AA56" s="184" t="n">
        <v>95278</v>
      </c>
      <c r="AB56" s="185" t="n">
        <v>40725</v>
      </c>
      <c r="AC56" s="184" t="n">
        <v>41.5</v>
      </c>
      <c r="AD56" s="185" t="n">
        <v>40725</v>
      </c>
      <c r="AE56" s="196"/>
      <c r="AF56" s="185"/>
      <c r="AG56" s="184" t="n">
        <v>4.36</v>
      </c>
      <c r="AH56" s="185" t="n">
        <v>40725</v>
      </c>
      <c r="AI56" s="183"/>
      <c r="AJ56" s="183"/>
      <c r="AK56" s="182"/>
      <c r="AL56" s="182"/>
      <c r="AM56" s="184" t="n">
        <v>85</v>
      </c>
      <c r="AN56" s="183" t="n">
        <v>40630</v>
      </c>
      <c r="AO56" s="182"/>
      <c r="AP56" s="182"/>
      <c r="AQ56" s="183"/>
      <c r="AR56" s="183"/>
      <c r="AS56" s="182"/>
      <c r="AT56" s="182"/>
      <c r="AU56" s="183"/>
      <c r="AV56" s="183"/>
      <c r="AW56" s="182"/>
      <c r="AX56" s="182"/>
      <c r="AY56" s="183"/>
      <c r="AZ56" s="183"/>
      <c r="BA56" s="182"/>
      <c r="BB56" s="182"/>
      <c r="BK56" s="183"/>
      <c r="BL56" s="183"/>
      <c r="BM56" s="182"/>
      <c r="BN56" s="182"/>
      <c r="BO56" s="183"/>
      <c r="BP56" s="183"/>
      <c r="BQ56" s="182"/>
      <c r="BR56" s="182"/>
      <c r="BS56" s="184" t="n">
        <v>51.4</v>
      </c>
      <c r="BT56" s="185" t="n">
        <v>40725</v>
      </c>
      <c r="BU56" s="184" t="n">
        <v>17.5</v>
      </c>
      <c r="BV56" s="185" t="n">
        <v>40725</v>
      </c>
      <c r="CL56" s="182"/>
      <c r="CM56" s="182"/>
    </row>
    <row r="57" customFormat="false" ht="12.75" hidden="false" customHeight="false" outlineLevel="0" collapsed="false">
      <c r="A57" s="135" t="s">
        <v>450</v>
      </c>
      <c r="B57" s="193" t="s">
        <v>785</v>
      </c>
      <c r="C57" s="193" t="s">
        <v>877</v>
      </c>
      <c r="D57" s="193"/>
      <c r="E57" s="119" t="n">
        <v>21</v>
      </c>
      <c r="F57" s="195" t="n">
        <v>85</v>
      </c>
      <c r="G57" s="119"/>
      <c r="H57" s="119"/>
      <c r="J57" s="118"/>
      <c r="K57" s="118"/>
      <c r="L57" s="181"/>
      <c r="N57" s="182"/>
      <c r="O57" s="182"/>
      <c r="S57" s="184" t="n">
        <v>2023</v>
      </c>
      <c r="T57" s="185" t="n">
        <v>40725</v>
      </c>
      <c r="U57" s="182"/>
      <c r="V57" s="182"/>
      <c r="W57" s="183"/>
      <c r="X57" s="183"/>
      <c r="Y57" s="184" t="n">
        <v>717</v>
      </c>
      <c r="Z57" s="185" t="n">
        <v>40725</v>
      </c>
      <c r="AA57" s="184" t="n">
        <v>87086</v>
      </c>
      <c r="AB57" s="185" t="n">
        <v>40725</v>
      </c>
      <c r="AC57" s="184" t="n">
        <v>39.6</v>
      </c>
      <c r="AD57" s="185" t="n">
        <v>40725</v>
      </c>
      <c r="AE57" s="196"/>
      <c r="AF57" s="185"/>
      <c r="AG57" s="184" t="n">
        <v>4.55</v>
      </c>
      <c r="AH57" s="185" t="n">
        <v>40725</v>
      </c>
      <c r="AI57" s="183"/>
      <c r="AJ57" s="183"/>
      <c r="AK57" s="182"/>
      <c r="AL57" s="182"/>
      <c r="AM57" s="184" t="n">
        <v>85</v>
      </c>
      <c r="AN57" s="183" t="n">
        <v>40630</v>
      </c>
      <c r="AO57" s="182"/>
      <c r="AP57" s="182"/>
      <c r="AQ57" s="183"/>
      <c r="AR57" s="183"/>
      <c r="AS57" s="182"/>
      <c r="AT57" s="182"/>
      <c r="AU57" s="183"/>
      <c r="AV57" s="183"/>
      <c r="AW57" s="182"/>
      <c r="AX57" s="182"/>
      <c r="AY57" s="183"/>
      <c r="AZ57" s="183"/>
      <c r="BA57" s="182"/>
      <c r="BB57" s="182"/>
      <c r="BK57" s="183"/>
      <c r="BL57" s="183"/>
      <c r="BM57" s="182"/>
      <c r="BN57" s="182"/>
      <c r="BO57" s="183"/>
      <c r="BP57" s="183"/>
      <c r="BQ57" s="182"/>
      <c r="BR57" s="182"/>
      <c r="BS57" s="184" t="n">
        <v>51.1</v>
      </c>
      <c r="BT57" s="185" t="n">
        <v>40725</v>
      </c>
      <c r="BU57" s="184" t="n">
        <v>18.1</v>
      </c>
      <c r="BV57" s="185" t="n">
        <v>40725</v>
      </c>
      <c r="CL57" s="182"/>
      <c r="CM57" s="182"/>
    </row>
    <row r="58" customFormat="false" ht="12.75" hidden="false" customHeight="false" outlineLevel="0" collapsed="false">
      <c r="A58" s="135" t="s">
        <v>453</v>
      </c>
      <c r="B58" s="193" t="s">
        <v>782</v>
      </c>
      <c r="C58" s="193" t="s">
        <v>875</v>
      </c>
      <c r="D58" s="193"/>
      <c r="E58" s="194" t="n">
        <v>4</v>
      </c>
      <c r="F58" s="195" t="n">
        <v>29</v>
      </c>
      <c r="G58" s="119"/>
      <c r="H58" s="119"/>
      <c r="J58" s="118"/>
      <c r="K58" s="118"/>
      <c r="L58" s="181"/>
      <c r="N58" s="182"/>
      <c r="O58" s="182"/>
      <c r="S58" s="184" t="n">
        <v>1883</v>
      </c>
      <c r="T58" s="185" t="n">
        <v>40725</v>
      </c>
      <c r="U58" s="182"/>
      <c r="V58" s="182"/>
      <c r="W58" s="183"/>
      <c r="X58" s="183"/>
      <c r="Y58" s="184" t="n">
        <v>560</v>
      </c>
      <c r="Z58" s="185" t="n">
        <v>40725</v>
      </c>
      <c r="AA58" s="184" t="n">
        <v>85751</v>
      </c>
      <c r="AB58" s="185" t="n">
        <v>40725</v>
      </c>
      <c r="AC58" s="184" t="n">
        <v>36.1</v>
      </c>
      <c r="AD58" s="185" t="n">
        <v>40725</v>
      </c>
      <c r="AE58" s="196"/>
      <c r="AF58" s="185"/>
      <c r="AG58" s="184" t="n">
        <v>4.21</v>
      </c>
      <c r="AH58" s="185" t="n">
        <v>40725</v>
      </c>
      <c r="AI58" s="183"/>
      <c r="AJ58" s="183"/>
      <c r="AK58" s="182"/>
      <c r="AL58" s="182"/>
      <c r="AM58" s="184" t="n">
        <v>82</v>
      </c>
      <c r="AN58" s="183" t="n">
        <v>40630</v>
      </c>
      <c r="AO58" s="182"/>
      <c r="AP58" s="182"/>
      <c r="AQ58" s="183"/>
      <c r="AR58" s="183"/>
      <c r="AS58" s="182"/>
      <c r="AT58" s="182"/>
      <c r="AU58" s="183"/>
      <c r="AV58" s="183"/>
      <c r="AW58" s="182"/>
      <c r="AX58" s="182"/>
      <c r="AY58" s="183"/>
      <c r="AZ58" s="183"/>
      <c r="BA58" s="182"/>
      <c r="BB58" s="182"/>
      <c r="BK58" s="183"/>
      <c r="BL58" s="183"/>
      <c r="BM58" s="182"/>
      <c r="BN58" s="182"/>
      <c r="BO58" s="183"/>
      <c r="BP58" s="183"/>
      <c r="BQ58" s="182"/>
      <c r="BR58" s="182"/>
      <c r="BS58" s="184" t="n">
        <v>52.1</v>
      </c>
      <c r="BT58" s="185" t="n">
        <v>40725</v>
      </c>
      <c r="BU58" s="184" t="n">
        <v>15.5</v>
      </c>
      <c r="BV58" s="185" t="n">
        <v>40725</v>
      </c>
      <c r="CL58" s="182"/>
      <c r="CM58" s="182"/>
    </row>
    <row r="59" customFormat="false" ht="12.75" hidden="false" customHeight="false" outlineLevel="0" collapsed="false">
      <c r="A59" s="135" t="s">
        <v>453</v>
      </c>
      <c r="B59" s="193" t="s">
        <v>782</v>
      </c>
      <c r="C59" s="193" t="s">
        <v>876</v>
      </c>
      <c r="D59" s="193"/>
      <c r="E59" s="194" t="n">
        <v>8</v>
      </c>
      <c r="F59" s="195" t="n">
        <v>39</v>
      </c>
      <c r="G59" s="119"/>
      <c r="H59" s="119"/>
      <c r="J59" s="118"/>
      <c r="K59" s="118"/>
      <c r="L59" s="181"/>
      <c r="N59" s="182"/>
      <c r="O59" s="182"/>
      <c r="S59" s="184" t="n">
        <v>1928</v>
      </c>
      <c r="T59" s="185" t="n">
        <v>40725</v>
      </c>
      <c r="U59" s="182"/>
      <c r="V59" s="182"/>
      <c r="W59" s="183"/>
      <c r="X59" s="183"/>
      <c r="Y59" s="184" t="n">
        <v>562</v>
      </c>
      <c r="Z59" s="185" t="n">
        <v>40725</v>
      </c>
      <c r="AA59" s="184" t="n">
        <v>80580</v>
      </c>
      <c r="AB59" s="185" t="n">
        <v>40725</v>
      </c>
      <c r="AC59" s="184" t="n">
        <v>36.8</v>
      </c>
      <c r="AD59" s="185" t="n">
        <v>40725</v>
      </c>
      <c r="AE59" s="196"/>
      <c r="AF59" s="185"/>
      <c r="AG59" s="184" t="n">
        <v>4.57</v>
      </c>
      <c r="AH59" s="185" t="n">
        <v>40725</v>
      </c>
      <c r="AI59" s="183"/>
      <c r="AJ59" s="183"/>
      <c r="AK59" s="182"/>
      <c r="AL59" s="182"/>
      <c r="AM59" s="184" t="n">
        <v>81</v>
      </c>
      <c r="AN59" s="183" t="n">
        <v>40630</v>
      </c>
      <c r="AO59" s="182"/>
      <c r="AP59" s="182"/>
      <c r="AQ59" s="183"/>
      <c r="AR59" s="183"/>
      <c r="AS59" s="182"/>
      <c r="AT59" s="182"/>
      <c r="AU59" s="183"/>
      <c r="AV59" s="183"/>
      <c r="AW59" s="182"/>
      <c r="AX59" s="182"/>
      <c r="AY59" s="183"/>
      <c r="AZ59" s="183"/>
      <c r="BA59" s="182"/>
      <c r="BB59" s="182"/>
      <c r="BK59" s="183"/>
      <c r="BL59" s="183"/>
      <c r="BM59" s="182"/>
      <c r="BN59" s="182"/>
      <c r="BO59" s="183"/>
      <c r="BP59" s="183"/>
      <c r="BQ59" s="182"/>
      <c r="BR59" s="182"/>
      <c r="BS59" s="184" t="n">
        <v>52.3</v>
      </c>
      <c r="BT59" s="185" t="n">
        <v>40725</v>
      </c>
      <c r="BU59" s="184" t="n">
        <v>15.3</v>
      </c>
      <c r="BV59" s="185" t="n">
        <v>40725</v>
      </c>
      <c r="CL59" s="182"/>
      <c r="CM59" s="182"/>
    </row>
    <row r="60" customFormat="false" ht="12.75" hidden="false" customHeight="false" outlineLevel="0" collapsed="false">
      <c r="A60" s="135" t="s">
        <v>453</v>
      </c>
      <c r="B60" s="193" t="s">
        <v>782</v>
      </c>
      <c r="C60" s="193" t="s">
        <v>877</v>
      </c>
      <c r="D60" s="193"/>
      <c r="E60" s="119" t="n">
        <v>18</v>
      </c>
      <c r="F60" s="195" t="n">
        <v>78</v>
      </c>
      <c r="G60" s="119"/>
      <c r="H60" s="119"/>
      <c r="J60" s="118"/>
      <c r="K60" s="118"/>
      <c r="L60" s="181"/>
      <c r="N60" s="182"/>
      <c r="O60" s="182"/>
      <c r="S60" s="184" t="n">
        <v>1875</v>
      </c>
      <c r="T60" s="185" t="n">
        <v>40725</v>
      </c>
      <c r="U60" s="182"/>
      <c r="V60" s="182"/>
      <c r="W60" s="183"/>
      <c r="X60" s="183"/>
      <c r="Y60" s="184" t="n">
        <v>628</v>
      </c>
      <c r="Z60" s="185" t="n">
        <v>40725</v>
      </c>
      <c r="AA60" s="184" t="n">
        <v>79578</v>
      </c>
      <c r="AB60" s="185" t="n">
        <v>40725</v>
      </c>
      <c r="AC60" s="184" t="n">
        <v>36.9</v>
      </c>
      <c r="AD60" s="185" t="n">
        <v>40725</v>
      </c>
      <c r="AE60" s="196"/>
      <c r="AF60" s="185"/>
      <c r="AG60" s="184" t="n">
        <v>4.64</v>
      </c>
      <c r="AH60" s="185" t="n">
        <v>40725</v>
      </c>
      <c r="AI60" s="183"/>
      <c r="AJ60" s="183"/>
      <c r="AK60" s="182"/>
      <c r="AL60" s="182"/>
      <c r="AM60" s="184" t="n">
        <v>81</v>
      </c>
      <c r="AN60" s="183" t="n">
        <v>40630</v>
      </c>
      <c r="AO60" s="182"/>
      <c r="AP60" s="182"/>
      <c r="AQ60" s="183"/>
      <c r="AR60" s="183"/>
      <c r="AS60" s="182"/>
      <c r="AT60" s="182"/>
      <c r="AU60" s="183"/>
      <c r="AV60" s="183"/>
      <c r="AW60" s="182"/>
      <c r="AX60" s="182"/>
      <c r="AY60" s="183"/>
      <c r="AZ60" s="183"/>
      <c r="BA60" s="182"/>
      <c r="BB60" s="182"/>
      <c r="BK60" s="183"/>
      <c r="BL60" s="183"/>
      <c r="BM60" s="182"/>
      <c r="BN60" s="182"/>
      <c r="BO60" s="183"/>
      <c r="BP60" s="183"/>
      <c r="BQ60" s="182"/>
      <c r="BR60" s="182"/>
      <c r="BS60" s="184" t="n">
        <v>50.8</v>
      </c>
      <c r="BT60" s="185" t="n">
        <v>40725</v>
      </c>
      <c r="BU60" s="184" t="n">
        <v>17</v>
      </c>
      <c r="BV60" s="185" t="n">
        <v>40725</v>
      </c>
      <c r="CL60" s="182"/>
      <c r="CM60" s="182"/>
    </row>
    <row r="61" customFormat="false" ht="12.75" hidden="false" customHeight="false" outlineLevel="0" collapsed="false">
      <c r="A61" s="135" t="s">
        <v>453</v>
      </c>
      <c r="B61" s="193" t="s">
        <v>785</v>
      </c>
      <c r="C61" s="193" t="s">
        <v>875</v>
      </c>
      <c r="D61" s="193"/>
      <c r="E61" s="194" t="n">
        <v>8</v>
      </c>
      <c r="F61" s="195" t="n">
        <v>27</v>
      </c>
      <c r="G61" s="119"/>
      <c r="H61" s="119"/>
      <c r="J61" s="118"/>
      <c r="K61" s="118"/>
      <c r="L61" s="181"/>
      <c r="N61" s="182"/>
      <c r="O61" s="182"/>
      <c r="S61" s="184" t="n">
        <v>2203</v>
      </c>
      <c r="T61" s="185" t="n">
        <v>40725</v>
      </c>
      <c r="U61" s="182"/>
      <c r="V61" s="182"/>
      <c r="W61" s="183"/>
      <c r="X61" s="183"/>
      <c r="Y61" s="184" t="n">
        <v>659</v>
      </c>
      <c r="Z61" s="185" t="n">
        <v>40725</v>
      </c>
      <c r="AA61" s="184" t="n">
        <v>95882</v>
      </c>
      <c r="AB61" s="185" t="n">
        <v>40725</v>
      </c>
      <c r="AC61" s="184" t="n">
        <v>42.1</v>
      </c>
      <c r="AD61" s="185" t="n">
        <v>40725</v>
      </c>
      <c r="AE61" s="196"/>
      <c r="AF61" s="185"/>
      <c r="AG61" s="184" t="n">
        <v>4.39</v>
      </c>
      <c r="AH61" s="185" t="n">
        <v>40725</v>
      </c>
      <c r="AI61" s="183"/>
      <c r="AJ61" s="183"/>
      <c r="AK61" s="182"/>
      <c r="AL61" s="182"/>
      <c r="AM61" s="184" t="n">
        <v>84</v>
      </c>
      <c r="AN61" s="183" t="n">
        <v>40630</v>
      </c>
      <c r="AO61" s="182"/>
      <c r="AP61" s="182"/>
      <c r="AQ61" s="183"/>
      <c r="AR61" s="183"/>
      <c r="AS61" s="182"/>
      <c r="AT61" s="182"/>
      <c r="AU61" s="183"/>
      <c r="AV61" s="183"/>
      <c r="AW61" s="182"/>
      <c r="AX61" s="182"/>
      <c r="AY61" s="183"/>
      <c r="AZ61" s="183"/>
      <c r="BA61" s="182"/>
      <c r="BB61" s="182"/>
      <c r="BK61" s="183"/>
      <c r="BL61" s="183"/>
      <c r="BM61" s="182"/>
      <c r="BN61" s="182"/>
      <c r="BO61" s="183"/>
      <c r="BP61" s="183"/>
      <c r="BQ61" s="182"/>
      <c r="BR61" s="182"/>
      <c r="BS61" s="184" t="n">
        <v>52.3</v>
      </c>
      <c r="BT61" s="185" t="n">
        <v>40725</v>
      </c>
      <c r="BU61" s="184" t="n">
        <v>15.7</v>
      </c>
      <c r="BV61" s="185" t="n">
        <v>40725</v>
      </c>
      <c r="CL61" s="182"/>
      <c r="CM61" s="182"/>
    </row>
    <row r="62" customFormat="false" ht="12.75" hidden="false" customHeight="false" outlineLevel="0" collapsed="false">
      <c r="A62" s="135" t="s">
        <v>453</v>
      </c>
      <c r="B62" s="193" t="s">
        <v>785</v>
      </c>
      <c r="C62" s="193" t="s">
        <v>876</v>
      </c>
      <c r="D62" s="193"/>
      <c r="E62" s="194" t="n">
        <v>4</v>
      </c>
      <c r="F62" s="195" t="n">
        <v>59</v>
      </c>
      <c r="G62" s="119"/>
      <c r="H62" s="119"/>
      <c r="J62" s="118"/>
      <c r="K62" s="118"/>
      <c r="L62" s="181"/>
      <c r="N62" s="182"/>
      <c r="O62" s="182"/>
      <c r="S62" s="184" t="n">
        <v>2004</v>
      </c>
      <c r="T62" s="185" t="n">
        <v>40725</v>
      </c>
      <c r="U62" s="182"/>
      <c r="V62" s="182"/>
      <c r="W62" s="183"/>
      <c r="X62" s="183"/>
      <c r="Y62" s="184" t="n">
        <v>630</v>
      </c>
      <c r="Z62" s="185" t="n">
        <v>40725</v>
      </c>
      <c r="AA62" s="184" t="n">
        <v>81378</v>
      </c>
      <c r="AB62" s="185" t="n">
        <v>40725</v>
      </c>
      <c r="AC62" s="184" t="n">
        <v>38.4</v>
      </c>
      <c r="AD62" s="185" t="n">
        <v>40725</v>
      </c>
      <c r="AE62" s="196"/>
      <c r="AF62" s="185"/>
      <c r="AG62" s="184" t="n">
        <v>4.72</v>
      </c>
      <c r="AH62" s="185" t="n">
        <v>40725</v>
      </c>
      <c r="AI62" s="183"/>
      <c r="AJ62" s="183"/>
      <c r="AK62" s="182"/>
      <c r="AL62" s="182"/>
      <c r="AM62" s="184" t="n">
        <v>81</v>
      </c>
      <c r="AN62" s="183" t="n">
        <v>40630</v>
      </c>
      <c r="AO62" s="182"/>
      <c r="AP62" s="182"/>
      <c r="AQ62" s="183"/>
      <c r="AR62" s="183"/>
      <c r="AS62" s="182"/>
      <c r="AT62" s="182"/>
      <c r="AU62" s="183"/>
      <c r="AV62" s="183"/>
      <c r="AW62" s="182"/>
      <c r="AX62" s="182"/>
      <c r="AY62" s="183"/>
      <c r="AZ62" s="183"/>
      <c r="BA62" s="182"/>
      <c r="BB62" s="182"/>
      <c r="BK62" s="183"/>
      <c r="BL62" s="183"/>
      <c r="BM62" s="182"/>
      <c r="BN62" s="182"/>
      <c r="BO62" s="183"/>
      <c r="BP62" s="183"/>
      <c r="BQ62" s="182"/>
      <c r="BR62" s="182"/>
      <c r="BS62" s="184" t="n">
        <v>52.2</v>
      </c>
      <c r="BT62" s="185" t="n">
        <v>40725</v>
      </c>
      <c r="BU62" s="184" t="n">
        <v>16.4</v>
      </c>
      <c r="BV62" s="185" t="n">
        <v>40725</v>
      </c>
      <c r="CL62" s="182"/>
      <c r="CM62" s="182"/>
    </row>
    <row r="63" customFormat="false" ht="12.75" hidden="false" customHeight="false" outlineLevel="0" collapsed="false">
      <c r="A63" s="135" t="s">
        <v>453</v>
      </c>
      <c r="B63" s="193" t="s">
        <v>785</v>
      </c>
      <c r="C63" s="193" t="s">
        <v>877</v>
      </c>
      <c r="D63" s="193"/>
      <c r="E63" s="119" t="n">
        <v>24</v>
      </c>
      <c r="F63" s="195" t="n">
        <v>84</v>
      </c>
      <c r="G63" s="119"/>
      <c r="H63" s="119"/>
      <c r="J63" s="118"/>
      <c r="K63" s="118"/>
      <c r="L63" s="181"/>
      <c r="N63" s="182"/>
      <c r="O63" s="182"/>
      <c r="S63" s="184" t="n">
        <v>2220</v>
      </c>
      <c r="T63" s="185" t="n">
        <v>40725</v>
      </c>
      <c r="U63" s="182"/>
      <c r="V63" s="182"/>
      <c r="W63" s="183"/>
      <c r="X63" s="183"/>
      <c r="Y63" s="184" t="n">
        <v>809</v>
      </c>
      <c r="Z63" s="185" t="n">
        <v>40725</v>
      </c>
      <c r="AA63" s="184" t="n">
        <v>94482</v>
      </c>
      <c r="AB63" s="185" t="n">
        <v>40725</v>
      </c>
      <c r="AC63" s="184" t="n">
        <v>44.1</v>
      </c>
      <c r="AD63" s="185" t="n">
        <v>40725</v>
      </c>
      <c r="AE63" s="196"/>
      <c r="AF63" s="185"/>
      <c r="AG63" s="184" t="n">
        <v>4.67</v>
      </c>
      <c r="AH63" s="185" t="n">
        <v>40725</v>
      </c>
      <c r="AI63" s="183"/>
      <c r="AJ63" s="183"/>
      <c r="AK63" s="182"/>
      <c r="AL63" s="182"/>
      <c r="AM63" s="184" t="n">
        <v>81</v>
      </c>
      <c r="AN63" s="183" t="n">
        <v>40630</v>
      </c>
      <c r="AO63" s="182"/>
      <c r="AP63" s="182"/>
      <c r="AQ63" s="183"/>
      <c r="AR63" s="183"/>
      <c r="AS63" s="182"/>
      <c r="AT63" s="182"/>
      <c r="AU63" s="183"/>
      <c r="AV63" s="183"/>
      <c r="AW63" s="182"/>
      <c r="AX63" s="182"/>
      <c r="AY63" s="183"/>
      <c r="AZ63" s="183"/>
      <c r="BA63" s="182"/>
      <c r="BB63" s="182"/>
      <c r="BK63" s="183"/>
      <c r="BL63" s="183"/>
      <c r="BM63" s="182"/>
      <c r="BN63" s="182"/>
      <c r="BO63" s="183"/>
      <c r="BP63" s="183"/>
      <c r="BQ63" s="182"/>
      <c r="BR63" s="182"/>
      <c r="BS63" s="184" t="n">
        <v>50.3</v>
      </c>
      <c r="BT63" s="185" t="n">
        <v>40725</v>
      </c>
      <c r="BU63" s="184" t="n">
        <v>18.3</v>
      </c>
      <c r="BV63" s="185" t="n">
        <v>40725</v>
      </c>
      <c r="CL63" s="182"/>
      <c r="CM63" s="182"/>
    </row>
    <row r="64" customFormat="false" ht="12.75" hidden="false" customHeight="false" outlineLevel="0" collapsed="false">
      <c r="A64" s="135" t="s">
        <v>456</v>
      </c>
      <c r="B64" s="193" t="s">
        <v>782</v>
      </c>
      <c r="C64" s="193" t="s">
        <v>875</v>
      </c>
      <c r="D64" s="193"/>
      <c r="E64" s="194" t="n">
        <v>3</v>
      </c>
      <c r="F64" s="195" t="n">
        <v>22</v>
      </c>
      <c r="G64" s="119"/>
      <c r="H64" s="119"/>
      <c r="J64" s="118"/>
      <c r="K64" s="118"/>
      <c r="L64" s="181"/>
      <c r="N64" s="182"/>
      <c r="O64" s="182"/>
      <c r="S64" s="184" t="n">
        <v>1276</v>
      </c>
      <c r="T64" s="185" t="n">
        <v>40725</v>
      </c>
      <c r="U64" s="182"/>
      <c r="V64" s="182"/>
      <c r="W64" s="183"/>
      <c r="X64" s="183"/>
      <c r="Y64" s="184" t="n">
        <v>394</v>
      </c>
      <c r="Z64" s="185" t="n">
        <v>40725</v>
      </c>
      <c r="AA64" s="184" t="n">
        <v>59430</v>
      </c>
      <c r="AB64" s="185" t="n">
        <v>40725</v>
      </c>
      <c r="AC64" s="184" t="n">
        <v>24.6</v>
      </c>
      <c r="AD64" s="185" t="n">
        <v>40725</v>
      </c>
      <c r="AE64" s="196"/>
      <c r="AF64" s="185"/>
      <c r="AG64" s="184" t="n">
        <v>4.14</v>
      </c>
      <c r="AH64" s="185" t="n">
        <v>40725</v>
      </c>
      <c r="AI64" s="183"/>
      <c r="AJ64" s="183"/>
      <c r="AK64" s="182"/>
      <c r="AL64" s="182"/>
      <c r="AM64" s="184" t="n">
        <v>85</v>
      </c>
      <c r="AN64" s="183" t="n">
        <v>40630</v>
      </c>
      <c r="AO64" s="182"/>
      <c r="AP64" s="182"/>
      <c r="AQ64" s="183"/>
      <c r="AR64" s="183"/>
      <c r="AS64" s="182"/>
      <c r="AT64" s="182"/>
      <c r="AU64" s="183"/>
      <c r="AV64" s="183"/>
      <c r="AW64" s="182"/>
      <c r="AX64" s="182"/>
      <c r="AY64" s="183"/>
      <c r="AZ64" s="183"/>
      <c r="BA64" s="182"/>
      <c r="BB64" s="182"/>
      <c r="BK64" s="183"/>
      <c r="BL64" s="183"/>
      <c r="BM64" s="182"/>
      <c r="BN64" s="182"/>
      <c r="BO64" s="183"/>
      <c r="BP64" s="183"/>
      <c r="BQ64" s="182"/>
      <c r="BR64" s="182"/>
      <c r="BS64" s="184" t="n">
        <v>51.9</v>
      </c>
      <c r="BT64" s="185" t="n">
        <v>40725</v>
      </c>
      <c r="BU64" s="184" t="n">
        <v>16</v>
      </c>
      <c r="BV64" s="185" t="n">
        <v>40725</v>
      </c>
      <c r="CL64" s="182"/>
      <c r="CM64" s="182"/>
    </row>
    <row r="65" customFormat="false" ht="12.75" hidden="false" customHeight="false" outlineLevel="0" collapsed="false">
      <c r="A65" s="135" t="s">
        <v>456</v>
      </c>
      <c r="B65" s="193" t="s">
        <v>782</v>
      </c>
      <c r="C65" s="193" t="s">
        <v>876</v>
      </c>
      <c r="D65" s="193"/>
      <c r="E65" s="194" t="n">
        <v>8</v>
      </c>
      <c r="F65" s="195" t="n">
        <v>60</v>
      </c>
      <c r="G65" s="119"/>
      <c r="H65" s="119"/>
      <c r="J65" s="118"/>
      <c r="K65" s="118"/>
      <c r="L65" s="181"/>
      <c r="N65" s="182"/>
      <c r="O65" s="182"/>
      <c r="S65" s="184" t="n">
        <v>1398</v>
      </c>
      <c r="T65" s="185" t="n">
        <v>40725</v>
      </c>
      <c r="U65" s="182"/>
      <c r="V65" s="182"/>
      <c r="W65" s="183"/>
      <c r="X65" s="183"/>
      <c r="Y65" s="184" t="n">
        <v>428</v>
      </c>
      <c r="Z65" s="185" t="n">
        <v>40725</v>
      </c>
      <c r="AA65" s="184" t="n">
        <v>61453</v>
      </c>
      <c r="AB65" s="185" t="n">
        <v>40725</v>
      </c>
      <c r="AC65" s="184" t="n">
        <v>26.6</v>
      </c>
      <c r="AD65" s="185" t="n">
        <v>40725</v>
      </c>
      <c r="AE65" s="196"/>
      <c r="AF65" s="185"/>
      <c r="AG65" s="184" t="n">
        <v>4.32</v>
      </c>
      <c r="AH65" s="185" t="n">
        <v>40725</v>
      </c>
      <c r="AI65" s="183"/>
      <c r="AJ65" s="183"/>
      <c r="AK65" s="182"/>
      <c r="AL65" s="182"/>
      <c r="AM65" s="184" t="n">
        <v>83</v>
      </c>
      <c r="AN65" s="183" t="n">
        <v>40630</v>
      </c>
      <c r="AO65" s="182"/>
      <c r="AP65" s="182"/>
      <c r="AQ65" s="183"/>
      <c r="AR65" s="183"/>
      <c r="AS65" s="182"/>
      <c r="AT65" s="182"/>
      <c r="AU65" s="183"/>
      <c r="AV65" s="183"/>
      <c r="AW65" s="182"/>
      <c r="AX65" s="182"/>
      <c r="AY65" s="183"/>
      <c r="AZ65" s="183"/>
      <c r="BA65" s="182"/>
      <c r="BB65" s="182"/>
      <c r="BK65" s="183"/>
      <c r="BL65" s="183"/>
      <c r="BM65" s="182"/>
      <c r="BN65" s="182"/>
      <c r="BO65" s="183"/>
      <c r="BP65" s="183"/>
      <c r="BQ65" s="182"/>
      <c r="BR65" s="182"/>
      <c r="BS65" s="184" t="n">
        <v>52.6</v>
      </c>
      <c r="BT65" s="185" t="n">
        <v>40725</v>
      </c>
      <c r="BU65" s="184" t="n">
        <v>16.1</v>
      </c>
      <c r="BV65" s="185" t="n">
        <v>40725</v>
      </c>
      <c r="CL65" s="182"/>
      <c r="CM65" s="182"/>
    </row>
    <row r="66" customFormat="false" ht="12.75" hidden="false" customHeight="false" outlineLevel="0" collapsed="false">
      <c r="A66" s="135" t="s">
        <v>456</v>
      </c>
      <c r="B66" s="193" t="s">
        <v>782</v>
      </c>
      <c r="C66" s="193" t="s">
        <v>877</v>
      </c>
      <c r="D66" s="193"/>
      <c r="E66" s="194" t="n">
        <v>16</v>
      </c>
      <c r="F66" s="195" t="n">
        <v>80</v>
      </c>
      <c r="G66" s="119"/>
      <c r="H66" s="119"/>
      <c r="J66" s="118"/>
      <c r="K66" s="118"/>
      <c r="L66" s="181"/>
      <c r="N66" s="182"/>
      <c r="O66" s="182"/>
      <c r="S66" s="184" t="n">
        <v>1112</v>
      </c>
      <c r="T66" s="185" t="n">
        <v>40725</v>
      </c>
      <c r="U66" s="182"/>
      <c r="V66" s="182"/>
      <c r="W66" s="183"/>
      <c r="X66" s="183"/>
      <c r="Y66" s="184" t="n">
        <v>373</v>
      </c>
      <c r="Z66" s="185" t="n">
        <v>40725</v>
      </c>
      <c r="AA66" s="184" t="n">
        <v>48632</v>
      </c>
      <c r="AB66" s="185" t="n">
        <v>40725</v>
      </c>
      <c r="AC66" s="184" t="n">
        <v>21.5</v>
      </c>
      <c r="AD66" s="185" t="n">
        <v>40725</v>
      </c>
      <c r="AE66" s="196"/>
      <c r="AF66" s="185"/>
      <c r="AG66" s="184" t="n">
        <v>4.41</v>
      </c>
      <c r="AH66" s="185" t="n">
        <v>40725</v>
      </c>
      <c r="AI66" s="183"/>
      <c r="AJ66" s="183"/>
      <c r="AK66" s="182"/>
      <c r="AL66" s="182"/>
      <c r="AM66" s="184" t="n">
        <v>85</v>
      </c>
      <c r="AN66" s="183" t="n">
        <v>40630</v>
      </c>
      <c r="AO66" s="182"/>
      <c r="AP66" s="182"/>
      <c r="AQ66" s="183"/>
      <c r="AR66" s="183"/>
      <c r="AS66" s="182"/>
      <c r="AT66" s="182"/>
      <c r="AU66" s="183"/>
      <c r="AV66" s="183"/>
      <c r="AW66" s="182"/>
      <c r="AX66" s="182"/>
      <c r="AY66" s="183"/>
      <c r="AZ66" s="183"/>
      <c r="BA66" s="182"/>
      <c r="BB66" s="182"/>
      <c r="BK66" s="183"/>
      <c r="BL66" s="183"/>
      <c r="BM66" s="182"/>
      <c r="BN66" s="182"/>
      <c r="BO66" s="183"/>
      <c r="BP66" s="183"/>
      <c r="BQ66" s="182"/>
      <c r="BR66" s="182"/>
      <c r="BS66" s="184" t="n">
        <v>51.8</v>
      </c>
      <c r="BT66" s="185" t="n">
        <v>40725</v>
      </c>
      <c r="BU66" s="184" t="n">
        <v>17.4</v>
      </c>
      <c r="BV66" s="185" t="n">
        <v>40725</v>
      </c>
      <c r="CL66" s="182"/>
      <c r="CM66" s="182"/>
    </row>
    <row r="67" customFormat="false" ht="12.75" hidden="false" customHeight="false" outlineLevel="0" collapsed="false">
      <c r="A67" s="135" t="s">
        <v>456</v>
      </c>
      <c r="B67" s="193" t="s">
        <v>785</v>
      </c>
      <c r="C67" s="193" t="s">
        <v>875</v>
      </c>
      <c r="D67" s="193"/>
      <c r="E67" s="194" t="n">
        <v>8</v>
      </c>
      <c r="F67" s="195" t="n">
        <v>16</v>
      </c>
      <c r="G67" s="119"/>
      <c r="H67" s="119"/>
      <c r="J67" s="118"/>
      <c r="K67" s="118"/>
      <c r="L67" s="181"/>
      <c r="N67" s="182"/>
      <c r="O67" s="182"/>
      <c r="S67" s="184" t="n">
        <v>1700</v>
      </c>
      <c r="T67" s="185" t="n">
        <v>40725</v>
      </c>
      <c r="U67" s="182"/>
      <c r="V67" s="182"/>
      <c r="W67" s="183"/>
      <c r="X67" s="183"/>
      <c r="Y67" s="184" t="n">
        <v>559</v>
      </c>
      <c r="Z67" s="185" t="n">
        <v>40725</v>
      </c>
      <c r="AA67" s="184" t="n">
        <v>77038</v>
      </c>
      <c r="AB67" s="185" t="n">
        <v>40725</v>
      </c>
      <c r="AC67" s="184" t="n">
        <v>32.8</v>
      </c>
      <c r="AD67" s="185" t="n">
        <v>40725</v>
      </c>
      <c r="AE67" s="196"/>
      <c r="AF67" s="185"/>
      <c r="AG67" s="184" t="n">
        <v>4.26</v>
      </c>
      <c r="AH67" s="185" t="n">
        <v>40725</v>
      </c>
      <c r="AI67" s="183"/>
      <c r="AJ67" s="183"/>
      <c r="AK67" s="182"/>
      <c r="AL67" s="182"/>
      <c r="AM67" s="184" t="n">
        <v>88</v>
      </c>
      <c r="AN67" s="183" t="n">
        <v>40630</v>
      </c>
      <c r="AO67" s="182"/>
      <c r="AP67" s="182"/>
      <c r="AQ67" s="183"/>
      <c r="AR67" s="183"/>
      <c r="AS67" s="182"/>
      <c r="AT67" s="182"/>
      <c r="AU67" s="183"/>
      <c r="AV67" s="183"/>
      <c r="AW67" s="182"/>
      <c r="AX67" s="182"/>
      <c r="AY67" s="183"/>
      <c r="AZ67" s="183"/>
      <c r="BA67" s="182"/>
      <c r="BB67" s="182"/>
      <c r="BK67" s="183"/>
      <c r="BL67" s="183"/>
      <c r="BM67" s="182"/>
      <c r="BN67" s="182"/>
      <c r="BO67" s="183"/>
      <c r="BP67" s="183"/>
      <c r="BQ67" s="182"/>
      <c r="BR67" s="182"/>
      <c r="BS67" s="184" t="n">
        <v>51.8</v>
      </c>
      <c r="BT67" s="185" t="n">
        <v>40725</v>
      </c>
      <c r="BU67" s="184" t="n">
        <v>17.1</v>
      </c>
      <c r="BV67" s="185" t="n">
        <v>40725</v>
      </c>
      <c r="CL67" s="182"/>
      <c r="CM67" s="182"/>
    </row>
    <row r="68" customFormat="false" ht="12.75" hidden="false" customHeight="false" outlineLevel="0" collapsed="false">
      <c r="A68" s="135" t="s">
        <v>456</v>
      </c>
      <c r="B68" s="193" t="s">
        <v>785</v>
      </c>
      <c r="C68" s="193" t="s">
        <v>876</v>
      </c>
      <c r="D68" s="193"/>
      <c r="E68" s="194" t="n">
        <v>2</v>
      </c>
      <c r="F68" s="195" t="n">
        <v>55</v>
      </c>
      <c r="G68" s="119"/>
      <c r="H68" s="119"/>
      <c r="J68" s="118"/>
      <c r="K68" s="118"/>
      <c r="L68" s="181"/>
      <c r="N68" s="182"/>
      <c r="O68" s="182"/>
      <c r="S68" s="184" t="n">
        <v>1405</v>
      </c>
      <c r="T68" s="185" t="n">
        <v>40725</v>
      </c>
      <c r="U68" s="182"/>
      <c r="V68" s="182"/>
      <c r="W68" s="183"/>
      <c r="X68" s="183"/>
      <c r="Y68" s="184" t="n">
        <v>514</v>
      </c>
      <c r="Z68" s="185" t="n">
        <v>40725</v>
      </c>
      <c r="AA68" s="184" t="n">
        <v>58882</v>
      </c>
      <c r="AB68" s="185" t="n">
        <v>40725</v>
      </c>
      <c r="AC68" s="184" t="n">
        <v>27.6</v>
      </c>
      <c r="AD68" s="185" t="n">
        <v>40725</v>
      </c>
      <c r="AE68" s="196"/>
      <c r="AF68" s="185"/>
      <c r="AG68" s="184" t="n">
        <v>4.68</v>
      </c>
      <c r="AH68" s="185" t="n">
        <v>40725</v>
      </c>
      <c r="AI68" s="183"/>
      <c r="AJ68" s="183"/>
      <c r="AK68" s="182"/>
      <c r="AL68" s="182"/>
      <c r="AM68" s="184" t="n">
        <v>86</v>
      </c>
      <c r="AN68" s="183" t="n">
        <v>40630</v>
      </c>
      <c r="AO68" s="182"/>
      <c r="AP68" s="182"/>
      <c r="AQ68" s="183"/>
      <c r="AR68" s="183"/>
      <c r="AS68" s="182"/>
      <c r="AT68" s="182"/>
      <c r="AU68" s="183"/>
      <c r="AV68" s="183"/>
      <c r="AW68" s="182"/>
      <c r="AX68" s="182"/>
      <c r="AY68" s="183"/>
      <c r="AZ68" s="183"/>
      <c r="BA68" s="182"/>
      <c r="BB68" s="182"/>
      <c r="BK68" s="183"/>
      <c r="BL68" s="183"/>
      <c r="BM68" s="182"/>
      <c r="BN68" s="182"/>
      <c r="BO68" s="183"/>
      <c r="BP68" s="183"/>
      <c r="BQ68" s="182"/>
      <c r="BR68" s="182"/>
      <c r="BS68" s="184" t="n">
        <v>51</v>
      </c>
      <c r="BT68" s="185" t="n">
        <v>40725</v>
      </c>
      <c r="BU68" s="184" t="n">
        <v>18.7</v>
      </c>
      <c r="BV68" s="185" t="n">
        <v>40725</v>
      </c>
      <c r="CL68" s="182"/>
      <c r="CM68" s="182"/>
    </row>
    <row r="69" customFormat="false" ht="12.75" hidden="false" customHeight="false" outlineLevel="0" collapsed="false">
      <c r="A69" s="135" t="s">
        <v>456</v>
      </c>
      <c r="B69" s="193" t="s">
        <v>785</v>
      </c>
      <c r="C69" s="193" t="s">
        <v>877</v>
      </c>
      <c r="D69" s="193"/>
      <c r="E69" s="119" t="n">
        <v>24</v>
      </c>
      <c r="F69" s="195" t="n">
        <v>89</v>
      </c>
      <c r="G69" s="119"/>
      <c r="H69" s="119"/>
      <c r="J69" s="118"/>
      <c r="K69" s="118"/>
      <c r="L69" s="181"/>
      <c r="N69" s="182"/>
      <c r="O69" s="182"/>
      <c r="S69" s="184" t="n">
        <v>1457</v>
      </c>
      <c r="T69" s="185" t="n">
        <v>40725</v>
      </c>
      <c r="U69" s="182"/>
      <c r="V69" s="182"/>
      <c r="W69" s="183"/>
      <c r="X69" s="183"/>
      <c r="Y69" s="184" t="n">
        <v>513</v>
      </c>
      <c r="Z69" s="185" t="n">
        <v>40725</v>
      </c>
      <c r="AA69" s="184" t="n">
        <v>61769</v>
      </c>
      <c r="AB69" s="185" t="n">
        <v>40725</v>
      </c>
      <c r="AC69" s="184" t="n">
        <v>28.6</v>
      </c>
      <c r="AD69" s="185" t="n">
        <v>40725</v>
      </c>
      <c r="AE69" s="196"/>
      <c r="AF69" s="185"/>
      <c r="AG69" s="184" t="n">
        <v>4.63</v>
      </c>
      <c r="AH69" s="185" t="n">
        <v>40725</v>
      </c>
      <c r="AI69" s="183"/>
      <c r="AJ69" s="183"/>
      <c r="AK69" s="182"/>
      <c r="AL69" s="182"/>
      <c r="AM69" s="184" t="n">
        <v>87</v>
      </c>
      <c r="AN69" s="183" t="n">
        <v>40630</v>
      </c>
      <c r="AO69" s="182"/>
      <c r="AP69" s="182"/>
      <c r="AQ69" s="183"/>
      <c r="AR69" s="183"/>
      <c r="AS69" s="182"/>
      <c r="AT69" s="182"/>
      <c r="AU69" s="183"/>
      <c r="AV69" s="183"/>
      <c r="AW69" s="182"/>
      <c r="AX69" s="182"/>
      <c r="AY69" s="183"/>
      <c r="AZ69" s="183"/>
      <c r="BA69" s="182"/>
      <c r="BB69" s="182"/>
      <c r="BK69" s="183"/>
      <c r="BL69" s="183"/>
      <c r="BM69" s="182"/>
      <c r="BN69" s="182"/>
      <c r="BO69" s="183"/>
      <c r="BP69" s="183"/>
      <c r="BQ69" s="182"/>
      <c r="BR69" s="182"/>
      <c r="BS69" s="184" t="n">
        <v>50.9</v>
      </c>
      <c r="BT69" s="185" t="n">
        <v>40725</v>
      </c>
      <c r="BU69" s="184" t="n">
        <v>17.9</v>
      </c>
      <c r="BV69" s="185" t="n">
        <v>40725</v>
      </c>
      <c r="CL69" s="182"/>
      <c r="CM69" s="182"/>
    </row>
    <row r="70" customFormat="false" ht="12.75" hidden="false" customHeight="false" outlineLevel="0" collapsed="false">
      <c r="A70" s="135" t="s">
        <v>459</v>
      </c>
      <c r="B70" s="193" t="s">
        <v>782</v>
      </c>
      <c r="C70" s="193" t="s">
        <v>875</v>
      </c>
      <c r="D70" s="193"/>
      <c r="E70" s="194" t="n">
        <v>2</v>
      </c>
      <c r="F70" s="195" t="n">
        <v>30</v>
      </c>
      <c r="G70" s="119"/>
      <c r="H70" s="119"/>
      <c r="J70" s="118"/>
      <c r="K70" s="118"/>
      <c r="L70" s="181"/>
      <c r="N70" s="182"/>
      <c r="O70" s="182"/>
      <c r="S70" s="184" t="n">
        <v>1863</v>
      </c>
      <c r="T70" s="185" t="n">
        <v>40725</v>
      </c>
      <c r="U70" s="182"/>
      <c r="V70" s="182"/>
      <c r="W70" s="183"/>
      <c r="X70" s="183"/>
      <c r="Y70" s="184" t="n">
        <v>548</v>
      </c>
      <c r="Z70" s="185" t="n">
        <v>40725</v>
      </c>
      <c r="AA70" s="184" t="n">
        <v>82893</v>
      </c>
      <c r="AB70" s="185" t="n">
        <v>40725</v>
      </c>
      <c r="AC70" s="184" t="n">
        <v>35.7</v>
      </c>
      <c r="AD70" s="185" t="n">
        <v>40725</v>
      </c>
      <c r="AE70" s="196"/>
      <c r="AF70" s="185"/>
      <c r="AG70" s="184" t="n">
        <v>4.31</v>
      </c>
      <c r="AH70" s="185" t="n">
        <v>40725</v>
      </c>
      <c r="AI70" s="183"/>
      <c r="AJ70" s="183"/>
      <c r="AK70" s="182"/>
      <c r="AL70" s="182"/>
      <c r="AM70" s="184" t="n">
        <v>86</v>
      </c>
      <c r="AN70" s="183" t="n">
        <v>40630</v>
      </c>
      <c r="AO70" s="182"/>
      <c r="AP70" s="182"/>
      <c r="AQ70" s="183"/>
      <c r="AR70" s="183"/>
      <c r="AS70" s="182"/>
      <c r="AT70" s="182"/>
      <c r="AU70" s="183"/>
      <c r="AV70" s="183"/>
      <c r="AW70" s="182"/>
      <c r="AX70" s="182"/>
      <c r="AY70" s="183"/>
      <c r="AZ70" s="183"/>
      <c r="BA70" s="182"/>
      <c r="BB70" s="182"/>
      <c r="BK70" s="183"/>
      <c r="BL70" s="183"/>
      <c r="BM70" s="182"/>
      <c r="BN70" s="182"/>
      <c r="BO70" s="183"/>
      <c r="BP70" s="183"/>
      <c r="BQ70" s="182"/>
      <c r="BR70" s="182"/>
      <c r="BS70" s="184" t="n">
        <v>52.2</v>
      </c>
      <c r="BT70" s="185" t="n">
        <v>40725</v>
      </c>
      <c r="BU70" s="184" t="n">
        <v>15.4</v>
      </c>
      <c r="BV70" s="185" t="n">
        <v>40725</v>
      </c>
      <c r="CL70" s="182"/>
      <c r="CM70" s="182"/>
    </row>
    <row r="71" customFormat="false" ht="12.75" hidden="false" customHeight="false" outlineLevel="0" collapsed="false">
      <c r="A71" s="135" t="s">
        <v>459</v>
      </c>
      <c r="B71" s="193" t="s">
        <v>782</v>
      </c>
      <c r="C71" s="193" t="s">
        <v>876</v>
      </c>
      <c r="D71" s="193"/>
      <c r="E71" s="194" t="n">
        <v>6</v>
      </c>
      <c r="F71" s="195" t="n">
        <v>33</v>
      </c>
      <c r="G71" s="119"/>
      <c r="H71" s="119"/>
      <c r="J71" s="118"/>
      <c r="K71" s="118"/>
      <c r="L71" s="181"/>
      <c r="N71" s="182"/>
      <c r="O71" s="182"/>
      <c r="S71" s="184" t="n">
        <v>1723</v>
      </c>
      <c r="T71" s="185" t="n">
        <v>40725</v>
      </c>
      <c r="U71" s="182"/>
      <c r="V71" s="182"/>
      <c r="W71" s="183"/>
      <c r="X71" s="183"/>
      <c r="Y71" s="184" t="n">
        <v>483</v>
      </c>
      <c r="Z71" s="185" t="n">
        <v>40725</v>
      </c>
      <c r="AA71" s="184" t="n">
        <v>74631</v>
      </c>
      <c r="AB71" s="185" t="n">
        <v>40725</v>
      </c>
      <c r="AC71" s="184" t="n">
        <v>32.8</v>
      </c>
      <c r="AD71" s="185" t="n">
        <v>40725</v>
      </c>
      <c r="AE71" s="196"/>
      <c r="AF71" s="185"/>
      <c r="AG71" s="184" t="n">
        <v>4.39</v>
      </c>
      <c r="AH71" s="185" t="n">
        <v>40725</v>
      </c>
      <c r="AI71" s="183"/>
      <c r="AJ71" s="183"/>
      <c r="AK71" s="182"/>
      <c r="AL71" s="182"/>
      <c r="AM71" s="184" t="n">
        <v>85</v>
      </c>
      <c r="AN71" s="183" t="n">
        <v>40630</v>
      </c>
      <c r="AO71" s="182"/>
      <c r="AP71" s="182"/>
      <c r="AQ71" s="183"/>
      <c r="AR71" s="183"/>
      <c r="AS71" s="182"/>
      <c r="AT71" s="182"/>
      <c r="AU71" s="183"/>
      <c r="AV71" s="183"/>
      <c r="AW71" s="182"/>
      <c r="AX71" s="182"/>
      <c r="AY71" s="183"/>
      <c r="AZ71" s="183"/>
      <c r="BA71" s="182"/>
      <c r="BB71" s="182"/>
      <c r="BK71" s="183"/>
      <c r="BL71" s="183"/>
      <c r="BM71" s="182"/>
      <c r="BN71" s="182"/>
      <c r="BO71" s="183"/>
      <c r="BP71" s="183"/>
      <c r="BQ71" s="182"/>
      <c r="BR71" s="182"/>
      <c r="BS71" s="184" t="n">
        <v>52.6</v>
      </c>
      <c r="BT71" s="185" t="n">
        <v>40725</v>
      </c>
      <c r="BU71" s="184" t="n">
        <v>14.7</v>
      </c>
      <c r="BV71" s="185" t="n">
        <v>40725</v>
      </c>
      <c r="CL71" s="182"/>
      <c r="CM71" s="182"/>
    </row>
    <row r="72" customFormat="false" ht="12.75" hidden="false" customHeight="false" outlineLevel="0" collapsed="false">
      <c r="A72" s="135" t="s">
        <v>459</v>
      </c>
      <c r="B72" s="193" t="s">
        <v>782</v>
      </c>
      <c r="C72" s="193" t="s">
        <v>877</v>
      </c>
      <c r="D72" s="193"/>
      <c r="E72" s="194" t="n">
        <v>16</v>
      </c>
      <c r="F72" s="195" t="n">
        <v>82</v>
      </c>
      <c r="G72" s="119"/>
      <c r="H72" s="119"/>
      <c r="J72" s="118"/>
      <c r="K72" s="118"/>
      <c r="L72" s="181"/>
      <c r="N72" s="182"/>
      <c r="O72" s="182"/>
      <c r="S72" s="184" t="n">
        <v>1459</v>
      </c>
      <c r="T72" s="185" t="n">
        <v>40725</v>
      </c>
      <c r="U72" s="182"/>
      <c r="V72" s="182"/>
      <c r="W72" s="183"/>
      <c r="X72" s="183"/>
      <c r="Y72" s="184" t="n">
        <v>434</v>
      </c>
      <c r="Z72" s="185" t="n">
        <v>40725</v>
      </c>
      <c r="AA72" s="184" t="n">
        <v>63032</v>
      </c>
      <c r="AB72" s="185" t="n">
        <v>40725</v>
      </c>
      <c r="AC72" s="184" t="n">
        <v>27.8</v>
      </c>
      <c r="AD72" s="185" t="n">
        <v>40725</v>
      </c>
      <c r="AE72" s="196"/>
      <c r="AF72" s="185"/>
      <c r="AG72" s="184" t="n">
        <v>4.41</v>
      </c>
      <c r="AH72" s="185" t="n">
        <v>40725</v>
      </c>
      <c r="AI72" s="183"/>
      <c r="AJ72" s="183"/>
      <c r="AK72" s="182"/>
      <c r="AL72" s="182"/>
      <c r="AM72" s="184" t="n">
        <v>84</v>
      </c>
      <c r="AN72" s="183" t="n">
        <v>40630</v>
      </c>
      <c r="AO72" s="182"/>
      <c r="AP72" s="182"/>
      <c r="AQ72" s="183"/>
      <c r="AR72" s="183"/>
      <c r="AS72" s="182"/>
      <c r="AT72" s="182"/>
      <c r="AU72" s="183"/>
      <c r="AV72" s="183"/>
      <c r="AW72" s="182"/>
      <c r="AX72" s="182"/>
      <c r="AY72" s="183"/>
      <c r="AZ72" s="183"/>
      <c r="BA72" s="182"/>
      <c r="BB72" s="182"/>
      <c r="BK72" s="183"/>
      <c r="BL72" s="183"/>
      <c r="BM72" s="182"/>
      <c r="BN72" s="182"/>
      <c r="BO72" s="183"/>
      <c r="BP72" s="183"/>
      <c r="BQ72" s="182"/>
      <c r="BR72" s="182"/>
      <c r="BS72" s="184" t="n">
        <v>52.5</v>
      </c>
      <c r="BT72" s="185" t="n">
        <v>40725</v>
      </c>
      <c r="BU72" s="184" t="n">
        <v>15.6</v>
      </c>
      <c r="BV72" s="185" t="n">
        <v>40725</v>
      </c>
      <c r="CL72" s="182"/>
      <c r="CM72" s="182"/>
    </row>
    <row r="73" customFormat="false" ht="12.75" hidden="false" customHeight="false" outlineLevel="0" collapsed="false">
      <c r="A73" s="135" t="s">
        <v>459</v>
      </c>
      <c r="B73" s="193" t="s">
        <v>785</v>
      </c>
      <c r="C73" s="193" t="s">
        <v>875</v>
      </c>
      <c r="D73" s="193"/>
      <c r="E73" s="194" t="n">
        <v>6</v>
      </c>
      <c r="F73" s="195" t="n">
        <v>13</v>
      </c>
      <c r="G73" s="119"/>
      <c r="H73" s="119"/>
      <c r="J73" s="118"/>
      <c r="K73" s="118"/>
      <c r="L73" s="181"/>
      <c r="N73" s="182"/>
      <c r="O73" s="182"/>
      <c r="S73" s="184" t="n">
        <v>2079</v>
      </c>
      <c r="T73" s="185" t="n">
        <v>40725</v>
      </c>
      <c r="U73" s="182"/>
      <c r="V73" s="182"/>
      <c r="W73" s="183"/>
      <c r="X73" s="183"/>
      <c r="Y73" s="184" t="n">
        <v>649</v>
      </c>
      <c r="Z73" s="185" t="n">
        <v>40725</v>
      </c>
      <c r="AA73" s="184" t="n">
        <v>92682</v>
      </c>
      <c r="AB73" s="185" t="n">
        <v>40725</v>
      </c>
      <c r="AC73" s="184" t="n">
        <v>40.4</v>
      </c>
      <c r="AD73" s="185" t="n">
        <v>40725</v>
      </c>
      <c r="AE73" s="196"/>
      <c r="AF73" s="185"/>
      <c r="AG73" s="184" t="n">
        <v>4.36</v>
      </c>
      <c r="AH73" s="185" t="n">
        <v>40725</v>
      </c>
      <c r="AI73" s="183"/>
      <c r="AJ73" s="183"/>
      <c r="AK73" s="182"/>
      <c r="AL73" s="182"/>
      <c r="AM73" s="184" t="n">
        <v>87</v>
      </c>
      <c r="AN73" s="183" t="n">
        <v>40630</v>
      </c>
      <c r="AO73" s="182"/>
      <c r="AP73" s="182"/>
      <c r="AQ73" s="183"/>
      <c r="AR73" s="183"/>
      <c r="AS73" s="182"/>
      <c r="AT73" s="182"/>
      <c r="AU73" s="183"/>
      <c r="AV73" s="183"/>
      <c r="AW73" s="182"/>
      <c r="AX73" s="182"/>
      <c r="AY73" s="183"/>
      <c r="AZ73" s="183"/>
      <c r="BA73" s="182"/>
      <c r="BB73" s="182"/>
      <c r="BK73" s="183"/>
      <c r="BL73" s="183"/>
      <c r="BM73" s="182"/>
      <c r="BN73" s="182"/>
      <c r="BO73" s="183"/>
      <c r="BP73" s="183"/>
      <c r="BQ73" s="182"/>
      <c r="BR73" s="182"/>
      <c r="BS73" s="184" t="n">
        <v>51.4</v>
      </c>
      <c r="BT73" s="185" t="n">
        <v>40725</v>
      </c>
      <c r="BU73" s="184" t="n">
        <v>16</v>
      </c>
      <c r="BV73" s="185" t="n">
        <v>40725</v>
      </c>
      <c r="CL73" s="182"/>
      <c r="CM73" s="182"/>
    </row>
    <row r="74" customFormat="false" ht="12.75" hidden="false" customHeight="false" outlineLevel="0" collapsed="false">
      <c r="A74" s="135" t="s">
        <v>459</v>
      </c>
      <c r="B74" s="193" t="s">
        <v>785</v>
      </c>
      <c r="C74" s="193" t="s">
        <v>876</v>
      </c>
      <c r="D74" s="193"/>
      <c r="E74" s="194" t="n">
        <v>2</v>
      </c>
      <c r="F74" s="195" t="n">
        <v>33</v>
      </c>
      <c r="G74" s="119"/>
      <c r="H74" s="119"/>
      <c r="J74" s="118"/>
      <c r="K74" s="118"/>
      <c r="L74" s="181"/>
      <c r="N74" s="182"/>
      <c r="O74" s="182"/>
      <c r="S74" s="184" t="n">
        <v>2077</v>
      </c>
      <c r="T74" s="185" t="n">
        <v>40725</v>
      </c>
      <c r="U74" s="182"/>
      <c r="V74" s="182"/>
      <c r="W74" s="183"/>
      <c r="X74" s="183"/>
      <c r="Y74" s="184" t="n">
        <v>713</v>
      </c>
      <c r="Z74" s="185" t="n">
        <v>40725</v>
      </c>
      <c r="AA74" s="184" t="n">
        <v>91074</v>
      </c>
      <c r="AB74" s="185" t="n">
        <v>40725</v>
      </c>
      <c r="AC74" s="184" t="n">
        <v>40.9</v>
      </c>
      <c r="AD74" s="185" t="n">
        <v>40725</v>
      </c>
      <c r="AE74" s="196"/>
      <c r="AF74" s="185"/>
      <c r="AG74" s="184" t="n">
        <v>4.49</v>
      </c>
      <c r="AH74" s="185" t="n">
        <v>40725</v>
      </c>
      <c r="AI74" s="183"/>
      <c r="AJ74" s="183"/>
      <c r="AK74" s="182"/>
      <c r="AL74" s="182"/>
      <c r="AM74" s="184" t="n">
        <v>86</v>
      </c>
      <c r="AN74" s="183" t="n">
        <v>40630</v>
      </c>
      <c r="AO74" s="182"/>
      <c r="AP74" s="182"/>
      <c r="AQ74" s="183"/>
      <c r="AR74" s="183"/>
      <c r="AS74" s="182"/>
      <c r="AT74" s="182"/>
      <c r="AU74" s="183"/>
      <c r="AV74" s="183"/>
      <c r="AW74" s="182"/>
      <c r="AX74" s="182"/>
      <c r="AY74" s="183"/>
      <c r="AZ74" s="183"/>
      <c r="BA74" s="182"/>
      <c r="BB74" s="182"/>
      <c r="BK74" s="183"/>
      <c r="BL74" s="183"/>
      <c r="BM74" s="182"/>
      <c r="BN74" s="182"/>
      <c r="BO74" s="183"/>
      <c r="BP74" s="183"/>
      <c r="BQ74" s="182"/>
      <c r="BR74" s="182"/>
      <c r="BS74" s="184" t="n">
        <v>50.8</v>
      </c>
      <c r="BT74" s="185" t="n">
        <v>40725</v>
      </c>
      <c r="BU74" s="184" t="n">
        <v>17.4</v>
      </c>
      <c r="BV74" s="185" t="n">
        <v>40725</v>
      </c>
      <c r="CL74" s="182"/>
      <c r="CM74" s="182"/>
    </row>
    <row r="75" customFormat="false" ht="12.75" hidden="false" customHeight="false" outlineLevel="0" collapsed="false">
      <c r="A75" s="135" t="s">
        <v>459</v>
      </c>
      <c r="B75" s="193" t="s">
        <v>785</v>
      </c>
      <c r="C75" s="193" t="s">
        <v>877</v>
      </c>
      <c r="D75" s="193"/>
      <c r="E75" s="119" t="n">
        <v>23</v>
      </c>
      <c r="F75" s="195" t="n">
        <v>85</v>
      </c>
      <c r="G75" s="119"/>
      <c r="H75" s="119"/>
      <c r="J75" s="118"/>
      <c r="K75" s="118"/>
      <c r="L75" s="181"/>
      <c r="N75" s="182"/>
      <c r="O75" s="182"/>
      <c r="S75" s="184" t="n">
        <v>2124</v>
      </c>
      <c r="T75" s="185" t="n">
        <v>40725</v>
      </c>
      <c r="U75" s="182"/>
      <c r="V75" s="182"/>
      <c r="W75" s="183"/>
      <c r="X75" s="183"/>
      <c r="Y75" s="184" t="n">
        <v>711</v>
      </c>
      <c r="Z75" s="185" t="n">
        <v>40725</v>
      </c>
      <c r="AA75" s="184" t="n">
        <v>92695</v>
      </c>
      <c r="AB75" s="185" t="n">
        <v>40725</v>
      </c>
      <c r="AC75" s="184" t="n">
        <v>41.2</v>
      </c>
      <c r="AD75" s="185" t="n">
        <v>40725</v>
      </c>
      <c r="AE75" s="196"/>
      <c r="AF75" s="185"/>
      <c r="AG75" s="184" t="n">
        <v>4.44</v>
      </c>
      <c r="AH75" s="185" t="n">
        <v>40725</v>
      </c>
      <c r="AI75" s="183"/>
      <c r="AJ75" s="183"/>
      <c r="AK75" s="182"/>
      <c r="AL75" s="182"/>
      <c r="AM75" s="184" t="n">
        <v>85</v>
      </c>
      <c r="AN75" s="183" t="n">
        <v>40630</v>
      </c>
      <c r="AO75" s="182"/>
      <c r="AP75" s="182"/>
      <c r="AQ75" s="183"/>
      <c r="AR75" s="183"/>
      <c r="AS75" s="182"/>
      <c r="AT75" s="182"/>
      <c r="AU75" s="183"/>
      <c r="AV75" s="183"/>
      <c r="AW75" s="182"/>
      <c r="AX75" s="182"/>
      <c r="AY75" s="183"/>
      <c r="AZ75" s="183"/>
      <c r="BA75" s="182"/>
      <c r="BB75" s="182"/>
      <c r="BK75" s="183"/>
      <c r="BL75" s="183"/>
      <c r="BM75" s="182"/>
      <c r="BN75" s="182"/>
      <c r="BO75" s="183"/>
      <c r="BP75" s="183"/>
      <c r="BQ75" s="182"/>
      <c r="BR75" s="182"/>
      <c r="BS75" s="184" t="n">
        <v>51.6</v>
      </c>
      <c r="BT75" s="185" t="n">
        <v>40725</v>
      </c>
      <c r="BU75" s="184" t="n">
        <v>17.3</v>
      </c>
      <c r="BV75" s="185" t="n">
        <v>40725</v>
      </c>
      <c r="CL75" s="182"/>
      <c r="CM75" s="182"/>
    </row>
    <row r="76" customFormat="false" ht="12.75" hidden="false" customHeight="false" outlineLevel="0" collapsed="false">
      <c r="A76" s="135" t="s">
        <v>462</v>
      </c>
      <c r="B76" s="193" t="s">
        <v>782</v>
      </c>
      <c r="C76" s="193" t="s">
        <v>875</v>
      </c>
      <c r="D76" s="193"/>
      <c r="E76" s="194" t="n">
        <v>3</v>
      </c>
      <c r="F76" s="195" t="n">
        <v>32</v>
      </c>
      <c r="G76" s="119"/>
      <c r="H76" s="119"/>
      <c r="J76" s="118"/>
      <c r="K76" s="118"/>
      <c r="L76" s="181"/>
      <c r="N76" s="182"/>
      <c r="O76" s="182"/>
      <c r="S76" s="184" t="n">
        <v>1952</v>
      </c>
      <c r="T76" s="185" t="n">
        <v>40725</v>
      </c>
      <c r="U76" s="182"/>
      <c r="V76" s="182"/>
      <c r="W76" s="183"/>
      <c r="X76" s="183"/>
      <c r="Y76" s="184" t="n">
        <v>583</v>
      </c>
      <c r="Z76" s="185" t="n">
        <v>40725</v>
      </c>
      <c r="AA76" s="184" t="n">
        <v>79310</v>
      </c>
      <c r="AB76" s="185" t="n">
        <v>40725</v>
      </c>
      <c r="AC76" s="184" t="n">
        <v>36.6</v>
      </c>
      <c r="AD76" s="185" t="n">
        <v>40725</v>
      </c>
      <c r="AE76" s="196"/>
      <c r="AF76" s="185"/>
      <c r="AG76" s="184" t="n">
        <v>4.61</v>
      </c>
      <c r="AH76" s="185" t="n">
        <v>40725</v>
      </c>
      <c r="AI76" s="183"/>
      <c r="AJ76" s="183"/>
      <c r="AK76" s="182"/>
      <c r="AL76" s="182"/>
      <c r="AM76" s="184" t="n">
        <v>87</v>
      </c>
      <c r="AN76" s="183" t="n">
        <v>40630</v>
      </c>
      <c r="AO76" s="182"/>
      <c r="AP76" s="182"/>
      <c r="AQ76" s="183"/>
      <c r="AR76" s="183"/>
      <c r="AS76" s="182"/>
      <c r="AT76" s="182"/>
      <c r="AU76" s="183"/>
      <c r="AV76" s="183"/>
      <c r="AW76" s="182"/>
      <c r="AX76" s="182"/>
      <c r="AY76" s="183"/>
      <c r="AZ76" s="183"/>
      <c r="BA76" s="182"/>
      <c r="BB76" s="182"/>
      <c r="BK76" s="183"/>
      <c r="BL76" s="183"/>
      <c r="BM76" s="182"/>
      <c r="BN76" s="182"/>
      <c r="BO76" s="183"/>
      <c r="BP76" s="183"/>
      <c r="BQ76" s="182"/>
      <c r="BR76" s="182"/>
      <c r="BS76" s="184" t="n">
        <v>53.4</v>
      </c>
      <c r="BT76" s="185" t="n">
        <v>40725</v>
      </c>
      <c r="BU76" s="184" t="n">
        <v>16</v>
      </c>
      <c r="BV76" s="185" t="n">
        <v>40725</v>
      </c>
      <c r="CL76" s="182"/>
      <c r="CM76" s="182"/>
    </row>
    <row r="77" customFormat="false" ht="12.75" hidden="false" customHeight="false" outlineLevel="0" collapsed="false">
      <c r="A77" s="135" t="s">
        <v>462</v>
      </c>
      <c r="B77" s="193" t="s">
        <v>782</v>
      </c>
      <c r="C77" s="193" t="s">
        <v>876</v>
      </c>
      <c r="D77" s="193"/>
      <c r="E77" s="194" t="n">
        <v>8</v>
      </c>
      <c r="F77" s="195" t="n">
        <v>63</v>
      </c>
      <c r="G77" s="119"/>
      <c r="H77" s="119"/>
      <c r="J77" s="118"/>
      <c r="K77" s="118"/>
      <c r="L77" s="181"/>
      <c r="N77" s="182"/>
      <c r="O77" s="182"/>
      <c r="S77" s="184" t="n">
        <v>1540</v>
      </c>
      <c r="T77" s="185" t="n">
        <v>40725</v>
      </c>
      <c r="U77" s="182"/>
      <c r="V77" s="182"/>
      <c r="W77" s="183"/>
      <c r="X77" s="183"/>
      <c r="Y77" s="184" t="n">
        <v>479</v>
      </c>
      <c r="Z77" s="185" t="n">
        <v>40725</v>
      </c>
      <c r="AA77" s="184" t="n">
        <v>66853</v>
      </c>
      <c r="AB77" s="185" t="n">
        <v>40725</v>
      </c>
      <c r="AC77" s="184" t="n">
        <v>29.3</v>
      </c>
      <c r="AD77" s="185" t="n">
        <v>40725</v>
      </c>
      <c r="AE77" s="196"/>
      <c r="AF77" s="185"/>
      <c r="AG77" s="184" t="n">
        <v>4.38</v>
      </c>
      <c r="AH77" s="185" t="n">
        <v>40725</v>
      </c>
      <c r="AI77" s="183"/>
      <c r="AJ77" s="183"/>
      <c r="AK77" s="182"/>
      <c r="AL77" s="182"/>
      <c r="AM77" s="184" t="n">
        <v>87</v>
      </c>
      <c r="AN77" s="183" t="n">
        <v>40630</v>
      </c>
      <c r="AO77" s="182"/>
      <c r="AP77" s="182"/>
      <c r="AQ77" s="183"/>
      <c r="AR77" s="183"/>
      <c r="AS77" s="182"/>
      <c r="AT77" s="182"/>
      <c r="AU77" s="183"/>
      <c r="AV77" s="183"/>
      <c r="AW77" s="182"/>
      <c r="AX77" s="182"/>
      <c r="AY77" s="183"/>
      <c r="AZ77" s="183"/>
      <c r="BA77" s="182"/>
      <c r="BB77" s="182"/>
      <c r="BK77" s="183"/>
      <c r="BL77" s="183"/>
      <c r="BM77" s="182"/>
      <c r="BN77" s="182"/>
      <c r="BO77" s="183"/>
      <c r="BP77" s="183"/>
      <c r="BQ77" s="182"/>
      <c r="BR77" s="182"/>
      <c r="BS77" s="184" t="n">
        <v>52.5</v>
      </c>
      <c r="BT77" s="185" t="n">
        <v>40725</v>
      </c>
      <c r="BU77" s="184" t="n">
        <v>16.3</v>
      </c>
      <c r="BV77" s="185" t="n">
        <v>40725</v>
      </c>
      <c r="CL77" s="182"/>
      <c r="CM77" s="182"/>
    </row>
    <row r="78" customFormat="false" ht="12.75" hidden="false" customHeight="false" outlineLevel="0" collapsed="false">
      <c r="A78" s="135" t="s">
        <v>462</v>
      </c>
      <c r="B78" s="193" t="s">
        <v>782</v>
      </c>
      <c r="C78" s="193" t="s">
        <v>877</v>
      </c>
      <c r="D78" s="193"/>
      <c r="E78" s="119" t="n">
        <v>19</v>
      </c>
      <c r="F78" s="195" t="n">
        <v>76</v>
      </c>
      <c r="G78" s="119"/>
      <c r="H78" s="119"/>
      <c r="J78" s="118"/>
      <c r="K78" s="118"/>
      <c r="L78" s="181"/>
      <c r="N78" s="182"/>
      <c r="O78" s="182"/>
      <c r="S78" s="184" t="n">
        <v>1593</v>
      </c>
      <c r="T78" s="185" t="n">
        <v>40725</v>
      </c>
      <c r="U78" s="182"/>
      <c r="V78" s="182"/>
      <c r="W78" s="183"/>
      <c r="X78" s="183"/>
      <c r="Y78" s="184" t="n">
        <v>506</v>
      </c>
      <c r="Z78" s="185" t="n">
        <v>40725</v>
      </c>
      <c r="AA78" s="184" t="n">
        <v>68448</v>
      </c>
      <c r="AB78" s="185" t="n">
        <v>40725</v>
      </c>
      <c r="AC78" s="184" t="n">
        <v>30.2</v>
      </c>
      <c r="AD78" s="185" t="n">
        <v>40725</v>
      </c>
      <c r="AE78" s="196"/>
      <c r="AF78" s="185"/>
      <c r="AG78" s="184" t="n">
        <v>4.42</v>
      </c>
      <c r="AH78" s="185" t="n">
        <v>40725</v>
      </c>
      <c r="AI78" s="183"/>
      <c r="AJ78" s="183"/>
      <c r="AK78" s="182"/>
      <c r="AL78" s="182"/>
      <c r="AM78" s="184" t="n">
        <v>87</v>
      </c>
      <c r="AN78" s="183" t="n">
        <v>40630</v>
      </c>
      <c r="AO78" s="182"/>
      <c r="AP78" s="182"/>
      <c r="AQ78" s="183"/>
      <c r="AR78" s="183"/>
      <c r="AS78" s="182"/>
      <c r="AT78" s="182"/>
      <c r="AU78" s="183"/>
      <c r="AV78" s="183"/>
      <c r="AW78" s="182"/>
      <c r="AX78" s="182"/>
      <c r="AY78" s="183"/>
      <c r="AZ78" s="183"/>
      <c r="BA78" s="182"/>
      <c r="BB78" s="182"/>
      <c r="BK78" s="183"/>
      <c r="BL78" s="183"/>
      <c r="BM78" s="182"/>
      <c r="BN78" s="182"/>
      <c r="BO78" s="183"/>
      <c r="BP78" s="183"/>
      <c r="BQ78" s="182"/>
      <c r="BR78" s="182"/>
      <c r="BS78" s="184" t="n">
        <v>52.7</v>
      </c>
      <c r="BT78" s="185" t="n">
        <v>40725</v>
      </c>
      <c r="BU78" s="184" t="n">
        <v>16.7</v>
      </c>
      <c r="BV78" s="185" t="n">
        <v>40725</v>
      </c>
      <c r="CL78" s="182"/>
      <c r="CM78" s="182"/>
    </row>
    <row r="79" customFormat="false" ht="12.75" hidden="false" customHeight="false" outlineLevel="0" collapsed="false">
      <c r="A79" s="135" t="s">
        <v>462</v>
      </c>
      <c r="B79" s="193" t="s">
        <v>785</v>
      </c>
      <c r="C79" s="193" t="s">
        <v>875</v>
      </c>
      <c r="D79" s="193"/>
      <c r="E79" s="194" t="n">
        <v>6</v>
      </c>
      <c r="F79" s="195" t="n">
        <v>31</v>
      </c>
      <c r="G79" s="119"/>
      <c r="H79" s="119"/>
      <c r="J79" s="118"/>
      <c r="K79" s="118"/>
      <c r="L79" s="181"/>
      <c r="N79" s="182"/>
      <c r="O79" s="182"/>
      <c r="S79" s="184" t="n">
        <v>2349</v>
      </c>
      <c r="T79" s="185" t="n">
        <v>40725</v>
      </c>
      <c r="U79" s="182"/>
      <c r="V79" s="182"/>
      <c r="W79" s="183"/>
      <c r="X79" s="183"/>
      <c r="Y79" s="184" t="n">
        <v>808</v>
      </c>
      <c r="Z79" s="185" t="n">
        <v>40725</v>
      </c>
      <c r="AA79" s="184" t="n">
        <v>97206</v>
      </c>
      <c r="AB79" s="185" t="n">
        <v>40725</v>
      </c>
      <c r="AC79" s="184" t="n">
        <v>45.5</v>
      </c>
      <c r="AD79" s="185" t="n">
        <v>40725</v>
      </c>
      <c r="AE79" s="196"/>
      <c r="AF79" s="185"/>
      <c r="AG79" s="184" t="n">
        <v>4.68</v>
      </c>
      <c r="AH79" s="185" t="n">
        <v>40725</v>
      </c>
      <c r="AI79" s="183"/>
      <c r="AJ79" s="183"/>
      <c r="AK79" s="182"/>
      <c r="AL79" s="182"/>
      <c r="AM79" s="184" t="n">
        <v>89</v>
      </c>
      <c r="AN79" s="183" t="n">
        <v>40630</v>
      </c>
      <c r="AO79" s="182"/>
      <c r="AP79" s="182"/>
      <c r="AQ79" s="183"/>
      <c r="AR79" s="183"/>
      <c r="AS79" s="182"/>
      <c r="AT79" s="182"/>
      <c r="AU79" s="183"/>
      <c r="AV79" s="183"/>
      <c r="AW79" s="182"/>
      <c r="AX79" s="182"/>
      <c r="AY79" s="183"/>
      <c r="AZ79" s="183"/>
      <c r="BA79" s="182"/>
      <c r="BB79" s="182"/>
      <c r="BK79" s="183"/>
      <c r="BL79" s="183"/>
      <c r="BM79" s="182"/>
      <c r="BN79" s="182"/>
      <c r="BO79" s="183"/>
      <c r="BP79" s="183"/>
      <c r="BQ79" s="182"/>
      <c r="BR79" s="182"/>
      <c r="BS79" s="184" t="n">
        <v>51.6</v>
      </c>
      <c r="BT79" s="185" t="n">
        <v>40725</v>
      </c>
      <c r="BU79" s="184" t="n">
        <v>17.8</v>
      </c>
      <c r="BV79" s="185" t="n">
        <v>40725</v>
      </c>
      <c r="CL79" s="182"/>
      <c r="CM79" s="182"/>
    </row>
    <row r="80" customFormat="false" ht="12.75" hidden="false" customHeight="false" outlineLevel="0" collapsed="false">
      <c r="A80" s="135" t="s">
        <v>462</v>
      </c>
      <c r="B80" s="193" t="s">
        <v>785</v>
      </c>
      <c r="C80" s="193" t="s">
        <v>876</v>
      </c>
      <c r="D80" s="193"/>
      <c r="E80" s="194" t="n">
        <v>1</v>
      </c>
      <c r="F80" s="195" t="n">
        <v>62</v>
      </c>
      <c r="G80" s="119"/>
      <c r="H80" s="119"/>
      <c r="J80" s="118"/>
      <c r="K80" s="118"/>
      <c r="L80" s="181"/>
      <c r="N80" s="182"/>
      <c r="O80" s="182"/>
      <c r="S80" s="184" t="n">
        <v>2190</v>
      </c>
      <c r="T80" s="185" t="n">
        <v>40725</v>
      </c>
      <c r="U80" s="182"/>
      <c r="V80" s="182"/>
      <c r="W80" s="183"/>
      <c r="X80" s="183"/>
      <c r="Y80" s="184" t="n">
        <v>725</v>
      </c>
      <c r="Z80" s="185" t="n">
        <v>40725</v>
      </c>
      <c r="AA80" s="184" t="n">
        <v>87968</v>
      </c>
      <c r="AB80" s="185" t="n">
        <v>40725</v>
      </c>
      <c r="AC80" s="184" t="n">
        <v>41.9</v>
      </c>
      <c r="AD80" s="185" t="n">
        <v>40725</v>
      </c>
      <c r="AE80" s="196"/>
      <c r="AF80" s="185"/>
      <c r="AG80" s="184" t="n">
        <v>4.76</v>
      </c>
      <c r="AH80" s="185" t="n">
        <v>40725</v>
      </c>
      <c r="AI80" s="183"/>
      <c r="AJ80" s="183"/>
      <c r="AK80" s="182"/>
      <c r="AL80" s="182"/>
      <c r="AM80" s="184" t="n">
        <v>88</v>
      </c>
      <c r="AN80" s="183" t="n">
        <v>40630</v>
      </c>
      <c r="AO80" s="182"/>
      <c r="AP80" s="182"/>
      <c r="AQ80" s="183"/>
      <c r="AR80" s="183"/>
      <c r="AS80" s="182"/>
      <c r="AT80" s="182"/>
      <c r="AU80" s="183"/>
      <c r="AV80" s="183"/>
      <c r="AW80" s="182"/>
      <c r="AX80" s="182"/>
      <c r="AY80" s="183"/>
      <c r="AZ80" s="183"/>
      <c r="BA80" s="182"/>
      <c r="BB80" s="182"/>
      <c r="BK80" s="183"/>
      <c r="BL80" s="183"/>
      <c r="BM80" s="182"/>
      <c r="BN80" s="182"/>
      <c r="BO80" s="183"/>
      <c r="BP80" s="183"/>
      <c r="BQ80" s="182"/>
      <c r="BR80" s="182"/>
      <c r="BS80" s="184" t="n">
        <v>52.3</v>
      </c>
      <c r="BT80" s="185" t="n">
        <v>40725</v>
      </c>
      <c r="BU80" s="184" t="n">
        <v>17.3</v>
      </c>
      <c r="BV80" s="185" t="n">
        <v>40725</v>
      </c>
      <c r="CL80" s="182"/>
      <c r="CM80" s="182"/>
    </row>
    <row r="81" customFormat="false" ht="12.75" hidden="false" customHeight="false" outlineLevel="0" collapsed="false">
      <c r="A81" s="135" t="s">
        <v>462</v>
      </c>
      <c r="B81" s="193" t="s">
        <v>785</v>
      </c>
      <c r="C81" s="193" t="s">
        <v>877</v>
      </c>
      <c r="D81" s="193"/>
      <c r="E81" s="119" t="n">
        <v>23</v>
      </c>
      <c r="F81" s="195" t="n">
        <v>77</v>
      </c>
      <c r="G81" s="119"/>
      <c r="H81" s="119"/>
      <c r="J81" s="118"/>
      <c r="K81" s="118"/>
      <c r="L81" s="181"/>
      <c r="N81" s="182"/>
      <c r="O81" s="182"/>
      <c r="S81" s="184" t="s">
        <v>879</v>
      </c>
      <c r="T81" s="185" t="n">
        <v>40725</v>
      </c>
      <c r="U81" s="182"/>
      <c r="V81" s="182"/>
      <c r="W81" s="183"/>
      <c r="X81" s="183"/>
      <c r="Y81" s="184" t="s">
        <v>879</v>
      </c>
      <c r="Z81" s="185" t="n">
        <v>40725</v>
      </c>
      <c r="AA81" s="184" t="s">
        <v>879</v>
      </c>
      <c r="AB81" s="185" t="n">
        <v>40725</v>
      </c>
      <c r="AC81" s="184" t="s">
        <v>879</v>
      </c>
      <c r="AD81" s="185" t="n">
        <v>40725</v>
      </c>
      <c r="AE81" s="196"/>
      <c r="AF81" s="185"/>
      <c r="AG81" s="184" t="s">
        <v>879</v>
      </c>
      <c r="AH81" s="185" t="n">
        <v>40725</v>
      </c>
      <c r="AI81" s="183"/>
      <c r="AJ81" s="183"/>
      <c r="AK81" s="182"/>
      <c r="AL81" s="182"/>
      <c r="AM81" s="184" t="n">
        <v>90</v>
      </c>
      <c r="AN81" s="183" t="n">
        <v>40630</v>
      </c>
      <c r="AO81" s="182"/>
      <c r="AP81" s="182"/>
      <c r="AQ81" s="183"/>
      <c r="AR81" s="183"/>
      <c r="AS81" s="182"/>
      <c r="AT81" s="182"/>
      <c r="AU81" s="183"/>
      <c r="AV81" s="183"/>
      <c r="AW81" s="182"/>
      <c r="AX81" s="182"/>
      <c r="AY81" s="183"/>
      <c r="AZ81" s="183"/>
      <c r="BA81" s="182"/>
      <c r="BB81" s="182"/>
      <c r="BK81" s="183"/>
      <c r="BL81" s="183"/>
      <c r="BM81" s="182"/>
      <c r="BN81" s="182"/>
      <c r="BO81" s="183"/>
      <c r="BP81" s="183"/>
      <c r="BQ81" s="182"/>
      <c r="BR81" s="182"/>
      <c r="BS81" s="184" t="s">
        <v>879</v>
      </c>
      <c r="BT81" s="185" t="n">
        <v>40725</v>
      </c>
      <c r="BU81" s="184" t="s">
        <v>879</v>
      </c>
      <c r="BV81" s="185" t="n">
        <v>40725</v>
      </c>
      <c r="CL81" s="182"/>
      <c r="CM81" s="182"/>
    </row>
    <row r="82" customFormat="false" ht="12.75" hidden="false" customHeight="false" outlineLevel="0" collapsed="false">
      <c r="A82" s="135" t="s">
        <v>465</v>
      </c>
      <c r="B82" s="193" t="s">
        <v>782</v>
      </c>
      <c r="C82" s="193" t="s">
        <v>875</v>
      </c>
      <c r="D82" s="193"/>
      <c r="E82" s="194" t="n">
        <v>3</v>
      </c>
      <c r="F82" s="195" t="n">
        <v>6</v>
      </c>
      <c r="G82" s="119"/>
      <c r="H82" s="119"/>
      <c r="J82" s="118"/>
      <c r="K82" s="118"/>
      <c r="L82" s="181"/>
      <c r="N82" s="182"/>
      <c r="O82" s="182"/>
      <c r="S82" s="184" t="n">
        <v>1855</v>
      </c>
      <c r="T82" s="185" t="n">
        <v>40725</v>
      </c>
      <c r="U82" s="182"/>
      <c r="V82" s="182"/>
      <c r="W82" s="183"/>
      <c r="X82" s="183"/>
      <c r="Y82" s="184" t="n">
        <v>554</v>
      </c>
      <c r="Z82" s="185" t="n">
        <v>40725</v>
      </c>
      <c r="AA82" s="184" t="n">
        <v>76599</v>
      </c>
      <c r="AB82" s="185" t="n">
        <v>40725</v>
      </c>
      <c r="AC82" s="184" t="n">
        <v>34.6</v>
      </c>
      <c r="AD82" s="185" t="n">
        <v>40725</v>
      </c>
      <c r="AE82" s="196"/>
      <c r="AF82" s="185"/>
      <c r="AG82" s="184" t="n">
        <v>4.51</v>
      </c>
      <c r="AH82" s="185" t="n">
        <v>40725</v>
      </c>
      <c r="AI82" s="183"/>
      <c r="AJ82" s="183"/>
      <c r="AK82" s="182"/>
      <c r="AL82" s="182"/>
      <c r="AM82" s="184" t="n">
        <v>88</v>
      </c>
      <c r="AN82" s="183" t="n">
        <v>40630</v>
      </c>
      <c r="AO82" s="182"/>
      <c r="AP82" s="182"/>
      <c r="AQ82" s="183"/>
      <c r="AR82" s="183"/>
      <c r="AS82" s="182"/>
      <c r="AT82" s="182"/>
      <c r="AU82" s="183"/>
      <c r="AV82" s="183"/>
      <c r="AW82" s="182"/>
      <c r="AX82" s="182"/>
      <c r="AY82" s="183"/>
      <c r="AZ82" s="183"/>
      <c r="BA82" s="182"/>
      <c r="BB82" s="182"/>
      <c r="BK82" s="183"/>
      <c r="BL82" s="183"/>
      <c r="BM82" s="182"/>
      <c r="BN82" s="182"/>
      <c r="BO82" s="183"/>
      <c r="BP82" s="183"/>
      <c r="BQ82" s="182"/>
      <c r="BR82" s="182"/>
      <c r="BS82" s="184" t="n">
        <v>53.6</v>
      </c>
      <c r="BT82" s="185" t="n">
        <v>40725</v>
      </c>
      <c r="BU82" s="184" t="n">
        <v>16</v>
      </c>
      <c r="BV82" s="185" t="n">
        <v>40725</v>
      </c>
      <c r="CL82" s="182"/>
      <c r="CM82" s="182"/>
    </row>
    <row r="83" customFormat="false" ht="12.75" hidden="false" customHeight="false" outlineLevel="0" collapsed="false">
      <c r="A83" s="135" t="s">
        <v>465</v>
      </c>
      <c r="B83" s="193" t="s">
        <v>782</v>
      </c>
      <c r="C83" s="193" t="s">
        <v>876</v>
      </c>
      <c r="D83" s="193"/>
      <c r="E83" s="194" t="n">
        <v>6</v>
      </c>
      <c r="F83" s="195" t="n">
        <v>53</v>
      </c>
      <c r="G83" s="119"/>
      <c r="H83" s="119"/>
      <c r="J83" s="118"/>
      <c r="K83" s="118"/>
      <c r="L83" s="181"/>
      <c r="N83" s="182"/>
      <c r="O83" s="182"/>
      <c r="S83" s="184" t="n">
        <v>1187</v>
      </c>
      <c r="T83" s="185" t="n">
        <v>40725</v>
      </c>
      <c r="U83" s="182"/>
      <c r="V83" s="182"/>
      <c r="W83" s="183"/>
      <c r="X83" s="183"/>
      <c r="Y83" s="184" t="n">
        <v>385</v>
      </c>
      <c r="Z83" s="185" t="n">
        <v>40725</v>
      </c>
      <c r="AA83" s="184" t="n">
        <v>49151</v>
      </c>
      <c r="AB83" s="185" t="n">
        <v>40725</v>
      </c>
      <c r="AC83" s="184" t="n">
        <v>22.7</v>
      </c>
      <c r="AD83" s="185" t="n">
        <v>40725</v>
      </c>
      <c r="AE83" s="196"/>
      <c r="AF83" s="185"/>
      <c r="AG83" s="184" t="n">
        <v>4.61</v>
      </c>
      <c r="AH83" s="185" t="n">
        <v>40725</v>
      </c>
      <c r="AI83" s="183"/>
      <c r="AJ83" s="183"/>
      <c r="AK83" s="182"/>
      <c r="AL83" s="182"/>
      <c r="AM83" s="184" t="n">
        <v>89</v>
      </c>
      <c r="AN83" s="183" t="n">
        <v>40630</v>
      </c>
      <c r="AO83" s="182"/>
      <c r="AP83" s="182"/>
      <c r="AQ83" s="183"/>
      <c r="AR83" s="183"/>
      <c r="AS83" s="182"/>
      <c r="AT83" s="182"/>
      <c r="AU83" s="183"/>
      <c r="AV83" s="183"/>
      <c r="AW83" s="182"/>
      <c r="AX83" s="182"/>
      <c r="AY83" s="183"/>
      <c r="AZ83" s="183"/>
      <c r="BA83" s="182"/>
      <c r="BB83" s="182"/>
      <c r="BK83" s="183"/>
      <c r="BL83" s="183"/>
      <c r="BM83" s="182"/>
      <c r="BN83" s="182"/>
      <c r="BO83" s="183"/>
      <c r="BP83" s="183"/>
      <c r="BQ83" s="182"/>
      <c r="BR83" s="182"/>
      <c r="BS83" s="184" t="n">
        <v>52.4</v>
      </c>
      <c r="BT83" s="185" t="n">
        <v>40725</v>
      </c>
      <c r="BU83" s="184" t="n">
        <v>17</v>
      </c>
      <c r="BV83" s="185" t="n">
        <v>40725</v>
      </c>
      <c r="CL83" s="182"/>
      <c r="CM83" s="182"/>
    </row>
    <row r="84" customFormat="false" ht="12.75" hidden="false" customHeight="false" outlineLevel="0" collapsed="false">
      <c r="A84" s="135" t="s">
        <v>465</v>
      </c>
      <c r="B84" s="193" t="s">
        <v>782</v>
      </c>
      <c r="C84" s="193" t="s">
        <v>877</v>
      </c>
      <c r="D84" s="193"/>
      <c r="E84" s="119" t="n">
        <v>15</v>
      </c>
      <c r="F84" s="195" t="n">
        <v>75</v>
      </c>
      <c r="G84" s="119"/>
      <c r="H84" s="119"/>
      <c r="J84" s="118"/>
      <c r="K84" s="118"/>
      <c r="L84" s="181"/>
      <c r="N84" s="182"/>
      <c r="O84" s="182"/>
      <c r="S84" s="184" t="n">
        <v>1814</v>
      </c>
      <c r="T84" s="185" t="n">
        <v>40725</v>
      </c>
      <c r="U84" s="182"/>
      <c r="V84" s="182"/>
      <c r="W84" s="183"/>
      <c r="X84" s="183"/>
      <c r="Y84" s="184" t="n">
        <v>572</v>
      </c>
      <c r="Z84" s="185" t="n">
        <v>40725</v>
      </c>
      <c r="AA84" s="184" t="n">
        <v>75814</v>
      </c>
      <c r="AB84" s="185" t="n">
        <v>40725</v>
      </c>
      <c r="AC84" s="184" t="n">
        <v>34.1</v>
      </c>
      <c r="AD84" s="185" t="n">
        <v>40725</v>
      </c>
      <c r="AE84" s="196"/>
      <c r="AF84" s="185"/>
      <c r="AG84" s="184" t="n">
        <v>4.5</v>
      </c>
      <c r="AH84" s="185" t="n">
        <v>40725</v>
      </c>
      <c r="AI84" s="183"/>
      <c r="AJ84" s="183"/>
      <c r="AK84" s="182"/>
      <c r="AL84" s="182"/>
      <c r="AM84" s="184" t="n">
        <v>85</v>
      </c>
      <c r="AN84" s="183" t="n">
        <v>40630</v>
      </c>
      <c r="AO84" s="182"/>
      <c r="AP84" s="182"/>
      <c r="AQ84" s="183"/>
      <c r="AR84" s="183"/>
      <c r="AS84" s="182"/>
      <c r="AT84" s="182"/>
      <c r="AU84" s="183"/>
      <c r="AV84" s="183"/>
      <c r="AW84" s="182"/>
      <c r="AX84" s="182"/>
      <c r="AY84" s="183"/>
      <c r="AZ84" s="183"/>
      <c r="BA84" s="182"/>
      <c r="BB84" s="182"/>
      <c r="BK84" s="183"/>
      <c r="BL84" s="183"/>
      <c r="BM84" s="182"/>
      <c r="BN84" s="182"/>
      <c r="BO84" s="183"/>
      <c r="BP84" s="183"/>
      <c r="BQ84" s="182"/>
      <c r="BR84" s="182"/>
      <c r="BS84" s="184" t="n">
        <v>53.2</v>
      </c>
      <c r="BT84" s="185" t="n">
        <v>40725</v>
      </c>
      <c r="BU84" s="184" t="n">
        <v>16.8</v>
      </c>
      <c r="BV84" s="185" t="n">
        <v>40725</v>
      </c>
      <c r="CL84" s="182"/>
      <c r="CM84" s="182"/>
    </row>
    <row r="85" customFormat="false" ht="12.75" hidden="false" customHeight="false" outlineLevel="0" collapsed="false">
      <c r="A85" s="135" t="s">
        <v>465</v>
      </c>
      <c r="B85" s="193" t="s">
        <v>785</v>
      </c>
      <c r="C85" s="193" t="s">
        <v>875</v>
      </c>
      <c r="D85" s="193"/>
      <c r="E85" s="194" t="n">
        <v>5</v>
      </c>
      <c r="F85" s="195" t="n">
        <v>27</v>
      </c>
      <c r="G85" s="119"/>
      <c r="H85" s="119"/>
      <c r="J85" s="118"/>
      <c r="K85" s="118"/>
      <c r="L85" s="181"/>
      <c r="N85" s="182"/>
      <c r="O85" s="182"/>
      <c r="S85" s="184" t="n">
        <v>2289</v>
      </c>
      <c r="T85" s="185" t="n">
        <v>40725</v>
      </c>
      <c r="U85" s="182"/>
      <c r="V85" s="182"/>
      <c r="W85" s="183"/>
      <c r="X85" s="183"/>
      <c r="Y85" s="184" t="n">
        <v>733</v>
      </c>
      <c r="Z85" s="185" t="n">
        <v>40725</v>
      </c>
      <c r="AA85" s="184" t="n">
        <v>99385</v>
      </c>
      <c r="AB85" s="185" t="n">
        <v>40725</v>
      </c>
      <c r="AC85" s="184" t="n">
        <v>43.5</v>
      </c>
      <c r="AD85" s="185" t="n">
        <v>40725</v>
      </c>
      <c r="AE85" s="196"/>
      <c r="AF85" s="185"/>
      <c r="AG85" s="184" t="n">
        <v>4.37</v>
      </c>
      <c r="AH85" s="185" t="n">
        <v>40725</v>
      </c>
      <c r="AI85" s="183"/>
      <c r="AJ85" s="183"/>
      <c r="AK85" s="182"/>
      <c r="AL85" s="182"/>
      <c r="AM85" s="184" t="n">
        <v>88</v>
      </c>
      <c r="AN85" s="183" t="n">
        <v>40630</v>
      </c>
      <c r="AO85" s="182"/>
      <c r="AP85" s="182"/>
      <c r="AQ85" s="183"/>
      <c r="AR85" s="183"/>
      <c r="AS85" s="182"/>
      <c r="AT85" s="182"/>
      <c r="AU85" s="183"/>
      <c r="AV85" s="183"/>
      <c r="AW85" s="182"/>
      <c r="AX85" s="182"/>
      <c r="AY85" s="183"/>
      <c r="AZ85" s="183"/>
      <c r="BA85" s="182"/>
      <c r="BB85" s="182"/>
      <c r="BK85" s="183"/>
      <c r="BL85" s="183"/>
      <c r="BM85" s="182"/>
      <c r="BN85" s="182"/>
      <c r="BO85" s="183"/>
      <c r="BP85" s="183"/>
      <c r="BQ85" s="182"/>
      <c r="BR85" s="182"/>
      <c r="BS85" s="184" t="n">
        <v>52.7</v>
      </c>
      <c r="BT85" s="185" t="n">
        <v>40725</v>
      </c>
      <c r="BU85" s="184" t="n">
        <v>16.9</v>
      </c>
      <c r="BV85" s="185" t="n">
        <v>40725</v>
      </c>
      <c r="CL85" s="182"/>
      <c r="CM85" s="182"/>
    </row>
    <row r="86" customFormat="false" ht="12.75" hidden="false" customHeight="false" outlineLevel="0" collapsed="false">
      <c r="A86" s="135" t="s">
        <v>465</v>
      </c>
      <c r="B86" s="193" t="s">
        <v>785</v>
      </c>
      <c r="C86" s="193" t="s">
        <v>876</v>
      </c>
      <c r="D86" s="193"/>
      <c r="E86" s="194" t="n">
        <v>3</v>
      </c>
      <c r="F86" s="195" t="n">
        <v>63</v>
      </c>
      <c r="G86" s="119"/>
      <c r="H86" s="119"/>
      <c r="J86" s="118"/>
      <c r="K86" s="118"/>
      <c r="L86" s="181"/>
      <c r="N86" s="182"/>
      <c r="O86" s="182"/>
      <c r="S86" s="184" t="n">
        <v>2306</v>
      </c>
      <c r="T86" s="185" t="n">
        <v>40725</v>
      </c>
      <c r="U86" s="182"/>
      <c r="V86" s="182"/>
      <c r="W86" s="183"/>
      <c r="X86" s="183"/>
      <c r="Y86" s="184" t="n">
        <v>827</v>
      </c>
      <c r="Z86" s="185" t="n">
        <v>40725</v>
      </c>
      <c r="AA86" s="184" t="n">
        <v>96739</v>
      </c>
      <c r="AB86" s="185" t="n">
        <v>40725</v>
      </c>
      <c r="AC86" s="184" t="n">
        <v>44.8</v>
      </c>
      <c r="AD86" s="185" t="n">
        <v>40725</v>
      </c>
      <c r="AE86" s="196"/>
      <c r="AF86" s="185"/>
      <c r="AG86" s="184" t="n">
        <v>4.63</v>
      </c>
      <c r="AH86" s="185" t="n">
        <v>40725</v>
      </c>
      <c r="AI86" s="183"/>
      <c r="AJ86" s="183"/>
      <c r="AK86" s="182"/>
      <c r="AL86" s="182"/>
      <c r="AM86" s="184" t="n">
        <v>86</v>
      </c>
      <c r="AN86" s="183" t="n">
        <v>40630</v>
      </c>
      <c r="AO86" s="182"/>
      <c r="AP86" s="182"/>
      <c r="AQ86" s="183"/>
      <c r="AR86" s="183"/>
      <c r="AS86" s="182"/>
      <c r="AT86" s="182"/>
      <c r="AU86" s="183"/>
      <c r="AV86" s="183"/>
      <c r="AW86" s="182"/>
      <c r="AX86" s="182"/>
      <c r="AY86" s="183"/>
      <c r="AZ86" s="183"/>
      <c r="BA86" s="182"/>
      <c r="BB86" s="182"/>
      <c r="BK86" s="183"/>
      <c r="BL86" s="183"/>
      <c r="BM86" s="182"/>
      <c r="BN86" s="182"/>
      <c r="BO86" s="183"/>
      <c r="BP86" s="183"/>
      <c r="BQ86" s="182"/>
      <c r="BR86" s="182"/>
      <c r="BS86" s="184" t="n">
        <v>51.5</v>
      </c>
      <c r="BT86" s="185" t="n">
        <v>40725</v>
      </c>
      <c r="BU86" s="184" t="n">
        <v>18.5</v>
      </c>
      <c r="BV86" s="185" t="n">
        <v>40725</v>
      </c>
      <c r="CL86" s="182"/>
      <c r="CM86" s="182"/>
    </row>
    <row r="87" customFormat="false" ht="12.75" hidden="false" customHeight="false" outlineLevel="0" collapsed="false">
      <c r="A87" s="135" t="s">
        <v>465</v>
      </c>
      <c r="B87" s="193" t="s">
        <v>785</v>
      </c>
      <c r="C87" s="193" t="s">
        <v>877</v>
      </c>
      <c r="D87" s="193"/>
      <c r="E87" s="119" t="n">
        <v>22</v>
      </c>
      <c r="F87" s="195" t="n">
        <v>70</v>
      </c>
      <c r="G87" s="119"/>
      <c r="H87" s="119"/>
      <c r="J87" s="118"/>
      <c r="K87" s="118"/>
      <c r="L87" s="181"/>
      <c r="N87" s="182"/>
      <c r="O87" s="182"/>
      <c r="S87" s="184" t="n">
        <v>2031</v>
      </c>
      <c r="T87" s="185" t="n">
        <v>40725</v>
      </c>
      <c r="U87" s="182"/>
      <c r="V87" s="182"/>
      <c r="W87" s="183"/>
      <c r="X87" s="183"/>
      <c r="Y87" s="184" t="n">
        <v>706</v>
      </c>
      <c r="Z87" s="185" t="n">
        <v>40725</v>
      </c>
      <c r="AA87" s="184" t="n">
        <v>82053</v>
      </c>
      <c r="AB87" s="185" t="n">
        <v>40725</v>
      </c>
      <c r="AC87" s="184" t="n">
        <v>39.3</v>
      </c>
      <c r="AD87" s="185" t="n">
        <v>40725</v>
      </c>
      <c r="AE87" s="196"/>
      <c r="AF87" s="185"/>
      <c r="AG87" s="184" t="n">
        <v>4.79</v>
      </c>
      <c r="AH87" s="185" t="n">
        <v>40725</v>
      </c>
      <c r="AI87" s="183"/>
      <c r="AJ87" s="183"/>
      <c r="AK87" s="182"/>
      <c r="AL87" s="182"/>
      <c r="AM87" s="184" t="n">
        <v>87</v>
      </c>
      <c r="AN87" s="183" t="n">
        <v>40630</v>
      </c>
      <c r="AO87" s="182"/>
      <c r="AP87" s="182"/>
      <c r="AQ87" s="183"/>
      <c r="AR87" s="183"/>
      <c r="AS87" s="182"/>
      <c r="AT87" s="182"/>
      <c r="AU87" s="183"/>
      <c r="AV87" s="183"/>
      <c r="AW87" s="182"/>
      <c r="AX87" s="182"/>
      <c r="AY87" s="183"/>
      <c r="AZ87" s="183"/>
      <c r="BA87" s="182"/>
      <c r="BB87" s="182"/>
      <c r="BK87" s="183"/>
      <c r="BL87" s="183"/>
      <c r="BM87" s="182"/>
      <c r="BN87" s="182"/>
      <c r="BO87" s="183"/>
      <c r="BP87" s="183"/>
      <c r="BQ87" s="182"/>
      <c r="BR87" s="182"/>
      <c r="BS87" s="184" t="n">
        <v>51.7</v>
      </c>
      <c r="BT87" s="185" t="n">
        <v>40725</v>
      </c>
      <c r="BU87" s="184" t="n">
        <v>18</v>
      </c>
      <c r="BV87" s="185" t="n">
        <v>40725</v>
      </c>
      <c r="CL87" s="182"/>
      <c r="CM87" s="182"/>
    </row>
    <row r="88" customFormat="false" ht="12.75" hidden="false" customHeight="false" outlineLevel="0" collapsed="false">
      <c r="A88" s="135" t="s">
        <v>468</v>
      </c>
      <c r="B88" s="193" t="s">
        <v>782</v>
      </c>
      <c r="C88" s="193" t="s">
        <v>875</v>
      </c>
      <c r="D88" s="193"/>
      <c r="E88" s="194" t="n">
        <v>2</v>
      </c>
      <c r="F88" s="195" t="n">
        <v>8</v>
      </c>
      <c r="G88" s="119"/>
      <c r="H88" s="119"/>
      <c r="J88" s="118"/>
      <c r="K88" s="118"/>
      <c r="L88" s="181"/>
      <c r="N88" s="182"/>
      <c r="O88" s="182"/>
      <c r="S88" s="184" t="n">
        <v>1467</v>
      </c>
      <c r="T88" s="185" t="n">
        <v>40725</v>
      </c>
      <c r="U88" s="182"/>
      <c r="V88" s="182"/>
      <c r="W88" s="183"/>
      <c r="X88" s="183"/>
      <c r="Y88" s="184" t="n">
        <v>419</v>
      </c>
      <c r="Z88" s="185" t="n">
        <v>40725</v>
      </c>
      <c r="AA88" s="184" t="n">
        <v>76051</v>
      </c>
      <c r="AB88" s="185" t="n">
        <v>40725</v>
      </c>
      <c r="AC88" s="184" t="n">
        <v>27.5</v>
      </c>
      <c r="AD88" s="185" t="n">
        <v>40725</v>
      </c>
      <c r="AE88" s="196"/>
      <c r="AF88" s="185"/>
      <c r="AG88" s="184" t="n">
        <v>3.61</v>
      </c>
      <c r="AH88" s="185" t="n">
        <v>40725</v>
      </c>
      <c r="AI88" s="183"/>
      <c r="AJ88" s="183"/>
      <c r="AK88" s="182"/>
      <c r="AL88" s="182"/>
      <c r="AM88" s="184" t="n">
        <v>84</v>
      </c>
      <c r="AN88" s="183" t="n">
        <v>40630</v>
      </c>
      <c r="AO88" s="182"/>
      <c r="AP88" s="182"/>
      <c r="AQ88" s="183"/>
      <c r="AR88" s="183"/>
      <c r="AS88" s="182"/>
      <c r="AT88" s="182"/>
      <c r="AU88" s="183"/>
      <c r="AV88" s="183"/>
      <c r="AW88" s="182"/>
      <c r="AX88" s="182"/>
      <c r="AY88" s="183"/>
      <c r="AZ88" s="183"/>
      <c r="BA88" s="182"/>
      <c r="BB88" s="182"/>
      <c r="BK88" s="183"/>
      <c r="BL88" s="183"/>
      <c r="BM88" s="182"/>
      <c r="BN88" s="182"/>
      <c r="BO88" s="183"/>
      <c r="BP88" s="183"/>
      <c r="BQ88" s="182"/>
      <c r="BR88" s="182"/>
      <c r="BS88" s="184" t="n">
        <v>53.4</v>
      </c>
      <c r="BT88" s="185" t="n">
        <v>40725</v>
      </c>
      <c r="BU88" s="184" t="n">
        <v>15.3</v>
      </c>
      <c r="BV88" s="185" t="n">
        <v>40725</v>
      </c>
      <c r="CL88" s="182"/>
      <c r="CM88" s="182"/>
    </row>
    <row r="89" customFormat="false" ht="12.75" hidden="false" customHeight="false" outlineLevel="0" collapsed="false">
      <c r="A89" s="135" t="s">
        <v>468</v>
      </c>
      <c r="B89" s="193" t="s">
        <v>782</v>
      </c>
      <c r="C89" s="193" t="s">
        <v>876</v>
      </c>
      <c r="D89" s="193"/>
      <c r="E89" s="194" t="n">
        <v>8</v>
      </c>
      <c r="F89" s="195" t="n">
        <v>58</v>
      </c>
      <c r="G89" s="119"/>
      <c r="H89" s="119"/>
      <c r="J89" s="118"/>
      <c r="K89" s="118"/>
      <c r="L89" s="181"/>
      <c r="N89" s="182"/>
      <c r="O89" s="182"/>
      <c r="S89" s="184" t="n">
        <v>1509</v>
      </c>
      <c r="T89" s="185" t="n">
        <v>40725</v>
      </c>
      <c r="U89" s="182"/>
      <c r="V89" s="182"/>
      <c r="W89" s="183"/>
      <c r="X89" s="183"/>
      <c r="Y89" s="184" t="n">
        <v>424</v>
      </c>
      <c r="Z89" s="185" t="n">
        <v>40725</v>
      </c>
      <c r="AA89" s="184" t="n">
        <v>77215</v>
      </c>
      <c r="AB89" s="185" t="n">
        <v>40725</v>
      </c>
      <c r="AC89" s="184" t="n">
        <v>27.9</v>
      </c>
      <c r="AD89" s="185" t="n">
        <v>40725</v>
      </c>
      <c r="AE89" s="196"/>
      <c r="AF89" s="185"/>
      <c r="AG89" s="184" t="n">
        <v>3.61</v>
      </c>
      <c r="AH89" s="185" t="n">
        <v>40725</v>
      </c>
      <c r="AI89" s="183"/>
      <c r="AJ89" s="183"/>
      <c r="AK89" s="182"/>
      <c r="AL89" s="182"/>
      <c r="AM89" s="184" t="n">
        <v>82</v>
      </c>
      <c r="AN89" s="183" t="n">
        <v>40630</v>
      </c>
      <c r="AO89" s="182"/>
      <c r="AP89" s="182"/>
      <c r="AQ89" s="183"/>
      <c r="AR89" s="183"/>
      <c r="AS89" s="182"/>
      <c r="AT89" s="182"/>
      <c r="AU89" s="183"/>
      <c r="AV89" s="183"/>
      <c r="AW89" s="182"/>
      <c r="AX89" s="182"/>
      <c r="AY89" s="183"/>
      <c r="AZ89" s="183"/>
      <c r="BA89" s="182"/>
      <c r="BB89" s="182"/>
      <c r="BK89" s="183"/>
      <c r="BL89" s="183"/>
      <c r="BM89" s="182"/>
      <c r="BN89" s="182"/>
      <c r="BO89" s="183"/>
      <c r="BP89" s="183"/>
      <c r="BQ89" s="182"/>
      <c r="BR89" s="182"/>
      <c r="BS89" s="184" t="n">
        <v>54.1</v>
      </c>
      <c r="BT89" s="185" t="n">
        <v>40725</v>
      </c>
      <c r="BU89" s="184" t="n">
        <v>15.2</v>
      </c>
      <c r="BV89" s="185" t="n">
        <v>40725</v>
      </c>
      <c r="CL89" s="182"/>
      <c r="CM89" s="182"/>
    </row>
    <row r="90" customFormat="false" ht="12.75" hidden="false" customHeight="false" outlineLevel="0" collapsed="false">
      <c r="A90" s="135" t="s">
        <v>468</v>
      </c>
      <c r="B90" s="193" t="s">
        <v>782</v>
      </c>
      <c r="C90" s="193" t="s">
        <v>877</v>
      </c>
      <c r="D90" s="193"/>
      <c r="E90" s="119" t="n">
        <v>18</v>
      </c>
      <c r="F90" s="195" t="n">
        <v>69</v>
      </c>
      <c r="G90" s="119"/>
      <c r="H90" s="119"/>
      <c r="J90" s="118"/>
      <c r="K90" s="118"/>
      <c r="L90" s="181"/>
      <c r="N90" s="182"/>
      <c r="O90" s="182"/>
      <c r="S90" s="184" t="n">
        <v>1277</v>
      </c>
      <c r="T90" s="185" t="n">
        <v>40725</v>
      </c>
      <c r="U90" s="182"/>
      <c r="V90" s="182"/>
      <c r="W90" s="183"/>
      <c r="X90" s="183"/>
      <c r="Y90" s="184" t="n">
        <v>405</v>
      </c>
      <c r="Z90" s="185" t="n">
        <v>40725</v>
      </c>
      <c r="AA90" s="184" t="n">
        <v>61472</v>
      </c>
      <c r="AB90" s="185" t="n">
        <v>40725</v>
      </c>
      <c r="AC90" s="184" t="n">
        <v>24.3</v>
      </c>
      <c r="AD90" s="185" t="n">
        <v>40725</v>
      </c>
      <c r="AE90" s="196"/>
      <c r="AF90" s="185"/>
      <c r="AG90" s="184" t="n">
        <v>3.95</v>
      </c>
      <c r="AH90" s="185" t="n">
        <v>40725</v>
      </c>
      <c r="AI90" s="183"/>
      <c r="AJ90" s="183"/>
      <c r="AK90" s="182"/>
      <c r="AL90" s="182"/>
      <c r="AM90" s="184" t="n">
        <v>83</v>
      </c>
      <c r="AN90" s="183" t="n">
        <v>40630</v>
      </c>
      <c r="AO90" s="182"/>
      <c r="AP90" s="182"/>
      <c r="AQ90" s="183"/>
      <c r="AR90" s="183"/>
      <c r="AS90" s="182"/>
      <c r="AT90" s="182"/>
      <c r="AU90" s="183"/>
      <c r="AV90" s="183"/>
      <c r="AW90" s="182"/>
      <c r="AX90" s="182"/>
      <c r="AY90" s="183"/>
      <c r="AZ90" s="183"/>
      <c r="BA90" s="182"/>
      <c r="BB90" s="182"/>
      <c r="BK90" s="183"/>
      <c r="BL90" s="183"/>
      <c r="BM90" s="182"/>
      <c r="BN90" s="182"/>
      <c r="BO90" s="183"/>
      <c r="BP90" s="183"/>
      <c r="BQ90" s="182"/>
      <c r="BR90" s="182"/>
      <c r="BS90" s="184" t="n">
        <v>52.6</v>
      </c>
      <c r="BT90" s="185" t="n">
        <v>40725</v>
      </c>
      <c r="BU90" s="184" t="n">
        <v>16.7</v>
      </c>
      <c r="BV90" s="185" t="n">
        <v>40725</v>
      </c>
      <c r="CL90" s="182"/>
      <c r="CM90" s="182"/>
    </row>
    <row r="91" customFormat="false" ht="12.75" hidden="false" customHeight="false" outlineLevel="0" collapsed="false">
      <c r="A91" s="135" t="s">
        <v>468</v>
      </c>
      <c r="B91" s="193" t="s">
        <v>785</v>
      </c>
      <c r="C91" s="193" t="s">
        <v>875</v>
      </c>
      <c r="D91" s="193"/>
      <c r="E91" s="194" t="n">
        <v>7</v>
      </c>
      <c r="F91" s="195" t="n">
        <v>17</v>
      </c>
      <c r="G91" s="119"/>
      <c r="H91" s="119"/>
      <c r="J91" s="118"/>
      <c r="K91" s="118"/>
      <c r="L91" s="181"/>
      <c r="N91" s="182"/>
      <c r="O91" s="182"/>
      <c r="S91" s="184" t="n">
        <v>2080</v>
      </c>
      <c r="T91" s="185" t="n">
        <v>40725</v>
      </c>
      <c r="U91" s="182"/>
      <c r="V91" s="182"/>
      <c r="W91" s="183"/>
      <c r="X91" s="183"/>
      <c r="Y91" s="184" t="n">
        <v>729</v>
      </c>
      <c r="Z91" s="185" t="n">
        <v>40725</v>
      </c>
      <c r="AA91" s="184" t="n">
        <v>119059</v>
      </c>
      <c r="AB91" s="185" t="n">
        <v>40725</v>
      </c>
      <c r="AC91" s="184" t="n">
        <v>41.2</v>
      </c>
      <c r="AD91" s="185" t="n">
        <v>40725</v>
      </c>
      <c r="AE91" s="196"/>
      <c r="AF91" s="185"/>
      <c r="AG91" s="184" t="n">
        <v>3.46</v>
      </c>
      <c r="AH91" s="185" t="n">
        <v>40725</v>
      </c>
      <c r="AI91" s="183"/>
      <c r="AJ91" s="183"/>
      <c r="AK91" s="182"/>
      <c r="AL91" s="182"/>
      <c r="AM91" s="184" t="n">
        <v>85</v>
      </c>
      <c r="AN91" s="183" t="n">
        <v>40630</v>
      </c>
      <c r="AO91" s="182"/>
      <c r="AP91" s="182"/>
      <c r="AQ91" s="183"/>
      <c r="AR91" s="183"/>
      <c r="AS91" s="182"/>
      <c r="AT91" s="182"/>
      <c r="AU91" s="183"/>
      <c r="AV91" s="183"/>
      <c r="AW91" s="182"/>
      <c r="AX91" s="182"/>
      <c r="AY91" s="183"/>
      <c r="AZ91" s="183"/>
      <c r="BA91" s="182"/>
      <c r="BB91" s="182"/>
      <c r="BK91" s="183"/>
      <c r="BL91" s="183"/>
      <c r="BM91" s="182"/>
      <c r="BN91" s="182"/>
      <c r="BO91" s="183"/>
      <c r="BP91" s="183"/>
      <c r="BQ91" s="182"/>
      <c r="BR91" s="182"/>
      <c r="BS91" s="184" t="n">
        <v>50.5</v>
      </c>
      <c r="BT91" s="185" t="n">
        <v>40725</v>
      </c>
      <c r="BU91" s="184" t="n">
        <v>17.7</v>
      </c>
      <c r="BV91" s="185" t="n">
        <v>40725</v>
      </c>
      <c r="CL91" s="182"/>
      <c r="CM91" s="182"/>
    </row>
    <row r="92" customFormat="false" ht="12.75" hidden="false" customHeight="false" outlineLevel="0" collapsed="false">
      <c r="A92" s="135" t="s">
        <v>468</v>
      </c>
      <c r="B92" s="193" t="s">
        <v>785</v>
      </c>
      <c r="C92" s="193" t="s">
        <v>876</v>
      </c>
      <c r="D92" s="193"/>
      <c r="E92" s="194" t="n">
        <v>3</v>
      </c>
      <c r="F92" s="195" t="n">
        <v>34</v>
      </c>
      <c r="G92" s="119"/>
      <c r="H92" s="119"/>
      <c r="J92" s="118"/>
      <c r="K92" s="118"/>
      <c r="L92" s="181"/>
      <c r="N92" s="182"/>
      <c r="O92" s="182"/>
      <c r="S92" s="184" t="n">
        <v>1940</v>
      </c>
      <c r="T92" s="185" t="n">
        <v>40725</v>
      </c>
      <c r="U92" s="182"/>
      <c r="V92" s="182"/>
      <c r="W92" s="183"/>
      <c r="X92" s="183"/>
      <c r="Y92" s="184" t="n">
        <v>654</v>
      </c>
      <c r="Z92" s="185" t="n">
        <v>40725</v>
      </c>
      <c r="AA92" s="184" t="n">
        <v>99284</v>
      </c>
      <c r="AB92" s="185" t="n">
        <v>40725</v>
      </c>
      <c r="AC92" s="184" t="n">
        <v>37.4</v>
      </c>
      <c r="AD92" s="185" t="n">
        <v>40725</v>
      </c>
      <c r="AE92" s="196"/>
      <c r="AF92" s="185"/>
      <c r="AG92" s="184" t="n">
        <v>3.76</v>
      </c>
      <c r="AH92" s="185" t="n">
        <v>40725</v>
      </c>
      <c r="AI92" s="183"/>
      <c r="AJ92" s="183"/>
      <c r="AK92" s="182"/>
      <c r="AL92" s="182"/>
      <c r="AM92" s="184" t="n">
        <v>84</v>
      </c>
      <c r="AN92" s="183" t="n">
        <v>40630</v>
      </c>
      <c r="AO92" s="182"/>
      <c r="AP92" s="182"/>
      <c r="AQ92" s="183"/>
      <c r="AR92" s="183"/>
      <c r="AS92" s="182"/>
      <c r="AT92" s="182"/>
      <c r="AU92" s="183"/>
      <c r="AV92" s="183"/>
      <c r="AW92" s="182"/>
      <c r="AX92" s="182"/>
      <c r="AY92" s="183"/>
      <c r="AZ92" s="183"/>
      <c r="BA92" s="182"/>
      <c r="BB92" s="182"/>
      <c r="BK92" s="183"/>
      <c r="BL92" s="183"/>
      <c r="BM92" s="182"/>
      <c r="BN92" s="182"/>
      <c r="BO92" s="183"/>
      <c r="BP92" s="183"/>
      <c r="BQ92" s="182"/>
      <c r="BR92" s="182"/>
      <c r="BS92" s="184" t="n">
        <v>51.9</v>
      </c>
      <c r="BT92" s="185" t="n">
        <v>40725</v>
      </c>
      <c r="BU92" s="184" t="n">
        <v>17.5</v>
      </c>
      <c r="BV92" s="185" t="n">
        <v>40725</v>
      </c>
      <c r="CL92" s="182"/>
      <c r="CM92" s="182"/>
    </row>
    <row r="93" customFormat="false" ht="12.75" hidden="false" customHeight="false" outlineLevel="0" collapsed="false">
      <c r="A93" s="135" t="s">
        <v>468</v>
      </c>
      <c r="B93" s="193" t="s">
        <v>785</v>
      </c>
      <c r="C93" s="193" t="s">
        <v>877</v>
      </c>
      <c r="D93" s="193"/>
      <c r="E93" s="119" t="n">
        <v>24</v>
      </c>
      <c r="F93" s="195" t="n">
        <v>83</v>
      </c>
      <c r="G93" s="119"/>
      <c r="H93" s="119"/>
      <c r="J93" s="118"/>
      <c r="K93" s="118"/>
      <c r="L93" s="181"/>
      <c r="N93" s="182"/>
      <c r="O93" s="182"/>
      <c r="S93" s="184" t="n">
        <v>1758</v>
      </c>
      <c r="T93" s="185" t="n">
        <v>40725</v>
      </c>
      <c r="U93" s="182"/>
      <c r="V93" s="182"/>
      <c r="W93" s="183"/>
      <c r="X93" s="183"/>
      <c r="Y93" s="184" t="n">
        <v>582</v>
      </c>
      <c r="Z93" s="185" t="n">
        <v>40725</v>
      </c>
      <c r="AA93" s="184" t="n">
        <v>88898</v>
      </c>
      <c r="AB93" s="185" t="n">
        <v>40725</v>
      </c>
      <c r="AC93" s="184" t="n">
        <v>33.6</v>
      </c>
      <c r="AD93" s="185" t="n">
        <v>40725</v>
      </c>
      <c r="AE93" s="196"/>
      <c r="AF93" s="185"/>
      <c r="AG93" s="184" t="n">
        <v>3.78</v>
      </c>
      <c r="AH93" s="185" t="n">
        <v>40725</v>
      </c>
      <c r="AI93" s="183"/>
      <c r="AJ93" s="183"/>
      <c r="AK93" s="182"/>
      <c r="AL93" s="182"/>
      <c r="AM93" s="184" t="n">
        <v>83</v>
      </c>
      <c r="AN93" s="183" t="n">
        <v>40630</v>
      </c>
      <c r="AO93" s="182"/>
      <c r="AP93" s="182"/>
      <c r="AQ93" s="183"/>
      <c r="AR93" s="183"/>
      <c r="AS93" s="182"/>
      <c r="AT93" s="182"/>
      <c r="AU93" s="183"/>
      <c r="AV93" s="183"/>
      <c r="AW93" s="182"/>
      <c r="AX93" s="182"/>
      <c r="AY93" s="183"/>
      <c r="AZ93" s="183"/>
      <c r="BA93" s="182"/>
      <c r="BB93" s="182"/>
      <c r="BK93" s="183"/>
      <c r="BL93" s="183"/>
      <c r="BM93" s="182"/>
      <c r="BN93" s="182"/>
      <c r="BO93" s="183"/>
      <c r="BP93" s="183"/>
      <c r="BQ93" s="182"/>
      <c r="BR93" s="182"/>
      <c r="BS93" s="184" t="n">
        <v>52.3</v>
      </c>
      <c r="BT93" s="185" t="n">
        <v>40725</v>
      </c>
      <c r="BU93" s="184" t="n">
        <v>17.3</v>
      </c>
      <c r="BV93" s="185" t="n">
        <v>40725</v>
      </c>
      <c r="CL93" s="182"/>
      <c r="CM93" s="182"/>
    </row>
    <row r="94" customFormat="false" ht="12.75" hidden="false" customHeight="false" outlineLevel="0" collapsed="false">
      <c r="A94" s="135" t="s">
        <v>471</v>
      </c>
      <c r="B94" s="193" t="s">
        <v>782</v>
      </c>
      <c r="C94" s="193" t="s">
        <v>875</v>
      </c>
      <c r="D94" s="193"/>
      <c r="E94" s="194" t="n">
        <v>4</v>
      </c>
      <c r="F94" s="195" t="n">
        <v>20</v>
      </c>
      <c r="G94" s="119"/>
      <c r="H94" s="119"/>
      <c r="J94" s="118"/>
      <c r="K94" s="118"/>
      <c r="L94" s="181"/>
      <c r="N94" s="182"/>
      <c r="O94" s="182"/>
      <c r="S94" s="184" t="n">
        <v>1489</v>
      </c>
      <c r="T94" s="185" t="n">
        <v>40725</v>
      </c>
      <c r="U94" s="182"/>
      <c r="V94" s="182"/>
      <c r="W94" s="183"/>
      <c r="X94" s="183"/>
      <c r="Y94" s="184" t="n">
        <v>483</v>
      </c>
      <c r="Z94" s="185" t="n">
        <v>40725</v>
      </c>
      <c r="AA94" s="184" t="n">
        <v>67105</v>
      </c>
      <c r="AB94" s="185" t="n">
        <v>40725</v>
      </c>
      <c r="AC94" s="184" t="n">
        <v>28.6</v>
      </c>
      <c r="AD94" s="185" t="n">
        <v>40725</v>
      </c>
      <c r="AE94" s="196"/>
      <c r="AF94" s="185"/>
      <c r="AG94" s="184" t="n">
        <v>4.26</v>
      </c>
      <c r="AH94" s="185" t="n">
        <v>40725</v>
      </c>
      <c r="AI94" s="183"/>
      <c r="AJ94" s="183"/>
      <c r="AK94" s="182"/>
      <c r="AL94" s="182"/>
      <c r="AM94" s="184" t="n">
        <v>84</v>
      </c>
      <c r="AN94" s="183" t="n">
        <v>40630</v>
      </c>
      <c r="AO94" s="182"/>
      <c r="AP94" s="182"/>
      <c r="AQ94" s="183"/>
      <c r="AR94" s="183"/>
      <c r="AS94" s="182"/>
      <c r="AT94" s="182"/>
      <c r="AU94" s="183"/>
      <c r="AV94" s="183"/>
      <c r="AW94" s="182"/>
      <c r="AX94" s="182"/>
      <c r="AY94" s="183"/>
      <c r="AZ94" s="183"/>
      <c r="BA94" s="182"/>
      <c r="BB94" s="182"/>
      <c r="BK94" s="183"/>
      <c r="BL94" s="183"/>
      <c r="BM94" s="182"/>
      <c r="BN94" s="182"/>
      <c r="BO94" s="183"/>
      <c r="BP94" s="183"/>
      <c r="BQ94" s="182"/>
      <c r="BR94" s="182"/>
      <c r="BS94" s="184" t="n">
        <v>52.1</v>
      </c>
      <c r="BT94" s="185" t="n">
        <v>40725</v>
      </c>
      <c r="BU94" s="184" t="n">
        <v>16.9</v>
      </c>
      <c r="BV94" s="185" t="n">
        <v>40725</v>
      </c>
      <c r="CL94" s="182"/>
      <c r="CM94" s="182"/>
    </row>
    <row r="95" customFormat="false" ht="12.75" hidden="false" customHeight="false" outlineLevel="0" collapsed="false">
      <c r="A95" s="135" t="s">
        <v>471</v>
      </c>
      <c r="B95" s="193" t="s">
        <v>782</v>
      </c>
      <c r="C95" s="193" t="s">
        <v>876</v>
      </c>
      <c r="D95" s="193"/>
      <c r="E95" s="194" t="n">
        <v>7</v>
      </c>
      <c r="F95" s="195" t="n">
        <v>46</v>
      </c>
      <c r="G95" s="119"/>
      <c r="H95" s="119"/>
      <c r="J95" s="118"/>
      <c r="K95" s="118"/>
      <c r="L95" s="181"/>
      <c r="N95" s="182"/>
      <c r="O95" s="182"/>
      <c r="S95" s="184" t="n">
        <v>1489</v>
      </c>
      <c r="T95" s="185" t="n">
        <v>40725</v>
      </c>
      <c r="U95" s="182"/>
      <c r="V95" s="182"/>
      <c r="W95" s="183"/>
      <c r="X95" s="183"/>
      <c r="Y95" s="184" t="n">
        <v>476</v>
      </c>
      <c r="Z95" s="185" t="n">
        <v>40725</v>
      </c>
      <c r="AA95" s="184" t="n">
        <v>65602</v>
      </c>
      <c r="AB95" s="185" t="n">
        <v>40725</v>
      </c>
      <c r="AC95" s="184" t="n">
        <v>28.1</v>
      </c>
      <c r="AD95" s="185" t="n">
        <v>40725</v>
      </c>
      <c r="AE95" s="196"/>
      <c r="AF95" s="185"/>
      <c r="AG95" s="184" t="n">
        <v>4.28</v>
      </c>
      <c r="AH95" s="185" t="n">
        <v>40725</v>
      </c>
      <c r="AI95" s="183"/>
      <c r="AJ95" s="183"/>
      <c r="AK95" s="182"/>
      <c r="AL95" s="182"/>
      <c r="AM95" s="184" t="n">
        <v>84</v>
      </c>
      <c r="AN95" s="183" t="n">
        <v>40630</v>
      </c>
      <c r="AO95" s="182"/>
      <c r="AP95" s="182"/>
      <c r="AQ95" s="183"/>
      <c r="AR95" s="183"/>
      <c r="AS95" s="182"/>
      <c r="AT95" s="182"/>
      <c r="AU95" s="183"/>
      <c r="AV95" s="183"/>
      <c r="AW95" s="182"/>
      <c r="AX95" s="182"/>
      <c r="AY95" s="183"/>
      <c r="AZ95" s="183"/>
      <c r="BA95" s="182"/>
      <c r="BB95" s="182"/>
      <c r="BK95" s="183"/>
      <c r="BL95" s="183"/>
      <c r="BM95" s="182"/>
      <c r="BN95" s="182"/>
      <c r="BO95" s="183"/>
      <c r="BP95" s="183"/>
      <c r="BQ95" s="182"/>
      <c r="BR95" s="182"/>
      <c r="BS95" s="184" t="n">
        <v>53.1</v>
      </c>
      <c r="BT95" s="185" t="n">
        <v>40725</v>
      </c>
      <c r="BU95" s="184" t="n">
        <v>17</v>
      </c>
      <c r="BV95" s="185" t="n">
        <v>40725</v>
      </c>
      <c r="CL95" s="182"/>
      <c r="CM95" s="182"/>
    </row>
    <row r="96" customFormat="false" ht="12.75" hidden="false" customHeight="false" outlineLevel="0" collapsed="false">
      <c r="A96" s="135" t="s">
        <v>471</v>
      </c>
      <c r="B96" s="193" t="s">
        <v>782</v>
      </c>
      <c r="C96" s="193" t="s">
        <v>877</v>
      </c>
      <c r="D96" s="193"/>
      <c r="E96" s="194" t="n">
        <v>16</v>
      </c>
      <c r="F96" s="195" t="n">
        <v>89</v>
      </c>
      <c r="G96" s="119"/>
      <c r="H96" s="119"/>
      <c r="J96" s="118"/>
      <c r="K96" s="118"/>
      <c r="L96" s="181"/>
      <c r="N96" s="182"/>
      <c r="O96" s="182"/>
      <c r="S96" s="184" t="n">
        <v>1554</v>
      </c>
      <c r="T96" s="185" t="n">
        <v>40725</v>
      </c>
      <c r="U96" s="182"/>
      <c r="V96" s="182"/>
      <c r="W96" s="183"/>
      <c r="X96" s="183"/>
      <c r="Y96" s="184" t="n">
        <v>519</v>
      </c>
      <c r="Z96" s="185" t="n">
        <v>40725</v>
      </c>
      <c r="AA96" s="184" t="n">
        <v>70076</v>
      </c>
      <c r="AB96" s="185" t="n">
        <v>40725</v>
      </c>
      <c r="AC96" s="184" t="n">
        <v>29.7</v>
      </c>
      <c r="AD96" s="185" t="n">
        <v>40725</v>
      </c>
      <c r="AE96" s="196"/>
      <c r="AF96" s="185"/>
      <c r="AG96" s="184" t="n">
        <v>4.24</v>
      </c>
      <c r="AH96" s="185" t="n">
        <v>40725</v>
      </c>
      <c r="AI96" s="183"/>
      <c r="AJ96" s="183"/>
      <c r="AK96" s="182"/>
      <c r="AL96" s="182"/>
      <c r="AM96" s="184" t="n">
        <v>84</v>
      </c>
      <c r="AN96" s="183" t="n">
        <v>40630</v>
      </c>
      <c r="AO96" s="182"/>
      <c r="AP96" s="182"/>
      <c r="AQ96" s="183"/>
      <c r="AR96" s="183"/>
      <c r="AS96" s="182"/>
      <c r="AT96" s="182"/>
      <c r="AU96" s="183"/>
      <c r="AV96" s="183"/>
      <c r="AW96" s="182"/>
      <c r="AX96" s="182"/>
      <c r="AY96" s="183"/>
      <c r="AZ96" s="183"/>
      <c r="BA96" s="182"/>
      <c r="BB96" s="182"/>
      <c r="BK96" s="183"/>
      <c r="BL96" s="183"/>
      <c r="BM96" s="182"/>
      <c r="BN96" s="182"/>
      <c r="BO96" s="183"/>
      <c r="BP96" s="183"/>
      <c r="BQ96" s="182"/>
      <c r="BR96" s="182"/>
      <c r="BS96" s="184" t="n">
        <v>52.3</v>
      </c>
      <c r="BT96" s="185" t="n">
        <v>40725</v>
      </c>
      <c r="BU96" s="184" t="n">
        <v>17.5</v>
      </c>
      <c r="BV96" s="185" t="n">
        <v>40725</v>
      </c>
      <c r="CL96" s="182"/>
      <c r="CM96" s="182"/>
    </row>
    <row r="97" customFormat="false" ht="12.75" hidden="false" customHeight="false" outlineLevel="0" collapsed="false">
      <c r="A97" s="135" t="s">
        <v>471</v>
      </c>
      <c r="B97" s="193" t="s">
        <v>785</v>
      </c>
      <c r="C97" s="193" t="s">
        <v>875</v>
      </c>
      <c r="D97" s="193"/>
      <c r="E97" s="194" t="n">
        <v>8</v>
      </c>
      <c r="F97" s="195" t="n">
        <v>10</v>
      </c>
      <c r="G97" s="119"/>
      <c r="H97" s="119"/>
      <c r="J97" s="118"/>
      <c r="K97" s="118"/>
      <c r="L97" s="181"/>
      <c r="N97" s="182"/>
      <c r="O97" s="182"/>
      <c r="S97" s="184" t="n">
        <v>1732</v>
      </c>
      <c r="T97" s="185" t="n">
        <v>40725</v>
      </c>
      <c r="U97" s="182"/>
      <c r="V97" s="182"/>
      <c r="W97" s="183"/>
      <c r="X97" s="183"/>
      <c r="Y97" s="184" t="n">
        <v>571</v>
      </c>
      <c r="Z97" s="185" t="n">
        <v>40725</v>
      </c>
      <c r="AA97" s="184" t="n">
        <v>76362</v>
      </c>
      <c r="AB97" s="185" t="n">
        <v>40725</v>
      </c>
      <c r="AC97" s="184" t="n">
        <v>32.9</v>
      </c>
      <c r="AD97" s="185" t="n">
        <v>40725</v>
      </c>
      <c r="AE97" s="196"/>
      <c r="AF97" s="185"/>
      <c r="AG97" s="184" t="n">
        <v>4.31</v>
      </c>
      <c r="AH97" s="185" t="n">
        <v>40725</v>
      </c>
      <c r="AI97" s="183"/>
      <c r="AJ97" s="183"/>
      <c r="AK97" s="182"/>
      <c r="AL97" s="182"/>
      <c r="AM97" s="184" t="n">
        <v>85</v>
      </c>
      <c r="AN97" s="183" t="n">
        <v>40630</v>
      </c>
      <c r="AO97" s="182"/>
      <c r="AP97" s="182"/>
      <c r="AQ97" s="183"/>
      <c r="AR97" s="183"/>
      <c r="AS97" s="182"/>
      <c r="AT97" s="182"/>
      <c r="AU97" s="183"/>
      <c r="AV97" s="183"/>
      <c r="AW97" s="182"/>
      <c r="AX97" s="182"/>
      <c r="AY97" s="183"/>
      <c r="AZ97" s="183"/>
      <c r="BA97" s="182"/>
      <c r="BB97" s="182"/>
      <c r="BK97" s="183"/>
      <c r="BL97" s="183"/>
      <c r="BM97" s="182"/>
      <c r="BN97" s="182"/>
      <c r="BO97" s="183"/>
      <c r="BP97" s="183"/>
      <c r="BQ97" s="182"/>
      <c r="BR97" s="182"/>
      <c r="BS97" s="184" t="n">
        <v>52.6</v>
      </c>
      <c r="BT97" s="185" t="n">
        <v>40725</v>
      </c>
      <c r="BU97" s="184" t="n">
        <v>17.3</v>
      </c>
      <c r="BV97" s="185" t="n">
        <v>40725</v>
      </c>
      <c r="CL97" s="182"/>
      <c r="CM97" s="182"/>
    </row>
    <row r="98" customFormat="false" ht="12.75" hidden="false" customHeight="false" outlineLevel="0" collapsed="false">
      <c r="A98" s="135" t="s">
        <v>471</v>
      </c>
      <c r="B98" s="193" t="s">
        <v>785</v>
      </c>
      <c r="C98" s="193" t="s">
        <v>876</v>
      </c>
      <c r="D98" s="193"/>
      <c r="E98" s="194" t="n">
        <v>2</v>
      </c>
      <c r="F98" s="195" t="n">
        <v>54</v>
      </c>
      <c r="G98" s="119"/>
      <c r="H98" s="119"/>
      <c r="J98" s="118"/>
      <c r="K98" s="118"/>
      <c r="L98" s="181"/>
      <c r="N98" s="182"/>
      <c r="O98" s="182"/>
      <c r="S98" s="184" t="n">
        <v>2031</v>
      </c>
      <c r="T98" s="185" t="n">
        <v>40725</v>
      </c>
      <c r="U98" s="182"/>
      <c r="V98" s="182"/>
      <c r="W98" s="183"/>
      <c r="X98" s="183"/>
      <c r="Y98" s="184" t="n">
        <v>748</v>
      </c>
      <c r="Z98" s="185" t="n">
        <v>40725</v>
      </c>
      <c r="AA98" s="184" t="n">
        <v>91531</v>
      </c>
      <c r="AB98" s="185" t="n">
        <v>40725</v>
      </c>
      <c r="AC98" s="184" t="n">
        <v>39.5</v>
      </c>
      <c r="AD98" s="185" t="n">
        <v>40725</v>
      </c>
      <c r="AE98" s="196"/>
      <c r="AF98" s="185"/>
      <c r="AG98" s="184" t="n">
        <v>4.32</v>
      </c>
      <c r="AH98" s="185" t="n">
        <v>40725</v>
      </c>
      <c r="AI98" s="183"/>
      <c r="AJ98" s="183"/>
      <c r="AK98" s="182"/>
      <c r="AL98" s="182"/>
      <c r="AM98" s="184" t="n">
        <v>84</v>
      </c>
      <c r="AN98" s="183" t="n">
        <v>40630</v>
      </c>
      <c r="AO98" s="182"/>
      <c r="AP98" s="182"/>
      <c r="AQ98" s="183"/>
      <c r="AR98" s="183"/>
      <c r="AS98" s="182"/>
      <c r="AT98" s="182"/>
      <c r="AU98" s="183"/>
      <c r="AV98" s="183"/>
      <c r="AW98" s="182"/>
      <c r="AX98" s="182"/>
      <c r="AY98" s="183"/>
      <c r="AZ98" s="183"/>
      <c r="BA98" s="182"/>
      <c r="BB98" s="182"/>
      <c r="BK98" s="183"/>
      <c r="BL98" s="183"/>
      <c r="BM98" s="182"/>
      <c r="BN98" s="182"/>
      <c r="BO98" s="183"/>
      <c r="BP98" s="183"/>
      <c r="BQ98" s="182"/>
      <c r="BR98" s="182"/>
      <c r="BS98" s="184" t="n">
        <v>51.4</v>
      </c>
      <c r="BT98" s="185" t="n">
        <v>40725</v>
      </c>
      <c r="BU98" s="184" t="n">
        <v>18.9</v>
      </c>
      <c r="BV98" s="185" t="n">
        <v>40725</v>
      </c>
      <c r="CL98" s="182"/>
      <c r="CM98" s="182"/>
    </row>
    <row r="99" customFormat="false" ht="12.75" hidden="false" customHeight="false" outlineLevel="0" collapsed="false">
      <c r="A99" s="135" t="s">
        <v>471</v>
      </c>
      <c r="B99" s="193" t="s">
        <v>785</v>
      </c>
      <c r="C99" s="193" t="s">
        <v>877</v>
      </c>
      <c r="D99" s="193"/>
      <c r="E99" s="119" t="n">
        <v>20</v>
      </c>
      <c r="F99" s="195" t="n">
        <v>75</v>
      </c>
      <c r="G99" s="119"/>
      <c r="H99" s="119"/>
      <c r="J99" s="118"/>
      <c r="K99" s="118"/>
      <c r="L99" s="181"/>
      <c r="N99" s="182"/>
      <c r="O99" s="182"/>
      <c r="S99" s="184" t="n">
        <v>2017</v>
      </c>
      <c r="T99" s="185" t="n">
        <v>40725</v>
      </c>
      <c r="U99" s="182"/>
      <c r="V99" s="182"/>
      <c r="W99" s="183"/>
      <c r="X99" s="183"/>
      <c r="Y99" s="184" t="n">
        <v>761</v>
      </c>
      <c r="Z99" s="185" t="n">
        <v>40725</v>
      </c>
      <c r="AA99" s="184" t="n">
        <v>85619</v>
      </c>
      <c r="AB99" s="185" t="n">
        <v>40725</v>
      </c>
      <c r="AC99" s="184" t="n">
        <v>39.4</v>
      </c>
      <c r="AD99" s="185" t="n">
        <v>40725</v>
      </c>
      <c r="AE99" s="196"/>
      <c r="AF99" s="185"/>
      <c r="AG99" s="184" t="n">
        <v>4.6</v>
      </c>
      <c r="AH99" s="185" t="n">
        <v>40725</v>
      </c>
      <c r="AI99" s="183"/>
      <c r="AJ99" s="183"/>
      <c r="AK99" s="182"/>
      <c r="AL99" s="182"/>
      <c r="AM99" s="184" t="n">
        <v>84</v>
      </c>
      <c r="AN99" s="183" t="n">
        <v>40630</v>
      </c>
      <c r="AO99" s="182"/>
      <c r="AP99" s="182"/>
      <c r="AQ99" s="183"/>
      <c r="AR99" s="183"/>
      <c r="AS99" s="182"/>
      <c r="AT99" s="182"/>
      <c r="AU99" s="183"/>
      <c r="AV99" s="183"/>
      <c r="AW99" s="182"/>
      <c r="AX99" s="182"/>
      <c r="AY99" s="183"/>
      <c r="AZ99" s="183"/>
      <c r="BA99" s="182"/>
      <c r="BB99" s="182"/>
      <c r="BK99" s="183"/>
      <c r="BL99" s="183"/>
      <c r="BM99" s="182"/>
      <c r="BN99" s="182"/>
      <c r="BO99" s="183"/>
      <c r="BP99" s="183"/>
      <c r="BQ99" s="182"/>
      <c r="BR99" s="182"/>
      <c r="BS99" s="184" t="n">
        <v>51.2</v>
      </c>
      <c r="BT99" s="185" t="n">
        <v>40725</v>
      </c>
      <c r="BU99" s="184" t="n">
        <v>19.3</v>
      </c>
      <c r="BV99" s="185" t="n">
        <v>40725</v>
      </c>
      <c r="CL99" s="182"/>
      <c r="CM99" s="182"/>
    </row>
    <row r="100" customFormat="false" ht="12.75" hidden="false" customHeight="false" outlineLevel="0" collapsed="false">
      <c r="A100" s="135" t="s">
        <v>474</v>
      </c>
      <c r="B100" s="193" t="s">
        <v>782</v>
      </c>
      <c r="C100" s="193" t="s">
        <v>875</v>
      </c>
      <c r="D100" s="193"/>
      <c r="E100" s="194" t="n">
        <v>2</v>
      </c>
      <c r="F100" s="195" t="n">
        <v>16</v>
      </c>
      <c r="G100" s="119"/>
      <c r="H100" s="119"/>
      <c r="J100" s="118"/>
      <c r="K100" s="118"/>
      <c r="L100" s="181"/>
      <c r="N100" s="182"/>
      <c r="O100" s="182"/>
      <c r="S100" s="184" t="n">
        <v>1561</v>
      </c>
      <c r="T100" s="185" t="n">
        <v>40725</v>
      </c>
      <c r="U100" s="182"/>
      <c r="V100" s="182"/>
      <c r="W100" s="183"/>
      <c r="X100" s="183"/>
      <c r="Y100" s="184" t="n">
        <v>457</v>
      </c>
      <c r="Z100" s="185" t="n">
        <v>40725</v>
      </c>
      <c r="AA100" s="184" t="n">
        <v>78129</v>
      </c>
      <c r="AB100" s="185" t="n">
        <v>40725</v>
      </c>
      <c r="AC100" s="184" t="n">
        <v>29.5</v>
      </c>
      <c r="AD100" s="185" t="n">
        <v>40725</v>
      </c>
      <c r="AE100" s="196"/>
      <c r="AF100" s="185"/>
      <c r="AG100" s="184" t="n">
        <v>3.78</v>
      </c>
      <c r="AH100" s="185" t="n">
        <v>40725</v>
      </c>
      <c r="AI100" s="183"/>
      <c r="AJ100" s="183"/>
      <c r="AK100" s="182"/>
      <c r="AL100" s="182"/>
      <c r="AM100" s="184" t="n">
        <v>85</v>
      </c>
      <c r="AN100" s="183" t="n">
        <v>40630</v>
      </c>
      <c r="AO100" s="182"/>
      <c r="AP100" s="182"/>
      <c r="AQ100" s="183"/>
      <c r="AR100" s="183"/>
      <c r="AS100" s="182"/>
      <c r="AT100" s="182"/>
      <c r="AU100" s="183"/>
      <c r="AV100" s="183"/>
      <c r="AW100" s="182"/>
      <c r="AX100" s="182"/>
      <c r="AY100" s="183"/>
      <c r="AZ100" s="183"/>
      <c r="BA100" s="182"/>
      <c r="BB100" s="182"/>
      <c r="BK100" s="183"/>
      <c r="BL100" s="183"/>
      <c r="BM100" s="182"/>
      <c r="BN100" s="182"/>
      <c r="BO100" s="183"/>
      <c r="BP100" s="183"/>
      <c r="BQ100" s="182"/>
      <c r="BR100" s="182"/>
      <c r="BS100" s="184" t="n">
        <v>52.9</v>
      </c>
      <c r="BT100" s="185" t="n">
        <v>40725</v>
      </c>
      <c r="BU100" s="184" t="n">
        <v>15.5</v>
      </c>
      <c r="BV100" s="185" t="n">
        <v>40725</v>
      </c>
      <c r="CL100" s="182"/>
      <c r="CM100" s="182"/>
    </row>
    <row r="101" customFormat="false" ht="12.75" hidden="false" customHeight="false" outlineLevel="0" collapsed="false">
      <c r="A101" s="135" t="s">
        <v>474</v>
      </c>
      <c r="B101" s="193" t="s">
        <v>782</v>
      </c>
      <c r="C101" s="193" t="s">
        <v>876</v>
      </c>
      <c r="D101" s="193"/>
      <c r="E101" s="194" t="n">
        <v>7</v>
      </c>
      <c r="F101" s="195" t="n">
        <v>57</v>
      </c>
      <c r="G101" s="119"/>
      <c r="H101" s="119"/>
      <c r="J101" s="118"/>
      <c r="K101" s="118"/>
      <c r="L101" s="181"/>
      <c r="N101" s="182"/>
      <c r="O101" s="182"/>
      <c r="S101" s="184" t="n">
        <v>1424</v>
      </c>
      <c r="T101" s="185" t="n">
        <v>40725</v>
      </c>
      <c r="U101" s="182"/>
      <c r="V101" s="182"/>
      <c r="W101" s="183"/>
      <c r="X101" s="183"/>
      <c r="Y101" s="184" t="n">
        <v>493</v>
      </c>
      <c r="Z101" s="185" t="n">
        <v>40725</v>
      </c>
      <c r="AA101" s="184" t="n">
        <v>69439</v>
      </c>
      <c r="AB101" s="185" t="n">
        <v>40725</v>
      </c>
      <c r="AC101" s="184" t="n">
        <v>27.8</v>
      </c>
      <c r="AD101" s="185" t="n">
        <v>40725</v>
      </c>
      <c r="AE101" s="196"/>
      <c r="AF101" s="185"/>
      <c r="AG101" s="184" t="n">
        <v>4.01</v>
      </c>
      <c r="AH101" s="185" t="n">
        <v>40725</v>
      </c>
      <c r="AI101" s="183"/>
      <c r="AJ101" s="183"/>
      <c r="AK101" s="182"/>
      <c r="AL101" s="182"/>
      <c r="AM101" s="184" t="n">
        <v>84</v>
      </c>
      <c r="AN101" s="183" t="n">
        <v>40630</v>
      </c>
      <c r="AO101" s="182"/>
      <c r="AP101" s="182"/>
      <c r="AQ101" s="183"/>
      <c r="AR101" s="183"/>
      <c r="AS101" s="182"/>
      <c r="AT101" s="182"/>
      <c r="AU101" s="183"/>
      <c r="AV101" s="183"/>
      <c r="AW101" s="182"/>
      <c r="AX101" s="182"/>
      <c r="AY101" s="183"/>
      <c r="AZ101" s="183"/>
      <c r="BA101" s="182"/>
      <c r="BB101" s="182"/>
      <c r="BK101" s="183"/>
      <c r="BL101" s="183"/>
      <c r="BM101" s="182"/>
      <c r="BN101" s="182"/>
      <c r="BO101" s="183"/>
      <c r="BP101" s="183"/>
      <c r="BQ101" s="182"/>
      <c r="BR101" s="182"/>
      <c r="BS101" s="184" t="n">
        <v>51.2</v>
      </c>
      <c r="BT101" s="185" t="n">
        <v>40725</v>
      </c>
      <c r="BU101" s="184" t="n">
        <v>17.7</v>
      </c>
      <c r="BV101" s="185" t="n">
        <v>40725</v>
      </c>
      <c r="CL101" s="182"/>
      <c r="CM101" s="182"/>
    </row>
    <row r="102" customFormat="false" ht="12.75" hidden="false" customHeight="false" outlineLevel="0" collapsed="false">
      <c r="A102" s="135" t="s">
        <v>474</v>
      </c>
      <c r="B102" s="193" t="s">
        <v>782</v>
      </c>
      <c r="C102" s="193" t="s">
        <v>877</v>
      </c>
      <c r="D102" s="193"/>
      <c r="E102" s="119" t="n">
        <v>17</v>
      </c>
      <c r="F102" s="195" t="n">
        <v>79</v>
      </c>
      <c r="G102" s="119"/>
      <c r="H102" s="119"/>
      <c r="J102" s="118"/>
      <c r="K102" s="118"/>
      <c r="L102" s="181"/>
      <c r="N102" s="182"/>
      <c r="O102" s="182"/>
      <c r="S102" s="184" t="n">
        <v>1393</v>
      </c>
      <c r="T102" s="185" t="n">
        <v>40725</v>
      </c>
      <c r="U102" s="182"/>
      <c r="V102" s="182"/>
      <c r="W102" s="183"/>
      <c r="X102" s="183"/>
      <c r="Y102" s="184" t="n">
        <v>480</v>
      </c>
      <c r="Z102" s="185" t="n">
        <v>40725</v>
      </c>
      <c r="AA102" s="184" t="n">
        <v>65437</v>
      </c>
      <c r="AB102" s="185" t="n">
        <v>40725</v>
      </c>
      <c r="AC102" s="184" t="n">
        <v>26.9</v>
      </c>
      <c r="AD102" s="185" t="n">
        <v>40725</v>
      </c>
      <c r="AE102" s="196"/>
      <c r="AF102" s="185"/>
      <c r="AG102" s="184" t="n">
        <v>4.12</v>
      </c>
      <c r="AH102" s="185" t="n">
        <v>40725</v>
      </c>
      <c r="AI102" s="183"/>
      <c r="AJ102" s="183"/>
      <c r="AK102" s="182"/>
      <c r="AL102" s="182"/>
      <c r="AM102" s="184" t="n">
        <v>84</v>
      </c>
      <c r="AN102" s="183" t="n">
        <v>40630</v>
      </c>
      <c r="AO102" s="182"/>
      <c r="AP102" s="182"/>
      <c r="AQ102" s="183"/>
      <c r="AR102" s="183"/>
      <c r="AS102" s="182"/>
      <c r="AT102" s="182"/>
      <c r="AU102" s="183"/>
      <c r="AV102" s="183"/>
      <c r="AW102" s="182"/>
      <c r="AX102" s="182"/>
      <c r="AY102" s="183"/>
      <c r="AZ102" s="183"/>
      <c r="BA102" s="182"/>
      <c r="BB102" s="182"/>
      <c r="BK102" s="183"/>
      <c r="BL102" s="183"/>
      <c r="BM102" s="182"/>
      <c r="BN102" s="182"/>
      <c r="BO102" s="183"/>
      <c r="BP102" s="183"/>
      <c r="BQ102" s="182"/>
      <c r="BR102" s="182"/>
      <c r="BS102" s="184" t="n">
        <v>51.7</v>
      </c>
      <c r="BT102" s="185" t="n">
        <v>40725</v>
      </c>
      <c r="BU102" s="184" t="n">
        <v>17.8</v>
      </c>
      <c r="BV102" s="185" t="n">
        <v>40725</v>
      </c>
      <c r="CL102" s="182"/>
      <c r="CM102" s="182"/>
    </row>
    <row r="103" customFormat="false" ht="12.75" hidden="false" customHeight="false" outlineLevel="0" collapsed="false">
      <c r="A103" s="135" t="s">
        <v>474</v>
      </c>
      <c r="B103" s="193" t="s">
        <v>785</v>
      </c>
      <c r="C103" s="193" t="s">
        <v>875</v>
      </c>
      <c r="D103" s="193"/>
      <c r="E103" s="194" t="n">
        <v>7</v>
      </c>
      <c r="F103" s="195" t="n">
        <v>28</v>
      </c>
      <c r="G103" s="119"/>
      <c r="H103" s="119"/>
      <c r="J103" s="118"/>
      <c r="K103" s="118"/>
      <c r="L103" s="181"/>
      <c r="N103" s="182"/>
      <c r="O103" s="182"/>
      <c r="S103" s="184" t="n">
        <v>2251</v>
      </c>
      <c r="T103" s="185" t="n">
        <v>40725</v>
      </c>
      <c r="U103" s="182"/>
      <c r="V103" s="182"/>
      <c r="W103" s="183"/>
      <c r="X103" s="183"/>
      <c r="Y103" s="184" t="n">
        <v>742</v>
      </c>
      <c r="Z103" s="185" t="n">
        <v>40725</v>
      </c>
      <c r="AA103" s="184" t="n">
        <v>113569</v>
      </c>
      <c r="AB103" s="185" t="n">
        <v>40725</v>
      </c>
      <c r="AC103" s="184" t="n">
        <v>43.2</v>
      </c>
      <c r="AD103" s="185" t="n">
        <v>40725</v>
      </c>
      <c r="AE103" s="196"/>
      <c r="AF103" s="185"/>
      <c r="AG103" s="184" t="n">
        <v>3.81</v>
      </c>
      <c r="AH103" s="185" t="n">
        <v>40725</v>
      </c>
      <c r="AI103" s="183"/>
      <c r="AJ103" s="183"/>
      <c r="AK103" s="182"/>
      <c r="AL103" s="182"/>
      <c r="AM103" s="184" t="n">
        <v>87</v>
      </c>
      <c r="AN103" s="183" t="n">
        <v>40630</v>
      </c>
      <c r="AO103" s="182"/>
      <c r="AP103" s="182"/>
      <c r="AQ103" s="183"/>
      <c r="AR103" s="183"/>
      <c r="AS103" s="182"/>
      <c r="AT103" s="182"/>
      <c r="AU103" s="183"/>
      <c r="AV103" s="183"/>
      <c r="AW103" s="182"/>
      <c r="AX103" s="182"/>
      <c r="AY103" s="183"/>
      <c r="AZ103" s="183"/>
      <c r="BA103" s="182"/>
      <c r="BB103" s="182"/>
      <c r="BK103" s="183"/>
      <c r="BL103" s="183"/>
      <c r="BM103" s="182"/>
      <c r="BN103" s="182"/>
      <c r="BO103" s="183"/>
      <c r="BP103" s="183"/>
      <c r="BQ103" s="182"/>
      <c r="BR103" s="182"/>
      <c r="BS103" s="184" t="n">
        <v>52.1</v>
      </c>
      <c r="BT103" s="185" t="n">
        <v>40725</v>
      </c>
      <c r="BU103" s="184" t="n">
        <v>17.2</v>
      </c>
      <c r="BV103" s="185" t="n">
        <v>40725</v>
      </c>
      <c r="CL103" s="182"/>
      <c r="CM103" s="182"/>
    </row>
    <row r="104" customFormat="false" ht="12.75" hidden="false" customHeight="false" outlineLevel="0" collapsed="false">
      <c r="A104" s="135" t="s">
        <v>474</v>
      </c>
      <c r="B104" s="193" t="s">
        <v>785</v>
      </c>
      <c r="C104" s="193" t="s">
        <v>876</v>
      </c>
      <c r="D104" s="193"/>
      <c r="E104" s="194" t="n">
        <v>4</v>
      </c>
      <c r="F104" s="195" t="n">
        <v>56</v>
      </c>
      <c r="G104" s="119"/>
      <c r="H104" s="119"/>
      <c r="J104" s="118"/>
      <c r="K104" s="118"/>
      <c r="L104" s="181"/>
      <c r="N104" s="182"/>
      <c r="O104" s="182"/>
      <c r="S104" s="184" t="n">
        <v>1722</v>
      </c>
      <c r="T104" s="185" t="n">
        <v>40725</v>
      </c>
      <c r="U104" s="182"/>
      <c r="V104" s="182"/>
      <c r="W104" s="183"/>
      <c r="X104" s="183"/>
      <c r="Y104" s="184" t="n">
        <v>586</v>
      </c>
      <c r="Z104" s="185" t="n">
        <v>40725</v>
      </c>
      <c r="AA104" s="184" t="n">
        <v>81314</v>
      </c>
      <c r="AB104" s="185" t="n">
        <v>40725</v>
      </c>
      <c r="AC104" s="184" t="n">
        <v>33.3</v>
      </c>
      <c r="AD104" s="185" t="n">
        <v>40725</v>
      </c>
      <c r="AE104" s="196"/>
      <c r="AF104" s="185"/>
      <c r="AG104" s="184" t="n">
        <v>4.09</v>
      </c>
      <c r="AH104" s="185" t="n">
        <v>40725</v>
      </c>
      <c r="AI104" s="183"/>
      <c r="AJ104" s="183"/>
      <c r="AK104" s="182"/>
      <c r="AL104" s="182"/>
      <c r="AM104" s="184" t="n">
        <v>85</v>
      </c>
      <c r="AN104" s="183" t="n">
        <v>40630</v>
      </c>
      <c r="AO104" s="182"/>
      <c r="AP104" s="182"/>
      <c r="AQ104" s="183"/>
      <c r="AR104" s="183"/>
      <c r="AS104" s="182"/>
      <c r="AT104" s="182"/>
      <c r="AU104" s="183"/>
      <c r="AV104" s="183"/>
      <c r="AW104" s="182"/>
      <c r="AX104" s="182"/>
      <c r="AY104" s="183"/>
      <c r="AZ104" s="183"/>
      <c r="BA104" s="182"/>
      <c r="BB104" s="182"/>
      <c r="BK104" s="183"/>
      <c r="BL104" s="183"/>
      <c r="BM104" s="182"/>
      <c r="BN104" s="182"/>
      <c r="BO104" s="183"/>
      <c r="BP104" s="183"/>
      <c r="BQ104" s="182"/>
      <c r="BR104" s="182"/>
      <c r="BS104" s="184" t="n">
        <v>51.8</v>
      </c>
      <c r="BT104" s="185" t="n">
        <v>40725</v>
      </c>
      <c r="BU104" s="184" t="n">
        <v>17.6</v>
      </c>
      <c r="BV104" s="185" t="n">
        <v>40725</v>
      </c>
      <c r="CL104" s="182"/>
      <c r="CM104" s="182"/>
    </row>
    <row r="105" customFormat="false" ht="12.75" hidden="false" customHeight="false" outlineLevel="0" collapsed="false">
      <c r="A105" s="135" t="s">
        <v>474</v>
      </c>
      <c r="B105" s="193" t="s">
        <v>785</v>
      </c>
      <c r="C105" s="193" t="s">
        <v>877</v>
      </c>
      <c r="D105" s="193"/>
      <c r="E105" s="119" t="n">
        <v>24</v>
      </c>
      <c r="F105" s="195" t="n">
        <v>71</v>
      </c>
      <c r="G105" s="119"/>
      <c r="H105" s="119"/>
      <c r="J105" s="118"/>
      <c r="K105" s="118"/>
      <c r="L105" s="181"/>
      <c r="N105" s="182"/>
      <c r="O105" s="182"/>
      <c r="S105" s="184" t="n">
        <v>1881</v>
      </c>
      <c r="T105" s="185" t="n">
        <v>40725</v>
      </c>
      <c r="U105" s="182"/>
      <c r="V105" s="182"/>
      <c r="W105" s="183"/>
      <c r="X105" s="183"/>
      <c r="Y105" s="184" t="n">
        <v>698</v>
      </c>
      <c r="Z105" s="185" t="n">
        <v>40725</v>
      </c>
      <c r="AA105" s="184" t="n">
        <v>89008</v>
      </c>
      <c r="AB105" s="185" t="n">
        <v>40725</v>
      </c>
      <c r="AC105" s="184" t="n">
        <v>37.3</v>
      </c>
      <c r="AD105" s="185" t="n">
        <v>40725</v>
      </c>
      <c r="AE105" s="196"/>
      <c r="AF105" s="185"/>
      <c r="AG105" s="184" t="n">
        <v>4.19</v>
      </c>
      <c r="AH105" s="185" t="n">
        <v>40725</v>
      </c>
      <c r="AI105" s="183"/>
      <c r="AJ105" s="183"/>
      <c r="AK105" s="182"/>
      <c r="AL105" s="182"/>
      <c r="AM105" s="184" t="n">
        <v>85</v>
      </c>
      <c r="AN105" s="183" t="n">
        <v>40630</v>
      </c>
      <c r="AO105" s="182"/>
      <c r="AP105" s="182"/>
      <c r="AQ105" s="183"/>
      <c r="AR105" s="183"/>
      <c r="AS105" s="182"/>
      <c r="AT105" s="182"/>
      <c r="AU105" s="183"/>
      <c r="AV105" s="183"/>
      <c r="AW105" s="182"/>
      <c r="AX105" s="182"/>
      <c r="AY105" s="183"/>
      <c r="AZ105" s="183"/>
      <c r="BA105" s="182"/>
      <c r="BB105" s="182"/>
      <c r="BK105" s="183"/>
      <c r="BL105" s="183"/>
      <c r="BM105" s="182"/>
      <c r="BN105" s="182"/>
      <c r="BO105" s="183"/>
      <c r="BP105" s="183"/>
      <c r="BQ105" s="182"/>
      <c r="BR105" s="182"/>
      <c r="BS105" s="184" t="n">
        <v>50.5</v>
      </c>
      <c r="BT105" s="185" t="n">
        <v>40725</v>
      </c>
      <c r="BU105" s="184" t="n">
        <v>18.7</v>
      </c>
      <c r="BV105" s="185" t="n">
        <v>40725</v>
      </c>
      <c r="CL105" s="182"/>
      <c r="CM105" s="182"/>
    </row>
    <row r="106" customFormat="false" ht="12.75" hidden="false" customHeight="false" outlineLevel="0" collapsed="false">
      <c r="A106" s="135" t="s">
        <v>477</v>
      </c>
      <c r="B106" s="193" t="s">
        <v>782</v>
      </c>
      <c r="C106" s="193" t="s">
        <v>875</v>
      </c>
      <c r="D106" s="193"/>
      <c r="E106" s="194" t="n">
        <v>2</v>
      </c>
      <c r="F106" s="195" t="n">
        <v>27</v>
      </c>
      <c r="G106" s="119"/>
      <c r="H106" s="119"/>
      <c r="J106" s="118"/>
      <c r="K106" s="118"/>
      <c r="L106" s="181"/>
      <c r="N106" s="182"/>
      <c r="O106" s="182"/>
      <c r="S106" s="184" t="n">
        <v>1685</v>
      </c>
      <c r="T106" s="185" t="n">
        <v>40725</v>
      </c>
      <c r="U106" s="182"/>
      <c r="V106" s="182"/>
      <c r="W106" s="183"/>
      <c r="X106" s="183"/>
      <c r="Y106" s="184" t="n">
        <v>557</v>
      </c>
      <c r="Z106" s="185" t="n">
        <v>40725</v>
      </c>
      <c r="AA106" s="184" t="n">
        <v>81621</v>
      </c>
      <c r="AB106" s="185" t="n">
        <v>40725</v>
      </c>
      <c r="AC106" s="184" t="n">
        <v>32.2</v>
      </c>
      <c r="AD106" s="185" t="n">
        <v>40725</v>
      </c>
      <c r="AE106" s="196"/>
      <c r="AF106" s="185"/>
      <c r="AG106" s="184" t="n">
        <v>3.94</v>
      </c>
      <c r="AH106" s="185" t="n">
        <v>40725</v>
      </c>
      <c r="AI106" s="183"/>
      <c r="AJ106" s="183"/>
      <c r="AK106" s="182"/>
      <c r="AL106" s="182"/>
      <c r="AM106" s="184" t="n">
        <v>85</v>
      </c>
      <c r="AN106" s="183" t="n">
        <v>40630</v>
      </c>
      <c r="AO106" s="182"/>
      <c r="AP106" s="182"/>
      <c r="AQ106" s="183"/>
      <c r="AR106" s="183"/>
      <c r="AS106" s="182"/>
      <c r="AT106" s="182"/>
      <c r="AU106" s="183"/>
      <c r="AV106" s="183"/>
      <c r="AW106" s="182"/>
      <c r="AX106" s="182"/>
      <c r="AY106" s="183"/>
      <c r="AZ106" s="183"/>
      <c r="BA106" s="182"/>
      <c r="BB106" s="182"/>
      <c r="BK106" s="183"/>
      <c r="BL106" s="183"/>
      <c r="BM106" s="182"/>
      <c r="BN106" s="182"/>
      <c r="BO106" s="183"/>
      <c r="BP106" s="183"/>
      <c r="BQ106" s="182"/>
      <c r="BR106" s="182"/>
      <c r="BS106" s="184" t="n">
        <v>52.3</v>
      </c>
      <c r="BT106" s="185" t="n">
        <v>40725</v>
      </c>
      <c r="BU106" s="184" t="n">
        <v>17.3</v>
      </c>
      <c r="BV106" s="185" t="n">
        <v>40725</v>
      </c>
      <c r="CL106" s="182"/>
      <c r="CM106" s="182"/>
    </row>
    <row r="107" customFormat="false" ht="12.75" hidden="false" customHeight="false" outlineLevel="0" collapsed="false">
      <c r="A107" s="135" t="s">
        <v>477</v>
      </c>
      <c r="B107" s="193" t="s">
        <v>782</v>
      </c>
      <c r="C107" s="193" t="s">
        <v>876</v>
      </c>
      <c r="D107" s="193"/>
      <c r="E107" s="194" t="n">
        <v>5</v>
      </c>
      <c r="F107" s="195" t="n">
        <v>40</v>
      </c>
      <c r="G107" s="119"/>
      <c r="H107" s="119"/>
      <c r="J107" s="118"/>
      <c r="K107" s="118"/>
      <c r="L107" s="181"/>
      <c r="N107" s="182"/>
      <c r="O107" s="182"/>
      <c r="S107" s="184" t="n">
        <v>1568</v>
      </c>
      <c r="T107" s="185" t="n">
        <v>40725</v>
      </c>
      <c r="U107" s="182"/>
      <c r="V107" s="182"/>
      <c r="W107" s="183"/>
      <c r="X107" s="183"/>
      <c r="Y107" s="184" t="n">
        <v>445</v>
      </c>
      <c r="Z107" s="185" t="n">
        <v>40725</v>
      </c>
      <c r="AA107" s="184" t="n">
        <v>69847</v>
      </c>
      <c r="AB107" s="185" t="n">
        <v>40725</v>
      </c>
      <c r="AC107" s="184" t="n">
        <v>29.1</v>
      </c>
      <c r="AD107" s="185" t="n">
        <v>40725</v>
      </c>
      <c r="AE107" s="196"/>
      <c r="AF107" s="185"/>
      <c r="AG107" s="184" t="n">
        <v>4.16</v>
      </c>
      <c r="AH107" s="185" t="n">
        <v>40725</v>
      </c>
      <c r="AI107" s="183"/>
      <c r="AJ107" s="183"/>
      <c r="AK107" s="182"/>
      <c r="AL107" s="182"/>
      <c r="AM107" s="184" t="n">
        <v>82</v>
      </c>
      <c r="AN107" s="183" t="n">
        <v>40630</v>
      </c>
      <c r="AO107" s="182"/>
      <c r="AP107" s="182"/>
      <c r="AQ107" s="183"/>
      <c r="AR107" s="183"/>
      <c r="AS107" s="182"/>
      <c r="AT107" s="182"/>
      <c r="AU107" s="183"/>
      <c r="AV107" s="183"/>
      <c r="AW107" s="182"/>
      <c r="AX107" s="182"/>
      <c r="AY107" s="183"/>
      <c r="AZ107" s="183"/>
      <c r="BA107" s="182"/>
      <c r="BB107" s="182"/>
      <c r="BK107" s="183"/>
      <c r="BL107" s="183"/>
      <c r="BM107" s="182"/>
      <c r="BN107" s="182"/>
      <c r="BO107" s="183"/>
      <c r="BP107" s="183"/>
      <c r="BQ107" s="182"/>
      <c r="BR107" s="182"/>
      <c r="BS107" s="184" t="n">
        <v>53.9</v>
      </c>
      <c r="BT107" s="185" t="n">
        <v>40725</v>
      </c>
      <c r="BU107" s="184" t="n">
        <v>15.3</v>
      </c>
      <c r="BV107" s="185" t="n">
        <v>40725</v>
      </c>
      <c r="CL107" s="182"/>
      <c r="CM107" s="182"/>
    </row>
    <row r="108" customFormat="false" ht="12.75" hidden="false" customHeight="false" outlineLevel="0" collapsed="false">
      <c r="A108" s="135" t="s">
        <v>477</v>
      </c>
      <c r="B108" s="193" t="s">
        <v>782</v>
      </c>
      <c r="C108" s="193" t="s">
        <v>877</v>
      </c>
      <c r="D108" s="193"/>
      <c r="E108" s="119" t="n">
        <v>18</v>
      </c>
      <c r="F108" s="195" t="n">
        <v>67</v>
      </c>
      <c r="G108" s="119"/>
      <c r="H108" s="119"/>
      <c r="J108" s="118"/>
      <c r="K108" s="118"/>
      <c r="L108" s="181"/>
      <c r="N108" s="182"/>
      <c r="O108" s="182"/>
      <c r="S108" s="184" t="n">
        <v>1252</v>
      </c>
      <c r="T108" s="185" t="n">
        <v>40725</v>
      </c>
      <c r="U108" s="182"/>
      <c r="V108" s="182"/>
      <c r="W108" s="183"/>
      <c r="X108" s="183"/>
      <c r="Y108" s="184" t="n">
        <v>374</v>
      </c>
      <c r="Z108" s="185" t="n">
        <v>40725</v>
      </c>
      <c r="AA108" s="184" t="n">
        <v>58380</v>
      </c>
      <c r="AB108" s="185" t="n">
        <v>40725</v>
      </c>
      <c r="AC108" s="184" t="n">
        <v>23.6</v>
      </c>
      <c r="AD108" s="185" t="n">
        <v>40725</v>
      </c>
      <c r="AE108" s="196"/>
      <c r="AF108" s="185"/>
      <c r="AG108" s="184" t="n">
        <v>4.04</v>
      </c>
      <c r="AH108" s="185" t="n">
        <v>40725</v>
      </c>
      <c r="AI108" s="183"/>
      <c r="AJ108" s="183"/>
      <c r="AK108" s="182"/>
      <c r="AL108" s="182"/>
      <c r="AM108" s="184" t="n">
        <v>82</v>
      </c>
      <c r="AN108" s="183" t="n">
        <v>40630</v>
      </c>
      <c r="AO108" s="182"/>
      <c r="AP108" s="182"/>
      <c r="AQ108" s="183"/>
      <c r="AR108" s="183"/>
      <c r="AS108" s="182"/>
      <c r="AT108" s="182"/>
      <c r="AU108" s="183"/>
      <c r="AV108" s="183"/>
      <c r="AW108" s="182"/>
      <c r="AX108" s="182"/>
      <c r="AY108" s="183"/>
      <c r="AZ108" s="183"/>
      <c r="BA108" s="182"/>
      <c r="BB108" s="182"/>
      <c r="BK108" s="183"/>
      <c r="BL108" s="183"/>
      <c r="BM108" s="182"/>
      <c r="BN108" s="182"/>
      <c r="BO108" s="183"/>
      <c r="BP108" s="183"/>
      <c r="BQ108" s="182"/>
      <c r="BR108" s="182"/>
      <c r="BS108" s="184" t="n">
        <v>53</v>
      </c>
      <c r="BT108" s="185" t="n">
        <v>40725</v>
      </c>
      <c r="BU108" s="184" t="n">
        <v>15.8</v>
      </c>
      <c r="BV108" s="185" t="n">
        <v>40725</v>
      </c>
      <c r="CL108" s="182"/>
      <c r="CM108" s="182"/>
    </row>
    <row r="109" customFormat="false" ht="12.75" hidden="false" customHeight="false" outlineLevel="0" collapsed="false">
      <c r="A109" s="135" t="s">
        <v>477</v>
      </c>
      <c r="B109" s="193" t="s">
        <v>785</v>
      </c>
      <c r="C109" s="193" t="s">
        <v>875</v>
      </c>
      <c r="D109" s="193"/>
      <c r="E109" s="194" t="n">
        <v>7</v>
      </c>
      <c r="F109" s="195" t="n">
        <v>22</v>
      </c>
      <c r="G109" s="119"/>
      <c r="H109" s="119"/>
      <c r="J109" s="118"/>
      <c r="K109" s="118"/>
      <c r="L109" s="181"/>
      <c r="N109" s="182"/>
      <c r="O109" s="182"/>
      <c r="S109" s="184" t="n">
        <v>2172</v>
      </c>
      <c r="T109" s="185" t="n">
        <v>40725</v>
      </c>
      <c r="U109" s="182"/>
      <c r="V109" s="182"/>
      <c r="W109" s="183"/>
      <c r="X109" s="183"/>
      <c r="Y109" s="184" t="n">
        <v>650</v>
      </c>
      <c r="Z109" s="185" t="n">
        <v>40725</v>
      </c>
      <c r="AA109" s="184" t="n">
        <v>101239</v>
      </c>
      <c r="AB109" s="185" t="n">
        <v>40725</v>
      </c>
      <c r="AC109" s="184" t="n">
        <v>40.6</v>
      </c>
      <c r="AD109" s="185" t="n">
        <v>40725</v>
      </c>
      <c r="AE109" s="196"/>
      <c r="AF109" s="185"/>
      <c r="AG109" s="184" t="n">
        <v>4.01</v>
      </c>
      <c r="AH109" s="185" t="n">
        <v>40725</v>
      </c>
      <c r="AI109" s="183"/>
      <c r="AJ109" s="183"/>
      <c r="AK109" s="182"/>
      <c r="AL109" s="182"/>
      <c r="AM109" s="184" t="n">
        <v>85</v>
      </c>
      <c r="AN109" s="183" t="n">
        <v>40630</v>
      </c>
      <c r="AO109" s="182"/>
      <c r="AP109" s="182"/>
      <c r="AQ109" s="183"/>
      <c r="AR109" s="183"/>
      <c r="AS109" s="182"/>
      <c r="AT109" s="182"/>
      <c r="AU109" s="183"/>
      <c r="AV109" s="183"/>
      <c r="AW109" s="182"/>
      <c r="AX109" s="182"/>
      <c r="AY109" s="183"/>
      <c r="AZ109" s="183"/>
      <c r="BA109" s="182"/>
      <c r="BB109" s="182"/>
      <c r="BK109" s="183"/>
      <c r="BL109" s="183"/>
      <c r="BM109" s="182"/>
      <c r="BN109" s="182"/>
      <c r="BO109" s="183"/>
      <c r="BP109" s="183"/>
      <c r="BQ109" s="182"/>
      <c r="BR109" s="182"/>
      <c r="BS109" s="184" t="n">
        <v>53.5</v>
      </c>
      <c r="BT109" s="185" t="n">
        <v>40725</v>
      </c>
      <c r="BU109" s="184" t="n">
        <v>16</v>
      </c>
      <c r="BV109" s="185" t="n">
        <v>40725</v>
      </c>
      <c r="CL109" s="182"/>
      <c r="CM109" s="182"/>
    </row>
    <row r="110" customFormat="false" ht="12.75" hidden="false" customHeight="false" outlineLevel="0" collapsed="false">
      <c r="A110" s="135" t="s">
        <v>477</v>
      </c>
      <c r="B110" s="193" t="s">
        <v>785</v>
      </c>
      <c r="C110" s="193" t="s">
        <v>876</v>
      </c>
      <c r="D110" s="193"/>
      <c r="E110" s="194" t="n">
        <v>4</v>
      </c>
      <c r="F110" s="195" t="n">
        <v>39</v>
      </c>
      <c r="G110" s="119"/>
      <c r="H110" s="119"/>
      <c r="J110" s="118"/>
      <c r="K110" s="118"/>
      <c r="L110" s="181"/>
      <c r="N110" s="182"/>
      <c r="O110" s="182"/>
      <c r="S110" s="184" t="n">
        <v>1798</v>
      </c>
      <c r="T110" s="185" t="n">
        <v>40725</v>
      </c>
      <c r="U110" s="182"/>
      <c r="V110" s="182"/>
      <c r="W110" s="183"/>
      <c r="X110" s="183"/>
      <c r="Y110" s="184" t="n">
        <v>584</v>
      </c>
      <c r="Z110" s="185" t="n">
        <v>40725</v>
      </c>
      <c r="AA110" s="184" t="n">
        <v>84829</v>
      </c>
      <c r="AB110" s="185" t="n">
        <v>40725</v>
      </c>
      <c r="AC110" s="184" t="n">
        <v>34.1</v>
      </c>
      <c r="AD110" s="185" t="n">
        <v>40725</v>
      </c>
      <c r="AE110" s="196"/>
      <c r="AF110" s="185"/>
      <c r="AG110" s="184" t="n">
        <v>4.02</v>
      </c>
      <c r="AH110" s="185" t="n">
        <v>40725</v>
      </c>
      <c r="AI110" s="183"/>
      <c r="AJ110" s="183"/>
      <c r="AK110" s="182"/>
      <c r="AL110" s="182"/>
      <c r="AM110" s="184" t="n">
        <v>82</v>
      </c>
      <c r="AN110" s="183" t="n">
        <v>40630</v>
      </c>
      <c r="AO110" s="182"/>
      <c r="AP110" s="182"/>
      <c r="AQ110" s="183"/>
      <c r="AR110" s="183"/>
      <c r="AS110" s="182"/>
      <c r="AT110" s="182"/>
      <c r="AU110" s="183"/>
      <c r="AV110" s="183"/>
      <c r="AW110" s="182"/>
      <c r="AX110" s="182"/>
      <c r="AY110" s="183"/>
      <c r="AZ110" s="183"/>
      <c r="BA110" s="182"/>
      <c r="BB110" s="182"/>
      <c r="BK110" s="183"/>
      <c r="BL110" s="183"/>
      <c r="BM110" s="182"/>
      <c r="BN110" s="182"/>
      <c r="BO110" s="183"/>
      <c r="BP110" s="183"/>
      <c r="BQ110" s="182"/>
      <c r="BR110" s="182"/>
      <c r="BS110" s="184" t="n">
        <v>52.7</v>
      </c>
      <c r="BT110" s="185" t="n">
        <v>40725</v>
      </c>
      <c r="BU110" s="184" t="n">
        <v>17.1</v>
      </c>
      <c r="BV110" s="185" t="n">
        <v>40725</v>
      </c>
      <c r="CL110" s="182"/>
      <c r="CM110" s="182"/>
    </row>
    <row r="111" customFormat="false" ht="12.75" hidden="false" customHeight="false" outlineLevel="0" collapsed="false">
      <c r="A111" s="135" t="s">
        <v>477</v>
      </c>
      <c r="B111" s="193" t="s">
        <v>785</v>
      </c>
      <c r="C111" s="193" t="s">
        <v>877</v>
      </c>
      <c r="D111" s="193"/>
      <c r="E111" s="119" t="n">
        <v>24</v>
      </c>
      <c r="F111" s="195" t="n">
        <v>75</v>
      </c>
      <c r="G111" s="119"/>
      <c r="H111" s="119"/>
      <c r="J111" s="118"/>
      <c r="K111" s="118"/>
      <c r="L111" s="181"/>
      <c r="N111" s="182"/>
      <c r="O111" s="182"/>
      <c r="S111" s="184" t="n">
        <v>2142</v>
      </c>
      <c r="T111" s="185" t="n">
        <v>40725</v>
      </c>
      <c r="U111" s="182"/>
      <c r="V111" s="182"/>
      <c r="W111" s="183"/>
      <c r="X111" s="183"/>
      <c r="Y111" s="184" t="n">
        <v>675</v>
      </c>
      <c r="Z111" s="185" t="n">
        <v>40725</v>
      </c>
      <c r="AA111" s="184" t="n">
        <v>98830</v>
      </c>
      <c r="AB111" s="185" t="n">
        <v>40725</v>
      </c>
      <c r="AC111" s="184" t="n">
        <v>40.3</v>
      </c>
      <c r="AD111" s="185" t="n">
        <v>40725</v>
      </c>
      <c r="AE111" s="196"/>
      <c r="AF111" s="185"/>
      <c r="AG111" s="184" t="n">
        <v>4.08</v>
      </c>
      <c r="AH111" s="185" t="n">
        <v>40725</v>
      </c>
      <c r="AI111" s="183"/>
      <c r="AJ111" s="183"/>
      <c r="AK111" s="182"/>
      <c r="AL111" s="182"/>
      <c r="AM111" s="184" t="n">
        <v>84</v>
      </c>
      <c r="AN111" s="183" t="n">
        <v>40630</v>
      </c>
      <c r="AO111" s="182"/>
      <c r="AP111" s="182"/>
      <c r="AQ111" s="183"/>
      <c r="AR111" s="183"/>
      <c r="AS111" s="182"/>
      <c r="AT111" s="182"/>
      <c r="AU111" s="183"/>
      <c r="AV111" s="183"/>
      <c r="AW111" s="182"/>
      <c r="AX111" s="182"/>
      <c r="AY111" s="183"/>
      <c r="AZ111" s="183"/>
      <c r="BA111" s="182"/>
      <c r="BB111" s="182"/>
      <c r="BK111" s="183"/>
      <c r="BL111" s="183"/>
      <c r="BM111" s="182"/>
      <c r="BN111" s="182"/>
      <c r="BO111" s="183"/>
      <c r="BP111" s="183"/>
      <c r="BQ111" s="182"/>
      <c r="BR111" s="182"/>
      <c r="BS111" s="184" t="n">
        <v>53.2</v>
      </c>
      <c r="BT111" s="185" t="n">
        <v>40725</v>
      </c>
      <c r="BU111" s="184" t="n">
        <v>16.8</v>
      </c>
      <c r="BV111" s="185" t="n">
        <v>40725</v>
      </c>
      <c r="CL111" s="182"/>
      <c r="CM111" s="182"/>
    </row>
    <row r="112" customFormat="false" ht="12.75" hidden="false" customHeight="false" outlineLevel="0" collapsed="false">
      <c r="A112" s="135" t="s">
        <v>480</v>
      </c>
      <c r="B112" s="193" t="s">
        <v>782</v>
      </c>
      <c r="C112" s="193" t="s">
        <v>875</v>
      </c>
      <c r="D112" s="193"/>
      <c r="E112" s="194" t="n">
        <v>4</v>
      </c>
      <c r="F112" s="195" t="n">
        <v>30</v>
      </c>
      <c r="G112" s="119"/>
      <c r="H112" s="119"/>
      <c r="J112" s="118"/>
      <c r="K112" s="118"/>
      <c r="L112" s="181"/>
      <c r="N112" s="182"/>
      <c r="O112" s="182"/>
      <c r="S112" s="184" t="n">
        <v>1930</v>
      </c>
      <c r="T112" s="185" t="n">
        <v>40725</v>
      </c>
      <c r="U112" s="182"/>
      <c r="V112" s="182"/>
      <c r="W112" s="183"/>
      <c r="X112" s="183"/>
      <c r="Y112" s="184" t="n">
        <v>621</v>
      </c>
      <c r="Z112" s="185" t="n">
        <v>40725</v>
      </c>
      <c r="AA112" s="184" t="n">
        <v>93537</v>
      </c>
      <c r="AB112" s="185" t="n">
        <v>40725</v>
      </c>
      <c r="AC112" s="184" t="n">
        <v>37.4</v>
      </c>
      <c r="AD112" s="185" t="n">
        <v>40725</v>
      </c>
      <c r="AE112" s="196"/>
      <c r="AF112" s="185"/>
      <c r="AG112" s="184" t="n">
        <v>3.99</v>
      </c>
      <c r="AH112" s="185" t="n">
        <v>40725</v>
      </c>
      <c r="AI112" s="183"/>
      <c r="AJ112" s="183"/>
      <c r="AK112" s="182"/>
      <c r="AL112" s="182"/>
      <c r="AM112" s="184" t="n">
        <v>85</v>
      </c>
      <c r="AN112" s="183" t="n">
        <v>40630</v>
      </c>
      <c r="AO112" s="182"/>
      <c r="AP112" s="182"/>
      <c r="AQ112" s="183"/>
      <c r="AR112" s="183"/>
      <c r="AS112" s="182"/>
      <c r="AT112" s="182"/>
      <c r="AU112" s="183"/>
      <c r="AV112" s="183"/>
      <c r="AW112" s="182"/>
      <c r="AX112" s="182"/>
      <c r="AY112" s="183"/>
      <c r="AZ112" s="183"/>
      <c r="BA112" s="182"/>
      <c r="BB112" s="182"/>
      <c r="BK112" s="183"/>
      <c r="BL112" s="183"/>
      <c r="BM112" s="182"/>
      <c r="BN112" s="182"/>
      <c r="BO112" s="183"/>
      <c r="BP112" s="183"/>
      <c r="BQ112" s="182"/>
      <c r="BR112" s="182"/>
      <c r="BS112" s="184" t="n">
        <v>51.7</v>
      </c>
      <c r="BT112" s="185" t="n">
        <v>40725</v>
      </c>
      <c r="BU112" s="184" t="n">
        <v>16.6</v>
      </c>
      <c r="BV112" s="185" t="n">
        <v>40725</v>
      </c>
      <c r="CL112" s="182"/>
      <c r="CM112" s="182"/>
    </row>
    <row r="113" customFormat="false" ht="12.75" hidden="false" customHeight="false" outlineLevel="0" collapsed="false">
      <c r="A113" s="135" t="s">
        <v>480</v>
      </c>
      <c r="B113" s="193" t="s">
        <v>782</v>
      </c>
      <c r="C113" s="193" t="s">
        <v>876</v>
      </c>
      <c r="D113" s="193"/>
      <c r="E113" s="194" t="n">
        <v>7</v>
      </c>
      <c r="F113" s="195" t="n">
        <v>56</v>
      </c>
      <c r="G113" s="119"/>
      <c r="H113" s="119"/>
      <c r="J113" s="118"/>
      <c r="K113" s="118"/>
      <c r="L113" s="181"/>
      <c r="N113" s="182"/>
      <c r="O113" s="182"/>
      <c r="S113" s="184" t="n">
        <v>1720</v>
      </c>
      <c r="T113" s="185" t="n">
        <v>40725</v>
      </c>
      <c r="U113" s="182"/>
      <c r="V113" s="182"/>
      <c r="W113" s="183"/>
      <c r="X113" s="183"/>
      <c r="Y113" s="184" t="n">
        <v>499</v>
      </c>
      <c r="Z113" s="185" t="n">
        <v>40725</v>
      </c>
      <c r="AA113" s="184" t="n">
        <v>83362</v>
      </c>
      <c r="AB113" s="185" t="n">
        <v>40725</v>
      </c>
      <c r="AC113" s="184" t="n">
        <v>32.7</v>
      </c>
      <c r="AD113" s="185" t="n">
        <v>40725</v>
      </c>
      <c r="AE113" s="196"/>
      <c r="AF113" s="185"/>
      <c r="AG113" s="184" t="n">
        <v>3.92</v>
      </c>
      <c r="AH113" s="185" t="n">
        <v>40725</v>
      </c>
      <c r="AI113" s="183"/>
      <c r="AJ113" s="183"/>
      <c r="AK113" s="182"/>
      <c r="AL113" s="182"/>
      <c r="AM113" s="184" t="n">
        <v>85</v>
      </c>
      <c r="AN113" s="183" t="n">
        <v>40630</v>
      </c>
      <c r="AO113" s="182"/>
      <c r="AP113" s="182"/>
      <c r="AQ113" s="183"/>
      <c r="AR113" s="183"/>
      <c r="AS113" s="182"/>
      <c r="AT113" s="182"/>
      <c r="AU113" s="183"/>
      <c r="AV113" s="183"/>
      <c r="AW113" s="182"/>
      <c r="AX113" s="182"/>
      <c r="AY113" s="183"/>
      <c r="AZ113" s="183"/>
      <c r="BA113" s="182"/>
      <c r="BB113" s="182"/>
      <c r="BK113" s="183"/>
      <c r="BL113" s="183"/>
      <c r="BM113" s="182"/>
      <c r="BN113" s="182"/>
      <c r="BO113" s="183"/>
      <c r="BP113" s="183"/>
      <c r="BQ113" s="182"/>
      <c r="BR113" s="182"/>
      <c r="BS113" s="184" t="n">
        <v>52.6</v>
      </c>
      <c r="BT113" s="185" t="n">
        <v>40725</v>
      </c>
      <c r="BU113" s="184" t="n">
        <v>15.3</v>
      </c>
      <c r="BV113" s="185" t="n">
        <v>40725</v>
      </c>
      <c r="CL113" s="182"/>
      <c r="CM113" s="182"/>
    </row>
    <row r="114" customFormat="false" ht="12.75" hidden="false" customHeight="false" outlineLevel="0" collapsed="false">
      <c r="A114" s="135" t="s">
        <v>480</v>
      </c>
      <c r="B114" s="193" t="s">
        <v>782</v>
      </c>
      <c r="C114" s="193" t="s">
        <v>877</v>
      </c>
      <c r="D114" s="193"/>
      <c r="E114" s="119" t="n">
        <v>15</v>
      </c>
      <c r="F114" s="195" t="n">
        <v>74</v>
      </c>
      <c r="G114" s="119"/>
      <c r="H114" s="119"/>
      <c r="J114" s="118"/>
      <c r="K114" s="118"/>
      <c r="L114" s="181"/>
      <c r="N114" s="182"/>
      <c r="O114" s="182"/>
      <c r="S114" s="184" t="n">
        <v>1698</v>
      </c>
      <c r="T114" s="185" t="n">
        <v>40725</v>
      </c>
      <c r="U114" s="182"/>
      <c r="V114" s="182"/>
      <c r="W114" s="183"/>
      <c r="X114" s="183"/>
      <c r="Y114" s="184" t="n">
        <v>537</v>
      </c>
      <c r="Z114" s="185" t="n">
        <v>40725</v>
      </c>
      <c r="AA114" s="184" t="n">
        <v>79892</v>
      </c>
      <c r="AB114" s="185" t="n">
        <v>40725</v>
      </c>
      <c r="AC114" s="184" t="n">
        <v>33</v>
      </c>
      <c r="AD114" s="185" t="n">
        <v>40725</v>
      </c>
      <c r="AE114" s="196"/>
      <c r="AF114" s="185"/>
      <c r="AG114" s="184" t="n">
        <v>4.14</v>
      </c>
      <c r="AH114" s="185" t="n">
        <v>40725</v>
      </c>
      <c r="AI114" s="183"/>
      <c r="AJ114" s="183"/>
      <c r="AK114" s="182"/>
      <c r="AL114" s="182"/>
      <c r="AM114" s="184" t="n">
        <v>84</v>
      </c>
      <c r="AN114" s="183" t="n">
        <v>40630</v>
      </c>
      <c r="AO114" s="182"/>
      <c r="AP114" s="182"/>
      <c r="AQ114" s="183"/>
      <c r="AR114" s="183"/>
      <c r="AS114" s="182"/>
      <c r="AT114" s="182"/>
      <c r="AU114" s="183"/>
      <c r="AV114" s="183"/>
      <c r="AW114" s="182"/>
      <c r="AX114" s="182"/>
      <c r="AY114" s="183"/>
      <c r="AZ114" s="183"/>
      <c r="BA114" s="182"/>
      <c r="BB114" s="182"/>
      <c r="BK114" s="183"/>
      <c r="BL114" s="183"/>
      <c r="BM114" s="182"/>
      <c r="BN114" s="182"/>
      <c r="BO114" s="183"/>
      <c r="BP114" s="183"/>
      <c r="BQ114" s="182"/>
      <c r="BR114" s="182"/>
      <c r="BS114" s="184" t="n">
        <v>51.4</v>
      </c>
      <c r="BT114" s="185" t="n">
        <v>40725</v>
      </c>
      <c r="BU114" s="184" t="n">
        <v>16.2</v>
      </c>
      <c r="BV114" s="185" t="n">
        <v>40725</v>
      </c>
      <c r="CL114" s="182"/>
      <c r="CM114" s="182"/>
    </row>
    <row r="115" customFormat="false" ht="12.75" hidden="false" customHeight="false" outlineLevel="0" collapsed="false">
      <c r="A115" s="135" t="s">
        <v>480</v>
      </c>
      <c r="B115" s="193" t="s">
        <v>785</v>
      </c>
      <c r="C115" s="193" t="s">
        <v>875</v>
      </c>
      <c r="D115" s="193"/>
      <c r="E115" s="194" t="n">
        <v>6</v>
      </c>
      <c r="F115" s="195" t="n">
        <v>25</v>
      </c>
      <c r="G115" s="119"/>
      <c r="H115" s="119"/>
      <c r="J115" s="118"/>
      <c r="K115" s="118"/>
      <c r="L115" s="181"/>
      <c r="N115" s="182"/>
      <c r="O115" s="182"/>
      <c r="S115" s="184" t="n">
        <v>2165</v>
      </c>
      <c r="T115" s="185" t="n">
        <v>40725</v>
      </c>
      <c r="U115" s="182"/>
      <c r="V115" s="182"/>
      <c r="W115" s="183"/>
      <c r="X115" s="183"/>
      <c r="Y115" s="184" t="n">
        <v>680</v>
      </c>
      <c r="Z115" s="185" t="n">
        <v>40725</v>
      </c>
      <c r="AA115" s="184" t="n">
        <v>104436</v>
      </c>
      <c r="AB115" s="185" t="n">
        <v>40725</v>
      </c>
      <c r="AC115" s="184" t="n">
        <v>41.6</v>
      </c>
      <c r="AD115" s="185" t="n">
        <v>40725</v>
      </c>
      <c r="AE115" s="196"/>
      <c r="AF115" s="185"/>
      <c r="AG115" s="184" t="n">
        <v>3.98</v>
      </c>
      <c r="AH115" s="185" t="n">
        <v>40725</v>
      </c>
      <c r="AI115" s="183"/>
      <c r="AJ115" s="183"/>
      <c r="AK115" s="182"/>
      <c r="AL115" s="182"/>
      <c r="AM115" s="184" t="n">
        <v>86</v>
      </c>
      <c r="AN115" s="183" t="n">
        <v>40630</v>
      </c>
      <c r="AO115" s="182"/>
      <c r="AP115" s="182"/>
      <c r="AQ115" s="183"/>
      <c r="AR115" s="183"/>
      <c r="AS115" s="182"/>
      <c r="AT115" s="182"/>
      <c r="AU115" s="183"/>
      <c r="AV115" s="183"/>
      <c r="AW115" s="182"/>
      <c r="AX115" s="182"/>
      <c r="AY115" s="183"/>
      <c r="AZ115" s="183"/>
      <c r="BA115" s="182"/>
      <c r="BB115" s="182"/>
      <c r="BK115" s="183"/>
      <c r="BL115" s="183"/>
      <c r="BM115" s="182"/>
      <c r="BN115" s="182"/>
      <c r="BO115" s="183"/>
      <c r="BP115" s="183"/>
      <c r="BQ115" s="182"/>
      <c r="BR115" s="182"/>
      <c r="BS115" s="184" t="n">
        <v>52</v>
      </c>
      <c r="BT115" s="185" t="n">
        <v>40725</v>
      </c>
      <c r="BU115" s="184" t="n">
        <v>16.4</v>
      </c>
      <c r="BV115" s="185" t="n">
        <v>40725</v>
      </c>
      <c r="CL115" s="182"/>
      <c r="CM115" s="182"/>
    </row>
    <row r="116" customFormat="false" ht="12.75" hidden="false" customHeight="false" outlineLevel="0" collapsed="false">
      <c r="A116" s="135" t="s">
        <v>480</v>
      </c>
      <c r="B116" s="193" t="s">
        <v>785</v>
      </c>
      <c r="C116" s="193" t="s">
        <v>876</v>
      </c>
      <c r="D116" s="193"/>
      <c r="E116" s="194" t="n">
        <v>4</v>
      </c>
      <c r="F116" s="195" t="n">
        <v>50</v>
      </c>
      <c r="G116" s="119"/>
      <c r="H116" s="119"/>
      <c r="J116" s="118"/>
      <c r="K116" s="118"/>
      <c r="L116" s="181"/>
      <c r="N116" s="182"/>
      <c r="O116" s="182"/>
      <c r="S116" s="184" t="n">
        <v>2300</v>
      </c>
      <c r="T116" s="185" t="n">
        <v>40725</v>
      </c>
      <c r="U116" s="182"/>
      <c r="V116" s="182"/>
      <c r="W116" s="183"/>
      <c r="X116" s="183"/>
      <c r="Y116" s="184" t="n">
        <v>765</v>
      </c>
      <c r="Z116" s="185" t="n">
        <v>40725</v>
      </c>
      <c r="AA116" s="184" t="n">
        <v>110338</v>
      </c>
      <c r="AB116" s="185" t="n">
        <v>40725</v>
      </c>
      <c r="AC116" s="184" t="n">
        <v>44.6</v>
      </c>
      <c r="AD116" s="185" t="n">
        <v>40725</v>
      </c>
      <c r="AE116" s="196"/>
      <c r="AF116" s="185"/>
      <c r="AG116" s="184" t="n">
        <v>4.05</v>
      </c>
      <c r="AH116" s="185" t="n">
        <v>40725</v>
      </c>
      <c r="AI116" s="183"/>
      <c r="AJ116" s="183"/>
      <c r="AK116" s="182"/>
      <c r="AL116" s="182"/>
      <c r="AM116" s="184" t="n">
        <v>85</v>
      </c>
      <c r="AN116" s="183" t="n">
        <v>40630</v>
      </c>
      <c r="AO116" s="182"/>
      <c r="AP116" s="182"/>
      <c r="AQ116" s="183"/>
      <c r="AR116" s="183"/>
      <c r="AS116" s="182"/>
      <c r="AT116" s="182"/>
      <c r="AU116" s="183"/>
      <c r="AV116" s="183"/>
      <c r="AW116" s="182"/>
      <c r="AX116" s="182"/>
      <c r="AY116" s="183"/>
      <c r="AZ116" s="183"/>
      <c r="BA116" s="182"/>
      <c r="BB116" s="182"/>
      <c r="BK116" s="183"/>
      <c r="BL116" s="183"/>
      <c r="BM116" s="182"/>
      <c r="BN116" s="182"/>
      <c r="BO116" s="183"/>
      <c r="BP116" s="183"/>
      <c r="BQ116" s="182"/>
      <c r="BR116" s="182"/>
      <c r="BS116" s="184" t="n">
        <v>51.5</v>
      </c>
      <c r="BT116" s="185" t="n">
        <v>40725</v>
      </c>
      <c r="BU116" s="184" t="n">
        <v>17.1</v>
      </c>
      <c r="BV116" s="185" t="n">
        <v>40725</v>
      </c>
      <c r="CL116" s="182"/>
      <c r="CM116" s="182"/>
    </row>
    <row r="117" customFormat="false" ht="12.75" hidden="false" customHeight="false" outlineLevel="0" collapsed="false">
      <c r="A117" s="135" t="s">
        <v>480</v>
      </c>
      <c r="B117" s="193" t="s">
        <v>785</v>
      </c>
      <c r="C117" s="193" t="s">
        <v>877</v>
      </c>
      <c r="D117" s="193"/>
      <c r="E117" s="119" t="n">
        <v>21</v>
      </c>
      <c r="F117" s="195" t="n">
        <v>89</v>
      </c>
      <c r="G117" s="119"/>
      <c r="H117" s="119"/>
      <c r="J117" s="118"/>
      <c r="K117" s="118"/>
      <c r="L117" s="181"/>
      <c r="N117" s="182"/>
      <c r="O117" s="182"/>
      <c r="S117" s="184" t="n">
        <v>2100</v>
      </c>
      <c r="T117" s="185" t="n">
        <v>40725</v>
      </c>
      <c r="U117" s="182"/>
      <c r="V117" s="182"/>
      <c r="W117" s="183"/>
      <c r="X117" s="183"/>
      <c r="Y117" s="184" t="n">
        <v>739</v>
      </c>
      <c r="Z117" s="185" t="n">
        <v>40725</v>
      </c>
      <c r="AA117" s="184" t="n">
        <v>98973</v>
      </c>
      <c r="AB117" s="185" t="n">
        <v>40725</v>
      </c>
      <c r="AC117" s="184" t="n">
        <v>41.9</v>
      </c>
      <c r="AD117" s="185" t="n">
        <v>40725</v>
      </c>
      <c r="AE117" s="196"/>
      <c r="AF117" s="185"/>
      <c r="AG117" s="184" t="n">
        <v>4.23</v>
      </c>
      <c r="AH117" s="185" t="n">
        <v>40725</v>
      </c>
      <c r="AI117" s="183"/>
      <c r="AJ117" s="183"/>
      <c r="AK117" s="182"/>
      <c r="AL117" s="182"/>
      <c r="AM117" s="184" t="n">
        <v>84</v>
      </c>
      <c r="AN117" s="183" t="n">
        <v>40630</v>
      </c>
      <c r="AO117" s="182"/>
      <c r="AP117" s="182"/>
      <c r="AQ117" s="183"/>
      <c r="AR117" s="183"/>
      <c r="AS117" s="182"/>
      <c r="AT117" s="182"/>
      <c r="AU117" s="183"/>
      <c r="AV117" s="183"/>
      <c r="AW117" s="182"/>
      <c r="AX117" s="182"/>
      <c r="AY117" s="183"/>
      <c r="AZ117" s="183"/>
      <c r="BA117" s="182"/>
      <c r="BB117" s="182"/>
      <c r="BK117" s="183"/>
      <c r="BL117" s="183"/>
      <c r="BM117" s="182"/>
      <c r="BN117" s="182"/>
      <c r="BO117" s="183"/>
      <c r="BP117" s="183"/>
      <c r="BQ117" s="182"/>
      <c r="BR117" s="182"/>
      <c r="BS117" s="184" t="n">
        <v>50.2</v>
      </c>
      <c r="BT117" s="185" t="n">
        <v>40725</v>
      </c>
      <c r="BU117" s="184" t="n">
        <v>17.6</v>
      </c>
      <c r="BV117" s="185" t="n">
        <v>40725</v>
      </c>
      <c r="CL117" s="182"/>
      <c r="CM117" s="182"/>
    </row>
    <row r="118" customFormat="false" ht="12.75" hidden="false" customHeight="false" outlineLevel="0" collapsed="false">
      <c r="A118" s="135" t="s">
        <v>483</v>
      </c>
      <c r="B118" s="193" t="s">
        <v>782</v>
      </c>
      <c r="C118" s="193" t="s">
        <v>875</v>
      </c>
      <c r="D118" s="193"/>
      <c r="E118" s="194" t="n">
        <v>4</v>
      </c>
      <c r="F118" s="195" t="n">
        <v>31</v>
      </c>
      <c r="G118" s="119"/>
      <c r="H118" s="119"/>
      <c r="J118" s="118"/>
      <c r="K118" s="118"/>
      <c r="L118" s="181"/>
      <c r="N118" s="182"/>
      <c r="O118" s="182"/>
      <c r="S118" s="184" t="n">
        <v>1644</v>
      </c>
      <c r="T118" s="185" t="n">
        <v>40725</v>
      </c>
      <c r="U118" s="182"/>
      <c r="V118" s="182"/>
      <c r="W118" s="183"/>
      <c r="X118" s="183"/>
      <c r="Y118" s="184" t="n">
        <v>548</v>
      </c>
      <c r="Z118" s="185" t="n">
        <v>40725</v>
      </c>
      <c r="AA118" s="184" t="n">
        <v>77164</v>
      </c>
      <c r="AB118" s="185" t="n">
        <v>40725</v>
      </c>
      <c r="AC118" s="184" t="n">
        <v>31.5</v>
      </c>
      <c r="AD118" s="185" t="n">
        <v>40725</v>
      </c>
      <c r="AE118" s="196"/>
      <c r="AF118" s="185"/>
      <c r="AG118" s="184" t="n">
        <v>4.09</v>
      </c>
      <c r="AH118" s="185" t="n">
        <v>40725</v>
      </c>
      <c r="AI118" s="183"/>
      <c r="AJ118" s="183"/>
      <c r="AK118" s="182"/>
      <c r="AL118" s="182"/>
      <c r="AM118" s="184" t="n">
        <v>82</v>
      </c>
      <c r="AN118" s="183" t="n">
        <v>40630</v>
      </c>
      <c r="AO118" s="182"/>
      <c r="AP118" s="182"/>
      <c r="AQ118" s="183"/>
      <c r="AR118" s="183"/>
      <c r="AS118" s="182"/>
      <c r="AT118" s="182"/>
      <c r="AU118" s="183"/>
      <c r="AV118" s="183"/>
      <c r="AW118" s="182"/>
      <c r="AX118" s="182"/>
      <c r="AY118" s="183"/>
      <c r="AZ118" s="183"/>
      <c r="BA118" s="182"/>
      <c r="BB118" s="182"/>
      <c r="BK118" s="183"/>
      <c r="BL118" s="183"/>
      <c r="BM118" s="182"/>
      <c r="BN118" s="182"/>
      <c r="BO118" s="183"/>
      <c r="BP118" s="183"/>
      <c r="BQ118" s="182"/>
      <c r="BR118" s="182"/>
      <c r="BS118" s="184" t="n">
        <v>52.1</v>
      </c>
      <c r="BT118" s="185" t="n">
        <v>40725</v>
      </c>
      <c r="BU118" s="184" t="n">
        <v>17.4</v>
      </c>
      <c r="BV118" s="185" t="n">
        <v>40725</v>
      </c>
      <c r="CL118" s="182"/>
      <c r="CM118" s="182"/>
    </row>
    <row r="119" customFormat="false" ht="12.75" hidden="false" customHeight="false" outlineLevel="0" collapsed="false">
      <c r="A119" s="135" t="s">
        <v>483</v>
      </c>
      <c r="B119" s="193" t="s">
        <v>782</v>
      </c>
      <c r="C119" s="193" t="s">
        <v>876</v>
      </c>
      <c r="D119" s="193"/>
      <c r="E119" s="194" t="n">
        <v>8</v>
      </c>
      <c r="F119" s="195" t="n">
        <v>45</v>
      </c>
      <c r="G119" s="119"/>
      <c r="H119" s="119"/>
      <c r="J119" s="118"/>
      <c r="K119" s="118"/>
      <c r="L119" s="181"/>
      <c r="N119" s="182"/>
      <c r="O119" s="182"/>
      <c r="S119" s="184" t="n">
        <v>1644</v>
      </c>
      <c r="T119" s="185" t="n">
        <v>40725</v>
      </c>
      <c r="U119" s="182"/>
      <c r="V119" s="182"/>
      <c r="W119" s="183"/>
      <c r="X119" s="183"/>
      <c r="Y119" s="184" t="n">
        <v>479</v>
      </c>
      <c r="Z119" s="185" t="n">
        <v>40725</v>
      </c>
      <c r="AA119" s="184" t="n">
        <v>75047</v>
      </c>
      <c r="AB119" s="185" t="n">
        <v>40725</v>
      </c>
      <c r="AC119" s="184" t="n">
        <v>30.8</v>
      </c>
      <c r="AD119" s="185" t="n">
        <v>40725</v>
      </c>
      <c r="AE119" s="196"/>
      <c r="AF119" s="185"/>
      <c r="AG119" s="184" t="n">
        <v>4.1</v>
      </c>
      <c r="AH119" s="185" t="n">
        <v>40725</v>
      </c>
      <c r="AI119" s="183"/>
      <c r="AJ119" s="183"/>
      <c r="AK119" s="182"/>
      <c r="AL119" s="182"/>
      <c r="AM119" s="184" t="n">
        <v>81</v>
      </c>
      <c r="AN119" s="183" t="n">
        <v>40630</v>
      </c>
      <c r="AO119" s="182"/>
      <c r="AP119" s="182"/>
      <c r="AQ119" s="183"/>
      <c r="AR119" s="183"/>
      <c r="AS119" s="182"/>
      <c r="AT119" s="182"/>
      <c r="AU119" s="183"/>
      <c r="AV119" s="183"/>
      <c r="AW119" s="182"/>
      <c r="AX119" s="182"/>
      <c r="AY119" s="183"/>
      <c r="AZ119" s="183"/>
      <c r="BA119" s="182"/>
      <c r="BB119" s="182"/>
      <c r="BK119" s="183"/>
      <c r="BL119" s="183"/>
      <c r="BM119" s="182"/>
      <c r="BN119" s="182"/>
      <c r="BO119" s="183"/>
      <c r="BP119" s="183"/>
      <c r="BQ119" s="182"/>
      <c r="BR119" s="182"/>
      <c r="BS119" s="184" t="n">
        <v>53.4</v>
      </c>
      <c r="BT119" s="185" t="n">
        <v>40725</v>
      </c>
      <c r="BU119" s="184" t="n">
        <v>15.6</v>
      </c>
      <c r="BV119" s="185" t="n">
        <v>40725</v>
      </c>
      <c r="CL119" s="182"/>
      <c r="CM119" s="182"/>
    </row>
    <row r="120" customFormat="false" ht="12.75" hidden="false" customHeight="false" outlineLevel="0" collapsed="false">
      <c r="A120" s="204" t="s">
        <v>483</v>
      </c>
      <c r="B120" s="193" t="s">
        <v>782</v>
      </c>
      <c r="C120" s="193" t="s">
        <v>877</v>
      </c>
      <c r="D120" s="193"/>
      <c r="E120" s="119" t="n">
        <v>19</v>
      </c>
      <c r="F120" s="195" t="n">
        <v>71</v>
      </c>
      <c r="G120" s="119"/>
      <c r="H120" s="119"/>
      <c r="J120" s="118"/>
      <c r="K120" s="118"/>
      <c r="L120" s="181"/>
      <c r="N120" s="182"/>
      <c r="O120" s="182"/>
      <c r="S120" s="184" t="n">
        <v>1542</v>
      </c>
      <c r="T120" s="185" t="n">
        <v>40725</v>
      </c>
      <c r="U120" s="182"/>
      <c r="V120" s="182"/>
      <c r="W120" s="183"/>
      <c r="X120" s="183"/>
      <c r="Y120" s="184" t="n">
        <v>484</v>
      </c>
      <c r="Z120" s="185" t="n">
        <v>40725</v>
      </c>
      <c r="AA120" s="184" t="n">
        <v>72220</v>
      </c>
      <c r="AB120" s="185" t="n">
        <v>40725</v>
      </c>
      <c r="AC120" s="184" t="n">
        <v>29.5</v>
      </c>
      <c r="AD120" s="185" t="n">
        <v>40725</v>
      </c>
      <c r="AE120" s="196"/>
      <c r="AF120" s="185"/>
      <c r="AG120" s="184" t="n">
        <v>4.09</v>
      </c>
      <c r="AH120" s="185" t="n">
        <v>40725</v>
      </c>
      <c r="AI120" s="183"/>
      <c r="AJ120" s="183"/>
      <c r="AK120" s="182"/>
      <c r="AL120" s="182"/>
      <c r="AM120" s="184" t="n">
        <v>82</v>
      </c>
      <c r="AN120" s="183" t="n">
        <v>40630</v>
      </c>
      <c r="AO120" s="182"/>
      <c r="AP120" s="182"/>
      <c r="AQ120" s="183"/>
      <c r="AR120" s="183"/>
      <c r="AS120" s="182"/>
      <c r="AT120" s="182"/>
      <c r="AU120" s="183"/>
      <c r="AV120" s="183"/>
      <c r="AW120" s="182"/>
      <c r="AX120" s="182"/>
      <c r="AY120" s="183"/>
      <c r="AZ120" s="183"/>
      <c r="BA120" s="182"/>
      <c r="BB120" s="182"/>
      <c r="BK120" s="183"/>
      <c r="BL120" s="183"/>
      <c r="BM120" s="182"/>
      <c r="BN120" s="182"/>
      <c r="BO120" s="183"/>
      <c r="BP120" s="183"/>
      <c r="BQ120" s="182"/>
      <c r="BR120" s="182"/>
      <c r="BS120" s="184" t="n">
        <v>52.2</v>
      </c>
      <c r="BT120" s="185" t="n">
        <v>40725</v>
      </c>
      <c r="BU120" s="184" t="n">
        <v>16.4</v>
      </c>
      <c r="BV120" s="185" t="n">
        <v>40725</v>
      </c>
      <c r="CL120" s="182"/>
      <c r="CM120" s="182"/>
    </row>
    <row r="121" customFormat="false" ht="12.75" hidden="false" customHeight="false" outlineLevel="0" collapsed="false">
      <c r="A121" s="204" t="s">
        <v>483</v>
      </c>
      <c r="B121" s="193" t="s">
        <v>785</v>
      </c>
      <c r="C121" s="193" t="s">
        <v>875</v>
      </c>
      <c r="D121" s="193"/>
      <c r="E121" s="194" t="n">
        <v>5</v>
      </c>
      <c r="F121" s="195" t="n">
        <v>32</v>
      </c>
      <c r="G121" s="119"/>
      <c r="H121" s="119"/>
      <c r="J121" s="118"/>
      <c r="K121" s="118"/>
      <c r="L121" s="181"/>
      <c r="N121" s="182"/>
      <c r="O121" s="182"/>
      <c r="S121" s="184" t="n">
        <v>2114</v>
      </c>
      <c r="T121" s="185" t="n">
        <v>40725</v>
      </c>
      <c r="U121" s="182"/>
      <c r="V121" s="182"/>
      <c r="W121" s="183"/>
      <c r="X121" s="183"/>
      <c r="Y121" s="184" t="n">
        <v>757</v>
      </c>
      <c r="Z121" s="185" t="n">
        <v>40725</v>
      </c>
      <c r="AA121" s="184" t="n">
        <v>97705</v>
      </c>
      <c r="AB121" s="185" t="n">
        <v>40725</v>
      </c>
      <c r="AC121" s="184" t="n">
        <v>40.8</v>
      </c>
      <c r="AD121" s="185" t="n">
        <v>40725</v>
      </c>
      <c r="AE121" s="196"/>
      <c r="AF121" s="185"/>
      <c r="AG121" s="184" t="n">
        <v>4.18</v>
      </c>
      <c r="AH121" s="185" t="n">
        <v>40725</v>
      </c>
      <c r="AI121" s="183"/>
      <c r="AJ121" s="183"/>
      <c r="AK121" s="182"/>
      <c r="AL121" s="182"/>
      <c r="AM121" s="184" t="n">
        <v>83</v>
      </c>
      <c r="AN121" s="183" t="n">
        <v>40630</v>
      </c>
      <c r="AO121" s="182"/>
      <c r="AP121" s="182"/>
      <c r="AQ121" s="183"/>
      <c r="AR121" s="183"/>
      <c r="AS121" s="182"/>
      <c r="AT121" s="182"/>
      <c r="AU121" s="183"/>
      <c r="AV121" s="183"/>
      <c r="AW121" s="182"/>
      <c r="AX121" s="182"/>
      <c r="AY121" s="183"/>
      <c r="AZ121" s="183"/>
      <c r="BA121" s="182"/>
      <c r="BB121" s="182"/>
      <c r="BK121" s="183"/>
      <c r="BL121" s="183"/>
      <c r="BM121" s="182"/>
      <c r="BN121" s="182"/>
      <c r="BO121" s="183"/>
      <c r="BP121" s="183"/>
      <c r="BQ121" s="182"/>
      <c r="BR121" s="182"/>
      <c r="BS121" s="184" t="n">
        <v>51.8</v>
      </c>
      <c r="BT121" s="185" t="n">
        <v>40725</v>
      </c>
      <c r="BU121" s="184" t="n">
        <v>18.5</v>
      </c>
      <c r="BV121" s="185" t="n">
        <v>40725</v>
      </c>
      <c r="CL121" s="182"/>
      <c r="CM121" s="182"/>
    </row>
    <row r="122" customFormat="false" ht="12.75" hidden="false" customHeight="false" outlineLevel="0" collapsed="false">
      <c r="A122" s="204" t="s">
        <v>483</v>
      </c>
      <c r="B122" s="193" t="s">
        <v>785</v>
      </c>
      <c r="C122" s="193" t="s">
        <v>876</v>
      </c>
      <c r="D122" s="193"/>
      <c r="E122" s="194" t="n">
        <v>4</v>
      </c>
      <c r="F122" s="195" t="n">
        <v>48</v>
      </c>
      <c r="G122" s="119"/>
      <c r="H122" s="119"/>
      <c r="J122" s="118"/>
      <c r="K122" s="118"/>
      <c r="L122" s="181"/>
      <c r="N122" s="182"/>
      <c r="O122" s="182"/>
      <c r="S122" s="184" t="n">
        <v>2065</v>
      </c>
      <c r="T122" s="185" t="n">
        <v>40725</v>
      </c>
      <c r="U122" s="182"/>
      <c r="V122" s="182"/>
      <c r="W122" s="183"/>
      <c r="X122" s="183"/>
      <c r="Y122" s="184" t="n">
        <v>675</v>
      </c>
      <c r="Z122" s="185" t="n">
        <v>40725</v>
      </c>
      <c r="AA122" s="184" t="n">
        <v>96240</v>
      </c>
      <c r="AB122" s="185" t="n">
        <v>40725</v>
      </c>
      <c r="AC122" s="184" t="n">
        <v>39.5</v>
      </c>
      <c r="AD122" s="185" t="n">
        <v>40725</v>
      </c>
      <c r="AE122" s="196"/>
      <c r="AF122" s="185"/>
      <c r="AG122" s="184" t="n">
        <v>4.11</v>
      </c>
      <c r="AH122" s="185" t="n">
        <v>40725</v>
      </c>
      <c r="AI122" s="183"/>
      <c r="AJ122" s="183"/>
      <c r="AK122" s="182"/>
      <c r="AL122" s="182"/>
      <c r="AM122" s="184" t="n">
        <v>82</v>
      </c>
      <c r="AN122" s="183" t="n">
        <v>40630</v>
      </c>
      <c r="AO122" s="182"/>
      <c r="AP122" s="182"/>
      <c r="AQ122" s="183"/>
      <c r="AR122" s="183"/>
      <c r="AS122" s="182"/>
      <c r="AT122" s="182"/>
      <c r="AU122" s="183"/>
      <c r="AV122" s="183"/>
      <c r="AW122" s="182"/>
      <c r="AX122" s="182"/>
      <c r="AY122" s="183"/>
      <c r="AZ122" s="183"/>
      <c r="BA122" s="182"/>
      <c r="BB122" s="182"/>
      <c r="BK122" s="183"/>
      <c r="BL122" s="183"/>
      <c r="BM122" s="182"/>
      <c r="BN122" s="182"/>
      <c r="BO122" s="183"/>
      <c r="BP122" s="183"/>
      <c r="BQ122" s="182"/>
      <c r="BR122" s="182"/>
      <c r="BS122" s="184" t="n">
        <v>52.3</v>
      </c>
      <c r="BT122" s="185" t="n">
        <v>40725</v>
      </c>
      <c r="BU122" s="184" t="n">
        <v>17.1</v>
      </c>
      <c r="BV122" s="185" t="n">
        <v>40725</v>
      </c>
      <c r="CL122" s="182"/>
      <c r="CM122" s="182"/>
    </row>
    <row r="123" customFormat="false" ht="12.75" hidden="false" customHeight="false" outlineLevel="0" collapsed="false">
      <c r="A123" s="204" t="s">
        <v>483</v>
      </c>
      <c r="B123" s="193" t="s">
        <v>785</v>
      </c>
      <c r="C123" s="193" t="s">
        <v>877</v>
      </c>
      <c r="D123" s="193"/>
      <c r="E123" s="119" t="n">
        <v>20</v>
      </c>
      <c r="F123" s="195" t="n">
        <v>78</v>
      </c>
      <c r="G123" s="119"/>
      <c r="H123" s="119"/>
      <c r="J123" s="118"/>
      <c r="K123" s="118"/>
      <c r="L123" s="181"/>
      <c r="N123" s="182"/>
      <c r="O123" s="182"/>
      <c r="S123" s="184" t="n">
        <v>2001</v>
      </c>
      <c r="T123" s="185" t="n">
        <v>40725</v>
      </c>
      <c r="U123" s="182"/>
      <c r="V123" s="182"/>
      <c r="W123" s="183"/>
      <c r="X123" s="183"/>
      <c r="Y123" s="184" t="n">
        <v>729</v>
      </c>
      <c r="Z123" s="185" t="n">
        <v>40725</v>
      </c>
      <c r="AA123" s="184" t="n">
        <v>92249</v>
      </c>
      <c r="AB123" s="185" t="n">
        <v>40725</v>
      </c>
      <c r="AC123" s="184" t="n">
        <v>39.4</v>
      </c>
      <c r="AD123" s="185" t="n">
        <v>40725</v>
      </c>
      <c r="AE123" s="196"/>
      <c r="AF123" s="185"/>
      <c r="AG123" s="184" t="n">
        <v>4.28</v>
      </c>
      <c r="AH123" s="185" t="n">
        <v>40725</v>
      </c>
      <c r="AI123" s="183"/>
      <c r="AJ123" s="183"/>
      <c r="AK123" s="182"/>
      <c r="AL123" s="182"/>
      <c r="AM123" s="184" t="n">
        <v>82</v>
      </c>
      <c r="AN123" s="183" t="n">
        <v>40630</v>
      </c>
      <c r="AO123" s="182"/>
      <c r="AP123" s="182"/>
      <c r="AQ123" s="183"/>
      <c r="AR123" s="183"/>
      <c r="AS123" s="182"/>
      <c r="AT123" s="182"/>
      <c r="AU123" s="183"/>
      <c r="AV123" s="183"/>
      <c r="AW123" s="182"/>
      <c r="AX123" s="182"/>
      <c r="AY123" s="183"/>
      <c r="AZ123" s="183"/>
      <c r="BA123" s="182"/>
      <c r="BB123" s="182"/>
      <c r="BK123" s="183"/>
      <c r="BL123" s="183"/>
      <c r="BM123" s="182"/>
      <c r="BN123" s="182"/>
      <c r="BO123" s="183"/>
      <c r="BP123" s="183"/>
      <c r="BQ123" s="182"/>
      <c r="BR123" s="182"/>
      <c r="BS123" s="184" t="n">
        <v>50.7</v>
      </c>
      <c r="BT123" s="185" t="n">
        <v>40725</v>
      </c>
      <c r="BU123" s="184" t="n">
        <v>18.5</v>
      </c>
      <c r="BV123" s="185" t="n">
        <v>40725</v>
      </c>
      <c r="CL123" s="182"/>
      <c r="CM123" s="182"/>
    </row>
    <row r="124" customFormat="false" ht="12.75" hidden="false" customHeight="false" outlineLevel="0" collapsed="false">
      <c r="A124" s="204" t="s">
        <v>486</v>
      </c>
      <c r="B124" s="193" t="s">
        <v>782</v>
      </c>
      <c r="C124" s="193" t="s">
        <v>875</v>
      </c>
      <c r="D124" s="193"/>
      <c r="E124" s="194" t="n">
        <v>4</v>
      </c>
      <c r="F124" s="195" t="n">
        <v>14</v>
      </c>
      <c r="G124" s="119"/>
      <c r="H124" s="119"/>
      <c r="J124" s="118"/>
      <c r="K124" s="118"/>
      <c r="L124" s="181"/>
      <c r="N124" s="182"/>
      <c r="O124" s="182"/>
      <c r="S124" s="184" t="n">
        <v>1598</v>
      </c>
      <c r="T124" s="185" t="n">
        <v>40725</v>
      </c>
      <c r="U124" s="182"/>
      <c r="V124" s="182"/>
      <c r="W124" s="183"/>
      <c r="X124" s="183"/>
      <c r="Y124" s="184" t="n">
        <v>446</v>
      </c>
      <c r="Z124" s="185" t="n">
        <v>40725</v>
      </c>
      <c r="AA124" s="184" t="n">
        <v>78320</v>
      </c>
      <c r="AB124" s="185" t="n">
        <v>40725</v>
      </c>
      <c r="AC124" s="184" t="n">
        <v>29.7</v>
      </c>
      <c r="AD124" s="185" t="n">
        <v>40725</v>
      </c>
      <c r="AE124" s="196"/>
      <c r="AF124" s="185"/>
      <c r="AG124" s="184" t="n">
        <v>3.79</v>
      </c>
      <c r="AH124" s="185" t="n">
        <v>40725</v>
      </c>
      <c r="AI124" s="183"/>
      <c r="AJ124" s="183"/>
      <c r="AK124" s="182"/>
      <c r="AL124" s="182"/>
      <c r="AM124" s="184" t="n">
        <v>84</v>
      </c>
      <c r="AN124" s="183" t="n">
        <v>40630</v>
      </c>
      <c r="AO124" s="182"/>
      <c r="AP124" s="182"/>
      <c r="AQ124" s="183"/>
      <c r="AR124" s="183"/>
      <c r="AS124" s="182"/>
      <c r="AT124" s="182"/>
      <c r="AU124" s="183"/>
      <c r="AV124" s="183"/>
      <c r="AW124" s="182"/>
      <c r="AX124" s="182"/>
      <c r="AY124" s="183"/>
      <c r="AZ124" s="183"/>
      <c r="BA124" s="182"/>
      <c r="BB124" s="182"/>
      <c r="BK124" s="183"/>
      <c r="BL124" s="183"/>
      <c r="BM124" s="182"/>
      <c r="BN124" s="182"/>
      <c r="BO124" s="183"/>
      <c r="BP124" s="183"/>
      <c r="BQ124" s="182"/>
      <c r="BR124" s="182"/>
      <c r="BS124" s="184" t="n">
        <v>53.9</v>
      </c>
      <c r="BT124" s="185" t="n">
        <v>40725</v>
      </c>
      <c r="BU124" s="184" t="n">
        <v>15</v>
      </c>
      <c r="BV124" s="185" t="n">
        <v>40725</v>
      </c>
      <c r="CL124" s="182"/>
      <c r="CM124" s="182"/>
    </row>
    <row r="125" customFormat="false" ht="12.75" hidden="false" customHeight="false" outlineLevel="0" collapsed="false">
      <c r="A125" s="204" t="s">
        <v>486</v>
      </c>
      <c r="B125" s="193" t="s">
        <v>782</v>
      </c>
      <c r="C125" s="193" t="s">
        <v>876</v>
      </c>
      <c r="D125" s="193"/>
      <c r="E125" s="194" t="n">
        <v>8</v>
      </c>
      <c r="F125" s="195" t="n">
        <v>36</v>
      </c>
      <c r="G125" s="119"/>
      <c r="H125" s="119"/>
      <c r="J125" s="118"/>
      <c r="K125" s="118"/>
      <c r="L125" s="181"/>
      <c r="N125" s="182"/>
      <c r="O125" s="182"/>
      <c r="S125" s="184" t="n">
        <v>1607</v>
      </c>
      <c r="T125" s="185" t="n">
        <v>40725</v>
      </c>
      <c r="U125" s="182"/>
      <c r="V125" s="182"/>
      <c r="W125" s="183"/>
      <c r="X125" s="183"/>
      <c r="Y125" s="184" t="n">
        <v>577</v>
      </c>
      <c r="Z125" s="185" t="n">
        <v>40725</v>
      </c>
      <c r="AA125" s="184" t="n">
        <v>81788</v>
      </c>
      <c r="AB125" s="185" t="n">
        <v>40725</v>
      </c>
      <c r="AC125" s="184" t="n">
        <v>31.6</v>
      </c>
      <c r="AD125" s="185" t="n">
        <v>40725</v>
      </c>
      <c r="AE125" s="196"/>
      <c r="AF125" s="185"/>
      <c r="AG125" s="184" t="n">
        <v>3.86</v>
      </c>
      <c r="AH125" s="185" t="n">
        <v>40725</v>
      </c>
      <c r="AI125" s="183"/>
      <c r="AJ125" s="183"/>
      <c r="AK125" s="182"/>
      <c r="AL125" s="182"/>
      <c r="AM125" s="184" t="n">
        <v>84</v>
      </c>
      <c r="AN125" s="183" t="n">
        <v>40630</v>
      </c>
      <c r="AO125" s="182"/>
      <c r="AP125" s="182"/>
      <c r="AQ125" s="183"/>
      <c r="AR125" s="183"/>
      <c r="AS125" s="182"/>
      <c r="AT125" s="182"/>
      <c r="AU125" s="183"/>
      <c r="AV125" s="183"/>
      <c r="AW125" s="182"/>
      <c r="AX125" s="182"/>
      <c r="AY125" s="183"/>
      <c r="AZ125" s="183"/>
      <c r="BA125" s="182"/>
      <c r="BB125" s="182"/>
      <c r="BK125" s="183"/>
      <c r="BL125" s="183"/>
      <c r="BM125" s="182"/>
      <c r="BN125" s="182"/>
      <c r="BO125" s="183"/>
      <c r="BP125" s="183"/>
      <c r="BQ125" s="182"/>
      <c r="BR125" s="182"/>
      <c r="BS125" s="184" t="n">
        <v>50.9</v>
      </c>
      <c r="BT125" s="185" t="n">
        <v>40725</v>
      </c>
      <c r="BU125" s="184" t="n">
        <v>18.3</v>
      </c>
      <c r="BV125" s="185" t="n">
        <v>40725</v>
      </c>
      <c r="CL125" s="182"/>
      <c r="CM125" s="182"/>
    </row>
    <row r="126" customFormat="false" ht="12.75" hidden="false" customHeight="false" outlineLevel="0" collapsed="false">
      <c r="A126" s="204" t="s">
        <v>486</v>
      </c>
      <c r="B126" s="193" t="s">
        <v>782</v>
      </c>
      <c r="C126" s="193" t="s">
        <v>877</v>
      </c>
      <c r="D126" s="193"/>
      <c r="E126" s="119" t="n">
        <v>17</v>
      </c>
      <c r="F126" s="195" t="n">
        <v>70</v>
      </c>
      <c r="G126" s="119"/>
      <c r="H126" s="119"/>
      <c r="J126" s="118"/>
      <c r="K126" s="118"/>
      <c r="L126" s="181"/>
      <c r="N126" s="182"/>
      <c r="O126" s="182"/>
      <c r="S126" s="184" t="n">
        <v>1500</v>
      </c>
      <c r="T126" s="185" t="n">
        <v>40725</v>
      </c>
      <c r="U126" s="182"/>
      <c r="V126" s="182"/>
      <c r="W126" s="183"/>
      <c r="X126" s="183"/>
      <c r="Y126" s="184" t="n">
        <v>495</v>
      </c>
      <c r="Z126" s="185" t="n">
        <v>40725</v>
      </c>
      <c r="AA126" s="184" t="n">
        <v>71218</v>
      </c>
      <c r="AB126" s="185" t="n">
        <v>40725</v>
      </c>
      <c r="AC126" s="184" t="n">
        <v>28.5</v>
      </c>
      <c r="AD126" s="185" t="n">
        <v>40725</v>
      </c>
      <c r="AE126" s="196"/>
      <c r="AF126" s="185"/>
      <c r="AG126" s="184" t="n">
        <v>4</v>
      </c>
      <c r="AH126" s="185" t="n">
        <v>40725</v>
      </c>
      <c r="AI126" s="183"/>
      <c r="AJ126" s="183"/>
      <c r="AK126" s="182"/>
      <c r="AL126" s="182"/>
      <c r="AM126" s="184" t="n">
        <v>84</v>
      </c>
      <c r="AN126" s="183" t="n">
        <v>40630</v>
      </c>
      <c r="AO126" s="182"/>
      <c r="AP126" s="182"/>
      <c r="AQ126" s="183"/>
      <c r="AR126" s="183"/>
      <c r="AS126" s="182"/>
      <c r="AT126" s="182"/>
      <c r="AU126" s="183"/>
      <c r="AV126" s="183"/>
      <c r="AW126" s="182"/>
      <c r="AX126" s="182"/>
      <c r="AY126" s="183"/>
      <c r="AZ126" s="183"/>
      <c r="BA126" s="182"/>
      <c r="BB126" s="182"/>
      <c r="BK126" s="183"/>
      <c r="BL126" s="183"/>
      <c r="BM126" s="182"/>
      <c r="BN126" s="182"/>
      <c r="BO126" s="183"/>
      <c r="BP126" s="183"/>
      <c r="BQ126" s="182"/>
      <c r="BR126" s="182"/>
      <c r="BS126" s="184" t="n">
        <v>52.6</v>
      </c>
      <c r="BT126" s="185" t="n">
        <v>40725</v>
      </c>
      <c r="BU126" s="184" t="n">
        <v>17.4</v>
      </c>
      <c r="BV126" s="185" t="n">
        <v>40725</v>
      </c>
      <c r="CL126" s="182"/>
      <c r="CM126" s="182"/>
    </row>
    <row r="127" customFormat="false" ht="12.75" hidden="false" customHeight="false" outlineLevel="0" collapsed="false">
      <c r="A127" s="204" t="s">
        <v>486</v>
      </c>
      <c r="B127" s="193" t="s">
        <v>785</v>
      </c>
      <c r="C127" s="193" t="s">
        <v>875</v>
      </c>
      <c r="D127" s="193"/>
      <c r="E127" s="194" t="n">
        <v>5</v>
      </c>
      <c r="F127" s="195" t="n">
        <v>15</v>
      </c>
      <c r="G127" s="119"/>
      <c r="H127" s="119"/>
      <c r="J127" s="118"/>
      <c r="K127" s="118"/>
      <c r="L127" s="181"/>
      <c r="N127" s="182"/>
      <c r="O127" s="182"/>
      <c r="S127" s="184" t="n">
        <v>2135</v>
      </c>
      <c r="T127" s="185" t="n">
        <v>40725</v>
      </c>
      <c r="U127" s="182"/>
      <c r="V127" s="182"/>
      <c r="W127" s="183"/>
      <c r="X127" s="183"/>
      <c r="Y127" s="184" t="n">
        <v>681</v>
      </c>
      <c r="Z127" s="185" t="n">
        <v>40725</v>
      </c>
      <c r="AA127" s="184" t="n">
        <v>106863</v>
      </c>
      <c r="AB127" s="185" t="n">
        <v>40725</v>
      </c>
      <c r="AC127" s="184" t="n">
        <v>40.6</v>
      </c>
      <c r="AD127" s="185" t="n">
        <v>40725</v>
      </c>
      <c r="AE127" s="196"/>
      <c r="AF127" s="185"/>
      <c r="AG127" s="184" t="n">
        <v>3.8</v>
      </c>
      <c r="AH127" s="185" t="n">
        <v>40725</v>
      </c>
      <c r="AI127" s="183"/>
      <c r="AJ127" s="183"/>
      <c r="AK127" s="182"/>
      <c r="AL127" s="182"/>
      <c r="AM127" s="184" t="n">
        <v>86</v>
      </c>
      <c r="AN127" s="183" t="n">
        <v>40630</v>
      </c>
      <c r="AO127" s="182"/>
      <c r="AP127" s="182"/>
      <c r="AQ127" s="183"/>
      <c r="AR127" s="183"/>
      <c r="AS127" s="182"/>
      <c r="AT127" s="182"/>
      <c r="AU127" s="183"/>
      <c r="AV127" s="183"/>
      <c r="AW127" s="182"/>
      <c r="AX127" s="182"/>
      <c r="AY127" s="183"/>
      <c r="AZ127" s="183"/>
      <c r="BA127" s="182"/>
      <c r="BB127" s="182"/>
      <c r="BK127" s="183"/>
      <c r="BL127" s="183"/>
      <c r="BM127" s="182"/>
      <c r="BN127" s="182"/>
      <c r="BO127" s="183"/>
      <c r="BP127" s="183"/>
      <c r="BQ127" s="182"/>
      <c r="BR127" s="182"/>
      <c r="BS127" s="184" t="n">
        <v>52.6</v>
      </c>
      <c r="BT127" s="185" t="n">
        <v>40725</v>
      </c>
      <c r="BU127" s="184" t="n">
        <v>16.8</v>
      </c>
      <c r="BV127" s="185" t="n">
        <v>40725</v>
      </c>
      <c r="CL127" s="182"/>
      <c r="CM127" s="182"/>
    </row>
    <row r="128" customFormat="false" ht="12.75" hidden="false" customHeight="false" outlineLevel="0" collapsed="false">
      <c r="A128" s="204" t="s">
        <v>486</v>
      </c>
      <c r="B128" s="193" t="s">
        <v>785</v>
      </c>
      <c r="C128" s="193" t="s">
        <v>876</v>
      </c>
      <c r="D128" s="193"/>
      <c r="E128" s="194" t="n">
        <v>2</v>
      </c>
      <c r="F128" s="195" t="n">
        <v>64</v>
      </c>
      <c r="G128" s="119"/>
      <c r="H128" s="119"/>
      <c r="J128" s="118"/>
      <c r="K128" s="118"/>
      <c r="L128" s="181"/>
      <c r="N128" s="182"/>
      <c r="O128" s="182"/>
      <c r="S128" s="184" t="n">
        <v>1865</v>
      </c>
      <c r="T128" s="185" t="n">
        <v>40725</v>
      </c>
      <c r="U128" s="182"/>
      <c r="V128" s="182"/>
      <c r="W128" s="183"/>
      <c r="X128" s="183"/>
      <c r="Y128" s="184" t="n">
        <v>664</v>
      </c>
      <c r="Z128" s="185" t="n">
        <v>40725</v>
      </c>
      <c r="AA128" s="184" t="n">
        <v>89002</v>
      </c>
      <c r="AB128" s="185" t="n">
        <v>40725</v>
      </c>
      <c r="AC128" s="184" t="n">
        <v>36.2</v>
      </c>
      <c r="AD128" s="185" t="n">
        <v>40725</v>
      </c>
      <c r="AE128" s="196"/>
      <c r="AF128" s="185"/>
      <c r="AG128" s="184" t="n">
        <v>4.07</v>
      </c>
      <c r="AH128" s="185" t="n">
        <v>40725</v>
      </c>
      <c r="AI128" s="183"/>
      <c r="AJ128" s="183"/>
      <c r="AK128" s="182"/>
      <c r="AL128" s="182"/>
      <c r="AM128" s="184" t="n">
        <v>85</v>
      </c>
      <c r="AN128" s="183" t="n">
        <v>40630</v>
      </c>
      <c r="AO128" s="182"/>
      <c r="AP128" s="182"/>
      <c r="AQ128" s="183"/>
      <c r="AR128" s="183"/>
      <c r="AS128" s="182"/>
      <c r="AT128" s="182"/>
      <c r="AU128" s="183"/>
      <c r="AV128" s="183"/>
      <c r="AW128" s="182"/>
      <c r="AX128" s="182"/>
      <c r="AY128" s="183"/>
      <c r="AZ128" s="183"/>
      <c r="BA128" s="182"/>
      <c r="BB128" s="182"/>
      <c r="BK128" s="183"/>
      <c r="BL128" s="183"/>
      <c r="BM128" s="182"/>
      <c r="BN128" s="182"/>
      <c r="BO128" s="183"/>
      <c r="BP128" s="183"/>
      <c r="BQ128" s="182"/>
      <c r="BR128" s="182"/>
      <c r="BS128" s="184" t="n">
        <v>51.5</v>
      </c>
      <c r="BT128" s="185" t="n">
        <v>40725</v>
      </c>
      <c r="BU128" s="184" t="n">
        <v>18.3</v>
      </c>
      <c r="BV128" s="185" t="n">
        <v>40725</v>
      </c>
      <c r="CL128" s="182"/>
      <c r="CM128" s="182"/>
    </row>
    <row r="129" customFormat="false" ht="12.75" hidden="false" customHeight="false" outlineLevel="0" collapsed="false">
      <c r="A129" s="204" t="s">
        <v>486</v>
      </c>
      <c r="B129" s="193" t="s">
        <v>785</v>
      </c>
      <c r="C129" s="193" t="s">
        <v>877</v>
      </c>
      <c r="D129" s="193"/>
      <c r="E129" s="119" t="n">
        <v>21</v>
      </c>
      <c r="F129" s="195" t="n">
        <v>73</v>
      </c>
      <c r="G129" s="119"/>
      <c r="H129" s="119"/>
      <c r="J129" s="118"/>
      <c r="K129" s="118"/>
      <c r="L129" s="181"/>
      <c r="N129" s="182"/>
      <c r="O129" s="182"/>
      <c r="S129" s="184" t="n">
        <v>1831</v>
      </c>
      <c r="T129" s="185" t="n">
        <v>40725</v>
      </c>
      <c r="U129" s="182"/>
      <c r="V129" s="182"/>
      <c r="W129" s="183"/>
      <c r="X129" s="183"/>
      <c r="Y129" s="184" t="n">
        <v>697</v>
      </c>
      <c r="Z129" s="185" t="n">
        <v>40725</v>
      </c>
      <c r="AA129" s="184" t="n">
        <v>91418</v>
      </c>
      <c r="AB129" s="185" t="n">
        <v>40725</v>
      </c>
      <c r="AC129" s="184" t="n">
        <v>36.4</v>
      </c>
      <c r="AD129" s="185" t="n">
        <v>40725</v>
      </c>
      <c r="AE129" s="196"/>
      <c r="AF129" s="185"/>
      <c r="AG129" s="184" t="n">
        <v>3.98</v>
      </c>
      <c r="AH129" s="185" t="n">
        <v>40725</v>
      </c>
      <c r="AI129" s="183"/>
      <c r="AJ129" s="183"/>
      <c r="AK129" s="182"/>
      <c r="AL129" s="182"/>
      <c r="AM129" s="184" t="n">
        <v>85</v>
      </c>
      <c r="AN129" s="183" t="n">
        <v>40630</v>
      </c>
      <c r="AO129" s="182"/>
      <c r="AP129" s="182"/>
      <c r="AQ129" s="183"/>
      <c r="AR129" s="183"/>
      <c r="AS129" s="182"/>
      <c r="AT129" s="182"/>
      <c r="AU129" s="183"/>
      <c r="AV129" s="183"/>
      <c r="AW129" s="182"/>
      <c r="AX129" s="182"/>
      <c r="AY129" s="183"/>
      <c r="AZ129" s="183"/>
      <c r="BA129" s="182"/>
      <c r="BB129" s="182"/>
      <c r="BK129" s="183"/>
      <c r="BL129" s="183"/>
      <c r="BM129" s="182"/>
      <c r="BN129" s="182"/>
      <c r="BO129" s="183"/>
      <c r="BP129" s="183"/>
      <c r="BQ129" s="182"/>
      <c r="BR129" s="182"/>
      <c r="BS129" s="184" t="n">
        <v>50.3</v>
      </c>
      <c r="BT129" s="185" t="n">
        <v>40725</v>
      </c>
      <c r="BU129" s="184" t="n">
        <v>19.1</v>
      </c>
      <c r="BV129" s="185" t="n">
        <v>40725</v>
      </c>
      <c r="CL129" s="182"/>
      <c r="CM129" s="182"/>
    </row>
    <row r="130" customFormat="false" ht="12.75" hidden="false" customHeight="false" outlineLevel="0" collapsed="false">
      <c r="A130" s="204" t="s">
        <v>489</v>
      </c>
      <c r="B130" s="193" t="s">
        <v>782</v>
      </c>
      <c r="C130" s="193" t="s">
        <v>875</v>
      </c>
      <c r="D130" s="193"/>
      <c r="E130" s="194" t="n">
        <v>4</v>
      </c>
      <c r="F130" s="195" t="n">
        <v>8</v>
      </c>
      <c r="G130" s="119"/>
      <c r="H130" s="119"/>
      <c r="J130" s="118"/>
      <c r="K130" s="118"/>
      <c r="L130" s="181"/>
      <c r="N130" s="182"/>
      <c r="O130" s="182"/>
      <c r="S130" s="184" t="n">
        <v>1613</v>
      </c>
      <c r="T130" s="185" t="n">
        <v>40725</v>
      </c>
      <c r="U130" s="182"/>
      <c r="V130" s="182"/>
      <c r="W130" s="183"/>
      <c r="X130" s="183"/>
      <c r="Y130" s="184" t="n">
        <v>460</v>
      </c>
      <c r="Z130" s="185" t="n">
        <v>40725</v>
      </c>
      <c r="AA130" s="184" t="n">
        <v>75366</v>
      </c>
      <c r="AB130" s="185" t="n">
        <v>40725</v>
      </c>
      <c r="AC130" s="184" t="n">
        <v>30.4</v>
      </c>
      <c r="AD130" s="185" t="n">
        <v>40725</v>
      </c>
      <c r="AE130" s="196"/>
      <c r="AF130" s="185"/>
      <c r="AG130" s="184" t="n">
        <v>4.03</v>
      </c>
      <c r="AH130" s="185" t="n">
        <v>40725</v>
      </c>
      <c r="AI130" s="183"/>
      <c r="AJ130" s="183"/>
      <c r="AK130" s="182"/>
      <c r="AL130" s="182"/>
      <c r="AM130" s="184" t="n">
        <v>80</v>
      </c>
      <c r="AN130" s="183" t="n">
        <v>40630</v>
      </c>
      <c r="AO130" s="182"/>
      <c r="AP130" s="182"/>
      <c r="AQ130" s="183"/>
      <c r="AR130" s="183"/>
      <c r="AS130" s="182"/>
      <c r="AT130" s="182"/>
      <c r="AU130" s="183"/>
      <c r="AV130" s="183"/>
      <c r="AW130" s="182"/>
      <c r="AX130" s="182"/>
      <c r="AY130" s="183"/>
      <c r="AZ130" s="183"/>
      <c r="BA130" s="182"/>
      <c r="BB130" s="182"/>
      <c r="BK130" s="183"/>
      <c r="BL130" s="183"/>
      <c r="BM130" s="182"/>
      <c r="BN130" s="182"/>
      <c r="BO130" s="183"/>
      <c r="BP130" s="183"/>
      <c r="BQ130" s="182"/>
      <c r="BR130" s="182"/>
      <c r="BS130" s="184" t="n">
        <v>53.1</v>
      </c>
      <c r="BT130" s="185" t="n">
        <v>40725</v>
      </c>
      <c r="BU130" s="184" t="n">
        <v>15.1</v>
      </c>
      <c r="BV130" s="185" t="n">
        <v>40725</v>
      </c>
      <c r="CL130" s="182"/>
      <c r="CM130" s="182"/>
    </row>
    <row r="131" customFormat="false" ht="12.75" hidden="false" customHeight="false" outlineLevel="0" collapsed="false">
      <c r="A131" s="204" t="s">
        <v>489</v>
      </c>
      <c r="B131" s="193" t="s">
        <v>782</v>
      </c>
      <c r="C131" s="193" t="s">
        <v>876</v>
      </c>
      <c r="D131" s="193"/>
      <c r="E131" s="194" t="n">
        <v>5</v>
      </c>
      <c r="F131" s="195" t="n">
        <v>60</v>
      </c>
      <c r="G131" s="119"/>
      <c r="H131" s="119"/>
      <c r="J131" s="118"/>
      <c r="K131" s="118"/>
      <c r="L131" s="181"/>
      <c r="N131" s="182"/>
      <c r="O131" s="182"/>
      <c r="S131" s="184" t="n">
        <v>1565</v>
      </c>
      <c r="T131" s="185" t="n">
        <v>40725</v>
      </c>
      <c r="U131" s="182"/>
      <c r="V131" s="182"/>
      <c r="W131" s="183"/>
      <c r="X131" s="183"/>
      <c r="Y131" s="184" t="n">
        <v>440</v>
      </c>
      <c r="Z131" s="185" t="n">
        <v>40725</v>
      </c>
      <c r="AA131" s="184" t="n">
        <v>70541</v>
      </c>
      <c r="AB131" s="185" t="n">
        <v>40725</v>
      </c>
      <c r="AC131" s="184" t="n">
        <v>29.3</v>
      </c>
      <c r="AD131" s="185" t="n">
        <v>40725</v>
      </c>
      <c r="AE131" s="196"/>
      <c r="AF131" s="185"/>
      <c r="AG131" s="184" t="n">
        <v>4.15</v>
      </c>
      <c r="AH131" s="185" t="n">
        <v>40725</v>
      </c>
      <c r="AI131" s="183"/>
      <c r="AJ131" s="183"/>
      <c r="AK131" s="182"/>
      <c r="AL131" s="182"/>
      <c r="AM131" s="184" t="n">
        <v>78</v>
      </c>
      <c r="AN131" s="183" t="n">
        <v>40630</v>
      </c>
      <c r="AO131" s="182"/>
      <c r="AP131" s="182"/>
      <c r="AQ131" s="183"/>
      <c r="AR131" s="183"/>
      <c r="AS131" s="182"/>
      <c r="AT131" s="182"/>
      <c r="AU131" s="183"/>
      <c r="AV131" s="183"/>
      <c r="AW131" s="182"/>
      <c r="AX131" s="182"/>
      <c r="AY131" s="183"/>
      <c r="AZ131" s="183"/>
      <c r="BA131" s="182"/>
      <c r="BB131" s="182"/>
      <c r="BK131" s="183"/>
      <c r="BL131" s="183"/>
      <c r="BM131" s="182"/>
      <c r="BN131" s="182"/>
      <c r="BO131" s="183"/>
      <c r="BP131" s="183"/>
      <c r="BQ131" s="182"/>
      <c r="BR131" s="182"/>
      <c r="BS131" s="184" t="n">
        <v>53.5</v>
      </c>
      <c r="BT131" s="185" t="n">
        <v>40725</v>
      </c>
      <c r="BU131" s="184" t="n">
        <v>15</v>
      </c>
      <c r="BV131" s="185" t="n">
        <v>40725</v>
      </c>
      <c r="CL131" s="182"/>
      <c r="CM131" s="182"/>
    </row>
    <row r="132" customFormat="false" ht="12.75" hidden="false" customHeight="false" outlineLevel="0" collapsed="false">
      <c r="A132" s="204" t="s">
        <v>489</v>
      </c>
      <c r="B132" s="193" t="s">
        <v>782</v>
      </c>
      <c r="C132" s="193" t="s">
        <v>877</v>
      </c>
      <c r="D132" s="193"/>
      <c r="E132" s="119" t="n">
        <v>18</v>
      </c>
      <c r="F132" s="195" t="n">
        <v>72</v>
      </c>
      <c r="G132" s="119"/>
      <c r="H132" s="119"/>
      <c r="J132" s="118"/>
      <c r="K132" s="118"/>
      <c r="L132" s="181"/>
      <c r="N132" s="182"/>
      <c r="O132" s="182"/>
      <c r="S132" s="184" t="n">
        <v>1361</v>
      </c>
      <c r="T132" s="185" t="n">
        <v>40725</v>
      </c>
      <c r="U132" s="182"/>
      <c r="V132" s="182"/>
      <c r="W132" s="183"/>
      <c r="X132" s="183"/>
      <c r="Y132" s="184" t="n">
        <v>441</v>
      </c>
      <c r="Z132" s="185" t="n">
        <v>40725</v>
      </c>
      <c r="AA132" s="184" t="n">
        <v>63645</v>
      </c>
      <c r="AB132" s="185" t="n">
        <v>40725</v>
      </c>
      <c r="AC132" s="184" t="n">
        <v>26.5</v>
      </c>
      <c r="AD132" s="185" t="n">
        <v>40725</v>
      </c>
      <c r="AE132" s="196"/>
      <c r="AF132" s="185"/>
      <c r="AG132" s="184" t="n">
        <v>4.16</v>
      </c>
      <c r="AH132" s="185" t="n">
        <v>40725</v>
      </c>
      <c r="AI132" s="183"/>
      <c r="AJ132" s="183"/>
      <c r="AK132" s="182"/>
      <c r="AL132" s="182"/>
      <c r="AM132" s="184" t="n">
        <v>78</v>
      </c>
      <c r="AN132" s="183" t="n">
        <v>40630</v>
      </c>
      <c r="AO132" s="182"/>
      <c r="AP132" s="182"/>
      <c r="AQ132" s="183"/>
      <c r="AR132" s="183"/>
      <c r="AS132" s="182"/>
      <c r="AT132" s="182"/>
      <c r="AU132" s="183"/>
      <c r="AV132" s="183"/>
      <c r="AW132" s="182"/>
      <c r="AX132" s="182"/>
      <c r="AY132" s="183"/>
      <c r="AZ132" s="183"/>
      <c r="BA132" s="182"/>
      <c r="BB132" s="182"/>
      <c r="BK132" s="183"/>
      <c r="BL132" s="183"/>
      <c r="BM132" s="182"/>
      <c r="BN132" s="182"/>
      <c r="BO132" s="183"/>
      <c r="BP132" s="183"/>
      <c r="BQ132" s="182"/>
      <c r="BR132" s="182"/>
      <c r="BS132" s="184" t="n">
        <v>51.4</v>
      </c>
      <c r="BT132" s="185" t="n">
        <v>40725</v>
      </c>
      <c r="BU132" s="184" t="n">
        <v>16.7</v>
      </c>
      <c r="BV132" s="185" t="n">
        <v>40725</v>
      </c>
      <c r="CL132" s="182"/>
      <c r="CM132" s="182"/>
    </row>
    <row r="133" customFormat="false" ht="12.75" hidden="false" customHeight="false" outlineLevel="0" collapsed="false">
      <c r="A133" s="204" t="s">
        <v>489</v>
      </c>
      <c r="B133" s="193" t="s">
        <v>785</v>
      </c>
      <c r="C133" s="193" t="s">
        <v>875</v>
      </c>
      <c r="D133" s="193"/>
      <c r="E133" s="194" t="n">
        <v>5</v>
      </c>
      <c r="F133" s="195" t="n">
        <v>6</v>
      </c>
      <c r="G133" s="119"/>
      <c r="H133" s="119"/>
      <c r="J133" s="118"/>
      <c r="K133" s="118"/>
      <c r="L133" s="181"/>
      <c r="N133" s="182"/>
      <c r="O133" s="182"/>
      <c r="S133" s="184" t="n">
        <v>1952</v>
      </c>
      <c r="T133" s="185" t="n">
        <v>40725</v>
      </c>
      <c r="U133" s="182"/>
      <c r="V133" s="182"/>
      <c r="W133" s="183"/>
      <c r="X133" s="183"/>
      <c r="Y133" s="184" t="n">
        <v>675</v>
      </c>
      <c r="Z133" s="185" t="n">
        <v>40725</v>
      </c>
      <c r="AA133" s="184" t="n">
        <v>93881</v>
      </c>
      <c r="AB133" s="185" t="n">
        <v>40725</v>
      </c>
      <c r="AC133" s="184" t="n">
        <v>38</v>
      </c>
      <c r="AD133" s="185" t="n">
        <v>40725</v>
      </c>
      <c r="AE133" s="196"/>
      <c r="AF133" s="185"/>
      <c r="AG133" s="184" t="n">
        <v>4.04</v>
      </c>
      <c r="AH133" s="185" t="n">
        <v>40725</v>
      </c>
      <c r="AI133" s="183"/>
      <c r="AJ133" s="183"/>
      <c r="AK133" s="182"/>
      <c r="AL133" s="182"/>
      <c r="AM133" s="184" t="n">
        <v>81</v>
      </c>
      <c r="AN133" s="183" t="n">
        <v>40630</v>
      </c>
      <c r="AO133" s="182"/>
      <c r="AP133" s="182"/>
      <c r="AQ133" s="183"/>
      <c r="AR133" s="183"/>
      <c r="AS133" s="182"/>
      <c r="AT133" s="182"/>
      <c r="AU133" s="183"/>
      <c r="AV133" s="183"/>
      <c r="AW133" s="182"/>
      <c r="AX133" s="182"/>
      <c r="AY133" s="183"/>
      <c r="AZ133" s="183"/>
      <c r="BA133" s="182"/>
      <c r="BB133" s="182"/>
      <c r="BK133" s="183"/>
      <c r="BL133" s="183"/>
      <c r="BM133" s="182"/>
      <c r="BN133" s="182"/>
      <c r="BO133" s="183"/>
      <c r="BP133" s="183"/>
      <c r="BQ133" s="182"/>
      <c r="BR133" s="182"/>
      <c r="BS133" s="184" t="n">
        <v>51.4</v>
      </c>
      <c r="BT133" s="185" t="n">
        <v>40725</v>
      </c>
      <c r="BU133" s="184" t="n">
        <v>17.8</v>
      </c>
      <c r="BV133" s="185" t="n">
        <v>40725</v>
      </c>
      <c r="CL133" s="182"/>
      <c r="CM133" s="182"/>
    </row>
    <row r="134" customFormat="false" ht="12.75" hidden="false" customHeight="false" outlineLevel="0" collapsed="false">
      <c r="A134" s="204" t="s">
        <v>489</v>
      </c>
      <c r="B134" s="193" t="s">
        <v>785</v>
      </c>
      <c r="C134" s="193" t="s">
        <v>876</v>
      </c>
      <c r="D134" s="193"/>
      <c r="E134" s="194" t="n">
        <v>2</v>
      </c>
      <c r="F134" s="195" t="n">
        <v>52</v>
      </c>
      <c r="G134" s="119"/>
      <c r="H134" s="119"/>
      <c r="J134" s="118"/>
      <c r="K134" s="118"/>
      <c r="L134" s="181"/>
      <c r="N134" s="182"/>
      <c r="O134" s="182"/>
      <c r="S134" s="184" t="n">
        <v>2001</v>
      </c>
      <c r="T134" s="185" t="n">
        <v>40725</v>
      </c>
      <c r="U134" s="182"/>
      <c r="V134" s="182"/>
      <c r="W134" s="183"/>
      <c r="X134" s="183"/>
      <c r="Y134" s="184" t="n">
        <v>664</v>
      </c>
      <c r="Z134" s="185" t="n">
        <v>40725</v>
      </c>
      <c r="AA134" s="184" t="n">
        <v>91944</v>
      </c>
      <c r="AB134" s="185" t="n">
        <v>40725</v>
      </c>
      <c r="AC134" s="184" t="n">
        <v>38.3</v>
      </c>
      <c r="AD134" s="185" t="n">
        <v>40725</v>
      </c>
      <c r="AE134" s="196"/>
      <c r="AF134" s="185"/>
      <c r="AG134" s="184" t="n">
        <v>4.16</v>
      </c>
      <c r="AH134" s="185" t="n">
        <v>40725</v>
      </c>
      <c r="AI134" s="183"/>
      <c r="AJ134" s="183"/>
      <c r="AK134" s="182"/>
      <c r="AL134" s="182"/>
      <c r="AM134" s="184" t="n">
        <v>79</v>
      </c>
      <c r="AN134" s="183" t="n">
        <v>40630</v>
      </c>
      <c r="AO134" s="182"/>
      <c r="AP134" s="182"/>
      <c r="AQ134" s="183"/>
      <c r="AR134" s="183"/>
      <c r="AS134" s="182"/>
      <c r="AT134" s="182"/>
      <c r="AU134" s="183"/>
      <c r="AV134" s="183"/>
      <c r="AW134" s="182"/>
      <c r="AX134" s="182"/>
      <c r="AY134" s="183"/>
      <c r="AZ134" s="183"/>
      <c r="BA134" s="182"/>
      <c r="BB134" s="182"/>
      <c r="BK134" s="183"/>
      <c r="BL134" s="183"/>
      <c r="BM134" s="182"/>
      <c r="BN134" s="182"/>
      <c r="BO134" s="183"/>
      <c r="BP134" s="183"/>
      <c r="BQ134" s="182"/>
      <c r="BR134" s="182"/>
      <c r="BS134" s="184" t="n">
        <v>52.3</v>
      </c>
      <c r="BT134" s="185" t="n">
        <v>40725</v>
      </c>
      <c r="BU134" s="184" t="n">
        <v>17.4</v>
      </c>
      <c r="BV134" s="185" t="n">
        <v>40725</v>
      </c>
      <c r="CL134" s="182"/>
      <c r="CM134" s="182"/>
    </row>
    <row r="135" customFormat="false" ht="12.75" hidden="false" customHeight="false" outlineLevel="0" collapsed="false">
      <c r="A135" s="204" t="s">
        <v>489</v>
      </c>
      <c r="B135" s="193" t="s">
        <v>785</v>
      </c>
      <c r="C135" s="193" t="s">
        <v>877</v>
      </c>
      <c r="D135" s="193"/>
      <c r="E135" s="119" t="n">
        <v>20</v>
      </c>
      <c r="F135" s="195" t="n">
        <v>76</v>
      </c>
      <c r="G135" s="119"/>
      <c r="H135" s="119"/>
      <c r="J135" s="118"/>
      <c r="K135" s="118"/>
      <c r="L135" s="181"/>
      <c r="N135" s="182"/>
      <c r="O135" s="182"/>
      <c r="S135" s="184" t="n">
        <v>2046</v>
      </c>
      <c r="T135" s="185" t="n">
        <v>40725</v>
      </c>
      <c r="U135" s="182"/>
      <c r="V135" s="182"/>
      <c r="W135" s="183"/>
      <c r="X135" s="183"/>
      <c r="Y135" s="184" t="n">
        <v>712</v>
      </c>
      <c r="Z135" s="185" t="n">
        <v>40725</v>
      </c>
      <c r="AA135" s="184" t="n">
        <v>91049</v>
      </c>
      <c r="AB135" s="185" t="n">
        <v>40725</v>
      </c>
      <c r="AC135" s="184" t="n">
        <v>39.9</v>
      </c>
      <c r="AD135" s="185" t="n">
        <v>40725</v>
      </c>
      <c r="AE135" s="196"/>
      <c r="AF135" s="185"/>
      <c r="AG135" s="184" t="n">
        <v>4.38</v>
      </c>
      <c r="AH135" s="185" t="n">
        <v>40725</v>
      </c>
      <c r="AI135" s="183"/>
      <c r="AJ135" s="183"/>
      <c r="AK135" s="182"/>
      <c r="AL135" s="182"/>
      <c r="AM135" s="184" t="n">
        <v>81</v>
      </c>
      <c r="AN135" s="183" t="n">
        <v>40630</v>
      </c>
      <c r="AO135" s="182"/>
      <c r="AP135" s="182"/>
      <c r="AQ135" s="183"/>
      <c r="AR135" s="183"/>
      <c r="AS135" s="182"/>
      <c r="AT135" s="182"/>
      <c r="AU135" s="183"/>
      <c r="AV135" s="183"/>
      <c r="AW135" s="182"/>
      <c r="AX135" s="182"/>
      <c r="AY135" s="183"/>
      <c r="AZ135" s="183"/>
      <c r="BA135" s="182"/>
      <c r="BB135" s="182"/>
      <c r="BK135" s="183"/>
      <c r="BL135" s="183"/>
      <c r="BM135" s="182"/>
      <c r="BN135" s="182"/>
      <c r="BO135" s="183"/>
      <c r="BP135" s="183"/>
      <c r="BQ135" s="182"/>
      <c r="BR135" s="182"/>
      <c r="BS135" s="184" t="n">
        <v>51.3</v>
      </c>
      <c r="BT135" s="185" t="n">
        <v>40725</v>
      </c>
      <c r="BU135" s="184" t="n">
        <v>17.9</v>
      </c>
      <c r="BV135" s="185" t="n">
        <v>40725</v>
      </c>
      <c r="CL135" s="182"/>
      <c r="CM135" s="182"/>
    </row>
    <row r="136" customFormat="false" ht="12.75" hidden="false" customHeight="false" outlineLevel="0" collapsed="false">
      <c r="A136" s="204" t="s">
        <v>492</v>
      </c>
      <c r="B136" s="193" t="s">
        <v>782</v>
      </c>
      <c r="C136" s="193" t="s">
        <v>875</v>
      </c>
      <c r="D136" s="193"/>
      <c r="E136" s="194" t="n">
        <v>1</v>
      </c>
      <c r="F136" s="195" t="n">
        <v>8</v>
      </c>
      <c r="G136" s="119"/>
      <c r="H136" s="119"/>
      <c r="J136" s="118"/>
      <c r="K136" s="118"/>
      <c r="L136" s="181"/>
      <c r="N136" s="182"/>
      <c r="O136" s="182"/>
      <c r="S136" s="184" t="n">
        <v>1967</v>
      </c>
      <c r="T136" s="185" t="n">
        <v>40725</v>
      </c>
      <c r="U136" s="182"/>
      <c r="V136" s="182"/>
      <c r="W136" s="183"/>
      <c r="X136" s="183"/>
      <c r="Y136" s="184" t="n">
        <v>539</v>
      </c>
      <c r="Z136" s="185" t="n">
        <v>40725</v>
      </c>
      <c r="AA136" s="184" t="n">
        <v>80647</v>
      </c>
      <c r="AB136" s="185" t="n">
        <v>40725</v>
      </c>
      <c r="AC136" s="184" t="n">
        <v>36.7</v>
      </c>
      <c r="AD136" s="185" t="n">
        <v>40725</v>
      </c>
      <c r="AE136" s="196"/>
      <c r="AF136" s="185"/>
      <c r="AG136" s="184" t="n">
        <v>4.55</v>
      </c>
      <c r="AH136" s="185" t="n">
        <v>40725</v>
      </c>
      <c r="AI136" s="183"/>
      <c r="AJ136" s="183"/>
      <c r="AK136" s="182"/>
      <c r="AL136" s="182"/>
      <c r="AM136" s="184" t="n">
        <v>85</v>
      </c>
      <c r="AN136" s="183" t="n">
        <v>40630</v>
      </c>
      <c r="AO136" s="182"/>
      <c r="AP136" s="182"/>
      <c r="AQ136" s="183"/>
      <c r="AR136" s="183"/>
      <c r="AS136" s="182"/>
      <c r="AT136" s="182"/>
      <c r="AU136" s="183"/>
      <c r="AV136" s="183"/>
      <c r="AW136" s="182"/>
      <c r="AX136" s="182"/>
      <c r="AY136" s="183"/>
      <c r="AZ136" s="183"/>
      <c r="BA136" s="182"/>
      <c r="BB136" s="182"/>
      <c r="BK136" s="183"/>
      <c r="BL136" s="183"/>
      <c r="BM136" s="182"/>
      <c r="BN136" s="182"/>
      <c r="BO136" s="183"/>
      <c r="BP136" s="183"/>
      <c r="BQ136" s="182"/>
      <c r="BR136" s="182"/>
      <c r="BS136" s="184" t="n">
        <v>53.5</v>
      </c>
      <c r="BT136" s="185" t="n">
        <v>40725</v>
      </c>
      <c r="BU136" s="184" t="n">
        <v>14.7</v>
      </c>
      <c r="BV136" s="185" t="n">
        <v>40725</v>
      </c>
      <c r="CL136" s="182"/>
      <c r="CM136" s="182"/>
    </row>
    <row r="137" customFormat="false" ht="12.75" hidden="false" customHeight="false" outlineLevel="0" collapsed="false">
      <c r="A137" s="204" t="s">
        <v>492</v>
      </c>
      <c r="B137" s="193" t="s">
        <v>782</v>
      </c>
      <c r="C137" s="193" t="s">
        <v>876</v>
      </c>
      <c r="D137" s="193"/>
      <c r="E137" s="194" t="n">
        <v>6</v>
      </c>
      <c r="F137" s="195" t="n">
        <v>45</v>
      </c>
      <c r="G137" s="119"/>
      <c r="H137" s="119"/>
      <c r="J137" s="118"/>
      <c r="K137" s="118"/>
      <c r="L137" s="181"/>
      <c r="N137" s="182"/>
      <c r="O137" s="182"/>
      <c r="S137" s="184" t="n">
        <v>1743</v>
      </c>
      <c r="T137" s="185" t="n">
        <v>40725</v>
      </c>
      <c r="U137" s="182"/>
      <c r="V137" s="182"/>
      <c r="W137" s="183"/>
      <c r="X137" s="183"/>
      <c r="Y137" s="184" t="n">
        <v>499</v>
      </c>
      <c r="Z137" s="185" t="n">
        <v>40725</v>
      </c>
      <c r="AA137" s="184" t="n">
        <v>69212</v>
      </c>
      <c r="AB137" s="185" t="n">
        <v>40725</v>
      </c>
      <c r="AC137" s="184" t="n">
        <v>32.6</v>
      </c>
      <c r="AD137" s="185" t="n">
        <v>40725</v>
      </c>
      <c r="AE137" s="196"/>
      <c r="AF137" s="185"/>
      <c r="AG137" s="184" t="n">
        <v>4.7</v>
      </c>
      <c r="AH137" s="185" t="n">
        <v>40725</v>
      </c>
      <c r="AI137" s="183"/>
      <c r="AJ137" s="183"/>
      <c r="AK137" s="182"/>
      <c r="AL137" s="182"/>
      <c r="AM137" s="184" t="n">
        <v>84</v>
      </c>
      <c r="AN137" s="183" t="n">
        <v>40630</v>
      </c>
      <c r="AO137" s="182"/>
      <c r="AP137" s="182"/>
      <c r="AQ137" s="183"/>
      <c r="AR137" s="183"/>
      <c r="AS137" s="182"/>
      <c r="AT137" s="182"/>
      <c r="AU137" s="183"/>
      <c r="AV137" s="183"/>
      <c r="AW137" s="182"/>
      <c r="AX137" s="182"/>
      <c r="AY137" s="183"/>
      <c r="AZ137" s="183"/>
      <c r="BA137" s="182"/>
      <c r="BB137" s="182"/>
      <c r="BK137" s="183"/>
      <c r="BL137" s="183"/>
      <c r="BM137" s="182"/>
      <c r="BN137" s="182"/>
      <c r="BO137" s="183"/>
      <c r="BP137" s="183"/>
      <c r="BQ137" s="182"/>
      <c r="BR137" s="182"/>
      <c r="BS137" s="184" t="n">
        <v>53.6</v>
      </c>
      <c r="BT137" s="185" t="n">
        <v>40725</v>
      </c>
      <c r="BU137" s="184" t="n">
        <v>15.3</v>
      </c>
      <c r="BV137" s="185" t="n">
        <v>40725</v>
      </c>
      <c r="CL137" s="182"/>
      <c r="CM137" s="182"/>
    </row>
    <row r="138" customFormat="false" ht="12.75" hidden="false" customHeight="false" outlineLevel="0" collapsed="false">
      <c r="A138" s="204" t="s">
        <v>492</v>
      </c>
      <c r="B138" s="193" t="s">
        <v>782</v>
      </c>
      <c r="C138" s="193" t="s">
        <v>877</v>
      </c>
      <c r="D138" s="193"/>
      <c r="E138" s="119" t="n">
        <v>17</v>
      </c>
      <c r="F138" s="195" t="n">
        <v>69</v>
      </c>
      <c r="G138" s="119"/>
      <c r="H138" s="119"/>
      <c r="J138" s="118"/>
      <c r="K138" s="118"/>
      <c r="L138" s="181"/>
      <c r="N138" s="182"/>
      <c r="O138" s="182"/>
      <c r="S138" s="184" t="n">
        <v>1481</v>
      </c>
      <c r="T138" s="185" t="n">
        <v>40725</v>
      </c>
      <c r="U138" s="182"/>
      <c r="V138" s="182"/>
      <c r="W138" s="183"/>
      <c r="X138" s="183"/>
      <c r="Y138" s="184" t="n">
        <v>434</v>
      </c>
      <c r="Z138" s="185" t="n">
        <v>40725</v>
      </c>
      <c r="AA138" s="184" t="n">
        <v>58723</v>
      </c>
      <c r="AB138" s="185" t="n">
        <v>40725</v>
      </c>
      <c r="AC138" s="184" t="n">
        <v>28</v>
      </c>
      <c r="AD138" s="185" t="n">
        <v>40725</v>
      </c>
      <c r="AE138" s="196"/>
      <c r="AF138" s="185"/>
      <c r="AG138" s="184" t="n">
        <v>4.76</v>
      </c>
      <c r="AH138" s="185" t="n">
        <v>40725</v>
      </c>
      <c r="AI138" s="183"/>
      <c r="AJ138" s="183"/>
      <c r="AK138" s="182"/>
      <c r="AL138" s="182"/>
      <c r="AM138" s="184" t="n">
        <v>84</v>
      </c>
      <c r="AN138" s="183" t="n">
        <v>40630</v>
      </c>
      <c r="AO138" s="182"/>
      <c r="AP138" s="182"/>
      <c r="AQ138" s="183"/>
      <c r="AR138" s="183"/>
      <c r="AS138" s="182"/>
      <c r="AT138" s="182"/>
      <c r="AU138" s="183"/>
      <c r="AV138" s="183"/>
      <c r="AW138" s="182"/>
      <c r="AX138" s="182"/>
      <c r="AY138" s="183"/>
      <c r="AZ138" s="183"/>
      <c r="BA138" s="182"/>
      <c r="BB138" s="182"/>
      <c r="BK138" s="183"/>
      <c r="BL138" s="183"/>
      <c r="BM138" s="182"/>
      <c r="BN138" s="182"/>
      <c r="BO138" s="183"/>
      <c r="BP138" s="183"/>
      <c r="BQ138" s="182"/>
      <c r="BR138" s="182"/>
      <c r="BS138" s="184" t="n">
        <v>52.9</v>
      </c>
      <c r="BT138" s="185" t="n">
        <v>40725</v>
      </c>
      <c r="BU138" s="184" t="n">
        <v>15.5</v>
      </c>
      <c r="BV138" s="185" t="n">
        <v>40725</v>
      </c>
      <c r="CL138" s="182"/>
      <c r="CM138" s="182"/>
    </row>
    <row r="139" customFormat="false" ht="12.75" hidden="false" customHeight="false" outlineLevel="0" collapsed="false">
      <c r="A139" s="204" t="s">
        <v>492</v>
      </c>
      <c r="B139" s="193" t="s">
        <v>785</v>
      </c>
      <c r="C139" s="193" t="s">
        <v>875</v>
      </c>
      <c r="D139" s="193"/>
      <c r="E139" s="194" t="n">
        <v>6</v>
      </c>
      <c r="F139" s="195" t="n">
        <v>6</v>
      </c>
      <c r="G139" s="119"/>
      <c r="H139" s="119"/>
      <c r="J139" s="118"/>
      <c r="K139" s="118"/>
      <c r="L139" s="181"/>
      <c r="N139" s="182"/>
      <c r="O139" s="182"/>
      <c r="S139" s="184" t="n">
        <v>1981</v>
      </c>
      <c r="T139" s="185" t="n">
        <v>40725</v>
      </c>
      <c r="U139" s="182"/>
      <c r="V139" s="182"/>
      <c r="W139" s="183"/>
      <c r="X139" s="183"/>
      <c r="Y139" s="184" t="n">
        <v>569</v>
      </c>
      <c r="Z139" s="185" t="n">
        <v>40725</v>
      </c>
      <c r="AA139" s="184" t="n">
        <v>75502</v>
      </c>
      <c r="AB139" s="185" t="n">
        <v>40725</v>
      </c>
      <c r="AC139" s="184" t="n">
        <v>37.2</v>
      </c>
      <c r="AD139" s="185" t="n">
        <v>40725</v>
      </c>
      <c r="AE139" s="196"/>
      <c r="AF139" s="185"/>
      <c r="AG139" s="184" t="n">
        <v>4.93</v>
      </c>
      <c r="AH139" s="185" t="n">
        <v>40725</v>
      </c>
      <c r="AI139" s="183"/>
      <c r="AJ139" s="183"/>
      <c r="AK139" s="182"/>
      <c r="AL139" s="182"/>
      <c r="AM139" s="184" t="n">
        <v>85</v>
      </c>
      <c r="AN139" s="183" t="n">
        <v>40630</v>
      </c>
      <c r="AO139" s="182"/>
      <c r="AP139" s="182"/>
      <c r="AQ139" s="183"/>
      <c r="AR139" s="183"/>
      <c r="AS139" s="182"/>
      <c r="AT139" s="182"/>
      <c r="AU139" s="183"/>
      <c r="AV139" s="183"/>
      <c r="AW139" s="182"/>
      <c r="AX139" s="182"/>
      <c r="AY139" s="183"/>
      <c r="AZ139" s="183"/>
      <c r="BA139" s="182"/>
      <c r="BB139" s="182"/>
      <c r="BK139" s="183"/>
      <c r="BL139" s="183"/>
      <c r="BM139" s="182"/>
      <c r="BN139" s="182"/>
      <c r="BO139" s="183"/>
      <c r="BP139" s="183"/>
      <c r="BQ139" s="182"/>
      <c r="BR139" s="182"/>
      <c r="BS139" s="184" t="n">
        <v>53.2</v>
      </c>
      <c r="BT139" s="185" t="n">
        <v>40725</v>
      </c>
      <c r="BU139" s="184" t="n">
        <v>15.3</v>
      </c>
      <c r="BV139" s="185" t="n">
        <v>40725</v>
      </c>
      <c r="CL139" s="182"/>
      <c r="CM139" s="182"/>
    </row>
    <row r="140" customFormat="false" ht="12.75" hidden="false" customHeight="false" outlineLevel="0" collapsed="false">
      <c r="A140" s="204" t="s">
        <v>492</v>
      </c>
      <c r="B140" s="193" t="s">
        <v>785</v>
      </c>
      <c r="C140" s="193" t="s">
        <v>876</v>
      </c>
      <c r="D140" s="193"/>
      <c r="E140" s="194" t="n">
        <v>1</v>
      </c>
      <c r="F140" s="195" t="n">
        <v>55</v>
      </c>
      <c r="G140" s="119"/>
      <c r="H140" s="119"/>
      <c r="J140" s="118"/>
      <c r="K140" s="118"/>
      <c r="L140" s="181"/>
      <c r="N140" s="182"/>
      <c r="O140" s="182"/>
      <c r="S140" s="184" t="n">
        <v>1986</v>
      </c>
      <c r="T140" s="185" t="n">
        <v>40725</v>
      </c>
      <c r="U140" s="182"/>
      <c r="V140" s="182"/>
      <c r="W140" s="183"/>
      <c r="X140" s="183"/>
      <c r="Y140" s="184" t="n">
        <v>573</v>
      </c>
      <c r="Z140" s="185" t="n">
        <v>40725</v>
      </c>
      <c r="AA140" s="184" t="n">
        <v>76587</v>
      </c>
      <c r="AB140" s="185" t="n">
        <v>40725</v>
      </c>
      <c r="AC140" s="184" t="n">
        <v>37</v>
      </c>
      <c r="AD140" s="185" t="n">
        <v>40725</v>
      </c>
      <c r="AE140" s="196"/>
      <c r="AF140" s="185"/>
      <c r="AG140" s="184" t="n">
        <v>4.83</v>
      </c>
      <c r="AH140" s="185" t="n">
        <v>40725</v>
      </c>
      <c r="AI140" s="183"/>
      <c r="AJ140" s="183"/>
      <c r="AK140" s="182"/>
      <c r="AL140" s="182"/>
      <c r="AM140" s="184" t="n">
        <v>85</v>
      </c>
      <c r="AN140" s="183" t="n">
        <v>40630</v>
      </c>
      <c r="AO140" s="182"/>
      <c r="AP140" s="182"/>
      <c r="AQ140" s="183"/>
      <c r="AR140" s="183"/>
      <c r="AS140" s="182"/>
      <c r="AT140" s="182"/>
      <c r="AU140" s="183"/>
      <c r="AV140" s="183"/>
      <c r="AW140" s="182"/>
      <c r="AX140" s="182"/>
      <c r="AY140" s="183"/>
      <c r="AZ140" s="183"/>
      <c r="BA140" s="182"/>
      <c r="BB140" s="182"/>
      <c r="BK140" s="183"/>
      <c r="BL140" s="183"/>
      <c r="BM140" s="182"/>
      <c r="BN140" s="182"/>
      <c r="BO140" s="183"/>
      <c r="BP140" s="183"/>
      <c r="BQ140" s="182"/>
      <c r="BR140" s="182"/>
      <c r="BS140" s="184" t="n">
        <v>53.7</v>
      </c>
      <c r="BT140" s="185" t="n">
        <v>40725</v>
      </c>
      <c r="BU140" s="184" t="n">
        <v>15.5</v>
      </c>
      <c r="BV140" s="185" t="n">
        <v>40725</v>
      </c>
      <c r="CL140" s="182"/>
      <c r="CM140" s="182"/>
    </row>
    <row r="141" customFormat="false" ht="12.75" hidden="false" customHeight="false" outlineLevel="0" collapsed="false">
      <c r="A141" s="204" t="s">
        <v>492</v>
      </c>
      <c r="B141" s="193" t="s">
        <v>785</v>
      </c>
      <c r="C141" s="193" t="s">
        <v>877</v>
      </c>
      <c r="D141" s="193"/>
      <c r="E141" s="119" t="n">
        <v>24</v>
      </c>
      <c r="F141" s="195" t="n">
        <v>82</v>
      </c>
      <c r="G141" s="119"/>
      <c r="H141" s="119"/>
      <c r="J141" s="118"/>
      <c r="K141" s="118"/>
      <c r="L141" s="181"/>
      <c r="N141" s="182"/>
      <c r="O141" s="182"/>
      <c r="S141" s="184" t="n">
        <v>1843</v>
      </c>
      <c r="T141" s="185" t="n">
        <v>40725</v>
      </c>
      <c r="U141" s="182"/>
      <c r="V141" s="182"/>
      <c r="W141" s="183"/>
      <c r="X141" s="183"/>
      <c r="Y141" s="184" t="n">
        <v>585</v>
      </c>
      <c r="Z141" s="185" t="n">
        <v>40725</v>
      </c>
      <c r="AA141" s="184" t="n">
        <v>73028</v>
      </c>
      <c r="AB141" s="185" t="n">
        <v>40725</v>
      </c>
      <c r="AC141" s="184" t="n">
        <v>35.4</v>
      </c>
      <c r="AD141" s="185" t="n">
        <v>40725</v>
      </c>
      <c r="AE141" s="196"/>
      <c r="AF141" s="185"/>
      <c r="AG141" s="184" t="n">
        <v>4.84</v>
      </c>
      <c r="AH141" s="185" t="n">
        <v>40725</v>
      </c>
      <c r="AI141" s="183"/>
      <c r="AJ141" s="183"/>
      <c r="AK141" s="182"/>
      <c r="AL141" s="182"/>
      <c r="AM141" s="184" t="n">
        <v>85</v>
      </c>
      <c r="AN141" s="183" t="n">
        <v>40630</v>
      </c>
      <c r="AO141" s="182"/>
      <c r="AP141" s="182"/>
      <c r="AQ141" s="183"/>
      <c r="AR141" s="183"/>
      <c r="AS141" s="182"/>
      <c r="AT141" s="182"/>
      <c r="AU141" s="183"/>
      <c r="AV141" s="183"/>
      <c r="AW141" s="182"/>
      <c r="AX141" s="182"/>
      <c r="AY141" s="183"/>
      <c r="AZ141" s="183"/>
      <c r="BA141" s="182"/>
      <c r="BB141" s="182"/>
      <c r="BK141" s="183"/>
      <c r="BL141" s="183"/>
      <c r="BM141" s="182"/>
      <c r="BN141" s="182"/>
      <c r="BO141" s="183"/>
      <c r="BP141" s="183"/>
      <c r="BQ141" s="182"/>
      <c r="BR141" s="182"/>
      <c r="BS141" s="184" t="n">
        <v>52.1</v>
      </c>
      <c r="BT141" s="185" t="n">
        <v>40725</v>
      </c>
      <c r="BU141" s="184" t="n">
        <v>16.5</v>
      </c>
      <c r="BV141" s="185" t="n">
        <v>40725</v>
      </c>
      <c r="CL141" s="182"/>
      <c r="CM141" s="182"/>
    </row>
    <row r="142" customFormat="false" ht="12.75" hidden="false" customHeight="false" outlineLevel="0" collapsed="false">
      <c r="A142" s="204" t="s">
        <v>495</v>
      </c>
      <c r="B142" s="193" t="s">
        <v>782</v>
      </c>
      <c r="C142" s="193" t="s">
        <v>875</v>
      </c>
      <c r="D142" s="193"/>
      <c r="E142" s="194" t="n">
        <v>4</v>
      </c>
      <c r="F142" s="195" t="n">
        <v>11</v>
      </c>
      <c r="G142" s="119"/>
      <c r="H142" s="119"/>
      <c r="J142" s="118"/>
      <c r="K142" s="118"/>
      <c r="L142" s="181"/>
      <c r="N142" s="182"/>
      <c r="O142" s="182"/>
      <c r="S142" s="184" t="n">
        <v>1617</v>
      </c>
      <c r="T142" s="185" t="n">
        <v>40725</v>
      </c>
      <c r="U142" s="182"/>
      <c r="V142" s="182"/>
      <c r="W142" s="183"/>
      <c r="X142" s="183"/>
      <c r="Y142" s="184" t="n">
        <v>393</v>
      </c>
      <c r="Z142" s="185" t="n">
        <v>40725</v>
      </c>
      <c r="AA142" s="184" t="n">
        <v>66256</v>
      </c>
      <c r="AB142" s="185" t="n">
        <v>40725</v>
      </c>
      <c r="AC142" s="184" t="n">
        <v>28.9</v>
      </c>
      <c r="AD142" s="185" t="n">
        <v>40725</v>
      </c>
      <c r="AE142" s="196"/>
      <c r="AF142" s="185"/>
      <c r="AG142" s="184" t="n">
        <v>4.37</v>
      </c>
      <c r="AH142" s="185" t="n">
        <v>40725</v>
      </c>
      <c r="AI142" s="183"/>
      <c r="AJ142" s="183"/>
      <c r="AK142" s="182"/>
      <c r="AL142" s="182"/>
      <c r="AM142" s="184" t="n">
        <v>85</v>
      </c>
      <c r="AN142" s="183" t="n">
        <v>40630</v>
      </c>
      <c r="AO142" s="182"/>
      <c r="AP142" s="182"/>
      <c r="AQ142" s="183"/>
      <c r="AR142" s="183"/>
      <c r="AS142" s="182"/>
      <c r="AT142" s="182"/>
      <c r="AU142" s="183"/>
      <c r="AV142" s="183"/>
      <c r="AW142" s="182"/>
      <c r="AX142" s="182"/>
      <c r="AY142" s="183"/>
      <c r="AZ142" s="183"/>
      <c r="BA142" s="182"/>
      <c r="BB142" s="182"/>
      <c r="BK142" s="183"/>
      <c r="BL142" s="183"/>
      <c r="BM142" s="182"/>
      <c r="BN142" s="182"/>
      <c r="BO142" s="183"/>
      <c r="BP142" s="183"/>
      <c r="BQ142" s="182"/>
      <c r="BR142" s="182"/>
      <c r="BS142" s="184" t="n">
        <v>55.9</v>
      </c>
      <c r="BT142" s="185" t="n">
        <v>40725</v>
      </c>
      <c r="BU142" s="184" t="n">
        <v>13.6</v>
      </c>
      <c r="BV142" s="185" t="n">
        <v>40725</v>
      </c>
      <c r="CL142" s="182"/>
      <c r="CM142" s="182"/>
    </row>
    <row r="143" customFormat="false" ht="12.75" hidden="false" customHeight="false" outlineLevel="0" collapsed="false">
      <c r="A143" s="204" t="s">
        <v>495</v>
      </c>
      <c r="B143" s="193" t="s">
        <v>782</v>
      </c>
      <c r="C143" s="193" t="s">
        <v>876</v>
      </c>
      <c r="D143" s="193"/>
      <c r="E143" s="194" t="n">
        <v>7</v>
      </c>
      <c r="F143" s="195" t="n">
        <v>45</v>
      </c>
      <c r="G143" s="119"/>
      <c r="H143" s="119"/>
      <c r="J143" s="118"/>
      <c r="K143" s="118"/>
      <c r="L143" s="181"/>
      <c r="N143" s="182"/>
      <c r="O143" s="182"/>
      <c r="S143" s="184" t="n">
        <v>1642</v>
      </c>
      <c r="T143" s="185" t="n">
        <v>40725</v>
      </c>
      <c r="U143" s="182"/>
      <c r="V143" s="182"/>
      <c r="W143" s="183"/>
      <c r="X143" s="183"/>
      <c r="Y143" s="184" t="n">
        <v>519</v>
      </c>
      <c r="Z143" s="185" t="n">
        <v>40725</v>
      </c>
      <c r="AA143" s="184" t="n">
        <v>70698</v>
      </c>
      <c r="AB143" s="185" t="n">
        <v>40725</v>
      </c>
      <c r="AC143" s="184" t="n">
        <v>31.7</v>
      </c>
      <c r="AD143" s="185" t="n">
        <v>40725</v>
      </c>
      <c r="AE143" s="196"/>
      <c r="AF143" s="185"/>
      <c r="AG143" s="184" t="n">
        <v>4.49</v>
      </c>
      <c r="AH143" s="185" t="n">
        <v>40725</v>
      </c>
      <c r="AI143" s="183"/>
      <c r="AJ143" s="183"/>
      <c r="AK143" s="182"/>
      <c r="AL143" s="182"/>
      <c r="AM143" s="184" t="n">
        <v>77</v>
      </c>
      <c r="AN143" s="183" t="n">
        <v>40630</v>
      </c>
      <c r="AO143" s="182"/>
      <c r="AP143" s="182"/>
      <c r="AQ143" s="183"/>
      <c r="AR143" s="183"/>
      <c r="AS143" s="182"/>
      <c r="AT143" s="182"/>
      <c r="AU143" s="183"/>
      <c r="AV143" s="183"/>
      <c r="AW143" s="182"/>
      <c r="AX143" s="182"/>
      <c r="AY143" s="183"/>
      <c r="AZ143" s="183"/>
      <c r="BA143" s="182"/>
      <c r="BB143" s="182"/>
      <c r="BK143" s="183"/>
      <c r="BL143" s="183"/>
      <c r="BM143" s="182"/>
      <c r="BN143" s="182"/>
      <c r="BO143" s="183"/>
      <c r="BP143" s="183"/>
      <c r="BQ143" s="182"/>
      <c r="BR143" s="182"/>
      <c r="BS143" s="184" t="n">
        <v>51.8</v>
      </c>
      <c r="BT143" s="185" t="n">
        <v>40725</v>
      </c>
      <c r="BU143" s="184" t="n">
        <v>16.4</v>
      </c>
      <c r="BV143" s="185" t="n">
        <v>40725</v>
      </c>
      <c r="CL143" s="182"/>
      <c r="CM143" s="182"/>
    </row>
    <row r="144" customFormat="false" ht="12.75" hidden="false" customHeight="false" outlineLevel="0" collapsed="false">
      <c r="A144" s="204" t="s">
        <v>495</v>
      </c>
      <c r="B144" s="193" t="s">
        <v>782</v>
      </c>
      <c r="C144" s="193" t="s">
        <v>877</v>
      </c>
      <c r="D144" s="193"/>
      <c r="E144" s="119" t="n">
        <v>18</v>
      </c>
      <c r="F144" s="195" t="n">
        <v>73</v>
      </c>
      <c r="G144" s="119"/>
      <c r="H144" s="119"/>
      <c r="J144" s="118"/>
      <c r="K144" s="118"/>
      <c r="L144" s="181"/>
      <c r="N144" s="182"/>
      <c r="O144" s="182"/>
      <c r="S144" s="184" t="n">
        <v>1496</v>
      </c>
      <c r="T144" s="185" t="n">
        <v>40725</v>
      </c>
      <c r="U144" s="182"/>
      <c r="V144" s="182"/>
      <c r="W144" s="183"/>
      <c r="X144" s="183"/>
      <c r="Y144" s="184" t="n">
        <v>470</v>
      </c>
      <c r="Z144" s="185" t="n">
        <v>40725</v>
      </c>
      <c r="AA144" s="184" t="n">
        <v>64004</v>
      </c>
      <c r="AB144" s="185" t="n">
        <v>40725</v>
      </c>
      <c r="AC144" s="184" t="n">
        <v>28.5</v>
      </c>
      <c r="AD144" s="185" t="n">
        <v>40725</v>
      </c>
      <c r="AE144" s="196"/>
      <c r="AF144" s="185"/>
      <c r="AG144" s="184" t="n">
        <v>4.45</v>
      </c>
      <c r="AH144" s="185" t="n">
        <v>40725</v>
      </c>
      <c r="AI144" s="183"/>
      <c r="AJ144" s="183"/>
      <c r="AK144" s="182"/>
      <c r="AL144" s="182"/>
      <c r="AM144" s="184" t="n">
        <v>77</v>
      </c>
      <c r="AN144" s="183" t="n">
        <v>40630</v>
      </c>
      <c r="AO144" s="182"/>
      <c r="AP144" s="182"/>
      <c r="AQ144" s="183"/>
      <c r="AR144" s="183"/>
      <c r="AS144" s="182"/>
      <c r="AT144" s="182"/>
      <c r="AU144" s="183"/>
      <c r="AV144" s="183"/>
      <c r="AW144" s="182"/>
      <c r="AX144" s="182"/>
      <c r="AY144" s="183"/>
      <c r="AZ144" s="183"/>
      <c r="BA144" s="182"/>
      <c r="BB144" s="182"/>
      <c r="BK144" s="183"/>
      <c r="BL144" s="183"/>
      <c r="BM144" s="182"/>
      <c r="BN144" s="182"/>
      <c r="BO144" s="183"/>
      <c r="BP144" s="183"/>
      <c r="BQ144" s="182"/>
      <c r="BR144" s="182"/>
      <c r="BS144" s="184" t="n">
        <v>52.5</v>
      </c>
      <c r="BT144" s="185" t="n">
        <v>40725</v>
      </c>
      <c r="BU144" s="184" t="n">
        <v>16.5</v>
      </c>
      <c r="BV144" s="185" t="n">
        <v>40725</v>
      </c>
      <c r="CL144" s="182"/>
      <c r="CM144" s="182"/>
    </row>
    <row r="145" customFormat="false" ht="12.75" hidden="false" customHeight="false" outlineLevel="0" collapsed="false">
      <c r="A145" s="204" t="s">
        <v>495</v>
      </c>
      <c r="B145" s="193" t="s">
        <v>785</v>
      </c>
      <c r="C145" s="193" t="s">
        <v>875</v>
      </c>
      <c r="D145" s="193"/>
      <c r="E145" s="194" t="n">
        <v>7</v>
      </c>
      <c r="F145" s="195" t="n">
        <v>11</v>
      </c>
      <c r="G145" s="119"/>
      <c r="H145" s="119"/>
      <c r="J145" s="118"/>
      <c r="K145" s="118"/>
      <c r="L145" s="181"/>
      <c r="N145" s="182"/>
      <c r="O145" s="182"/>
      <c r="S145" s="184" t="n">
        <v>2355</v>
      </c>
      <c r="T145" s="185" t="n">
        <v>40725</v>
      </c>
      <c r="U145" s="182"/>
      <c r="V145" s="182"/>
      <c r="W145" s="183"/>
      <c r="X145" s="183"/>
      <c r="Y145" s="184" t="n">
        <v>781</v>
      </c>
      <c r="Z145" s="185" t="n">
        <v>40725</v>
      </c>
      <c r="AA145" s="184" t="n">
        <v>105583</v>
      </c>
      <c r="AB145" s="185" t="n">
        <v>40725</v>
      </c>
      <c r="AC145" s="184" t="n">
        <v>45.6</v>
      </c>
      <c r="AD145" s="185" t="n">
        <v>40725</v>
      </c>
      <c r="AE145" s="196"/>
      <c r="AF145" s="185"/>
      <c r="AG145" s="184" t="n">
        <v>4.32</v>
      </c>
      <c r="AH145" s="185" t="n">
        <v>40725</v>
      </c>
      <c r="AI145" s="183"/>
      <c r="AJ145" s="183"/>
      <c r="AK145" s="182"/>
      <c r="AL145" s="182"/>
      <c r="AM145" s="184" t="n">
        <v>80</v>
      </c>
      <c r="AN145" s="183" t="n">
        <v>40630</v>
      </c>
      <c r="AO145" s="182"/>
      <c r="AP145" s="182"/>
      <c r="AQ145" s="183"/>
      <c r="AR145" s="183"/>
      <c r="AS145" s="182"/>
      <c r="AT145" s="182"/>
      <c r="AU145" s="183"/>
      <c r="AV145" s="183"/>
      <c r="AW145" s="182"/>
      <c r="AX145" s="182"/>
      <c r="AY145" s="183"/>
      <c r="AZ145" s="183"/>
      <c r="BA145" s="182"/>
      <c r="BB145" s="182"/>
      <c r="BK145" s="183"/>
      <c r="BL145" s="183"/>
      <c r="BM145" s="182"/>
      <c r="BN145" s="182"/>
      <c r="BO145" s="183"/>
      <c r="BP145" s="183"/>
      <c r="BQ145" s="182"/>
      <c r="BR145" s="182"/>
      <c r="BS145" s="184" t="n">
        <v>51.7</v>
      </c>
      <c r="BT145" s="185" t="n">
        <v>40725</v>
      </c>
      <c r="BU145" s="184" t="n">
        <v>17.1</v>
      </c>
      <c r="BV145" s="185" t="n">
        <v>40725</v>
      </c>
      <c r="CL145" s="182"/>
      <c r="CM145" s="182"/>
    </row>
    <row r="146" customFormat="false" ht="12.75" hidden="false" customHeight="false" outlineLevel="0" collapsed="false">
      <c r="A146" s="204" t="s">
        <v>495</v>
      </c>
      <c r="B146" s="193" t="s">
        <v>785</v>
      </c>
      <c r="C146" s="193" t="s">
        <v>876</v>
      </c>
      <c r="D146" s="193"/>
      <c r="E146" s="194" t="n">
        <v>2</v>
      </c>
      <c r="F146" s="195" t="n">
        <v>37</v>
      </c>
      <c r="G146" s="119"/>
      <c r="H146" s="119"/>
      <c r="J146" s="118"/>
      <c r="K146" s="118"/>
      <c r="L146" s="181"/>
      <c r="N146" s="182"/>
      <c r="O146" s="182"/>
      <c r="S146" s="184" t="n">
        <v>2144</v>
      </c>
      <c r="T146" s="185" t="n">
        <v>40725</v>
      </c>
      <c r="U146" s="182"/>
      <c r="V146" s="182"/>
      <c r="W146" s="183"/>
      <c r="X146" s="183"/>
      <c r="Y146" s="184" t="n">
        <v>722</v>
      </c>
      <c r="Z146" s="185" t="n">
        <v>40725</v>
      </c>
      <c r="AA146" s="184" t="n">
        <v>90732</v>
      </c>
      <c r="AB146" s="185" t="n">
        <v>40725</v>
      </c>
      <c r="AC146" s="184" t="n">
        <v>41.5</v>
      </c>
      <c r="AD146" s="185" t="n">
        <v>40725</v>
      </c>
      <c r="AE146" s="196"/>
      <c r="AF146" s="185"/>
      <c r="AG146" s="184" t="n">
        <v>4.57</v>
      </c>
      <c r="AH146" s="185" t="n">
        <v>40725</v>
      </c>
      <c r="AI146" s="183"/>
      <c r="AJ146" s="183"/>
      <c r="AK146" s="182"/>
      <c r="AL146" s="182"/>
      <c r="AM146" s="184" t="n">
        <v>77</v>
      </c>
      <c r="AN146" s="183" t="n">
        <v>40630</v>
      </c>
      <c r="AO146" s="182"/>
      <c r="AP146" s="182"/>
      <c r="AQ146" s="183"/>
      <c r="AR146" s="183"/>
      <c r="AS146" s="182"/>
      <c r="AT146" s="182"/>
      <c r="AU146" s="183"/>
      <c r="AV146" s="183"/>
      <c r="AW146" s="182"/>
      <c r="AX146" s="182"/>
      <c r="AY146" s="183"/>
      <c r="AZ146" s="183"/>
      <c r="BA146" s="182"/>
      <c r="BB146" s="182"/>
      <c r="BK146" s="183"/>
      <c r="BL146" s="183"/>
      <c r="BM146" s="182"/>
      <c r="BN146" s="182"/>
      <c r="BO146" s="183"/>
      <c r="BP146" s="183"/>
      <c r="BQ146" s="182"/>
      <c r="BR146" s="182"/>
      <c r="BS146" s="184" t="n">
        <v>51.7</v>
      </c>
      <c r="BT146" s="185" t="n">
        <v>40725</v>
      </c>
      <c r="BU146" s="184" t="n">
        <v>17.4</v>
      </c>
      <c r="BV146" s="185" t="n">
        <v>40725</v>
      </c>
      <c r="CL146" s="182"/>
      <c r="CM146" s="182"/>
    </row>
    <row r="147" customFormat="false" ht="12.75" hidden="false" customHeight="false" outlineLevel="0" collapsed="false">
      <c r="A147" s="204" t="s">
        <v>495</v>
      </c>
      <c r="B147" s="193" t="s">
        <v>785</v>
      </c>
      <c r="C147" s="193" t="s">
        <v>877</v>
      </c>
      <c r="D147" s="193"/>
      <c r="E147" s="119" t="n">
        <v>23</v>
      </c>
      <c r="F147" s="195" t="n">
        <v>72</v>
      </c>
      <c r="G147" s="119"/>
      <c r="H147" s="119"/>
      <c r="J147" s="118"/>
      <c r="K147" s="118"/>
      <c r="L147" s="181"/>
      <c r="N147" s="182"/>
      <c r="O147" s="182"/>
      <c r="S147" s="184" t="n">
        <v>1934</v>
      </c>
      <c r="T147" s="185" t="n">
        <v>40725</v>
      </c>
      <c r="U147" s="182"/>
      <c r="V147" s="182"/>
      <c r="W147" s="183"/>
      <c r="X147" s="183"/>
      <c r="Y147" s="184" t="n">
        <v>668</v>
      </c>
      <c r="Z147" s="185" t="n">
        <v>40725</v>
      </c>
      <c r="AA147" s="184" t="n">
        <v>82767</v>
      </c>
      <c r="AB147" s="185" t="n">
        <v>40725</v>
      </c>
      <c r="AC147" s="184" t="n">
        <v>37.7</v>
      </c>
      <c r="AD147" s="185" t="n">
        <v>40725</v>
      </c>
      <c r="AE147" s="196"/>
      <c r="AF147" s="185"/>
      <c r="AG147" s="184" t="n">
        <v>4.56</v>
      </c>
      <c r="AH147" s="185" t="n">
        <v>40725</v>
      </c>
      <c r="AI147" s="183"/>
      <c r="AJ147" s="183"/>
      <c r="AK147" s="182"/>
      <c r="AL147" s="182"/>
      <c r="AM147" s="184" t="n">
        <v>81</v>
      </c>
      <c r="AN147" s="183" t="n">
        <v>40630</v>
      </c>
      <c r="AO147" s="182"/>
      <c r="AP147" s="182"/>
      <c r="AQ147" s="183"/>
      <c r="AR147" s="183"/>
      <c r="AS147" s="182"/>
      <c r="AT147" s="182"/>
      <c r="AU147" s="183"/>
      <c r="AV147" s="183"/>
      <c r="AW147" s="182"/>
      <c r="AX147" s="182"/>
      <c r="AY147" s="183"/>
      <c r="AZ147" s="183"/>
      <c r="BA147" s="182"/>
      <c r="BB147" s="182"/>
      <c r="BK147" s="183"/>
      <c r="BL147" s="183"/>
      <c r="BM147" s="182"/>
      <c r="BN147" s="182"/>
      <c r="BO147" s="183"/>
      <c r="BP147" s="183"/>
      <c r="BQ147" s="182"/>
      <c r="BR147" s="182"/>
      <c r="BS147" s="184" t="n">
        <v>51.3</v>
      </c>
      <c r="BT147" s="185" t="n">
        <v>40725</v>
      </c>
      <c r="BU147" s="184" t="n">
        <v>17.7</v>
      </c>
      <c r="BV147" s="185" t="n">
        <v>40725</v>
      </c>
      <c r="CL147" s="182"/>
      <c r="CM147" s="182"/>
    </row>
    <row r="148" customFormat="false" ht="12.75" hidden="false" customHeight="false" outlineLevel="0" collapsed="false">
      <c r="A148" s="204" t="s">
        <v>498</v>
      </c>
      <c r="B148" s="193" t="s">
        <v>782</v>
      </c>
      <c r="C148" s="193" t="s">
        <v>875</v>
      </c>
      <c r="D148" s="193"/>
      <c r="E148" s="194" t="n">
        <v>2</v>
      </c>
      <c r="F148" s="195" t="n">
        <v>23</v>
      </c>
      <c r="G148" s="119"/>
      <c r="H148" s="119"/>
      <c r="J148" s="118"/>
      <c r="K148" s="118"/>
      <c r="L148" s="181"/>
      <c r="N148" s="182"/>
      <c r="O148" s="182"/>
      <c r="S148" s="184" t="n">
        <v>1657</v>
      </c>
      <c r="T148" s="185" t="n">
        <v>40725</v>
      </c>
      <c r="U148" s="182"/>
      <c r="V148" s="182"/>
      <c r="W148" s="183"/>
      <c r="X148" s="183"/>
      <c r="Y148" s="184" t="n">
        <v>507</v>
      </c>
      <c r="Z148" s="185" t="n">
        <v>40725</v>
      </c>
      <c r="AA148" s="184" t="n">
        <v>73154</v>
      </c>
      <c r="AB148" s="185" t="n">
        <v>40725</v>
      </c>
      <c r="AC148" s="184" t="n">
        <v>31.5</v>
      </c>
      <c r="AD148" s="185" t="n">
        <v>40725</v>
      </c>
      <c r="AE148" s="196"/>
      <c r="AF148" s="185"/>
      <c r="AG148" s="184" t="n">
        <v>4.3</v>
      </c>
      <c r="AH148" s="185" t="n">
        <v>40725</v>
      </c>
      <c r="AI148" s="183"/>
      <c r="AJ148" s="183"/>
      <c r="AK148" s="182"/>
      <c r="AL148" s="182"/>
      <c r="AM148" s="184" t="n">
        <v>85</v>
      </c>
      <c r="AN148" s="183" t="n">
        <v>40630</v>
      </c>
      <c r="AO148" s="182"/>
      <c r="AP148" s="182"/>
      <c r="AQ148" s="183"/>
      <c r="AR148" s="183"/>
      <c r="AS148" s="182"/>
      <c r="AT148" s="182"/>
      <c r="AU148" s="183"/>
      <c r="AV148" s="183"/>
      <c r="AW148" s="182"/>
      <c r="AX148" s="182"/>
      <c r="AY148" s="183"/>
      <c r="AZ148" s="183"/>
      <c r="BA148" s="182"/>
      <c r="BB148" s="182"/>
      <c r="BK148" s="183"/>
      <c r="BL148" s="183"/>
      <c r="BM148" s="182"/>
      <c r="BN148" s="182"/>
      <c r="BO148" s="183"/>
      <c r="BP148" s="183"/>
      <c r="BQ148" s="182"/>
      <c r="BR148" s="182"/>
      <c r="BS148" s="184" t="n">
        <v>52.6</v>
      </c>
      <c r="BT148" s="185" t="n">
        <v>40725</v>
      </c>
      <c r="BU148" s="184" t="n">
        <v>16.1</v>
      </c>
      <c r="BV148" s="185" t="n">
        <v>40725</v>
      </c>
      <c r="CL148" s="182"/>
      <c r="CM148" s="182"/>
    </row>
    <row r="149" customFormat="false" ht="12.75" hidden="false" customHeight="false" outlineLevel="0" collapsed="false">
      <c r="A149" s="204" t="s">
        <v>498</v>
      </c>
      <c r="B149" s="193" t="s">
        <v>782</v>
      </c>
      <c r="C149" s="193" t="s">
        <v>876</v>
      </c>
      <c r="D149" s="193"/>
      <c r="E149" s="194" t="n">
        <v>6</v>
      </c>
      <c r="F149" s="195" t="n">
        <v>57</v>
      </c>
      <c r="G149" s="119"/>
      <c r="H149" s="119"/>
      <c r="J149" s="118"/>
      <c r="K149" s="118"/>
      <c r="L149" s="181"/>
      <c r="N149" s="182"/>
      <c r="O149" s="182"/>
      <c r="S149" s="184" t="n">
        <v>1484</v>
      </c>
      <c r="T149" s="185" t="n">
        <v>40725</v>
      </c>
      <c r="U149" s="182"/>
      <c r="V149" s="182"/>
      <c r="W149" s="183"/>
      <c r="X149" s="183"/>
      <c r="Y149" s="184" t="n">
        <v>486</v>
      </c>
      <c r="Z149" s="185" t="n">
        <v>40725</v>
      </c>
      <c r="AA149" s="184" t="n">
        <v>68299</v>
      </c>
      <c r="AB149" s="185" t="n">
        <v>40725</v>
      </c>
      <c r="AC149" s="184" t="n">
        <v>28.7</v>
      </c>
      <c r="AD149" s="185" t="n">
        <v>40725</v>
      </c>
      <c r="AE149" s="196"/>
      <c r="AF149" s="185"/>
      <c r="AG149" s="184" t="n">
        <v>4.2</v>
      </c>
      <c r="AH149" s="185" t="n">
        <v>40725</v>
      </c>
      <c r="AI149" s="183"/>
      <c r="AJ149" s="183"/>
      <c r="AK149" s="182"/>
      <c r="AL149" s="182"/>
      <c r="AM149" s="184" t="n">
        <v>84</v>
      </c>
      <c r="AN149" s="183" t="n">
        <v>40630</v>
      </c>
      <c r="AO149" s="182"/>
      <c r="AP149" s="182"/>
      <c r="AQ149" s="183"/>
      <c r="AR149" s="183"/>
      <c r="AS149" s="182"/>
      <c r="AT149" s="182"/>
      <c r="AU149" s="183"/>
      <c r="AV149" s="183"/>
      <c r="AW149" s="182"/>
      <c r="AX149" s="182"/>
      <c r="AY149" s="183"/>
      <c r="AZ149" s="183"/>
      <c r="BA149" s="182"/>
      <c r="BB149" s="182"/>
      <c r="BK149" s="183"/>
      <c r="BL149" s="183"/>
      <c r="BM149" s="182"/>
      <c r="BN149" s="182"/>
      <c r="BO149" s="183"/>
      <c r="BP149" s="183"/>
      <c r="BQ149" s="182"/>
      <c r="BR149" s="182"/>
      <c r="BS149" s="184" t="n">
        <v>51.8</v>
      </c>
      <c r="BT149" s="185" t="n">
        <v>40725</v>
      </c>
      <c r="BU149" s="184" t="n">
        <v>16.9</v>
      </c>
      <c r="BV149" s="185" t="n">
        <v>40725</v>
      </c>
      <c r="CL149" s="182"/>
      <c r="CM149" s="182"/>
    </row>
    <row r="150" customFormat="false" ht="12.75" hidden="false" customHeight="false" outlineLevel="0" collapsed="false">
      <c r="A150" s="204" t="s">
        <v>498</v>
      </c>
      <c r="B150" s="193" t="s">
        <v>782</v>
      </c>
      <c r="C150" s="193" t="s">
        <v>877</v>
      </c>
      <c r="D150" s="193"/>
      <c r="E150" s="194" t="n">
        <v>16</v>
      </c>
      <c r="F150" s="195" t="n">
        <v>87</v>
      </c>
      <c r="G150" s="119"/>
      <c r="H150" s="119"/>
      <c r="J150" s="118"/>
      <c r="K150" s="118"/>
      <c r="L150" s="181"/>
      <c r="N150" s="182"/>
      <c r="O150" s="182"/>
      <c r="S150" s="184" t="n">
        <v>1756</v>
      </c>
      <c r="T150" s="185" t="n">
        <v>40725</v>
      </c>
      <c r="U150" s="182"/>
      <c r="V150" s="182"/>
      <c r="W150" s="183"/>
      <c r="X150" s="183"/>
      <c r="Y150" s="184" t="n">
        <v>585</v>
      </c>
      <c r="Z150" s="185" t="n">
        <v>40725</v>
      </c>
      <c r="AA150" s="184" t="n">
        <v>76843</v>
      </c>
      <c r="AB150" s="185" t="n">
        <v>40725</v>
      </c>
      <c r="AC150" s="184" t="n">
        <v>34</v>
      </c>
      <c r="AD150" s="185" t="n">
        <v>40725</v>
      </c>
      <c r="AE150" s="196"/>
      <c r="AF150" s="185"/>
      <c r="AG150" s="184" t="n">
        <v>4.42</v>
      </c>
      <c r="AH150" s="185" t="n">
        <v>40725</v>
      </c>
      <c r="AI150" s="183"/>
      <c r="AJ150" s="183"/>
      <c r="AK150" s="182"/>
      <c r="AL150" s="182"/>
      <c r="AM150" s="184" t="n">
        <v>84</v>
      </c>
      <c r="AN150" s="183" t="n">
        <v>40630</v>
      </c>
      <c r="AO150" s="182"/>
      <c r="AP150" s="182"/>
      <c r="AQ150" s="183"/>
      <c r="AR150" s="183"/>
      <c r="AS150" s="182"/>
      <c r="AT150" s="182"/>
      <c r="AU150" s="183"/>
      <c r="AV150" s="183"/>
      <c r="AW150" s="182"/>
      <c r="AX150" s="182"/>
      <c r="AY150" s="183"/>
      <c r="AZ150" s="183"/>
      <c r="BA150" s="182"/>
      <c r="BB150" s="182"/>
      <c r="BK150" s="183"/>
      <c r="BL150" s="183"/>
      <c r="BM150" s="182"/>
      <c r="BN150" s="182"/>
      <c r="BO150" s="183"/>
      <c r="BP150" s="183"/>
      <c r="BQ150" s="182"/>
      <c r="BR150" s="182"/>
      <c r="BS150" s="184" t="n">
        <v>51.7</v>
      </c>
      <c r="BT150" s="185" t="n">
        <v>40725</v>
      </c>
      <c r="BU150" s="184" t="n">
        <v>17.2</v>
      </c>
      <c r="BV150" s="185" t="n">
        <v>40725</v>
      </c>
      <c r="CL150" s="182"/>
      <c r="CM150" s="182"/>
    </row>
    <row r="151" customFormat="false" ht="12.75" hidden="false" customHeight="false" outlineLevel="0" collapsed="false">
      <c r="A151" s="204" t="s">
        <v>498</v>
      </c>
      <c r="B151" s="193" t="s">
        <v>785</v>
      </c>
      <c r="C151" s="193" t="s">
        <v>875</v>
      </c>
      <c r="D151" s="193"/>
      <c r="E151" s="194" t="n">
        <v>6</v>
      </c>
      <c r="F151" s="195" t="n">
        <v>3</v>
      </c>
      <c r="G151" s="119"/>
      <c r="H151" s="119"/>
      <c r="J151" s="118"/>
      <c r="K151" s="118"/>
      <c r="L151" s="181"/>
      <c r="N151" s="182"/>
      <c r="O151" s="182"/>
      <c r="S151" s="184" t="n">
        <v>2457</v>
      </c>
      <c r="T151" s="185" t="n">
        <v>40725</v>
      </c>
      <c r="U151" s="182"/>
      <c r="V151" s="182"/>
      <c r="W151" s="183"/>
      <c r="X151" s="183"/>
      <c r="Y151" s="184" t="n">
        <v>803</v>
      </c>
      <c r="Z151" s="185" t="n">
        <v>40725</v>
      </c>
      <c r="AA151" s="184" t="n">
        <v>113148</v>
      </c>
      <c r="AB151" s="185" t="n">
        <v>40725</v>
      </c>
      <c r="AC151" s="184" t="n">
        <v>47.4</v>
      </c>
      <c r="AD151" s="185" t="n">
        <v>40725</v>
      </c>
      <c r="AE151" s="196"/>
      <c r="AF151" s="185"/>
      <c r="AG151" s="184" t="n">
        <v>4.19</v>
      </c>
      <c r="AH151" s="185" t="n">
        <v>40725</v>
      </c>
      <c r="AI151" s="183"/>
      <c r="AJ151" s="183"/>
      <c r="AK151" s="182"/>
      <c r="AL151" s="182"/>
      <c r="AM151" s="184" t="n">
        <v>85</v>
      </c>
      <c r="AN151" s="183" t="n">
        <v>40630</v>
      </c>
      <c r="AO151" s="182"/>
      <c r="AP151" s="182"/>
      <c r="AQ151" s="183"/>
      <c r="AR151" s="183"/>
      <c r="AS151" s="182"/>
      <c r="AT151" s="182"/>
      <c r="AU151" s="183"/>
      <c r="AV151" s="183"/>
      <c r="AW151" s="182"/>
      <c r="AX151" s="182"/>
      <c r="AY151" s="183"/>
      <c r="AZ151" s="183"/>
      <c r="BA151" s="182"/>
      <c r="BB151" s="182"/>
      <c r="BK151" s="183"/>
      <c r="BL151" s="183"/>
      <c r="BM151" s="182"/>
      <c r="BN151" s="182"/>
      <c r="BO151" s="183"/>
      <c r="BP151" s="183"/>
      <c r="BQ151" s="182"/>
      <c r="BR151" s="182"/>
      <c r="BS151" s="184" t="n">
        <v>51.8</v>
      </c>
      <c r="BT151" s="185" t="n">
        <v>40725</v>
      </c>
      <c r="BU151" s="184" t="n">
        <v>16.9</v>
      </c>
      <c r="BV151" s="185" t="n">
        <v>40725</v>
      </c>
      <c r="CL151" s="182"/>
      <c r="CM151" s="182"/>
    </row>
    <row r="152" customFormat="false" ht="12.75" hidden="false" customHeight="false" outlineLevel="0" collapsed="false">
      <c r="A152" s="204" t="s">
        <v>498</v>
      </c>
      <c r="B152" s="193" t="s">
        <v>785</v>
      </c>
      <c r="C152" s="193" t="s">
        <v>876</v>
      </c>
      <c r="D152" s="193"/>
      <c r="E152" s="194" t="n">
        <v>1</v>
      </c>
      <c r="F152" s="195" t="n">
        <v>58</v>
      </c>
      <c r="G152" s="119"/>
      <c r="H152" s="119"/>
      <c r="J152" s="118"/>
      <c r="K152" s="118"/>
      <c r="L152" s="181"/>
      <c r="N152" s="182"/>
      <c r="O152" s="182"/>
      <c r="S152" s="184" t="n">
        <v>1766</v>
      </c>
      <c r="T152" s="185" t="n">
        <v>40725</v>
      </c>
      <c r="U152" s="182"/>
      <c r="V152" s="182"/>
      <c r="W152" s="183"/>
      <c r="X152" s="183"/>
      <c r="Y152" s="184" t="n">
        <v>530</v>
      </c>
      <c r="Z152" s="185" t="n">
        <v>40725</v>
      </c>
      <c r="AA152" s="184" t="n">
        <v>77304</v>
      </c>
      <c r="AB152" s="185" t="n">
        <v>40725</v>
      </c>
      <c r="AC152" s="184" t="n">
        <v>33.4</v>
      </c>
      <c r="AD152" s="185" t="n">
        <v>40725</v>
      </c>
      <c r="AE152" s="196"/>
      <c r="AF152" s="185"/>
      <c r="AG152" s="184" t="n">
        <v>4.32</v>
      </c>
      <c r="AH152" s="185" t="n">
        <v>40725</v>
      </c>
      <c r="AI152" s="183"/>
      <c r="AJ152" s="183"/>
      <c r="AK152" s="182"/>
      <c r="AL152" s="182"/>
      <c r="AM152" s="184" t="n">
        <v>85</v>
      </c>
      <c r="AN152" s="183" t="n">
        <v>40630</v>
      </c>
      <c r="AO152" s="182"/>
      <c r="AP152" s="182"/>
      <c r="AQ152" s="183"/>
      <c r="AR152" s="183"/>
      <c r="AS152" s="182"/>
      <c r="AT152" s="182"/>
      <c r="AU152" s="183"/>
      <c r="AV152" s="183"/>
      <c r="AW152" s="182"/>
      <c r="AX152" s="182"/>
      <c r="AY152" s="183"/>
      <c r="AZ152" s="183"/>
      <c r="BA152" s="182"/>
      <c r="BB152" s="182"/>
      <c r="BK152" s="183"/>
      <c r="BL152" s="183"/>
      <c r="BM152" s="182"/>
      <c r="BN152" s="182"/>
      <c r="BO152" s="183"/>
      <c r="BP152" s="183"/>
      <c r="BQ152" s="182"/>
      <c r="BR152" s="182"/>
      <c r="BS152" s="184" t="n">
        <v>52.9</v>
      </c>
      <c r="BT152" s="185" t="n">
        <v>40725</v>
      </c>
      <c r="BU152" s="184" t="n">
        <v>15.9</v>
      </c>
      <c r="BV152" s="185" t="n">
        <v>40725</v>
      </c>
      <c r="CL152" s="182"/>
      <c r="CM152" s="182"/>
    </row>
    <row r="153" customFormat="false" ht="12.75" hidden="false" customHeight="false" outlineLevel="0" collapsed="false">
      <c r="A153" s="204" t="s">
        <v>498</v>
      </c>
      <c r="B153" s="193" t="s">
        <v>785</v>
      </c>
      <c r="C153" s="193" t="s">
        <v>877</v>
      </c>
      <c r="D153" s="193"/>
      <c r="E153" s="119" t="n">
        <v>22</v>
      </c>
      <c r="F153" s="195" t="n">
        <v>86</v>
      </c>
      <c r="G153" s="119"/>
      <c r="H153" s="119"/>
      <c r="J153" s="118"/>
      <c r="K153" s="118"/>
      <c r="L153" s="181"/>
      <c r="N153" s="182"/>
      <c r="O153" s="182"/>
      <c r="S153" s="184" t="n">
        <v>1702</v>
      </c>
      <c r="T153" s="185" t="n">
        <v>40725</v>
      </c>
      <c r="U153" s="182"/>
      <c r="V153" s="182"/>
      <c r="W153" s="183"/>
      <c r="X153" s="183"/>
      <c r="Y153" s="184" t="n">
        <v>573</v>
      </c>
      <c r="Z153" s="185" t="n">
        <v>40725</v>
      </c>
      <c r="AA153" s="184" t="n">
        <v>75465</v>
      </c>
      <c r="AB153" s="185" t="n">
        <v>40725</v>
      </c>
      <c r="AC153" s="184" t="n">
        <v>33.2</v>
      </c>
      <c r="AD153" s="185" t="n">
        <v>40725</v>
      </c>
      <c r="AE153" s="196"/>
      <c r="AF153" s="185"/>
      <c r="AG153" s="184" t="n">
        <v>4.4</v>
      </c>
      <c r="AH153" s="185" t="n">
        <v>40725</v>
      </c>
      <c r="AI153" s="183"/>
      <c r="AJ153" s="183"/>
      <c r="AK153" s="182"/>
      <c r="AL153" s="182"/>
      <c r="AM153" s="184" t="n">
        <v>85</v>
      </c>
      <c r="AN153" s="183" t="n">
        <v>40630</v>
      </c>
      <c r="AO153" s="182"/>
      <c r="AP153" s="182"/>
      <c r="AQ153" s="183"/>
      <c r="AR153" s="183"/>
      <c r="AS153" s="182"/>
      <c r="AT153" s="182"/>
      <c r="AU153" s="183"/>
      <c r="AV153" s="183"/>
      <c r="AW153" s="182"/>
      <c r="AX153" s="182"/>
      <c r="AY153" s="183"/>
      <c r="AZ153" s="183"/>
      <c r="BA153" s="182"/>
      <c r="BB153" s="182"/>
      <c r="BK153" s="183"/>
      <c r="BL153" s="183"/>
      <c r="BM153" s="182"/>
      <c r="BN153" s="182"/>
      <c r="BO153" s="183"/>
      <c r="BP153" s="183"/>
      <c r="BQ153" s="182"/>
      <c r="BR153" s="182"/>
      <c r="BS153" s="184" t="n">
        <v>51.2</v>
      </c>
      <c r="BT153" s="185" t="n">
        <v>40725</v>
      </c>
      <c r="BU153" s="184" t="n">
        <v>17.3</v>
      </c>
      <c r="BV153" s="185" t="n">
        <v>40725</v>
      </c>
      <c r="CL153" s="182"/>
      <c r="CM153" s="182"/>
    </row>
    <row r="154" customFormat="false" ht="12.75" hidden="false" customHeight="false" outlineLevel="0" collapsed="false">
      <c r="A154" s="204" t="s">
        <v>501</v>
      </c>
      <c r="B154" s="193" t="s">
        <v>782</v>
      </c>
      <c r="C154" s="193" t="s">
        <v>875</v>
      </c>
      <c r="D154" s="193"/>
      <c r="E154" s="194" t="n">
        <v>1</v>
      </c>
      <c r="F154" s="195" t="n">
        <v>16</v>
      </c>
      <c r="G154" s="119"/>
      <c r="H154" s="119"/>
      <c r="J154" s="118"/>
      <c r="K154" s="118"/>
      <c r="L154" s="181"/>
      <c r="N154" s="182"/>
      <c r="O154" s="182"/>
      <c r="S154" s="184" t="n">
        <v>2019</v>
      </c>
      <c r="T154" s="185" t="n">
        <v>40725</v>
      </c>
      <c r="U154" s="182"/>
      <c r="V154" s="182"/>
      <c r="W154" s="183"/>
      <c r="X154" s="183"/>
      <c r="Y154" s="184" t="n">
        <v>547</v>
      </c>
      <c r="Z154" s="185" t="n">
        <v>40725</v>
      </c>
      <c r="AA154" s="184" t="n">
        <v>85772</v>
      </c>
      <c r="AB154" s="185" t="n">
        <v>40725</v>
      </c>
      <c r="AC154" s="184" t="n">
        <v>37.3</v>
      </c>
      <c r="AD154" s="185" t="n">
        <v>40725</v>
      </c>
      <c r="AE154" s="196"/>
      <c r="AF154" s="185"/>
      <c r="AG154" s="184" t="n">
        <v>4.35</v>
      </c>
      <c r="AH154" s="185" t="n">
        <v>40725</v>
      </c>
      <c r="AI154" s="183"/>
      <c r="AJ154" s="183"/>
      <c r="AK154" s="182"/>
      <c r="AL154" s="182"/>
      <c r="AM154" s="184" t="n">
        <v>84</v>
      </c>
      <c r="AN154" s="183" t="n">
        <v>40630</v>
      </c>
      <c r="AO154" s="182"/>
      <c r="AP154" s="182"/>
      <c r="AQ154" s="183"/>
      <c r="AR154" s="183"/>
      <c r="AS154" s="182"/>
      <c r="AT154" s="182"/>
      <c r="AU154" s="183"/>
      <c r="AV154" s="183"/>
      <c r="AW154" s="182"/>
      <c r="AX154" s="182"/>
      <c r="AY154" s="183"/>
      <c r="AZ154" s="183"/>
      <c r="BA154" s="182"/>
      <c r="BB154" s="182"/>
      <c r="BK154" s="183"/>
      <c r="BL154" s="183"/>
      <c r="BM154" s="182"/>
      <c r="BN154" s="182"/>
      <c r="BO154" s="183"/>
      <c r="BP154" s="183"/>
      <c r="BQ154" s="182"/>
      <c r="BR154" s="182"/>
      <c r="BS154" s="184" t="n">
        <v>54</v>
      </c>
      <c r="BT154" s="185" t="n">
        <v>40725</v>
      </c>
      <c r="BU154" s="184" t="n">
        <v>14.6</v>
      </c>
      <c r="BV154" s="185" t="n">
        <v>40725</v>
      </c>
      <c r="CL154" s="182"/>
      <c r="CM154" s="182"/>
    </row>
    <row r="155" customFormat="false" ht="12.75" hidden="false" customHeight="false" outlineLevel="0" collapsed="false">
      <c r="A155" s="204" t="s">
        <v>501</v>
      </c>
      <c r="B155" s="193" t="s">
        <v>782</v>
      </c>
      <c r="C155" s="193" t="s">
        <v>876</v>
      </c>
      <c r="D155" s="193"/>
      <c r="E155" s="194" t="n">
        <v>8</v>
      </c>
      <c r="F155" s="195" t="n">
        <v>50</v>
      </c>
      <c r="G155" s="119"/>
      <c r="H155" s="119"/>
      <c r="J155" s="118"/>
      <c r="K155" s="118"/>
      <c r="L155" s="181"/>
      <c r="N155" s="182"/>
      <c r="O155" s="182"/>
      <c r="S155" s="184" t="n">
        <v>1820</v>
      </c>
      <c r="T155" s="185" t="n">
        <v>40725</v>
      </c>
      <c r="U155" s="182"/>
      <c r="V155" s="182"/>
      <c r="W155" s="183"/>
      <c r="X155" s="183"/>
      <c r="Y155" s="184" t="n">
        <v>542</v>
      </c>
      <c r="Z155" s="185" t="n">
        <v>40725</v>
      </c>
      <c r="AA155" s="184" t="n">
        <v>71524</v>
      </c>
      <c r="AB155" s="185" t="n">
        <v>40725</v>
      </c>
      <c r="AC155" s="184" t="n">
        <v>34.2</v>
      </c>
      <c r="AD155" s="185" t="n">
        <v>40725</v>
      </c>
      <c r="AE155" s="196"/>
      <c r="AF155" s="185"/>
      <c r="AG155" s="184" t="n">
        <v>4.78</v>
      </c>
      <c r="AH155" s="185" t="n">
        <v>40725</v>
      </c>
      <c r="AI155" s="183"/>
      <c r="AJ155" s="183"/>
      <c r="AK155" s="182"/>
      <c r="AL155" s="182"/>
      <c r="AM155" s="184" t="n">
        <v>83</v>
      </c>
      <c r="AN155" s="183" t="n">
        <v>40630</v>
      </c>
      <c r="AO155" s="182"/>
      <c r="AP155" s="182"/>
      <c r="AQ155" s="183"/>
      <c r="AR155" s="183"/>
      <c r="AS155" s="182"/>
      <c r="AT155" s="182"/>
      <c r="AU155" s="183"/>
      <c r="AV155" s="183"/>
      <c r="AW155" s="182"/>
      <c r="AX155" s="182"/>
      <c r="AY155" s="183"/>
      <c r="AZ155" s="183"/>
      <c r="BA155" s="182"/>
      <c r="BB155" s="182"/>
      <c r="BK155" s="183"/>
      <c r="BL155" s="183"/>
      <c r="BM155" s="182"/>
      <c r="BN155" s="182"/>
      <c r="BO155" s="183"/>
      <c r="BP155" s="183"/>
      <c r="BQ155" s="182"/>
      <c r="BR155" s="182"/>
      <c r="BS155" s="184" t="n">
        <v>53.3</v>
      </c>
      <c r="BT155" s="185" t="n">
        <v>40725</v>
      </c>
      <c r="BU155" s="184" t="n">
        <v>15.9</v>
      </c>
      <c r="BV155" s="185" t="n">
        <v>40725</v>
      </c>
      <c r="CL155" s="182"/>
      <c r="CM155" s="182"/>
    </row>
    <row r="156" customFormat="false" ht="12.75" hidden="false" customHeight="false" outlineLevel="0" collapsed="false">
      <c r="A156" s="204" t="s">
        <v>501</v>
      </c>
      <c r="B156" s="193" t="s">
        <v>782</v>
      </c>
      <c r="C156" s="193" t="s">
        <v>877</v>
      </c>
      <c r="D156" s="193"/>
      <c r="E156" s="119" t="n">
        <v>17</v>
      </c>
      <c r="F156" s="195" t="n">
        <v>74</v>
      </c>
      <c r="G156" s="119"/>
      <c r="H156" s="119"/>
      <c r="J156" s="118"/>
      <c r="K156" s="118"/>
      <c r="L156" s="181"/>
      <c r="N156" s="182"/>
      <c r="O156" s="182"/>
      <c r="S156" s="184" t="n">
        <v>1675</v>
      </c>
      <c r="T156" s="185" t="n">
        <v>40725</v>
      </c>
      <c r="U156" s="182"/>
      <c r="V156" s="182"/>
      <c r="W156" s="183"/>
      <c r="X156" s="183"/>
      <c r="Y156" s="184" t="n">
        <v>498</v>
      </c>
      <c r="Z156" s="185" t="n">
        <v>40725</v>
      </c>
      <c r="AA156" s="184" t="n">
        <v>69113</v>
      </c>
      <c r="AB156" s="185" t="n">
        <v>40725</v>
      </c>
      <c r="AC156" s="184" t="n">
        <v>31.7</v>
      </c>
      <c r="AD156" s="185" t="n">
        <v>40725</v>
      </c>
      <c r="AE156" s="196"/>
      <c r="AF156" s="185"/>
      <c r="AG156" s="184" t="n">
        <v>4.58</v>
      </c>
      <c r="AH156" s="185" t="n">
        <v>40725</v>
      </c>
      <c r="AI156" s="183"/>
      <c r="AJ156" s="183"/>
      <c r="AK156" s="182"/>
      <c r="AL156" s="182"/>
      <c r="AM156" s="184" t="n">
        <v>82</v>
      </c>
      <c r="AN156" s="183" t="n">
        <v>40630</v>
      </c>
      <c r="AO156" s="182"/>
      <c r="AP156" s="182"/>
      <c r="AQ156" s="183"/>
      <c r="AR156" s="183"/>
      <c r="AS156" s="182"/>
      <c r="AT156" s="182"/>
      <c r="AU156" s="183"/>
      <c r="AV156" s="183"/>
      <c r="AW156" s="182"/>
      <c r="AX156" s="182"/>
      <c r="AY156" s="183"/>
      <c r="AZ156" s="183"/>
      <c r="BA156" s="182"/>
      <c r="BB156" s="182"/>
      <c r="BK156" s="183"/>
      <c r="BL156" s="183"/>
      <c r="BM156" s="182"/>
      <c r="BN156" s="182"/>
      <c r="BO156" s="183"/>
      <c r="BP156" s="183"/>
      <c r="BQ156" s="182"/>
      <c r="BR156" s="182"/>
      <c r="BS156" s="184" t="n">
        <v>52.9</v>
      </c>
      <c r="BT156" s="185" t="n">
        <v>40725</v>
      </c>
      <c r="BU156" s="184" t="n">
        <v>15.7</v>
      </c>
      <c r="BV156" s="185" t="n">
        <v>40725</v>
      </c>
      <c r="CL156" s="182"/>
      <c r="CM156" s="182"/>
    </row>
    <row r="157" customFormat="false" ht="12.75" hidden="false" customHeight="false" outlineLevel="0" collapsed="false">
      <c r="A157" s="204" t="s">
        <v>501</v>
      </c>
      <c r="B157" s="193" t="s">
        <v>785</v>
      </c>
      <c r="C157" s="193" t="s">
        <v>875</v>
      </c>
      <c r="D157" s="193"/>
      <c r="E157" s="194" t="n">
        <v>8</v>
      </c>
      <c r="F157" s="195" t="n">
        <v>6</v>
      </c>
      <c r="G157" s="119"/>
      <c r="H157" s="119"/>
      <c r="J157" s="118"/>
      <c r="K157" s="118"/>
      <c r="L157" s="181"/>
      <c r="N157" s="182"/>
      <c r="O157" s="182"/>
      <c r="S157" s="184" t="n">
        <v>2264</v>
      </c>
      <c r="T157" s="185" t="n">
        <v>40725</v>
      </c>
      <c r="U157" s="182"/>
      <c r="V157" s="182"/>
      <c r="W157" s="183"/>
      <c r="X157" s="183"/>
      <c r="Y157" s="184" t="n">
        <v>684</v>
      </c>
      <c r="Z157" s="185" t="n">
        <v>40725</v>
      </c>
      <c r="AA157" s="184" t="n">
        <v>94631</v>
      </c>
      <c r="AB157" s="185" t="n">
        <v>40725</v>
      </c>
      <c r="AC157" s="184" t="n">
        <v>42.6</v>
      </c>
      <c r="AD157" s="185" t="n">
        <v>40725</v>
      </c>
      <c r="AE157" s="196"/>
      <c r="AF157" s="185"/>
      <c r="AG157" s="184" t="n">
        <v>4.5</v>
      </c>
      <c r="AH157" s="185" t="n">
        <v>40725</v>
      </c>
      <c r="AI157" s="183"/>
      <c r="AJ157" s="183"/>
      <c r="AK157" s="182"/>
      <c r="AL157" s="182"/>
      <c r="AM157" s="184" t="n">
        <v>87</v>
      </c>
      <c r="AN157" s="183" t="n">
        <v>40630</v>
      </c>
      <c r="AO157" s="182"/>
      <c r="AP157" s="182"/>
      <c r="AQ157" s="183"/>
      <c r="AR157" s="183"/>
      <c r="AS157" s="182"/>
      <c r="AT157" s="182"/>
      <c r="AU157" s="183"/>
      <c r="AV157" s="183"/>
      <c r="AW157" s="182"/>
      <c r="AX157" s="182"/>
      <c r="AY157" s="183"/>
      <c r="AZ157" s="183"/>
      <c r="BA157" s="182"/>
      <c r="BB157" s="182"/>
      <c r="BK157" s="183"/>
      <c r="BL157" s="183"/>
      <c r="BM157" s="182"/>
      <c r="BN157" s="182"/>
      <c r="BO157" s="183"/>
      <c r="BP157" s="183"/>
      <c r="BQ157" s="182"/>
      <c r="BR157" s="182"/>
      <c r="BS157" s="184" t="n">
        <v>53.2</v>
      </c>
      <c r="BT157" s="185" t="n">
        <v>40725</v>
      </c>
      <c r="BU157" s="184" t="n">
        <v>16.1</v>
      </c>
      <c r="BV157" s="185" t="n">
        <v>40725</v>
      </c>
      <c r="CL157" s="182"/>
      <c r="CM157" s="182"/>
    </row>
    <row r="158" customFormat="false" ht="12.75" hidden="false" customHeight="false" outlineLevel="0" collapsed="false">
      <c r="A158" s="204" t="s">
        <v>501</v>
      </c>
      <c r="B158" s="193" t="s">
        <v>785</v>
      </c>
      <c r="C158" s="193" t="s">
        <v>876</v>
      </c>
      <c r="D158" s="193"/>
      <c r="E158" s="194" t="n">
        <v>1</v>
      </c>
      <c r="F158" s="195" t="n">
        <v>53</v>
      </c>
      <c r="G158" s="119"/>
      <c r="H158" s="119"/>
      <c r="J158" s="118"/>
      <c r="K158" s="118"/>
      <c r="L158" s="181"/>
      <c r="N158" s="182"/>
      <c r="O158" s="182"/>
      <c r="S158" s="184" t="n">
        <v>2062</v>
      </c>
      <c r="T158" s="185" t="n">
        <v>40725</v>
      </c>
      <c r="U158" s="182"/>
      <c r="V158" s="182"/>
      <c r="W158" s="183"/>
      <c r="X158" s="183"/>
      <c r="Y158" s="184" t="n">
        <v>654</v>
      </c>
      <c r="Z158" s="185" t="n">
        <v>40725</v>
      </c>
      <c r="AA158" s="184" t="n">
        <v>85692</v>
      </c>
      <c r="AB158" s="185" t="n">
        <v>40725</v>
      </c>
      <c r="AC158" s="184" t="n">
        <v>39.2</v>
      </c>
      <c r="AD158" s="185" t="n">
        <v>40725</v>
      </c>
      <c r="AE158" s="196"/>
      <c r="AF158" s="185"/>
      <c r="AG158" s="184" t="n">
        <v>4.57</v>
      </c>
      <c r="AH158" s="185" t="n">
        <v>40725</v>
      </c>
      <c r="AI158" s="183"/>
      <c r="AJ158" s="183"/>
      <c r="AK158" s="182"/>
      <c r="AL158" s="182"/>
      <c r="AM158" s="184" t="n">
        <v>84</v>
      </c>
      <c r="AN158" s="183" t="n">
        <v>40630</v>
      </c>
      <c r="AO158" s="182"/>
      <c r="AP158" s="182"/>
      <c r="AQ158" s="183"/>
      <c r="AR158" s="183"/>
      <c r="AS158" s="182"/>
      <c r="AT158" s="182"/>
      <c r="AU158" s="183"/>
      <c r="AV158" s="183"/>
      <c r="AW158" s="182"/>
      <c r="AX158" s="182"/>
      <c r="AY158" s="183"/>
      <c r="AZ158" s="183"/>
      <c r="BA158" s="182"/>
      <c r="BB158" s="182"/>
      <c r="BK158" s="183"/>
      <c r="BL158" s="183"/>
      <c r="BM158" s="182"/>
      <c r="BN158" s="182"/>
      <c r="BO158" s="183"/>
      <c r="BP158" s="183"/>
      <c r="BQ158" s="182"/>
      <c r="BR158" s="182"/>
      <c r="BS158" s="184" t="n">
        <v>52.6</v>
      </c>
      <c r="BT158" s="185" t="n">
        <v>40725</v>
      </c>
      <c r="BU158" s="184" t="n">
        <v>16.7</v>
      </c>
      <c r="BV158" s="185" t="n">
        <v>40725</v>
      </c>
      <c r="CL158" s="182"/>
      <c r="CM158" s="182"/>
    </row>
    <row r="159" customFormat="false" ht="12.75" hidden="false" customHeight="false" outlineLevel="0" collapsed="false">
      <c r="A159" s="204" t="s">
        <v>501</v>
      </c>
      <c r="B159" s="193" t="s">
        <v>785</v>
      </c>
      <c r="C159" s="193" t="s">
        <v>877</v>
      </c>
      <c r="D159" s="193"/>
      <c r="E159" s="119" t="n">
        <v>21</v>
      </c>
      <c r="F159" s="195" t="n">
        <v>78</v>
      </c>
      <c r="G159" s="119"/>
      <c r="H159" s="119"/>
      <c r="J159" s="118"/>
      <c r="K159" s="118"/>
      <c r="L159" s="181"/>
      <c r="N159" s="182"/>
      <c r="O159" s="182"/>
      <c r="S159" s="184" t="n">
        <v>2225</v>
      </c>
      <c r="T159" s="185" t="n">
        <v>40725</v>
      </c>
      <c r="U159" s="182"/>
      <c r="V159" s="182"/>
      <c r="W159" s="183"/>
      <c r="X159" s="183"/>
      <c r="Y159" s="184" t="n">
        <v>750</v>
      </c>
      <c r="Z159" s="185" t="n">
        <v>40725</v>
      </c>
      <c r="AA159" s="184" t="n">
        <v>91425</v>
      </c>
      <c r="AB159" s="185" t="n">
        <v>40725</v>
      </c>
      <c r="AC159" s="184" t="n">
        <v>42.7</v>
      </c>
      <c r="AD159" s="185" t="n">
        <v>40725</v>
      </c>
      <c r="AE159" s="196"/>
      <c r="AF159" s="185"/>
      <c r="AG159" s="184" t="n">
        <v>4.67</v>
      </c>
      <c r="AH159" s="185" t="n">
        <v>40725</v>
      </c>
      <c r="AI159" s="183"/>
      <c r="AJ159" s="183"/>
      <c r="AK159" s="182"/>
      <c r="AL159" s="182"/>
      <c r="AM159" s="184" t="n">
        <v>84</v>
      </c>
      <c r="AN159" s="183" t="n">
        <v>40630</v>
      </c>
      <c r="AO159" s="182"/>
      <c r="AP159" s="182"/>
      <c r="AQ159" s="183"/>
      <c r="AR159" s="183"/>
      <c r="AS159" s="182"/>
      <c r="AT159" s="182"/>
      <c r="AU159" s="183"/>
      <c r="AV159" s="183"/>
      <c r="AW159" s="182"/>
      <c r="AX159" s="182"/>
      <c r="AY159" s="183"/>
      <c r="AZ159" s="183"/>
      <c r="BA159" s="182"/>
      <c r="BB159" s="182"/>
      <c r="BK159" s="183"/>
      <c r="BL159" s="183"/>
      <c r="BM159" s="182"/>
      <c r="BN159" s="182"/>
      <c r="BO159" s="183"/>
      <c r="BP159" s="183"/>
      <c r="BQ159" s="182"/>
      <c r="BR159" s="182"/>
      <c r="BS159" s="184" t="n">
        <v>52.1</v>
      </c>
      <c r="BT159" s="185" t="n">
        <v>40725</v>
      </c>
      <c r="BU159" s="184" t="n">
        <v>17.6</v>
      </c>
      <c r="BV159" s="185" t="n">
        <v>40725</v>
      </c>
      <c r="CL159" s="182"/>
      <c r="CM159" s="182"/>
    </row>
    <row r="160" customFormat="false" ht="12.75" hidden="false" customHeight="false" outlineLevel="0" collapsed="false">
      <c r="A160" s="204" t="s">
        <v>504</v>
      </c>
      <c r="B160" s="193" t="s">
        <v>782</v>
      </c>
      <c r="C160" s="193" t="s">
        <v>875</v>
      </c>
      <c r="D160" s="193"/>
      <c r="E160" s="194" t="n">
        <v>2</v>
      </c>
      <c r="F160" s="195" t="n">
        <v>25</v>
      </c>
      <c r="G160" s="119"/>
      <c r="H160" s="119"/>
      <c r="J160" s="118"/>
      <c r="K160" s="118"/>
      <c r="L160" s="181"/>
      <c r="N160" s="182"/>
      <c r="O160" s="182"/>
      <c r="S160" s="184" t="n">
        <v>1566</v>
      </c>
      <c r="T160" s="185" t="n">
        <v>40725</v>
      </c>
      <c r="U160" s="182"/>
      <c r="V160" s="182"/>
      <c r="W160" s="183"/>
      <c r="X160" s="183"/>
      <c r="Y160" s="184" t="n">
        <v>555</v>
      </c>
      <c r="Z160" s="185" t="n">
        <v>40725</v>
      </c>
      <c r="AA160" s="184" t="n">
        <v>74503</v>
      </c>
      <c r="AB160" s="185" t="n">
        <v>40725</v>
      </c>
      <c r="AC160" s="184" t="n">
        <v>31.3</v>
      </c>
      <c r="AD160" s="185" t="n">
        <v>40725</v>
      </c>
      <c r="AE160" s="196"/>
      <c r="AF160" s="185"/>
      <c r="AG160" s="184" t="n">
        <v>4.2</v>
      </c>
      <c r="AH160" s="185" t="n">
        <v>40725</v>
      </c>
      <c r="AI160" s="183"/>
      <c r="AJ160" s="183"/>
      <c r="AK160" s="182"/>
      <c r="AL160" s="182"/>
      <c r="AM160" s="184" t="n">
        <v>84</v>
      </c>
      <c r="AN160" s="183" t="n">
        <v>40630</v>
      </c>
      <c r="AO160" s="182"/>
      <c r="AP160" s="182"/>
      <c r="AQ160" s="183"/>
      <c r="AR160" s="183"/>
      <c r="AS160" s="182"/>
      <c r="AT160" s="182"/>
      <c r="AU160" s="183"/>
      <c r="AV160" s="183"/>
      <c r="AW160" s="182"/>
      <c r="AX160" s="182"/>
      <c r="AY160" s="183"/>
      <c r="AZ160" s="183"/>
      <c r="BA160" s="182"/>
      <c r="BB160" s="182"/>
      <c r="BK160" s="183"/>
      <c r="BL160" s="183"/>
      <c r="BM160" s="182"/>
      <c r="BN160" s="182"/>
      <c r="BO160" s="183"/>
      <c r="BP160" s="183"/>
      <c r="BQ160" s="182"/>
      <c r="BR160" s="182"/>
      <c r="BS160" s="184" t="n">
        <v>50.1</v>
      </c>
      <c r="BT160" s="185" t="n">
        <v>40725</v>
      </c>
      <c r="BU160" s="184" t="n">
        <v>17.7</v>
      </c>
      <c r="BV160" s="185" t="n">
        <v>40725</v>
      </c>
      <c r="CL160" s="182"/>
      <c r="CM160" s="182"/>
    </row>
    <row r="161" customFormat="false" ht="12.75" hidden="false" customHeight="false" outlineLevel="0" collapsed="false">
      <c r="A161" s="204" t="s">
        <v>504</v>
      </c>
      <c r="B161" s="193" t="s">
        <v>782</v>
      </c>
      <c r="C161" s="193" t="s">
        <v>876</v>
      </c>
      <c r="D161" s="193"/>
      <c r="E161" s="194" t="n">
        <v>7</v>
      </c>
      <c r="F161" s="195" t="n">
        <v>34</v>
      </c>
      <c r="G161" s="119"/>
      <c r="H161" s="119"/>
      <c r="J161" s="118"/>
      <c r="K161" s="118"/>
      <c r="L161" s="181"/>
      <c r="N161" s="182"/>
      <c r="O161" s="182"/>
      <c r="S161" s="184" t="n">
        <v>1412</v>
      </c>
      <c r="T161" s="185" t="n">
        <v>40725</v>
      </c>
      <c r="U161" s="182"/>
      <c r="V161" s="182"/>
      <c r="W161" s="183"/>
      <c r="X161" s="183"/>
      <c r="Y161" s="184" t="n">
        <v>467</v>
      </c>
      <c r="Z161" s="185" t="n">
        <v>40725</v>
      </c>
      <c r="AA161" s="184" t="n">
        <v>66333</v>
      </c>
      <c r="AB161" s="185" t="n">
        <v>40725</v>
      </c>
      <c r="AC161" s="184" t="n">
        <v>27.5</v>
      </c>
      <c r="AD161" s="185" t="n">
        <v>40725</v>
      </c>
      <c r="AE161" s="196"/>
      <c r="AF161" s="185"/>
      <c r="AG161" s="184" t="n">
        <v>4.15</v>
      </c>
      <c r="AH161" s="185" t="n">
        <v>40725</v>
      </c>
      <c r="AI161" s="183"/>
      <c r="AJ161" s="183"/>
      <c r="AK161" s="182"/>
      <c r="AL161" s="182"/>
      <c r="AM161" s="184" t="n">
        <v>84</v>
      </c>
      <c r="AN161" s="183" t="n">
        <v>40630</v>
      </c>
      <c r="AO161" s="182"/>
      <c r="AP161" s="182"/>
      <c r="AQ161" s="183"/>
      <c r="AR161" s="183"/>
      <c r="AS161" s="182"/>
      <c r="AT161" s="182"/>
      <c r="AU161" s="183"/>
      <c r="AV161" s="183"/>
      <c r="AW161" s="182"/>
      <c r="AX161" s="182"/>
      <c r="AY161" s="183"/>
      <c r="AZ161" s="183"/>
      <c r="BA161" s="182"/>
      <c r="BB161" s="182"/>
      <c r="BK161" s="183"/>
      <c r="BL161" s="183"/>
      <c r="BM161" s="182"/>
      <c r="BN161" s="182"/>
      <c r="BO161" s="183"/>
      <c r="BP161" s="183"/>
      <c r="BQ161" s="182"/>
      <c r="BR161" s="182"/>
      <c r="BS161" s="184" t="n">
        <v>51.4</v>
      </c>
      <c r="BT161" s="185" t="n">
        <v>40725</v>
      </c>
      <c r="BU161" s="184" t="n">
        <v>17</v>
      </c>
      <c r="BV161" s="185" t="n">
        <v>40725</v>
      </c>
      <c r="CL161" s="182"/>
      <c r="CM161" s="182"/>
    </row>
    <row r="162" customFormat="false" ht="12.75" hidden="false" customHeight="false" outlineLevel="0" collapsed="false">
      <c r="A162" s="204" t="s">
        <v>504</v>
      </c>
      <c r="B162" s="193" t="s">
        <v>782</v>
      </c>
      <c r="C162" s="193" t="s">
        <v>877</v>
      </c>
      <c r="D162" s="193"/>
      <c r="E162" s="119" t="n">
        <v>19</v>
      </c>
      <c r="F162" s="195" t="n">
        <v>73</v>
      </c>
      <c r="G162" s="119"/>
      <c r="H162" s="119"/>
      <c r="J162" s="118"/>
      <c r="K162" s="118"/>
      <c r="L162" s="181"/>
      <c r="N162" s="182"/>
      <c r="O162" s="182"/>
      <c r="S162" s="184" t="n">
        <v>1192</v>
      </c>
      <c r="T162" s="185" t="n">
        <v>40725</v>
      </c>
      <c r="U162" s="182"/>
      <c r="V162" s="182"/>
      <c r="W162" s="183"/>
      <c r="X162" s="183"/>
      <c r="Y162" s="184" t="n">
        <v>407</v>
      </c>
      <c r="Z162" s="185" t="n">
        <v>40725</v>
      </c>
      <c r="AA162" s="184" t="n">
        <v>59674</v>
      </c>
      <c r="AB162" s="185" t="n">
        <v>40725</v>
      </c>
      <c r="AC162" s="184" t="n">
        <v>23.5</v>
      </c>
      <c r="AD162" s="185" t="n">
        <v>40725</v>
      </c>
      <c r="AE162" s="196"/>
      <c r="AF162" s="185"/>
      <c r="AG162" s="184" t="n">
        <v>3.94</v>
      </c>
      <c r="AH162" s="185" t="n">
        <v>40725</v>
      </c>
      <c r="AI162" s="183"/>
      <c r="AJ162" s="183"/>
      <c r="AK162" s="182"/>
      <c r="AL162" s="182"/>
      <c r="AM162" s="184" t="n">
        <v>84</v>
      </c>
      <c r="AN162" s="183" t="n">
        <v>40630</v>
      </c>
      <c r="AO162" s="182"/>
      <c r="AP162" s="182"/>
      <c r="AQ162" s="183"/>
      <c r="AR162" s="183"/>
      <c r="AS162" s="182"/>
      <c r="AT162" s="182"/>
      <c r="AU162" s="183"/>
      <c r="AV162" s="183"/>
      <c r="AW162" s="182"/>
      <c r="AX162" s="182"/>
      <c r="AY162" s="183"/>
      <c r="AZ162" s="183"/>
      <c r="BA162" s="182"/>
      <c r="BB162" s="182"/>
      <c r="BK162" s="183"/>
      <c r="BL162" s="183"/>
      <c r="BM162" s="182"/>
      <c r="BN162" s="182"/>
      <c r="BO162" s="183"/>
      <c r="BP162" s="183"/>
      <c r="BQ162" s="182"/>
      <c r="BR162" s="182"/>
      <c r="BS162" s="184" t="n">
        <v>50.7</v>
      </c>
      <c r="BT162" s="185" t="n">
        <v>40725</v>
      </c>
      <c r="BU162" s="184" t="n">
        <v>17.3</v>
      </c>
      <c r="BV162" s="185" t="n">
        <v>40725</v>
      </c>
      <c r="CL162" s="182"/>
      <c r="CM162" s="182"/>
    </row>
    <row r="163" customFormat="false" ht="12.75" hidden="false" customHeight="false" outlineLevel="0" collapsed="false">
      <c r="A163" s="204" t="s">
        <v>504</v>
      </c>
      <c r="B163" s="193" t="s">
        <v>785</v>
      </c>
      <c r="C163" s="193" t="s">
        <v>875</v>
      </c>
      <c r="D163" s="193"/>
      <c r="E163" s="194" t="n">
        <v>6</v>
      </c>
      <c r="F163" s="195" t="n">
        <v>9</v>
      </c>
      <c r="G163" s="119"/>
      <c r="H163" s="119"/>
      <c r="J163" s="118"/>
      <c r="K163" s="118"/>
      <c r="L163" s="181"/>
      <c r="N163" s="182"/>
      <c r="O163" s="182"/>
      <c r="S163" s="184" t="n">
        <v>1950</v>
      </c>
      <c r="T163" s="185" t="n">
        <v>40725</v>
      </c>
      <c r="U163" s="182"/>
      <c r="V163" s="182"/>
      <c r="W163" s="183"/>
      <c r="X163" s="183"/>
      <c r="Y163" s="184" t="n">
        <v>675</v>
      </c>
      <c r="Z163" s="185" t="n">
        <v>40725</v>
      </c>
      <c r="AA163" s="184" t="n">
        <v>91777</v>
      </c>
      <c r="AB163" s="185" t="n">
        <v>40725</v>
      </c>
      <c r="AC163" s="184" t="n">
        <v>38.2</v>
      </c>
      <c r="AD163" s="185" t="n">
        <v>40725</v>
      </c>
      <c r="AE163" s="196"/>
      <c r="AF163" s="185"/>
      <c r="AG163" s="184" t="n">
        <v>4.16</v>
      </c>
      <c r="AH163" s="185" t="n">
        <v>40725</v>
      </c>
      <c r="AI163" s="183"/>
      <c r="AJ163" s="183"/>
      <c r="AK163" s="182"/>
      <c r="AL163" s="182"/>
      <c r="AM163" s="184" t="n">
        <v>86</v>
      </c>
      <c r="AN163" s="183" t="n">
        <v>40630</v>
      </c>
      <c r="AO163" s="182"/>
      <c r="AP163" s="182"/>
      <c r="AQ163" s="183"/>
      <c r="AR163" s="183"/>
      <c r="AS163" s="182"/>
      <c r="AT163" s="182"/>
      <c r="AU163" s="183"/>
      <c r="AV163" s="183"/>
      <c r="AW163" s="182"/>
      <c r="AX163" s="182"/>
      <c r="AY163" s="183"/>
      <c r="AZ163" s="183"/>
      <c r="BA163" s="182"/>
      <c r="BB163" s="182"/>
      <c r="BK163" s="183"/>
      <c r="BL163" s="183"/>
      <c r="BM163" s="182"/>
      <c r="BN163" s="182"/>
      <c r="BO163" s="183"/>
      <c r="BP163" s="183"/>
      <c r="BQ163" s="182"/>
      <c r="BR163" s="182"/>
      <c r="BS163" s="184" t="n">
        <v>51.1</v>
      </c>
      <c r="BT163" s="185" t="n">
        <v>40725</v>
      </c>
      <c r="BU163" s="184" t="n">
        <v>17.7</v>
      </c>
      <c r="BV163" s="185" t="n">
        <v>40725</v>
      </c>
      <c r="CL163" s="182"/>
      <c r="CM163" s="182"/>
    </row>
    <row r="164" customFormat="false" ht="12.75" hidden="false" customHeight="false" outlineLevel="0" collapsed="false">
      <c r="A164" s="204" t="s">
        <v>504</v>
      </c>
      <c r="B164" s="193" t="s">
        <v>785</v>
      </c>
      <c r="C164" s="193" t="s">
        <v>876</v>
      </c>
      <c r="D164" s="193"/>
      <c r="E164" s="194" t="n">
        <v>4</v>
      </c>
      <c r="F164" s="195" t="n">
        <v>51</v>
      </c>
      <c r="G164" s="119"/>
      <c r="H164" s="119"/>
      <c r="J164" s="118"/>
      <c r="K164" s="118"/>
      <c r="L164" s="181"/>
      <c r="N164" s="182"/>
      <c r="O164" s="182"/>
      <c r="S164" s="184" t="n">
        <v>1844</v>
      </c>
      <c r="T164" s="185" t="n">
        <v>40725</v>
      </c>
      <c r="U164" s="182"/>
      <c r="V164" s="182"/>
      <c r="W164" s="183"/>
      <c r="X164" s="183"/>
      <c r="Y164" s="184" t="n">
        <v>629</v>
      </c>
      <c r="Z164" s="185" t="n">
        <v>40725</v>
      </c>
      <c r="AA164" s="184" t="n">
        <v>88200</v>
      </c>
      <c r="AB164" s="185" t="n">
        <v>40725</v>
      </c>
      <c r="AC164" s="184" t="n">
        <v>36.3</v>
      </c>
      <c r="AD164" s="185" t="n">
        <v>40725</v>
      </c>
      <c r="AE164" s="196"/>
      <c r="AF164" s="185"/>
      <c r="AG164" s="184" t="n">
        <v>4.11</v>
      </c>
      <c r="AH164" s="185" t="n">
        <v>40725</v>
      </c>
      <c r="AI164" s="183"/>
      <c r="AJ164" s="183"/>
      <c r="AK164" s="182"/>
      <c r="AL164" s="182"/>
      <c r="AM164" s="184" t="n">
        <v>84</v>
      </c>
      <c r="AN164" s="183" t="n">
        <v>40630</v>
      </c>
      <c r="AO164" s="182"/>
      <c r="AP164" s="182"/>
      <c r="AQ164" s="183"/>
      <c r="AR164" s="183"/>
      <c r="AS164" s="182"/>
      <c r="AT164" s="182"/>
      <c r="AU164" s="183"/>
      <c r="AV164" s="183"/>
      <c r="AW164" s="182"/>
      <c r="AX164" s="182"/>
      <c r="AY164" s="183"/>
      <c r="AZ164" s="183"/>
      <c r="BA164" s="182"/>
      <c r="BB164" s="182"/>
      <c r="BK164" s="183"/>
      <c r="BL164" s="183"/>
      <c r="BM164" s="182"/>
      <c r="BN164" s="182"/>
      <c r="BO164" s="183"/>
      <c r="BP164" s="183"/>
      <c r="BQ164" s="182"/>
      <c r="BR164" s="182"/>
      <c r="BS164" s="184" t="n">
        <v>50.9</v>
      </c>
      <c r="BT164" s="185" t="n">
        <v>40725</v>
      </c>
      <c r="BU164" s="184" t="n">
        <v>17.3</v>
      </c>
      <c r="BV164" s="185" t="n">
        <v>40725</v>
      </c>
      <c r="CL164" s="182"/>
      <c r="CM164" s="182"/>
    </row>
    <row r="165" customFormat="false" ht="12.75" hidden="false" customHeight="false" outlineLevel="0" collapsed="false">
      <c r="A165" s="204" t="s">
        <v>504</v>
      </c>
      <c r="B165" s="193" t="s">
        <v>785</v>
      </c>
      <c r="C165" s="193" t="s">
        <v>877</v>
      </c>
      <c r="D165" s="193"/>
      <c r="E165" s="119" t="n">
        <v>20</v>
      </c>
      <c r="F165" s="195" t="n">
        <v>66</v>
      </c>
      <c r="G165" s="119"/>
      <c r="H165" s="119"/>
      <c r="J165" s="118"/>
      <c r="K165" s="118"/>
      <c r="L165" s="181"/>
      <c r="N165" s="182"/>
      <c r="O165" s="182"/>
      <c r="S165" s="184" t="n">
        <v>1563</v>
      </c>
      <c r="T165" s="185" t="n">
        <v>40725</v>
      </c>
      <c r="U165" s="182"/>
      <c r="V165" s="182"/>
      <c r="W165" s="183"/>
      <c r="X165" s="183"/>
      <c r="Y165" s="184" t="n">
        <v>617</v>
      </c>
      <c r="Z165" s="185" t="n">
        <v>40725</v>
      </c>
      <c r="AA165" s="184" t="n">
        <v>70280</v>
      </c>
      <c r="AB165" s="185" t="n">
        <v>40725</v>
      </c>
      <c r="AC165" s="184" t="n">
        <v>31.7</v>
      </c>
      <c r="AD165" s="185" t="n">
        <v>40725</v>
      </c>
      <c r="AE165" s="196"/>
      <c r="AF165" s="185"/>
      <c r="AG165" s="184" t="n">
        <v>4.5</v>
      </c>
      <c r="AH165" s="185" t="n">
        <v>40725</v>
      </c>
      <c r="AI165" s="183"/>
      <c r="AJ165" s="183"/>
      <c r="AK165" s="182"/>
      <c r="AL165" s="182"/>
      <c r="AM165" s="184" t="n">
        <v>85</v>
      </c>
      <c r="AN165" s="183" t="n">
        <v>40630</v>
      </c>
      <c r="AO165" s="182"/>
      <c r="AP165" s="182"/>
      <c r="AQ165" s="183"/>
      <c r="AR165" s="183"/>
      <c r="AS165" s="182"/>
      <c r="AT165" s="182"/>
      <c r="AU165" s="183"/>
      <c r="AV165" s="183"/>
      <c r="AW165" s="182"/>
      <c r="AX165" s="182"/>
      <c r="AY165" s="183"/>
      <c r="AZ165" s="183"/>
      <c r="BA165" s="182"/>
      <c r="BB165" s="182"/>
      <c r="BK165" s="183"/>
      <c r="BL165" s="183"/>
      <c r="BM165" s="182"/>
      <c r="BN165" s="182"/>
      <c r="BO165" s="183"/>
      <c r="BP165" s="183"/>
      <c r="BQ165" s="182"/>
      <c r="BR165" s="182"/>
      <c r="BS165" s="184" t="n">
        <v>49.4</v>
      </c>
      <c r="BT165" s="185" t="n">
        <v>40725</v>
      </c>
      <c r="BU165" s="184" t="n">
        <v>19.5</v>
      </c>
      <c r="BV165" s="185" t="n">
        <v>40725</v>
      </c>
      <c r="CL165" s="182"/>
      <c r="CM165" s="182"/>
    </row>
    <row r="166" customFormat="false" ht="12.75" hidden="false" customHeight="false" outlineLevel="0" collapsed="false">
      <c r="A166" s="204" t="s">
        <v>507</v>
      </c>
      <c r="B166" s="193" t="s">
        <v>782</v>
      </c>
      <c r="C166" s="193" t="s">
        <v>875</v>
      </c>
      <c r="D166" s="193"/>
      <c r="E166" s="194" t="n">
        <v>4</v>
      </c>
      <c r="F166" s="195" t="n">
        <v>16</v>
      </c>
      <c r="G166" s="119"/>
      <c r="H166" s="119"/>
      <c r="J166" s="118"/>
      <c r="K166" s="118"/>
      <c r="L166" s="181"/>
      <c r="N166" s="182"/>
      <c r="O166" s="182"/>
      <c r="S166" s="184" t="n">
        <v>1564</v>
      </c>
      <c r="T166" s="185" t="n">
        <v>40725</v>
      </c>
      <c r="U166" s="182"/>
      <c r="V166" s="182"/>
      <c r="W166" s="183"/>
      <c r="X166" s="183"/>
      <c r="Y166" s="184" t="n">
        <v>435</v>
      </c>
      <c r="Z166" s="185" t="n">
        <v>40725</v>
      </c>
      <c r="AA166" s="184" t="n">
        <v>68191</v>
      </c>
      <c r="AB166" s="185" t="n">
        <v>40725</v>
      </c>
      <c r="AC166" s="184" t="n">
        <v>28.8</v>
      </c>
      <c r="AD166" s="185" t="n">
        <v>40725</v>
      </c>
      <c r="AE166" s="196"/>
      <c r="AF166" s="185"/>
      <c r="AG166" s="184" t="n">
        <v>4.22</v>
      </c>
      <c r="AH166" s="185" t="n">
        <v>40725</v>
      </c>
      <c r="AI166" s="183"/>
      <c r="AJ166" s="183"/>
      <c r="AK166" s="182"/>
      <c r="AL166" s="182"/>
      <c r="AM166" s="184" t="n">
        <v>84</v>
      </c>
      <c r="AN166" s="183" t="n">
        <v>40630</v>
      </c>
      <c r="AO166" s="182"/>
      <c r="AP166" s="182"/>
      <c r="AQ166" s="183"/>
      <c r="AR166" s="183"/>
      <c r="AS166" s="182"/>
      <c r="AT166" s="182"/>
      <c r="AU166" s="183"/>
      <c r="AV166" s="183"/>
      <c r="AW166" s="182"/>
      <c r="AX166" s="182"/>
      <c r="AY166" s="183"/>
      <c r="AZ166" s="183"/>
      <c r="BA166" s="182"/>
      <c r="BB166" s="182"/>
      <c r="BK166" s="183"/>
      <c r="BL166" s="183"/>
      <c r="BM166" s="182"/>
      <c r="BN166" s="182"/>
      <c r="BO166" s="183"/>
      <c r="BP166" s="183"/>
      <c r="BQ166" s="182"/>
      <c r="BR166" s="182"/>
      <c r="BS166" s="184" t="n">
        <v>54.4</v>
      </c>
      <c r="BT166" s="185" t="n">
        <v>40725</v>
      </c>
      <c r="BU166" s="184" t="n">
        <v>15.1</v>
      </c>
      <c r="BV166" s="185" t="n">
        <v>40725</v>
      </c>
      <c r="CL166" s="182"/>
      <c r="CM166" s="182"/>
    </row>
    <row r="167" customFormat="false" ht="12.75" hidden="false" customHeight="false" outlineLevel="0" collapsed="false">
      <c r="A167" s="204" t="s">
        <v>507</v>
      </c>
      <c r="B167" s="193" t="s">
        <v>782</v>
      </c>
      <c r="C167" s="193" t="s">
        <v>876</v>
      </c>
      <c r="D167" s="193"/>
      <c r="E167" s="194" t="n">
        <v>7</v>
      </c>
      <c r="F167" s="195" t="n">
        <v>60</v>
      </c>
      <c r="G167" s="119"/>
      <c r="H167" s="119"/>
      <c r="J167" s="118"/>
      <c r="K167" s="118"/>
      <c r="L167" s="181"/>
      <c r="N167" s="182"/>
      <c r="O167" s="182"/>
      <c r="S167" s="184" t="n">
        <v>1661</v>
      </c>
      <c r="T167" s="185" t="n">
        <v>40725</v>
      </c>
      <c r="U167" s="182"/>
      <c r="V167" s="182"/>
      <c r="W167" s="183"/>
      <c r="X167" s="183"/>
      <c r="Y167" s="184" t="n">
        <v>506</v>
      </c>
      <c r="Z167" s="185" t="n">
        <v>40725</v>
      </c>
      <c r="AA167" s="184" t="n">
        <v>71812</v>
      </c>
      <c r="AB167" s="185" t="n">
        <v>40725</v>
      </c>
      <c r="AC167" s="184" t="n">
        <v>31.3</v>
      </c>
      <c r="AD167" s="185" t="n">
        <v>40725</v>
      </c>
      <c r="AE167" s="196"/>
      <c r="AF167" s="185"/>
      <c r="AG167" s="184" t="n">
        <v>4.35</v>
      </c>
      <c r="AH167" s="185" t="n">
        <v>40725</v>
      </c>
      <c r="AI167" s="183"/>
      <c r="AJ167" s="183"/>
      <c r="AK167" s="182"/>
      <c r="AL167" s="182"/>
      <c r="AM167" s="184" t="n">
        <v>81</v>
      </c>
      <c r="AN167" s="183" t="n">
        <v>40630</v>
      </c>
      <c r="AO167" s="182"/>
      <c r="AP167" s="182"/>
      <c r="AQ167" s="183"/>
      <c r="AR167" s="183"/>
      <c r="AS167" s="182"/>
      <c r="AT167" s="182"/>
      <c r="AU167" s="183"/>
      <c r="AV167" s="183"/>
      <c r="AW167" s="182"/>
      <c r="AX167" s="182"/>
      <c r="AY167" s="183"/>
      <c r="AZ167" s="183"/>
      <c r="BA167" s="182"/>
      <c r="BB167" s="182"/>
      <c r="BK167" s="183"/>
      <c r="BL167" s="183"/>
      <c r="BM167" s="182"/>
      <c r="BN167" s="182"/>
      <c r="BO167" s="183"/>
      <c r="BP167" s="183"/>
      <c r="BQ167" s="182"/>
      <c r="BR167" s="182"/>
      <c r="BS167" s="184" t="n">
        <v>53.1</v>
      </c>
      <c r="BT167" s="185" t="n">
        <v>40725</v>
      </c>
      <c r="BU167" s="184" t="n">
        <v>16.2</v>
      </c>
      <c r="BV167" s="185" t="n">
        <v>40725</v>
      </c>
      <c r="CL167" s="182"/>
      <c r="CM167" s="182"/>
    </row>
    <row r="168" customFormat="false" ht="12.75" hidden="false" customHeight="false" outlineLevel="0" collapsed="false">
      <c r="A168" s="204" t="s">
        <v>507</v>
      </c>
      <c r="B168" s="193" t="s">
        <v>782</v>
      </c>
      <c r="C168" s="193" t="s">
        <v>877</v>
      </c>
      <c r="D168" s="193"/>
      <c r="E168" s="194" t="n">
        <v>16</v>
      </c>
      <c r="F168" s="195" t="n">
        <v>76</v>
      </c>
      <c r="G168" s="119"/>
      <c r="H168" s="119"/>
      <c r="J168" s="118"/>
      <c r="K168" s="118"/>
      <c r="L168" s="181"/>
      <c r="N168" s="182"/>
      <c r="O168" s="182"/>
      <c r="S168" s="184" t="n">
        <v>1446</v>
      </c>
      <c r="T168" s="185" t="n">
        <v>40725</v>
      </c>
      <c r="U168" s="182"/>
      <c r="V168" s="182"/>
      <c r="W168" s="183"/>
      <c r="X168" s="183"/>
      <c r="Y168" s="184" t="n">
        <v>464</v>
      </c>
      <c r="Z168" s="185" t="n">
        <v>40725</v>
      </c>
      <c r="AA168" s="184" t="n">
        <v>65427</v>
      </c>
      <c r="AB168" s="185" t="n">
        <v>40725</v>
      </c>
      <c r="AC168" s="184" t="n">
        <v>27.4</v>
      </c>
      <c r="AD168" s="185" t="n">
        <v>40725</v>
      </c>
      <c r="AE168" s="196"/>
      <c r="AF168" s="185"/>
      <c r="AG168" s="184" t="n">
        <v>4.19</v>
      </c>
      <c r="AH168" s="185" t="n">
        <v>40725</v>
      </c>
      <c r="AI168" s="183"/>
      <c r="AJ168" s="183"/>
      <c r="AK168" s="182"/>
      <c r="AL168" s="182"/>
      <c r="AM168" s="184" t="n">
        <v>84</v>
      </c>
      <c r="AN168" s="183" t="n">
        <v>40630</v>
      </c>
      <c r="AO168" s="182"/>
      <c r="AP168" s="182"/>
      <c r="AQ168" s="183"/>
      <c r="AR168" s="183"/>
      <c r="AS168" s="182"/>
      <c r="AT168" s="182"/>
      <c r="AU168" s="183"/>
      <c r="AV168" s="183"/>
      <c r="AW168" s="182"/>
      <c r="AX168" s="182"/>
      <c r="AY168" s="183"/>
      <c r="AZ168" s="183"/>
      <c r="BA168" s="182"/>
      <c r="BB168" s="182"/>
      <c r="BK168" s="183"/>
      <c r="BL168" s="183"/>
      <c r="BM168" s="182"/>
      <c r="BN168" s="182"/>
      <c r="BO168" s="183"/>
      <c r="BP168" s="183"/>
      <c r="BQ168" s="182"/>
      <c r="BR168" s="182"/>
      <c r="BS168" s="184" t="n">
        <v>52.7</v>
      </c>
      <c r="BT168" s="185" t="n">
        <v>40725</v>
      </c>
      <c r="BU168" s="184" t="n">
        <v>16.9</v>
      </c>
      <c r="BV168" s="185" t="n">
        <v>40725</v>
      </c>
      <c r="CL168" s="182"/>
      <c r="CM168" s="182"/>
    </row>
    <row r="169" customFormat="false" ht="12.75" hidden="false" customHeight="false" outlineLevel="0" collapsed="false">
      <c r="A169" s="204" t="s">
        <v>507</v>
      </c>
      <c r="B169" s="193" t="s">
        <v>785</v>
      </c>
      <c r="C169" s="193" t="s">
        <v>875</v>
      </c>
      <c r="D169" s="193"/>
      <c r="E169" s="194" t="n">
        <v>7</v>
      </c>
      <c r="F169" s="195" t="n">
        <v>15</v>
      </c>
      <c r="G169" s="119"/>
      <c r="H169" s="119"/>
      <c r="J169" s="118"/>
      <c r="K169" s="118"/>
      <c r="L169" s="181"/>
      <c r="N169" s="182"/>
      <c r="O169" s="182"/>
      <c r="S169" s="184" t="n">
        <v>1956</v>
      </c>
      <c r="T169" s="185" t="n">
        <v>40725</v>
      </c>
      <c r="U169" s="182"/>
      <c r="V169" s="182"/>
      <c r="W169" s="183"/>
      <c r="X169" s="183"/>
      <c r="Y169" s="184" t="n">
        <v>633</v>
      </c>
      <c r="Z169" s="185" t="n">
        <v>40725</v>
      </c>
      <c r="AA169" s="184" t="n">
        <v>88498</v>
      </c>
      <c r="AB169" s="185" t="n">
        <v>40725</v>
      </c>
      <c r="AC169" s="184" t="n">
        <v>37.7</v>
      </c>
      <c r="AD169" s="185" t="n">
        <v>40725</v>
      </c>
      <c r="AE169" s="196"/>
      <c r="AF169" s="185"/>
      <c r="AG169" s="184" t="n">
        <v>4.26</v>
      </c>
      <c r="AH169" s="185" t="n">
        <v>40725</v>
      </c>
      <c r="AI169" s="183"/>
      <c r="AJ169" s="183"/>
      <c r="AK169" s="182"/>
      <c r="AL169" s="182"/>
      <c r="AM169" s="184" t="n">
        <v>85</v>
      </c>
      <c r="AN169" s="183" t="n">
        <v>40630</v>
      </c>
      <c r="AO169" s="182"/>
      <c r="AP169" s="182"/>
      <c r="AQ169" s="183"/>
      <c r="AR169" s="183"/>
      <c r="AS169" s="182"/>
      <c r="AT169" s="182"/>
      <c r="AU169" s="183"/>
      <c r="AV169" s="183"/>
      <c r="AW169" s="182"/>
      <c r="AX169" s="182"/>
      <c r="AY169" s="183"/>
      <c r="AZ169" s="183"/>
      <c r="BA169" s="182"/>
      <c r="BB169" s="182"/>
      <c r="BK169" s="183"/>
      <c r="BL169" s="183"/>
      <c r="BM169" s="182"/>
      <c r="BN169" s="182"/>
      <c r="BO169" s="183"/>
      <c r="BP169" s="183"/>
      <c r="BQ169" s="182"/>
      <c r="BR169" s="182"/>
      <c r="BS169" s="184" t="n">
        <v>51.9</v>
      </c>
      <c r="BT169" s="185" t="n">
        <v>40725</v>
      </c>
      <c r="BU169" s="184" t="n">
        <v>16.8</v>
      </c>
      <c r="BV169" s="185" t="n">
        <v>40725</v>
      </c>
      <c r="CL169" s="182"/>
      <c r="CM169" s="182"/>
    </row>
    <row r="170" customFormat="false" ht="12.75" hidden="false" customHeight="false" outlineLevel="0" collapsed="false">
      <c r="A170" s="204" t="s">
        <v>507</v>
      </c>
      <c r="B170" s="193" t="s">
        <v>785</v>
      </c>
      <c r="C170" s="193" t="s">
        <v>876</v>
      </c>
      <c r="D170" s="193"/>
      <c r="E170" s="194" t="n">
        <v>2</v>
      </c>
      <c r="F170" s="195" t="n">
        <v>40</v>
      </c>
      <c r="G170" s="119"/>
      <c r="H170" s="119"/>
      <c r="J170" s="118"/>
      <c r="K170" s="118"/>
      <c r="L170" s="181"/>
      <c r="N170" s="182"/>
      <c r="O170" s="182"/>
      <c r="S170" s="184" t="n">
        <v>1991</v>
      </c>
      <c r="T170" s="185" t="n">
        <v>40725</v>
      </c>
      <c r="U170" s="182"/>
      <c r="V170" s="182"/>
      <c r="W170" s="183"/>
      <c r="X170" s="183"/>
      <c r="Y170" s="184" t="n">
        <v>776</v>
      </c>
      <c r="Z170" s="185" t="n">
        <v>40725</v>
      </c>
      <c r="AA170" s="184" t="n">
        <v>88308</v>
      </c>
      <c r="AB170" s="185" t="n">
        <v>40725</v>
      </c>
      <c r="AC170" s="184" t="n">
        <v>40</v>
      </c>
      <c r="AD170" s="185" t="n">
        <v>40725</v>
      </c>
      <c r="AE170" s="196"/>
      <c r="AF170" s="185"/>
      <c r="AG170" s="184" t="n">
        <v>4.53</v>
      </c>
      <c r="AH170" s="185" t="n">
        <v>40725</v>
      </c>
      <c r="AI170" s="183"/>
      <c r="AJ170" s="183"/>
      <c r="AK170" s="182"/>
      <c r="AL170" s="182"/>
      <c r="AM170" s="184" t="n">
        <v>83</v>
      </c>
      <c r="AN170" s="183" t="n">
        <v>40630</v>
      </c>
      <c r="AO170" s="182"/>
      <c r="AP170" s="182"/>
      <c r="AQ170" s="183"/>
      <c r="AR170" s="183"/>
      <c r="AS170" s="182"/>
      <c r="AT170" s="182"/>
      <c r="AU170" s="183"/>
      <c r="AV170" s="183"/>
      <c r="AW170" s="182"/>
      <c r="AX170" s="182"/>
      <c r="AY170" s="183"/>
      <c r="AZ170" s="183"/>
      <c r="BA170" s="182"/>
      <c r="BB170" s="182"/>
      <c r="BK170" s="183"/>
      <c r="BL170" s="183"/>
      <c r="BM170" s="182"/>
      <c r="BN170" s="182"/>
      <c r="BO170" s="183"/>
      <c r="BP170" s="183"/>
      <c r="BQ170" s="182"/>
      <c r="BR170" s="182"/>
      <c r="BS170" s="184" t="n">
        <v>49.7</v>
      </c>
      <c r="BT170" s="185" t="n">
        <v>40725</v>
      </c>
      <c r="BU170" s="184" t="n">
        <v>19.4</v>
      </c>
      <c r="BV170" s="185" t="n">
        <v>40725</v>
      </c>
      <c r="CL170" s="182"/>
      <c r="CM170" s="182"/>
    </row>
    <row r="171" customFormat="false" ht="12.75" hidden="false" customHeight="false" outlineLevel="0" collapsed="false">
      <c r="A171" s="204" t="s">
        <v>507</v>
      </c>
      <c r="B171" s="193" t="s">
        <v>785</v>
      </c>
      <c r="C171" s="193" t="s">
        <v>877</v>
      </c>
      <c r="D171" s="193"/>
      <c r="E171" s="119" t="n">
        <v>20</v>
      </c>
      <c r="F171" s="195" t="n">
        <v>89</v>
      </c>
      <c r="G171" s="119"/>
      <c r="H171" s="119"/>
      <c r="J171" s="118"/>
      <c r="K171" s="118"/>
      <c r="L171" s="181"/>
      <c r="N171" s="182"/>
      <c r="O171" s="182"/>
      <c r="S171" s="184" t="n">
        <v>1747</v>
      </c>
      <c r="T171" s="185" t="n">
        <v>40725</v>
      </c>
      <c r="U171" s="182"/>
      <c r="V171" s="182"/>
      <c r="W171" s="183"/>
      <c r="X171" s="183"/>
      <c r="Y171" s="184" t="n">
        <v>649</v>
      </c>
      <c r="Z171" s="185" t="n">
        <v>40725</v>
      </c>
      <c r="AA171" s="184" t="n">
        <v>75447</v>
      </c>
      <c r="AB171" s="185" t="n">
        <v>40725</v>
      </c>
      <c r="AC171" s="184" t="n">
        <v>34</v>
      </c>
      <c r="AD171" s="185" t="n">
        <v>40725</v>
      </c>
      <c r="AE171" s="196"/>
      <c r="AF171" s="185"/>
      <c r="AG171" s="184" t="n">
        <v>4.5</v>
      </c>
      <c r="AH171" s="185" t="n">
        <v>40725</v>
      </c>
      <c r="AI171" s="183"/>
      <c r="AJ171" s="183"/>
      <c r="AK171" s="182"/>
      <c r="AL171" s="182"/>
      <c r="AM171" s="184" t="n">
        <v>84</v>
      </c>
      <c r="AN171" s="183" t="n">
        <v>40630</v>
      </c>
      <c r="AO171" s="182"/>
      <c r="AP171" s="182"/>
      <c r="AQ171" s="183"/>
      <c r="AR171" s="183"/>
      <c r="AS171" s="182"/>
      <c r="AT171" s="182"/>
      <c r="AU171" s="183"/>
      <c r="AV171" s="183"/>
      <c r="AW171" s="182"/>
      <c r="AX171" s="182"/>
      <c r="AY171" s="183"/>
      <c r="AZ171" s="183"/>
      <c r="BA171" s="182"/>
      <c r="BB171" s="182"/>
      <c r="BK171" s="183"/>
      <c r="BL171" s="183"/>
      <c r="BM171" s="182"/>
      <c r="BN171" s="182"/>
      <c r="BO171" s="183"/>
      <c r="BP171" s="183"/>
      <c r="BQ171" s="182"/>
      <c r="BR171" s="182"/>
      <c r="BS171" s="184" t="n">
        <v>51.4</v>
      </c>
      <c r="BT171" s="185" t="n">
        <v>40725</v>
      </c>
      <c r="BU171" s="184" t="n">
        <v>19.1</v>
      </c>
      <c r="BV171" s="185" t="n">
        <v>40725</v>
      </c>
      <c r="CL171" s="182"/>
      <c r="CM171" s="182"/>
    </row>
    <row r="172" customFormat="false" ht="12.75" hidden="false" customHeight="false" outlineLevel="0" collapsed="false">
      <c r="A172" s="204" t="s">
        <v>510</v>
      </c>
      <c r="B172" s="193" t="s">
        <v>782</v>
      </c>
      <c r="C172" s="193" t="s">
        <v>875</v>
      </c>
      <c r="D172" s="193"/>
      <c r="E172" s="194" t="n">
        <v>3</v>
      </c>
      <c r="F172" s="195" t="n">
        <v>12</v>
      </c>
      <c r="G172" s="119"/>
      <c r="H172" s="119"/>
      <c r="J172" s="118"/>
      <c r="K172" s="118"/>
      <c r="L172" s="181"/>
      <c r="N172" s="182"/>
      <c r="O172" s="182"/>
      <c r="S172" s="184" t="n">
        <v>1833</v>
      </c>
      <c r="T172" s="185" t="n">
        <v>40725</v>
      </c>
      <c r="U172" s="182"/>
      <c r="V172" s="182"/>
      <c r="W172" s="183"/>
      <c r="X172" s="183"/>
      <c r="Y172" s="184" t="n">
        <v>522</v>
      </c>
      <c r="Z172" s="185" t="n">
        <v>40725</v>
      </c>
      <c r="AA172" s="184" t="n">
        <v>85107</v>
      </c>
      <c r="AB172" s="185" t="n">
        <v>40725</v>
      </c>
      <c r="AC172" s="184" t="n">
        <v>33.9</v>
      </c>
      <c r="AD172" s="185" t="n">
        <v>40725</v>
      </c>
      <c r="AE172" s="196"/>
      <c r="AF172" s="185"/>
      <c r="AG172" s="184" t="n">
        <v>3.99</v>
      </c>
      <c r="AH172" s="185" t="n">
        <v>40725</v>
      </c>
      <c r="AI172" s="183"/>
      <c r="AJ172" s="183"/>
      <c r="AK172" s="182"/>
      <c r="AL172" s="182"/>
      <c r="AM172" s="184" t="n">
        <v>86</v>
      </c>
      <c r="AN172" s="183" t="n">
        <v>40630</v>
      </c>
      <c r="AO172" s="182"/>
      <c r="AP172" s="182"/>
      <c r="AQ172" s="183"/>
      <c r="AR172" s="183"/>
      <c r="AS172" s="182"/>
      <c r="AT172" s="182"/>
      <c r="AU172" s="183"/>
      <c r="AV172" s="183"/>
      <c r="AW172" s="182"/>
      <c r="AX172" s="182"/>
      <c r="AY172" s="183"/>
      <c r="AZ172" s="183"/>
      <c r="BA172" s="182"/>
      <c r="BB172" s="182"/>
      <c r="BK172" s="183"/>
      <c r="BL172" s="183"/>
      <c r="BM172" s="182"/>
      <c r="BN172" s="182"/>
      <c r="BO172" s="183"/>
      <c r="BP172" s="183"/>
      <c r="BQ172" s="182"/>
      <c r="BR172" s="182"/>
      <c r="BS172" s="184" t="n">
        <v>54</v>
      </c>
      <c r="BT172" s="185" t="n">
        <v>40725</v>
      </c>
      <c r="BU172" s="184" t="n">
        <v>15.4</v>
      </c>
      <c r="BV172" s="185" t="n">
        <v>40725</v>
      </c>
      <c r="CL172" s="182"/>
      <c r="CM172" s="182"/>
    </row>
    <row r="173" customFormat="false" ht="12.75" hidden="false" customHeight="false" outlineLevel="0" collapsed="false">
      <c r="A173" s="204" t="s">
        <v>510</v>
      </c>
      <c r="B173" s="193" t="s">
        <v>782</v>
      </c>
      <c r="C173" s="193" t="s">
        <v>876</v>
      </c>
      <c r="D173" s="193"/>
      <c r="E173" s="194" t="n">
        <v>8</v>
      </c>
      <c r="F173" s="195" t="n">
        <v>61</v>
      </c>
      <c r="G173" s="119"/>
      <c r="H173" s="119"/>
      <c r="J173" s="118"/>
      <c r="K173" s="118"/>
      <c r="L173" s="181"/>
      <c r="N173" s="182"/>
      <c r="O173" s="182"/>
      <c r="S173" s="184" t="n">
        <v>1614</v>
      </c>
      <c r="T173" s="185" t="n">
        <v>40725</v>
      </c>
      <c r="U173" s="182"/>
      <c r="V173" s="182"/>
      <c r="W173" s="183"/>
      <c r="X173" s="183"/>
      <c r="Y173" s="184" t="n">
        <v>474</v>
      </c>
      <c r="Z173" s="185" t="n">
        <v>40725</v>
      </c>
      <c r="AA173" s="184" t="n">
        <v>72706</v>
      </c>
      <c r="AB173" s="185" t="n">
        <v>40725</v>
      </c>
      <c r="AC173" s="184" t="n">
        <v>29.6</v>
      </c>
      <c r="AD173" s="185" t="n">
        <v>40725</v>
      </c>
      <c r="AE173" s="196"/>
      <c r="AF173" s="185"/>
      <c r="AG173" s="184" t="n">
        <v>4.07</v>
      </c>
      <c r="AH173" s="185" t="n">
        <v>40725</v>
      </c>
      <c r="AI173" s="183"/>
      <c r="AJ173" s="183"/>
      <c r="AK173" s="182"/>
      <c r="AL173" s="182"/>
      <c r="AM173" s="184" t="n">
        <v>85</v>
      </c>
      <c r="AN173" s="183" t="n">
        <v>40630</v>
      </c>
      <c r="AO173" s="182"/>
      <c r="AP173" s="182"/>
      <c r="AQ173" s="183"/>
      <c r="AR173" s="183"/>
      <c r="AS173" s="182"/>
      <c r="AT173" s="182"/>
      <c r="AU173" s="183"/>
      <c r="AV173" s="183"/>
      <c r="AW173" s="182"/>
      <c r="AX173" s="182"/>
      <c r="AY173" s="183"/>
      <c r="AZ173" s="183"/>
      <c r="BA173" s="182"/>
      <c r="BB173" s="182"/>
      <c r="BK173" s="183"/>
      <c r="BL173" s="183"/>
      <c r="BM173" s="182"/>
      <c r="BN173" s="182"/>
      <c r="BO173" s="183"/>
      <c r="BP173" s="183"/>
      <c r="BQ173" s="182"/>
      <c r="BR173" s="182"/>
      <c r="BS173" s="184" t="n">
        <v>54.5</v>
      </c>
      <c r="BT173" s="185" t="n">
        <v>40725</v>
      </c>
      <c r="BU173" s="184" t="n">
        <v>16</v>
      </c>
      <c r="BV173" s="185" t="n">
        <v>40725</v>
      </c>
      <c r="CL173" s="182"/>
      <c r="CM173" s="182"/>
    </row>
    <row r="174" customFormat="false" ht="12.75" hidden="false" customHeight="false" outlineLevel="0" collapsed="false">
      <c r="A174" s="204" t="s">
        <v>510</v>
      </c>
      <c r="B174" s="193" t="s">
        <v>782</v>
      </c>
      <c r="C174" s="193" t="s">
        <v>877</v>
      </c>
      <c r="D174" s="193"/>
      <c r="E174" s="119" t="n">
        <v>15</v>
      </c>
      <c r="F174" s="195" t="n">
        <v>81</v>
      </c>
      <c r="G174" s="119"/>
      <c r="H174" s="119"/>
      <c r="J174" s="118"/>
      <c r="K174" s="118"/>
      <c r="L174" s="181"/>
      <c r="N174" s="182"/>
      <c r="O174" s="182"/>
      <c r="S174" s="184" t="n">
        <v>1698</v>
      </c>
      <c r="T174" s="185" t="n">
        <v>40725</v>
      </c>
      <c r="U174" s="182"/>
      <c r="V174" s="182"/>
      <c r="W174" s="183"/>
      <c r="X174" s="183"/>
      <c r="Y174" s="184" t="n">
        <v>553</v>
      </c>
      <c r="Z174" s="185" t="n">
        <v>40725</v>
      </c>
      <c r="AA174" s="184" t="n">
        <v>75476</v>
      </c>
      <c r="AB174" s="185" t="n">
        <v>40725</v>
      </c>
      <c r="AC174" s="184" t="n">
        <v>31.9</v>
      </c>
      <c r="AD174" s="185" t="n">
        <v>40725</v>
      </c>
      <c r="AE174" s="196"/>
      <c r="AF174" s="185"/>
      <c r="AG174" s="184" t="n">
        <v>4.23</v>
      </c>
      <c r="AH174" s="185" t="n">
        <v>40725</v>
      </c>
      <c r="AI174" s="183"/>
      <c r="AJ174" s="183"/>
      <c r="AK174" s="182"/>
      <c r="AL174" s="182"/>
      <c r="AM174" s="184" t="n">
        <v>84</v>
      </c>
      <c r="AN174" s="183" t="n">
        <v>40630</v>
      </c>
      <c r="AO174" s="182"/>
      <c r="AP174" s="182"/>
      <c r="AQ174" s="183"/>
      <c r="AR174" s="183"/>
      <c r="AS174" s="182"/>
      <c r="AT174" s="182"/>
      <c r="AU174" s="183"/>
      <c r="AV174" s="183"/>
      <c r="AW174" s="182"/>
      <c r="AX174" s="182"/>
      <c r="AY174" s="183"/>
      <c r="AZ174" s="183"/>
      <c r="BA174" s="182"/>
      <c r="BB174" s="182"/>
      <c r="BK174" s="183"/>
      <c r="BL174" s="183"/>
      <c r="BM174" s="182"/>
      <c r="BN174" s="182"/>
      <c r="BO174" s="183"/>
      <c r="BP174" s="183"/>
      <c r="BQ174" s="182"/>
      <c r="BR174" s="182"/>
      <c r="BS174" s="184" t="n">
        <v>53.2</v>
      </c>
      <c r="BT174" s="185" t="n">
        <v>40725</v>
      </c>
      <c r="BU174" s="184" t="n">
        <v>17.3</v>
      </c>
      <c r="BV174" s="185" t="n">
        <v>40725</v>
      </c>
      <c r="CL174" s="182"/>
      <c r="CM174" s="182"/>
    </row>
    <row r="175" customFormat="false" ht="12.75" hidden="false" customHeight="false" outlineLevel="0" collapsed="false">
      <c r="A175" s="204" t="s">
        <v>510</v>
      </c>
      <c r="B175" s="193" t="s">
        <v>785</v>
      </c>
      <c r="C175" s="193" t="s">
        <v>875</v>
      </c>
      <c r="D175" s="193"/>
      <c r="E175" s="194" t="n">
        <v>8</v>
      </c>
      <c r="F175" s="195" t="n">
        <v>1</v>
      </c>
      <c r="G175" s="119"/>
      <c r="H175" s="119"/>
      <c r="J175" s="118"/>
      <c r="K175" s="118"/>
      <c r="L175" s="181"/>
      <c r="N175" s="182"/>
      <c r="O175" s="182"/>
      <c r="S175" s="184" t="n">
        <v>2204</v>
      </c>
      <c r="T175" s="185" t="n">
        <v>40725</v>
      </c>
      <c r="U175" s="182"/>
      <c r="V175" s="182"/>
      <c r="W175" s="183"/>
      <c r="X175" s="183"/>
      <c r="Y175" s="184" t="n">
        <v>684</v>
      </c>
      <c r="Z175" s="185" t="n">
        <v>40725</v>
      </c>
      <c r="AA175" s="184" t="n">
        <v>98702</v>
      </c>
      <c r="AB175" s="185" t="n">
        <v>40725</v>
      </c>
      <c r="AC175" s="184" t="n">
        <v>40.9</v>
      </c>
      <c r="AD175" s="185" t="n">
        <v>40725</v>
      </c>
      <c r="AE175" s="196"/>
      <c r="AF175" s="185"/>
      <c r="AG175" s="184" t="n">
        <v>4.14</v>
      </c>
      <c r="AH175" s="185" t="n">
        <v>40725</v>
      </c>
      <c r="AI175" s="183"/>
      <c r="AJ175" s="183"/>
      <c r="AK175" s="182"/>
      <c r="AL175" s="182"/>
      <c r="AM175" s="184" t="n">
        <v>88</v>
      </c>
      <c r="AN175" s="183" t="n">
        <v>40630</v>
      </c>
      <c r="AO175" s="182"/>
      <c r="AP175" s="182"/>
      <c r="AQ175" s="183"/>
      <c r="AR175" s="183"/>
      <c r="AS175" s="182"/>
      <c r="AT175" s="182"/>
      <c r="AU175" s="183"/>
      <c r="AV175" s="183"/>
      <c r="AW175" s="182"/>
      <c r="AX175" s="182"/>
      <c r="AY175" s="183"/>
      <c r="AZ175" s="183"/>
      <c r="BA175" s="182"/>
      <c r="BB175" s="182"/>
      <c r="BK175" s="183"/>
      <c r="BL175" s="183"/>
      <c r="BM175" s="182"/>
      <c r="BN175" s="182"/>
      <c r="BO175" s="183"/>
      <c r="BP175" s="183"/>
      <c r="BQ175" s="182"/>
      <c r="BR175" s="182"/>
      <c r="BS175" s="184" t="n">
        <v>53.9</v>
      </c>
      <c r="BT175" s="185" t="n">
        <v>40725</v>
      </c>
      <c r="BU175" s="184" t="n">
        <v>16.7</v>
      </c>
      <c r="BV175" s="185" t="n">
        <v>40725</v>
      </c>
      <c r="CL175" s="182"/>
      <c r="CM175" s="182"/>
    </row>
    <row r="176" customFormat="false" ht="12.75" hidden="false" customHeight="false" outlineLevel="0" collapsed="false">
      <c r="A176" s="204" t="s">
        <v>510</v>
      </c>
      <c r="B176" s="193" t="s">
        <v>785</v>
      </c>
      <c r="C176" s="193" t="s">
        <v>876</v>
      </c>
      <c r="D176" s="193"/>
      <c r="E176" s="194" t="n">
        <v>3</v>
      </c>
      <c r="F176" s="195" t="n">
        <v>58</v>
      </c>
      <c r="G176" s="119"/>
      <c r="H176" s="119"/>
      <c r="J176" s="118"/>
      <c r="K176" s="118"/>
      <c r="L176" s="181"/>
      <c r="N176" s="182"/>
      <c r="O176" s="182"/>
      <c r="S176" s="184" t="n">
        <v>1963</v>
      </c>
      <c r="T176" s="185" t="n">
        <v>40725</v>
      </c>
      <c r="U176" s="182"/>
      <c r="V176" s="182"/>
      <c r="W176" s="183"/>
      <c r="X176" s="183"/>
      <c r="Y176" s="184" t="n">
        <v>594</v>
      </c>
      <c r="Z176" s="185" t="n">
        <v>40725</v>
      </c>
      <c r="AA176" s="184" t="n">
        <v>89238</v>
      </c>
      <c r="AB176" s="185" t="n">
        <v>40725</v>
      </c>
      <c r="AC176" s="184" t="n">
        <v>36.1</v>
      </c>
      <c r="AD176" s="185" t="n">
        <v>40725</v>
      </c>
      <c r="AE176" s="196"/>
      <c r="AF176" s="185"/>
      <c r="AG176" s="184" t="n">
        <v>4.05</v>
      </c>
      <c r="AH176" s="185" t="n">
        <v>40725</v>
      </c>
      <c r="AI176" s="183"/>
      <c r="AJ176" s="183"/>
      <c r="AK176" s="182"/>
      <c r="AL176" s="182"/>
      <c r="AM176" s="184" t="n">
        <v>87</v>
      </c>
      <c r="AN176" s="183" t="n">
        <v>40630</v>
      </c>
      <c r="AO176" s="182"/>
      <c r="AP176" s="182"/>
      <c r="AQ176" s="183"/>
      <c r="AR176" s="183"/>
      <c r="AS176" s="182"/>
      <c r="AT176" s="182"/>
      <c r="AU176" s="183"/>
      <c r="AV176" s="183"/>
      <c r="AW176" s="182"/>
      <c r="AX176" s="182"/>
      <c r="AY176" s="183"/>
      <c r="AZ176" s="183"/>
      <c r="BA176" s="182"/>
      <c r="BB176" s="182"/>
      <c r="BK176" s="183"/>
      <c r="BL176" s="183"/>
      <c r="BM176" s="182"/>
      <c r="BN176" s="182"/>
      <c r="BO176" s="183"/>
      <c r="BP176" s="183"/>
      <c r="BQ176" s="182"/>
      <c r="BR176" s="182"/>
      <c r="BS176" s="184" t="n">
        <v>54.3</v>
      </c>
      <c r="BT176" s="185" t="n">
        <v>40725</v>
      </c>
      <c r="BU176" s="184" t="n">
        <v>16.4</v>
      </c>
      <c r="BV176" s="185" t="n">
        <v>40725</v>
      </c>
      <c r="CL176" s="182"/>
      <c r="CM176" s="182"/>
    </row>
    <row r="177" customFormat="false" ht="12.75" hidden="false" customHeight="false" outlineLevel="0" collapsed="false">
      <c r="A177" s="204" t="s">
        <v>510</v>
      </c>
      <c r="B177" s="193" t="s">
        <v>785</v>
      </c>
      <c r="C177" s="193" t="s">
        <v>877</v>
      </c>
      <c r="D177" s="193"/>
      <c r="E177" s="119" t="n">
        <v>20</v>
      </c>
      <c r="F177" s="195" t="n">
        <v>85</v>
      </c>
      <c r="G177" s="119"/>
      <c r="H177" s="119"/>
      <c r="J177" s="118"/>
      <c r="K177" s="118"/>
      <c r="L177" s="181"/>
      <c r="N177" s="182"/>
      <c r="O177" s="182"/>
      <c r="S177" s="184" t="n">
        <v>1965</v>
      </c>
      <c r="T177" s="185" t="n">
        <v>40725</v>
      </c>
      <c r="U177" s="182"/>
      <c r="V177" s="182"/>
      <c r="W177" s="183"/>
      <c r="X177" s="183"/>
      <c r="Y177" s="184" t="n">
        <v>672</v>
      </c>
      <c r="Z177" s="185" t="n">
        <v>40725</v>
      </c>
      <c r="AA177" s="184" t="n">
        <v>88624</v>
      </c>
      <c r="AB177" s="185" t="n">
        <v>40725</v>
      </c>
      <c r="AC177" s="184" t="n">
        <v>37.4</v>
      </c>
      <c r="AD177" s="185" t="n">
        <v>40725</v>
      </c>
      <c r="AE177" s="196"/>
      <c r="AF177" s="185"/>
      <c r="AG177" s="184" t="n">
        <v>4.22</v>
      </c>
      <c r="AH177" s="185" t="n">
        <v>40725</v>
      </c>
      <c r="AI177" s="183"/>
      <c r="AJ177" s="183"/>
      <c r="AK177" s="182"/>
      <c r="AL177" s="182"/>
      <c r="AM177" s="184" t="n">
        <v>86</v>
      </c>
      <c r="AN177" s="183" t="n">
        <v>40630</v>
      </c>
      <c r="AO177" s="182"/>
      <c r="AP177" s="182"/>
      <c r="AQ177" s="183"/>
      <c r="AR177" s="183"/>
      <c r="AS177" s="182"/>
      <c r="AT177" s="182"/>
      <c r="AU177" s="183"/>
      <c r="AV177" s="183"/>
      <c r="AW177" s="182"/>
      <c r="AX177" s="182"/>
      <c r="AY177" s="183"/>
      <c r="AZ177" s="183"/>
      <c r="BA177" s="182"/>
      <c r="BB177" s="182"/>
      <c r="BK177" s="183"/>
      <c r="BL177" s="183"/>
      <c r="BM177" s="182"/>
      <c r="BN177" s="182"/>
      <c r="BO177" s="183"/>
      <c r="BP177" s="183"/>
      <c r="BQ177" s="182"/>
      <c r="BR177" s="182"/>
      <c r="BS177" s="184" t="n">
        <v>52.6</v>
      </c>
      <c r="BT177" s="185" t="n">
        <v>40725</v>
      </c>
      <c r="BU177" s="184" t="n">
        <v>18</v>
      </c>
      <c r="BV177" s="185" t="n">
        <v>40725</v>
      </c>
      <c r="CL177" s="182"/>
      <c r="CM177" s="182"/>
    </row>
    <row r="178" customFormat="false" ht="12.75" hidden="false" customHeight="false" outlineLevel="0" collapsed="false">
      <c r="A178" s="204" t="s">
        <v>513</v>
      </c>
      <c r="B178" s="193" t="s">
        <v>782</v>
      </c>
      <c r="C178" s="193" t="s">
        <v>875</v>
      </c>
      <c r="D178" s="193"/>
      <c r="E178" s="194" t="n">
        <v>2</v>
      </c>
      <c r="F178" s="195" t="n">
        <v>15</v>
      </c>
      <c r="G178" s="119"/>
      <c r="H178" s="119"/>
      <c r="J178" s="118"/>
      <c r="K178" s="118"/>
      <c r="L178" s="181"/>
      <c r="N178" s="182"/>
      <c r="O178" s="182"/>
      <c r="S178" s="184" t="n">
        <v>1494</v>
      </c>
      <c r="T178" s="185" t="n">
        <v>40725</v>
      </c>
      <c r="U178" s="182"/>
      <c r="V178" s="182"/>
      <c r="W178" s="183"/>
      <c r="X178" s="183"/>
      <c r="Y178" s="184" t="n">
        <v>388</v>
      </c>
      <c r="Z178" s="185" t="n">
        <v>40725</v>
      </c>
      <c r="AA178" s="184" t="n">
        <v>66359</v>
      </c>
      <c r="AB178" s="185" t="n">
        <v>40725</v>
      </c>
      <c r="AC178" s="184" t="n">
        <v>27.4</v>
      </c>
      <c r="AD178" s="185" t="n">
        <v>40725</v>
      </c>
      <c r="AE178" s="196"/>
      <c r="AF178" s="185"/>
      <c r="AG178" s="184" t="n">
        <v>4.13</v>
      </c>
      <c r="AH178" s="185" t="n">
        <v>40725</v>
      </c>
      <c r="AI178" s="183"/>
      <c r="AJ178" s="183"/>
      <c r="AK178" s="182"/>
      <c r="AL178" s="182"/>
      <c r="AM178" s="184" t="n">
        <v>85</v>
      </c>
      <c r="AN178" s="183" t="n">
        <v>40630</v>
      </c>
      <c r="AO178" s="182"/>
      <c r="AP178" s="182"/>
      <c r="AQ178" s="183"/>
      <c r="AR178" s="183"/>
      <c r="AS178" s="182"/>
      <c r="AT178" s="182"/>
      <c r="AU178" s="183"/>
      <c r="AV178" s="183"/>
      <c r="AW178" s="182"/>
      <c r="AX178" s="182"/>
      <c r="AY178" s="183"/>
      <c r="AZ178" s="183"/>
      <c r="BA178" s="182"/>
      <c r="BB178" s="182"/>
      <c r="BK178" s="183"/>
      <c r="BL178" s="183"/>
      <c r="BM178" s="182"/>
      <c r="BN178" s="182"/>
      <c r="BO178" s="183"/>
      <c r="BP178" s="183"/>
      <c r="BQ178" s="182"/>
      <c r="BR178" s="182"/>
      <c r="BS178" s="184" t="n">
        <v>54.5</v>
      </c>
      <c r="BT178" s="185" t="n">
        <v>40725</v>
      </c>
      <c r="BU178" s="184" t="n">
        <v>14.1</v>
      </c>
      <c r="BV178" s="185" t="n">
        <v>40725</v>
      </c>
      <c r="CL178" s="182"/>
      <c r="CM178" s="182"/>
    </row>
    <row r="179" customFormat="false" ht="12.75" hidden="false" customHeight="false" outlineLevel="0" collapsed="false">
      <c r="A179" s="204" t="s">
        <v>513</v>
      </c>
      <c r="B179" s="193" t="s">
        <v>782</v>
      </c>
      <c r="C179" s="193" t="s">
        <v>876</v>
      </c>
      <c r="D179" s="193"/>
      <c r="E179" s="194" t="n">
        <v>6</v>
      </c>
      <c r="F179" s="195" t="n">
        <v>37</v>
      </c>
      <c r="G179" s="119"/>
      <c r="H179" s="119"/>
      <c r="J179" s="118"/>
      <c r="K179" s="118"/>
      <c r="L179" s="181"/>
      <c r="N179" s="182"/>
      <c r="O179" s="182"/>
      <c r="S179" s="184" t="n">
        <v>1381</v>
      </c>
      <c r="T179" s="185" t="n">
        <v>40725</v>
      </c>
      <c r="U179" s="182"/>
      <c r="V179" s="182"/>
      <c r="W179" s="183"/>
      <c r="X179" s="183"/>
      <c r="Y179" s="184" t="n">
        <v>418</v>
      </c>
      <c r="Z179" s="185" t="n">
        <v>40725</v>
      </c>
      <c r="AA179" s="184" t="n">
        <v>59208</v>
      </c>
      <c r="AB179" s="185" t="n">
        <v>40725</v>
      </c>
      <c r="AC179" s="184" t="n">
        <v>26.2</v>
      </c>
      <c r="AD179" s="185" t="n">
        <v>40725</v>
      </c>
      <c r="AE179" s="196"/>
      <c r="AF179" s="185"/>
      <c r="AG179" s="184" t="n">
        <v>4.42</v>
      </c>
      <c r="AH179" s="185" t="n">
        <v>40725</v>
      </c>
      <c r="AI179" s="183"/>
      <c r="AJ179" s="183"/>
      <c r="AK179" s="182"/>
      <c r="AL179" s="182"/>
      <c r="AM179" s="184" t="n">
        <v>84</v>
      </c>
      <c r="AN179" s="183" t="n">
        <v>40630</v>
      </c>
      <c r="AO179" s="182"/>
      <c r="AP179" s="182"/>
      <c r="AQ179" s="183"/>
      <c r="AR179" s="183"/>
      <c r="AS179" s="182"/>
      <c r="AT179" s="182"/>
      <c r="AU179" s="183"/>
      <c r="AV179" s="183"/>
      <c r="AW179" s="182"/>
      <c r="AX179" s="182"/>
      <c r="AY179" s="183"/>
      <c r="AZ179" s="183"/>
      <c r="BA179" s="182"/>
      <c r="BB179" s="182"/>
      <c r="BK179" s="183"/>
      <c r="BL179" s="183"/>
      <c r="BM179" s="182"/>
      <c r="BN179" s="182"/>
      <c r="BO179" s="183"/>
      <c r="BP179" s="183"/>
      <c r="BQ179" s="182"/>
      <c r="BR179" s="182"/>
      <c r="BS179" s="184" t="n">
        <v>52.8</v>
      </c>
      <c r="BT179" s="185" t="n">
        <v>40725</v>
      </c>
      <c r="BU179" s="184" t="n">
        <v>16</v>
      </c>
      <c r="BV179" s="185" t="n">
        <v>40725</v>
      </c>
      <c r="CL179" s="182"/>
      <c r="CM179" s="182"/>
    </row>
    <row r="180" customFormat="false" ht="12.75" hidden="false" customHeight="false" outlineLevel="0" collapsed="false">
      <c r="A180" s="204" t="s">
        <v>513</v>
      </c>
      <c r="B180" s="193" t="s">
        <v>782</v>
      </c>
      <c r="C180" s="193" t="s">
        <v>877</v>
      </c>
      <c r="D180" s="193"/>
      <c r="E180" s="119" t="n">
        <v>17</v>
      </c>
      <c r="F180" s="195" t="n">
        <v>80</v>
      </c>
      <c r="G180" s="119"/>
      <c r="H180" s="119"/>
      <c r="J180" s="118"/>
      <c r="K180" s="118"/>
      <c r="L180" s="181"/>
      <c r="N180" s="182"/>
      <c r="O180" s="182"/>
      <c r="S180" s="184" t="n">
        <v>1539</v>
      </c>
      <c r="T180" s="185" t="n">
        <v>40725</v>
      </c>
      <c r="U180" s="182"/>
      <c r="V180" s="182"/>
      <c r="W180" s="183"/>
      <c r="X180" s="183"/>
      <c r="Y180" s="184" t="n">
        <v>459</v>
      </c>
      <c r="Z180" s="185" t="n">
        <v>40725</v>
      </c>
      <c r="AA180" s="184" t="n">
        <v>63652</v>
      </c>
      <c r="AB180" s="185" t="n">
        <v>40725</v>
      </c>
      <c r="AC180" s="184" t="n">
        <v>28.8</v>
      </c>
      <c r="AD180" s="185" t="n">
        <v>40725</v>
      </c>
      <c r="AE180" s="196"/>
      <c r="AF180" s="185"/>
      <c r="AG180" s="184" t="n">
        <v>4.53</v>
      </c>
      <c r="AH180" s="185" t="n">
        <v>40725</v>
      </c>
      <c r="AI180" s="183"/>
      <c r="AJ180" s="183"/>
      <c r="AK180" s="182"/>
      <c r="AL180" s="182"/>
      <c r="AM180" s="184" t="n">
        <v>84</v>
      </c>
      <c r="AN180" s="183" t="n">
        <v>40630</v>
      </c>
      <c r="AO180" s="182"/>
      <c r="AP180" s="182"/>
      <c r="AQ180" s="183"/>
      <c r="AR180" s="183"/>
      <c r="AS180" s="182"/>
      <c r="AT180" s="182"/>
      <c r="AU180" s="183"/>
      <c r="AV180" s="183"/>
      <c r="AW180" s="182"/>
      <c r="AX180" s="182"/>
      <c r="AY180" s="183"/>
      <c r="AZ180" s="183"/>
      <c r="BA180" s="182"/>
      <c r="BB180" s="182"/>
      <c r="BK180" s="183"/>
      <c r="BL180" s="183"/>
      <c r="BM180" s="182"/>
      <c r="BN180" s="182"/>
      <c r="BO180" s="183"/>
      <c r="BP180" s="183"/>
      <c r="BQ180" s="182"/>
      <c r="BR180" s="182"/>
      <c r="BS180" s="184" t="n">
        <v>53.3</v>
      </c>
      <c r="BT180" s="185" t="n">
        <v>40725</v>
      </c>
      <c r="BU180" s="184" t="n">
        <v>15.9</v>
      </c>
      <c r="BV180" s="185" t="n">
        <v>40725</v>
      </c>
      <c r="CL180" s="182"/>
      <c r="CM180" s="182"/>
    </row>
    <row r="181" customFormat="false" ht="12.75" hidden="false" customHeight="false" outlineLevel="0" collapsed="false">
      <c r="A181" s="204" t="s">
        <v>513</v>
      </c>
      <c r="B181" s="193" t="s">
        <v>785</v>
      </c>
      <c r="C181" s="193" t="s">
        <v>875</v>
      </c>
      <c r="D181" s="193"/>
      <c r="E181" s="194" t="n">
        <v>7</v>
      </c>
      <c r="F181" s="195" t="n">
        <v>30</v>
      </c>
      <c r="G181" s="119"/>
      <c r="H181" s="119"/>
      <c r="J181" s="118"/>
      <c r="K181" s="118"/>
      <c r="L181" s="181"/>
      <c r="N181" s="182"/>
      <c r="O181" s="182"/>
      <c r="S181" s="184" t="n">
        <v>1996</v>
      </c>
      <c r="T181" s="185" t="n">
        <v>40725</v>
      </c>
      <c r="U181" s="182"/>
      <c r="V181" s="182"/>
      <c r="W181" s="183"/>
      <c r="X181" s="183"/>
      <c r="Y181" s="184" t="n">
        <v>603</v>
      </c>
      <c r="Z181" s="185" t="n">
        <v>40725</v>
      </c>
      <c r="AA181" s="184" t="n">
        <v>85115</v>
      </c>
      <c r="AB181" s="185" t="n">
        <v>40725</v>
      </c>
      <c r="AC181" s="184" t="n">
        <v>37.1</v>
      </c>
      <c r="AD181" s="185" t="n">
        <v>40725</v>
      </c>
      <c r="AE181" s="196"/>
      <c r="AF181" s="185"/>
      <c r="AG181" s="184" t="n">
        <v>4.36</v>
      </c>
      <c r="AH181" s="185" t="n">
        <v>40725</v>
      </c>
      <c r="AI181" s="183"/>
      <c r="AJ181" s="183"/>
      <c r="AK181" s="182"/>
      <c r="AL181" s="182"/>
      <c r="AM181" s="184" t="n">
        <v>85</v>
      </c>
      <c r="AN181" s="183" t="n">
        <v>40630</v>
      </c>
      <c r="AO181" s="182"/>
      <c r="AP181" s="182"/>
      <c r="AQ181" s="183"/>
      <c r="AR181" s="183"/>
      <c r="AS181" s="182"/>
      <c r="AT181" s="182"/>
      <c r="AU181" s="183"/>
      <c r="AV181" s="183"/>
      <c r="AW181" s="182"/>
      <c r="AX181" s="182"/>
      <c r="AY181" s="183"/>
      <c r="AZ181" s="183"/>
      <c r="BA181" s="182"/>
      <c r="BB181" s="182"/>
      <c r="BK181" s="183"/>
      <c r="BL181" s="183"/>
      <c r="BM181" s="182"/>
      <c r="BN181" s="182"/>
      <c r="BO181" s="183"/>
      <c r="BP181" s="183"/>
      <c r="BQ181" s="182"/>
      <c r="BR181" s="182"/>
      <c r="BS181" s="184" t="n">
        <v>53.8</v>
      </c>
      <c r="BT181" s="185" t="n">
        <v>40725</v>
      </c>
      <c r="BU181" s="184" t="n">
        <v>16.3</v>
      </c>
      <c r="BV181" s="185" t="n">
        <v>40725</v>
      </c>
      <c r="CL181" s="182"/>
      <c r="CM181" s="182"/>
    </row>
    <row r="182" customFormat="false" ht="12.75" hidden="false" customHeight="false" outlineLevel="0" collapsed="false">
      <c r="A182" s="204" t="s">
        <v>513</v>
      </c>
      <c r="B182" s="193" t="s">
        <v>785</v>
      </c>
      <c r="C182" s="193" t="s">
        <v>876</v>
      </c>
      <c r="D182" s="193"/>
      <c r="E182" s="194" t="n">
        <v>2</v>
      </c>
      <c r="F182" s="195" t="n">
        <v>38</v>
      </c>
      <c r="G182" s="119"/>
      <c r="H182" s="119"/>
      <c r="J182" s="118"/>
      <c r="K182" s="118"/>
      <c r="L182" s="181"/>
      <c r="N182" s="182"/>
      <c r="O182" s="182"/>
      <c r="S182" s="184" t="n">
        <v>1691</v>
      </c>
      <c r="T182" s="185" t="n">
        <v>40725</v>
      </c>
      <c r="U182" s="182"/>
      <c r="V182" s="182"/>
      <c r="W182" s="183"/>
      <c r="X182" s="183"/>
      <c r="Y182" s="184" t="n">
        <v>573</v>
      </c>
      <c r="Z182" s="185" t="n">
        <v>40725</v>
      </c>
      <c r="AA182" s="184" t="n">
        <v>68289</v>
      </c>
      <c r="AB182" s="185" t="n">
        <v>40725</v>
      </c>
      <c r="AC182" s="184" t="n">
        <v>32.5</v>
      </c>
      <c r="AD182" s="185" t="n">
        <v>40725</v>
      </c>
      <c r="AE182" s="196"/>
      <c r="AF182" s="185"/>
      <c r="AG182" s="184" t="n">
        <v>4.75</v>
      </c>
      <c r="AH182" s="185" t="n">
        <v>40725</v>
      </c>
      <c r="AI182" s="183"/>
      <c r="AJ182" s="183"/>
      <c r="AK182" s="182"/>
      <c r="AL182" s="182"/>
      <c r="AM182" s="184" t="n">
        <v>85</v>
      </c>
      <c r="AN182" s="183" t="n">
        <v>40630</v>
      </c>
      <c r="AO182" s="182"/>
      <c r="AP182" s="182"/>
      <c r="AQ182" s="183"/>
      <c r="AR182" s="183"/>
      <c r="AS182" s="182"/>
      <c r="AT182" s="182"/>
      <c r="AU182" s="183"/>
      <c r="AV182" s="183"/>
      <c r="AW182" s="182"/>
      <c r="AX182" s="182"/>
      <c r="AY182" s="183"/>
      <c r="AZ182" s="183"/>
      <c r="BA182" s="182"/>
      <c r="BB182" s="182"/>
      <c r="BK182" s="183"/>
      <c r="BL182" s="183"/>
      <c r="BM182" s="182"/>
      <c r="BN182" s="182"/>
      <c r="BO182" s="183"/>
      <c r="BP182" s="183"/>
      <c r="BQ182" s="182"/>
      <c r="BR182" s="182"/>
      <c r="BS182" s="184" t="n">
        <v>52.1</v>
      </c>
      <c r="BT182" s="185" t="n">
        <v>40725</v>
      </c>
      <c r="BU182" s="184" t="n">
        <v>17.7</v>
      </c>
      <c r="BV182" s="185" t="n">
        <v>40725</v>
      </c>
      <c r="CL182" s="182"/>
      <c r="CM182" s="182"/>
    </row>
    <row r="183" customFormat="false" ht="12.75" hidden="false" customHeight="false" outlineLevel="0" collapsed="false">
      <c r="A183" s="204" t="s">
        <v>513</v>
      </c>
      <c r="B183" s="193" t="s">
        <v>785</v>
      </c>
      <c r="C183" s="193" t="s">
        <v>877</v>
      </c>
      <c r="D183" s="193"/>
      <c r="E183" s="119" t="n">
        <v>21</v>
      </c>
      <c r="F183" s="195" t="n">
        <v>79</v>
      </c>
      <c r="G183" s="119"/>
      <c r="H183" s="119"/>
      <c r="J183" s="118"/>
      <c r="K183" s="118"/>
      <c r="L183" s="181"/>
      <c r="N183" s="182"/>
      <c r="O183" s="182"/>
      <c r="S183" s="184" t="n">
        <v>2039</v>
      </c>
      <c r="T183" s="185" t="n">
        <v>40725</v>
      </c>
      <c r="U183" s="182"/>
      <c r="V183" s="182"/>
      <c r="W183" s="183"/>
      <c r="X183" s="183"/>
      <c r="Y183" s="184" t="n">
        <v>693</v>
      </c>
      <c r="Z183" s="185" t="n">
        <v>40725</v>
      </c>
      <c r="AA183" s="184" t="n">
        <v>86014</v>
      </c>
      <c r="AB183" s="185" t="n">
        <v>40725</v>
      </c>
      <c r="AC183" s="184" t="n">
        <v>39.4</v>
      </c>
      <c r="AD183" s="185" t="n">
        <v>40725</v>
      </c>
      <c r="AE183" s="196"/>
      <c r="AF183" s="185"/>
      <c r="AG183" s="184" t="n">
        <v>4.59</v>
      </c>
      <c r="AH183" s="185" t="n">
        <v>40725</v>
      </c>
      <c r="AI183" s="183"/>
      <c r="AJ183" s="183"/>
      <c r="AK183" s="182"/>
      <c r="AL183" s="182"/>
      <c r="AM183" s="184" t="n">
        <v>85</v>
      </c>
      <c r="AN183" s="183" t="n">
        <v>40630</v>
      </c>
      <c r="AO183" s="182"/>
      <c r="AP183" s="182"/>
      <c r="AQ183" s="183"/>
      <c r="AR183" s="183"/>
      <c r="AS183" s="182"/>
      <c r="AT183" s="182"/>
      <c r="AU183" s="183"/>
      <c r="AV183" s="183"/>
      <c r="AW183" s="182"/>
      <c r="AX183" s="182"/>
      <c r="AY183" s="183"/>
      <c r="AZ183" s="183"/>
      <c r="BA183" s="182"/>
      <c r="BB183" s="182"/>
      <c r="BK183" s="183"/>
      <c r="BL183" s="183"/>
      <c r="BM183" s="182"/>
      <c r="BN183" s="182"/>
      <c r="BO183" s="183"/>
      <c r="BP183" s="183"/>
      <c r="BQ183" s="182"/>
      <c r="BR183" s="182"/>
      <c r="BS183" s="184" t="n">
        <v>51.7</v>
      </c>
      <c r="BT183" s="185" t="n">
        <v>40725</v>
      </c>
      <c r="BU183" s="184" t="n">
        <v>17.6</v>
      </c>
      <c r="BV183" s="185" t="n">
        <v>40725</v>
      </c>
      <c r="CL183" s="182"/>
      <c r="CM183" s="182"/>
    </row>
    <row r="184" customFormat="false" ht="12.75" hidden="false" customHeight="false" outlineLevel="0" collapsed="false">
      <c r="A184" s="204" t="s">
        <v>516</v>
      </c>
      <c r="B184" s="193" t="s">
        <v>782</v>
      </c>
      <c r="C184" s="193" t="s">
        <v>875</v>
      </c>
      <c r="D184" s="193"/>
      <c r="E184" s="194" t="n">
        <v>2</v>
      </c>
      <c r="F184" s="195" t="n">
        <v>24</v>
      </c>
      <c r="G184" s="119"/>
      <c r="H184" s="119"/>
      <c r="J184" s="118"/>
      <c r="K184" s="118"/>
      <c r="L184" s="181"/>
      <c r="N184" s="182"/>
      <c r="O184" s="182"/>
      <c r="S184" s="184" t="n">
        <v>1867</v>
      </c>
      <c r="T184" s="185" t="n">
        <v>40725</v>
      </c>
      <c r="U184" s="182"/>
      <c r="V184" s="182"/>
      <c r="W184" s="183"/>
      <c r="X184" s="183"/>
      <c r="Y184" s="184" t="n">
        <v>615</v>
      </c>
      <c r="Z184" s="185" t="n">
        <v>40725</v>
      </c>
      <c r="AA184" s="184" t="n">
        <v>81865</v>
      </c>
      <c r="AB184" s="185" t="n">
        <v>40725</v>
      </c>
      <c r="AC184" s="184" t="n">
        <v>36.1</v>
      </c>
      <c r="AD184" s="185" t="n">
        <v>40725</v>
      </c>
      <c r="AE184" s="196"/>
      <c r="AF184" s="185"/>
      <c r="AG184" s="184" t="n">
        <v>4.41</v>
      </c>
      <c r="AH184" s="185" t="n">
        <v>40725</v>
      </c>
      <c r="AI184" s="183"/>
      <c r="AJ184" s="183"/>
      <c r="AK184" s="182"/>
      <c r="AL184" s="182"/>
      <c r="AM184" s="184" t="n">
        <v>85</v>
      </c>
      <c r="AN184" s="183" t="n">
        <v>40630</v>
      </c>
      <c r="AO184" s="182"/>
      <c r="AP184" s="182"/>
      <c r="AQ184" s="183"/>
      <c r="AR184" s="183"/>
      <c r="AS184" s="182"/>
      <c r="AT184" s="182"/>
      <c r="AU184" s="183"/>
      <c r="AV184" s="183"/>
      <c r="AW184" s="182"/>
      <c r="AX184" s="182"/>
      <c r="AY184" s="183"/>
      <c r="AZ184" s="183"/>
      <c r="BA184" s="182"/>
      <c r="BB184" s="182"/>
      <c r="BK184" s="183"/>
      <c r="BL184" s="183"/>
      <c r="BM184" s="182"/>
      <c r="BN184" s="182"/>
      <c r="BO184" s="183"/>
      <c r="BP184" s="183"/>
      <c r="BQ184" s="182"/>
      <c r="BR184" s="182"/>
      <c r="BS184" s="184" t="n">
        <v>51.7</v>
      </c>
      <c r="BT184" s="185" t="n">
        <v>40725</v>
      </c>
      <c r="BU184" s="184" t="n">
        <v>17</v>
      </c>
      <c r="BV184" s="185" t="n">
        <v>40725</v>
      </c>
      <c r="CL184" s="182"/>
      <c r="CM184" s="182"/>
    </row>
    <row r="185" customFormat="false" ht="12.75" hidden="false" customHeight="false" outlineLevel="0" collapsed="false">
      <c r="A185" s="204" t="s">
        <v>516</v>
      </c>
      <c r="B185" s="193" t="s">
        <v>782</v>
      </c>
      <c r="C185" s="193" t="s">
        <v>876</v>
      </c>
      <c r="D185" s="193"/>
      <c r="E185" s="194" t="n">
        <v>6</v>
      </c>
      <c r="F185" s="195" t="n">
        <v>56</v>
      </c>
      <c r="G185" s="119"/>
      <c r="H185" s="119"/>
      <c r="J185" s="118"/>
      <c r="K185" s="118"/>
      <c r="L185" s="181"/>
      <c r="N185" s="182"/>
      <c r="O185" s="182"/>
      <c r="S185" s="184" t="n">
        <v>1635</v>
      </c>
      <c r="T185" s="185" t="n">
        <v>40725</v>
      </c>
      <c r="U185" s="182"/>
      <c r="V185" s="182"/>
      <c r="W185" s="183"/>
      <c r="X185" s="183"/>
      <c r="Y185" s="184" t="n">
        <v>497</v>
      </c>
      <c r="Z185" s="185" t="n">
        <v>40725</v>
      </c>
      <c r="AA185" s="184" t="n">
        <v>71724</v>
      </c>
      <c r="AB185" s="185" t="n">
        <v>40725</v>
      </c>
      <c r="AC185" s="184" t="n">
        <v>31.3</v>
      </c>
      <c r="AD185" s="185" t="n">
        <v>40725</v>
      </c>
      <c r="AE185" s="196"/>
      <c r="AF185" s="185"/>
      <c r="AG185" s="184" t="n">
        <v>4.37</v>
      </c>
      <c r="AH185" s="185" t="n">
        <v>40725</v>
      </c>
      <c r="AI185" s="183"/>
      <c r="AJ185" s="183"/>
      <c r="AK185" s="182"/>
      <c r="AL185" s="182"/>
      <c r="AM185" s="184" t="n">
        <v>84</v>
      </c>
      <c r="AN185" s="183" t="n">
        <v>40630</v>
      </c>
      <c r="AO185" s="182"/>
      <c r="AP185" s="182"/>
      <c r="AQ185" s="183"/>
      <c r="AR185" s="183"/>
      <c r="AS185" s="182"/>
      <c r="AT185" s="182"/>
      <c r="AU185" s="183"/>
      <c r="AV185" s="183"/>
      <c r="AW185" s="182"/>
      <c r="AX185" s="182"/>
      <c r="AY185" s="183"/>
      <c r="AZ185" s="183"/>
      <c r="BA185" s="182"/>
      <c r="BB185" s="182"/>
      <c r="BK185" s="183"/>
      <c r="BL185" s="183"/>
      <c r="BM185" s="182"/>
      <c r="BN185" s="182"/>
      <c r="BO185" s="183"/>
      <c r="BP185" s="183"/>
      <c r="BQ185" s="182"/>
      <c r="BR185" s="182"/>
      <c r="BS185" s="184" t="n">
        <v>52.2</v>
      </c>
      <c r="BT185" s="185" t="n">
        <v>40725</v>
      </c>
      <c r="BU185" s="184" t="n">
        <v>15.9</v>
      </c>
      <c r="BV185" s="185" t="n">
        <v>40725</v>
      </c>
      <c r="CL185" s="182"/>
      <c r="CM185" s="182"/>
    </row>
    <row r="186" customFormat="false" ht="12.75" hidden="false" customHeight="false" outlineLevel="0" collapsed="false">
      <c r="A186" s="204" t="s">
        <v>516</v>
      </c>
      <c r="B186" s="193" t="s">
        <v>782</v>
      </c>
      <c r="C186" s="193" t="s">
        <v>877</v>
      </c>
      <c r="D186" s="193"/>
      <c r="E186" s="119" t="n">
        <v>19</v>
      </c>
      <c r="F186" s="195" t="n">
        <v>84</v>
      </c>
      <c r="G186" s="119"/>
      <c r="H186" s="119"/>
      <c r="J186" s="118"/>
      <c r="K186" s="118"/>
      <c r="L186" s="181"/>
      <c r="N186" s="182"/>
      <c r="O186" s="182"/>
      <c r="S186" s="184" t="n">
        <v>1627</v>
      </c>
      <c r="T186" s="185" t="n">
        <v>40725</v>
      </c>
      <c r="U186" s="182"/>
      <c r="V186" s="182"/>
      <c r="W186" s="183"/>
      <c r="X186" s="183"/>
      <c r="Y186" s="184" t="n">
        <v>494</v>
      </c>
      <c r="Z186" s="185" t="n">
        <v>40725</v>
      </c>
      <c r="AA186" s="184" t="n">
        <v>67063</v>
      </c>
      <c r="AB186" s="185" t="n">
        <v>40725</v>
      </c>
      <c r="AC186" s="184" t="n">
        <v>30.8</v>
      </c>
      <c r="AD186" s="185" t="n">
        <v>40725</v>
      </c>
      <c r="AE186" s="196"/>
      <c r="AF186" s="185"/>
      <c r="AG186" s="184" t="n">
        <v>4.59</v>
      </c>
      <c r="AH186" s="185" t="n">
        <v>40725</v>
      </c>
      <c r="AI186" s="183"/>
      <c r="AJ186" s="183"/>
      <c r="AK186" s="182"/>
      <c r="AL186" s="182"/>
      <c r="AM186" s="184" t="n">
        <v>84</v>
      </c>
      <c r="AN186" s="183" t="n">
        <v>40630</v>
      </c>
      <c r="AO186" s="182"/>
      <c r="AP186" s="182"/>
      <c r="AQ186" s="183"/>
      <c r="AR186" s="183"/>
      <c r="AS186" s="182"/>
      <c r="AT186" s="182"/>
      <c r="AU186" s="183"/>
      <c r="AV186" s="183"/>
      <c r="AW186" s="182"/>
      <c r="AX186" s="182"/>
      <c r="AY186" s="183"/>
      <c r="AZ186" s="183"/>
      <c r="BA186" s="182"/>
      <c r="BB186" s="182"/>
      <c r="BK186" s="183"/>
      <c r="BL186" s="183"/>
      <c r="BM186" s="182"/>
      <c r="BN186" s="182"/>
      <c r="BO186" s="183"/>
      <c r="BP186" s="183"/>
      <c r="BQ186" s="182"/>
      <c r="BR186" s="182"/>
      <c r="BS186" s="184" t="n">
        <v>52.8</v>
      </c>
      <c r="BT186" s="185" t="n">
        <v>40725</v>
      </c>
      <c r="BU186" s="184" t="n">
        <v>16</v>
      </c>
      <c r="BV186" s="185" t="n">
        <v>40725</v>
      </c>
      <c r="CL186" s="182"/>
      <c r="CM186" s="182"/>
    </row>
    <row r="187" customFormat="false" ht="12.75" hidden="false" customHeight="false" outlineLevel="0" collapsed="false">
      <c r="A187" s="204" t="s">
        <v>516</v>
      </c>
      <c r="B187" s="193" t="s">
        <v>785</v>
      </c>
      <c r="C187" s="193" t="s">
        <v>875</v>
      </c>
      <c r="D187" s="193"/>
      <c r="E187" s="194" t="n">
        <v>6</v>
      </c>
      <c r="F187" s="195" t="n">
        <v>16</v>
      </c>
      <c r="G187" s="119"/>
      <c r="H187" s="119"/>
      <c r="J187" s="118"/>
      <c r="K187" s="118"/>
      <c r="L187" s="181"/>
      <c r="N187" s="182"/>
      <c r="O187" s="182"/>
      <c r="S187" s="184" t="n">
        <v>2300</v>
      </c>
      <c r="T187" s="185" t="n">
        <v>40725</v>
      </c>
      <c r="U187" s="182"/>
      <c r="V187" s="182"/>
      <c r="W187" s="183"/>
      <c r="X187" s="183"/>
      <c r="Y187" s="184" t="n">
        <v>706</v>
      </c>
      <c r="Z187" s="185" t="n">
        <v>40725</v>
      </c>
      <c r="AA187" s="184" t="n">
        <v>104317</v>
      </c>
      <c r="AB187" s="185" t="n">
        <v>40725</v>
      </c>
      <c r="AC187" s="184" t="n">
        <v>43.8</v>
      </c>
      <c r="AD187" s="185" t="n">
        <v>40725</v>
      </c>
      <c r="AE187" s="196"/>
      <c r="AF187" s="185"/>
      <c r="AG187" s="184" t="n">
        <v>4.2</v>
      </c>
      <c r="AH187" s="185" t="n">
        <v>40725</v>
      </c>
      <c r="AI187" s="183"/>
      <c r="AJ187" s="183"/>
      <c r="AK187" s="182"/>
      <c r="AL187" s="182"/>
      <c r="AM187" s="184" t="n">
        <v>87</v>
      </c>
      <c r="AN187" s="183" t="n">
        <v>40630</v>
      </c>
      <c r="AO187" s="182"/>
      <c r="AP187" s="182"/>
      <c r="AQ187" s="183"/>
      <c r="AR187" s="183"/>
      <c r="AS187" s="182"/>
      <c r="AT187" s="182"/>
      <c r="AU187" s="183"/>
      <c r="AV187" s="183"/>
      <c r="AW187" s="182"/>
      <c r="AX187" s="182"/>
      <c r="AY187" s="183"/>
      <c r="AZ187" s="183"/>
      <c r="BA187" s="182"/>
      <c r="BB187" s="182"/>
      <c r="BK187" s="183"/>
      <c r="BL187" s="183"/>
      <c r="BM187" s="182"/>
      <c r="BN187" s="182"/>
      <c r="BO187" s="183"/>
      <c r="BP187" s="183"/>
      <c r="BQ187" s="182"/>
      <c r="BR187" s="182"/>
      <c r="BS187" s="184" t="n">
        <v>52.5</v>
      </c>
      <c r="BT187" s="185" t="n">
        <v>40725</v>
      </c>
      <c r="BU187" s="184" t="n">
        <v>16.1</v>
      </c>
      <c r="BV187" s="185" t="n">
        <v>40725</v>
      </c>
      <c r="CL187" s="182"/>
      <c r="CM187" s="182"/>
    </row>
    <row r="188" customFormat="false" ht="12.75" hidden="false" customHeight="false" outlineLevel="0" collapsed="false">
      <c r="A188" s="204" t="s">
        <v>516</v>
      </c>
      <c r="B188" s="193" t="s">
        <v>785</v>
      </c>
      <c r="C188" s="193" t="s">
        <v>876</v>
      </c>
      <c r="D188" s="193"/>
      <c r="E188" s="194" t="n">
        <v>3</v>
      </c>
      <c r="F188" s="195" t="n">
        <v>43</v>
      </c>
      <c r="G188" s="119"/>
      <c r="H188" s="119"/>
      <c r="J188" s="118"/>
      <c r="K188" s="118"/>
      <c r="L188" s="181"/>
      <c r="N188" s="182"/>
      <c r="O188" s="182"/>
      <c r="S188" s="184" t="n">
        <v>1876</v>
      </c>
      <c r="T188" s="185" t="n">
        <v>40725</v>
      </c>
      <c r="U188" s="182"/>
      <c r="V188" s="182"/>
      <c r="W188" s="183"/>
      <c r="X188" s="183"/>
      <c r="Y188" s="184" t="n">
        <v>627</v>
      </c>
      <c r="Z188" s="185" t="n">
        <v>40725</v>
      </c>
      <c r="AA188" s="184" t="n">
        <v>80809</v>
      </c>
      <c r="AB188" s="185" t="n">
        <v>40725</v>
      </c>
      <c r="AC188" s="184" t="n">
        <v>35.8</v>
      </c>
      <c r="AD188" s="185" t="n">
        <v>40725</v>
      </c>
      <c r="AE188" s="196"/>
      <c r="AF188" s="185"/>
      <c r="AG188" s="184" t="n">
        <v>4.43</v>
      </c>
      <c r="AH188" s="185" t="n">
        <v>40725</v>
      </c>
      <c r="AI188" s="183"/>
      <c r="AJ188" s="183"/>
      <c r="AK188" s="182"/>
      <c r="AL188" s="182"/>
      <c r="AM188" s="184" t="n">
        <v>85</v>
      </c>
      <c r="AN188" s="183" t="n">
        <v>40630</v>
      </c>
      <c r="AO188" s="182"/>
      <c r="AP188" s="182"/>
      <c r="AQ188" s="183"/>
      <c r="AR188" s="183"/>
      <c r="AS188" s="182"/>
      <c r="AT188" s="182"/>
      <c r="AU188" s="183"/>
      <c r="AV188" s="183"/>
      <c r="AW188" s="182"/>
      <c r="AX188" s="182"/>
      <c r="AY188" s="183"/>
      <c r="AZ188" s="183"/>
      <c r="BA188" s="182"/>
      <c r="BB188" s="182"/>
      <c r="BK188" s="183"/>
      <c r="BL188" s="183"/>
      <c r="BM188" s="182"/>
      <c r="BN188" s="182"/>
      <c r="BO188" s="183"/>
      <c r="BP188" s="183"/>
      <c r="BQ188" s="182"/>
      <c r="BR188" s="182"/>
      <c r="BS188" s="184" t="n">
        <v>52.4</v>
      </c>
      <c r="BT188" s="185" t="n">
        <v>40725</v>
      </c>
      <c r="BU188" s="184" t="n">
        <v>17.5</v>
      </c>
      <c r="BV188" s="185" t="n">
        <v>40725</v>
      </c>
      <c r="CL188" s="182"/>
      <c r="CM188" s="182"/>
    </row>
    <row r="189" customFormat="false" ht="12.75" hidden="false" customHeight="false" outlineLevel="0" collapsed="false">
      <c r="A189" s="204" t="s">
        <v>516</v>
      </c>
      <c r="B189" s="193" t="s">
        <v>785</v>
      </c>
      <c r="C189" s="193" t="s">
        <v>877</v>
      </c>
      <c r="D189" s="193"/>
      <c r="E189" s="119" t="n">
        <v>23</v>
      </c>
      <c r="F189" s="195" t="n">
        <v>71</v>
      </c>
      <c r="G189" s="119"/>
      <c r="H189" s="119"/>
      <c r="J189" s="118"/>
      <c r="K189" s="118"/>
      <c r="L189" s="181"/>
      <c r="N189" s="182"/>
      <c r="O189" s="182"/>
      <c r="S189" s="184" t="n">
        <v>2220</v>
      </c>
      <c r="T189" s="185" t="n">
        <v>40725</v>
      </c>
      <c r="U189" s="182"/>
      <c r="V189" s="182"/>
      <c r="W189" s="183"/>
      <c r="X189" s="183"/>
      <c r="Y189" s="184" t="n">
        <v>729</v>
      </c>
      <c r="Z189" s="185" t="n">
        <v>40725</v>
      </c>
      <c r="AA189" s="184" t="n">
        <v>95239</v>
      </c>
      <c r="AB189" s="185" t="n">
        <v>40725</v>
      </c>
      <c r="AC189" s="184" t="n">
        <v>42.7</v>
      </c>
      <c r="AD189" s="185" t="n">
        <v>40725</v>
      </c>
      <c r="AE189" s="196"/>
      <c r="AF189" s="185"/>
      <c r="AG189" s="184" t="n">
        <v>4.48</v>
      </c>
      <c r="AH189" s="185" t="n">
        <v>40725</v>
      </c>
      <c r="AI189" s="183"/>
      <c r="AJ189" s="183"/>
      <c r="AK189" s="182"/>
      <c r="AL189" s="182"/>
      <c r="AM189" s="184" t="n">
        <v>85</v>
      </c>
      <c r="AN189" s="183" t="n">
        <v>40630</v>
      </c>
      <c r="AO189" s="182"/>
      <c r="AP189" s="182"/>
      <c r="AQ189" s="183"/>
      <c r="AR189" s="183"/>
      <c r="AS189" s="182"/>
      <c r="AT189" s="182"/>
      <c r="AU189" s="183"/>
      <c r="AV189" s="183"/>
      <c r="AW189" s="182"/>
      <c r="AX189" s="182"/>
      <c r="AY189" s="183"/>
      <c r="AZ189" s="183"/>
      <c r="BA189" s="182"/>
      <c r="BB189" s="182"/>
      <c r="BK189" s="183"/>
      <c r="BL189" s="183"/>
      <c r="BM189" s="182"/>
      <c r="BN189" s="182"/>
      <c r="BO189" s="183"/>
      <c r="BP189" s="183"/>
      <c r="BQ189" s="182"/>
      <c r="BR189" s="182"/>
      <c r="BS189" s="184" t="n">
        <v>52</v>
      </c>
      <c r="BT189" s="185" t="n">
        <v>40725</v>
      </c>
      <c r="BU189" s="184" t="n">
        <v>17.1</v>
      </c>
      <c r="BV189" s="185" t="n">
        <v>40725</v>
      </c>
      <c r="CL189" s="182"/>
      <c r="CM189" s="182"/>
    </row>
    <row r="190" customFormat="false" ht="12.75" hidden="false" customHeight="false" outlineLevel="0" collapsed="false">
      <c r="A190" s="204" t="s">
        <v>519</v>
      </c>
      <c r="B190" s="193" t="s">
        <v>782</v>
      </c>
      <c r="C190" s="193" t="s">
        <v>875</v>
      </c>
      <c r="D190" s="193"/>
      <c r="E190" s="194" t="n">
        <v>1</v>
      </c>
      <c r="F190" s="195" t="n">
        <v>22</v>
      </c>
      <c r="G190" s="119"/>
      <c r="H190" s="119"/>
      <c r="J190" s="118"/>
      <c r="K190" s="118"/>
      <c r="L190" s="181"/>
      <c r="N190" s="182"/>
      <c r="O190" s="182"/>
      <c r="S190" s="184" t="n">
        <v>1803</v>
      </c>
      <c r="T190" s="185" t="n">
        <v>40725</v>
      </c>
      <c r="U190" s="182"/>
      <c r="V190" s="182"/>
      <c r="W190" s="183"/>
      <c r="X190" s="183"/>
      <c r="Y190" s="184" t="n">
        <v>562</v>
      </c>
      <c r="Z190" s="185" t="n">
        <v>40725</v>
      </c>
      <c r="AA190" s="184" t="n">
        <v>81569</v>
      </c>
      <c r="AB190" s="185" t="n">
        <v>40725</v>
      </c>
      <c r="AC190" s="184" t="n">
        <v>34.4</v>
      </c>
      <c r="AD190" s="185" t="n">
        <v>40725</v>
      </c>
      <c r="AE190" s="196"/>
      <c r="AF190" s="185"/>
      <c r="AG190" s="184" t="n">
        <v>4.21</v>
      </c>
      <c r="AH190" s="185" t="n">
        <v>40725</v>
      </c>
      <c r="AI190" s="183"/>
      <c r="AJ190" s="183"/>
      <c r="AK190" s="182"/>
      <c r="AL190" s="182"/>
      <c r="AM190" s="184" t="n">
        <v>75</v>
      </c>
      <c r="AN190" s="183" t="n">
        <v>40630</v>
      </c>
      <c r="AO190" s="182"/>
      <c r="AP190" s="182"/>
      <c r="AQ190" s="183"/>
      <c r="AR190" s="183"/>
      <c r="AS190" s="182"/>
      <c r="AT190" s="182"/>
      <c r="AU190" s="183"/>
      <c r="AV190" s="183"/>
      <c r="AW190" s="182"/>
      <c r="AX190" s="182"/>
      <c r="AY190" s="183"/>
      <c r="AZ190" s="183"/>
      <c r="BA190" s="182"/>
      <c r="BB190" s="182"/>
      <c r="BK190" s="183"/>
      <c r="BL190" s="183"/>
      <c r="BM190" s="182"/>
      <c r="BN190" s="182"/>
      <c r="BO190" s="183"/>
      <c r="BP190" s="183"/>
      <c r="BQ190" s="182"/>
      <c r="BR190" s="182"/>
      <c r="BS190" s="184" t="n">
        <v>52.5</v>
      </c>
      <c r="BT190" s="185" t="n">
        <v>40725</v>
      </c>
      <c r="BU190" s="184" t="n">
        <v>16.4</v>
      </c>
      <c r="BV190" s="185" t="n">
        <v>40725</v>
      </c>
      <c r="CL190" s="182"/>
      <c r="CM190" s="182"/>
    </row>
    <row r="191" customFormat="false" ht="12.75" hidden="false" customHeight="false" outlineLevel="0" collapsed="false">
      <c r="A191" s="204" t="s">
        <v>519</v>
      </c>
      <c r="B191" s="193" t="s">
        <v>782</v>
      </c>
      <c r="C191" s="193" t="s">
        <v>876</v>
      </c>
      <c r="D191" s="193"/>
      <c r="E191" s="194" t="n">
        <v>8</v>
      </c>
      <c r="F191" s="195" t="n">
        <v>53</v>
      </c>
      <c r="G191" s="119"/>
      <c r="H191" s="119"/>
      <c r="J191" s="118"/>
      <c r="K191" s="118"/>
      <c r="L191" s="181"/>
      <c r="N191" s="182"/>
      <c r="O191" s="182"/>
      <c r="S191" s="184" t="n">
        <v>1133</v>
      </c>
      <c r="T191" s="185" t="n">
        <v>40725</v>
      </c>
      <c r="U191" s="182"/>
      <c r="V191" s="182"/>
      <c r="W191" s="183"/>
      <c r="X191" s="183"/>
      <c r="Y191" s="184" t="n">
        <v>364</v>
      </c>
      <c r="Z191" s="185" t="n">
        <v>40725</v>
      </c>
      <c r="AA191" s="184" t="n">
        <v>50551</v>
      </c>
      <c r="AB191" s="185" t="n">
        <v>40725</v>
      </c>
      <c r="AC191" s="184" t="n">
        <v>21.9</v>
      </c>
      <c r="AD191" s="185" t="n">
        <v>40725</v>
      </c>
      <c r="AE191" s="196"/>
      <c r="AF191" s="185"/>
      <c r="AG191" s="184" t="n">
        <v>4.33</v>
      </c>
      <c r="AH191" s="185" t="n">
        <v>40725</v>
      </c>
      <c r="AI191" s="183"/>
      <c r="AJ191" s="183"/>
      <c r="AK191" s="182"/>
      <c r="AL191" s="182"/>
      <c r="AM191" s="184" t="n">
        <v>73</v>
      </c>
      <c r="AN191" s="183" t="n">
        <v>40630</v>
      </c>
      <c r="AO191" s="182"/>
      <c r="AP191" s="182"/>
      <c r="AQ191" s="183"/>
      <c r="AR191" s="183"/>
      <c r="AS191" s="182"/>
      <c r="AT191" s="182"/>
      <c r="AU191" s="183"/>
      <c r="AV191" s="183"/>
      <c r="AW191" s="182"/>
      <c r="AX191" s="182"/>
      <c r="AY191" s="183"/>
      <c r="AZ191" s="183"/>
      <c r="BA191" s="182"/>
      <c r="BB191" s="182"/>
      <c r="BK191" s="183"/>
      <c r="BL191" s="183"/>
      <c r="BM191" s="182"/>
      <c r="BN191" s="182"/>
      <c r="BO191" s="183"/>
      <c r="BP191" s="183"/>
      <c r="BQ191" s="182"/>
      <c r="BR191" s="182"/>
      <c r="BS191" s="184" t="n">
        <v>51.8</v>
      </c>
      <c r="BT191" s="185" t="n">
        <v>40725</v>
      </c>
      <c r="BU191" s="184" t="n">
        <v>16.6</v>
      </c>
      <c r="BV191" s="185" t="n">
        <v>40725</v>
      </c>
      <c r="CL191" s="182"/>
      <c r="CM191" s="182"/>
    </row>
    <row r="192" customFormat="false" ht="12.75" hidden="false" customHeight="false" outlineLevel="0" collapsed="false">
      <c r="A192" s="204" t="s">
        <v>519</v>
      </c>
      <c r="B192" s="193" t="s">
        <v>782</v>
      </c>
      <c r="C192" s="193" t="s">
        <v>877</v>
      </c>
      <c r="D192" s="193"/>
      <c r="E192" s="119" t="n">
        <v>17</v>
      </c>
      <c r="F192" s="195" t="n">
        <v>89</v>
      </c>
      <c r="G192" s="119"/>
      <c r="H192" s="119"/>
      <c r="J192" s="118"/>
      <c r="K192" s="118"/>
      <c r="L192" s="181"/>
      <c r="N192" s="182"/>
      <c r="O192" s="182"/>
      <c r="S192" s="184" t="n">
        <v>1642</v>
      </c>
      <c r="T192" s="185" t="n">
        <v>40725</v>
      </c>
      <c r="U192" s="182"/>
      <c r="V192" s="182"/>
      <c r="W192" s="183"/>
      <c r="X192" s="183"/>
      <c r="Y192" s="184" t="n">
        <v>545</v>
      </c>
      <c r="Z192" s="185" t="n">
        <v>40725</v>
      </c>
      <c r="AA192" s="184" t="n">
        <v>77688</v>
      </c>
      <c r="AB192" s="185" t="n">
        <v>40725</v>
      </c>
      <c r="AC192" s="184" t="n">
        <v>31.8</v>
      </c>
      <c r="AD192" s="185" t="n">
        <v>40725</v>
      </c>
      <c r="AE192" s="196"/>
      <c r="AF192" s="185"/>
      <c r="AG192" s="184" t="n">
        <v>4.09</v>
      </c>
      <c r="AH192" s="185" t="n">
        <v>40725</v>
      </c>
      <c r="AI192" s="183"/>
      <c r="AJ192" s="183"/>
      <c r="AK192" s="182"/>
      <c r="AL192" s="182"/>
      <c r="AM192" s="184" t="n">
        <v>74</v>
      </c>
      <c r="AN192" s="183" t="n">
        <v>40630</v>
      </c>
      <c r="AO192" s="182"/>
      <c r="AP192" s="182"/>
      <c r="AQ192" s="183"/>
      <c r="AR192" s="183"/>
      <c r="AS192" s="182"/>
      <c r="AT192" s="182"/>
      <c r="AU192" s="183"/>
      <c r="AV192" s="183"/>
      <c r="AW192" s="182"/>
      <c r="AX192" s="182"/>
      <c r="AY192" s="183"/>
      <c r="AZ192" s="183"/>
      <c r="BA192" s="182"/>
      <c r="BB192" s="182"/>
      <c r="BK192" s="183"/>
      <c r="BL192" s="183"/>
      <c r="BM192" s="182"/>
      <c r="BN192" s="182"/>
      <c r="BO192" s="183"/>
      <c r="BP192" s="183"/>
      <c r="BQ192" s="182"/>
      <c r="BR192" s="182"/>
      <c r="BS192" s="184" t="n">
        <v>51.6</v>
      </c>
      <c r="BT192" s="185" t="n">
        <v>40725</v>
      </c>
      <c r="BU192" s="184" t="n">
        <v>17.1</v>
      </c>
      <c r="BV192" s="185" t="n">
        <v>40725</v>
      </c>
      <c r="CL192" s="182"/>
      <c r="CM192" s="182"/>
    </row>
    <row r="193" customFormat="false" ht="12.75" hidden="false" customHeight="false" outlineLevel="0" collapsed="false">
      <c r="A193" s="204" t="s">
        <v>519</v>
      </c>
      <c r="B193" s="193" t="s">
        <v>785</v>
      </c>
      <c r="C193" s="193" t="s">
        <v>875</v>
      </c>
      <c r="D193" s="193"/>
      <c r="E193" s="194" t="n">
        <v>7</v>
      </c>
      <c r="F193" s="195" t="n">
        <v>3</v>
      </c>
      <c r="G193" s="119"/>
      <c r="H193" s="119"/>
      <c r="J193" s="118"/>
      <c r="K193" s="118"/>
      <c r="L193" s="181"/>
      <c r="N193" s="182"/>
      <c r="O193" s="182"/>
      <c r="S193" s="184" t="n">
        <v>2237</v>
      </c>
      <c r="T193" s="185" t="n">
        <v>40725</v>
      </c>
      <c r="U193" s="182"/>
      <c r="V193" s="182"/>
      <c r="W193" s="183"/>
      <c r="X193" s="183"/>
      <c r="Y193" s="184" t="n">
        <v>748</v>
      </c>
      <c r="Z193" s="185" t="n">
        <v>40725</v>
      </c>
      <c r="AA193" s="184" t="n">
        <v>103592</v>
      </c>
      <c r="AB193" s="185" t="n">
        <v>40725</v>
      </c>
      <c r="AC193" s="184" t="n">
        <v>43.2</v>
      </c>
      <c r="AD193" s="185" t="n">
        <v>40725</v>
      </c>
      <c r="AE193" s="196"/>
      <c r="AF193" s="185"/>
      <c r="AG193" s="184" t="n">
        <v>4.17</v>
      </c>
      <c r="AH193" s="185" t="n">
        <v>40725</v>
      </c>
      <c r="AI193" s="183"/>
      <c r="AJ193" s="183"/>
      <c r="AK193" s="182"/>
      <c r="AL193" s="182"/>
      <c r="AM193" s="184" t="n">
        <v>76</v>
      </c>
      <c r="AN193" s="183" t="n">
        <v>40630</v>
      </c>
      <c r="AO193" s="182"/>
      <c r="AP193" s="182"/>
      <c r="AQ193" s="183"/>
      <c r="AR193" s="183"/>
      <c r="AS193" s="182"/>
      <c r="AT193" s="182"/>
      <c r="AU193" s="183"/>
      <c r="AV193" s="183"/>
      <c r="AW193" s="182"/>
      <c r="AX193" s="182"/>
      <c r="AY193" s="183"/>
      <c r="AZ193" s="183"/>
      <c r="BA193" s="182"/>
      <c r="BB193" s="182"/>
      <c r="BK193" s="183"/>
      <c r="BL193" s="183"/>
      <c r="BM193" s="182"/>
      <c r="BN193" s="182"/>
      <c r="BO193" s="183"/>
      <c r="BP193" s="183"/>
      <c r="BQ193" s="182"/>
      <c r="BR193" s="182"/>
      <c r="BS193" s="184" t="n">
        <v>51.8</v>
      </c>
      <c r="BT193" s="185" t="n">
        <v>40725</v>
      </c>
      <c r="BU193" s="184" t="n">
        <v>17.3</v>
      </c>
      <c r="BV193" s="185" t="n">
        <v>40725</v>
      </c>
      <c r="CL193" s="182"/>
      <c r="CM193" s="182"/>
    </row>
    <row r="194" customFormat="false" ht="12.75" hidden="false" customHeight="false" outlineLevel="0" collapsed="false">
      <c r="A194" s="204" t="s">
        <v>519</v>
      </c>
      <c r="B194" s="193" t="s">
        <v>785</v>
      </c>
      <c r="C194" s="193" t="s">
        <v>876</v>
      </c>
      <c r="D194" s="193"/>
      <c r="E194" s="194" t="n">
        <v>3</v>
      </c>
      <c r="F194" s="195" t="n">
        <v>52</v>
      </c>
      <c r="G194" s="119"/>
      <c r="H194" s="119"/>
      <c r="J194" s="118"/>
      <c r="K194" s="118"/>
      <c r="L194" s="181"/>
      <c r="N194" s="182"/>
      <c r="O194" s="182"/>
      <c r="S194" s="184" t="n">
        <v>2131</v>
      </c>
      <c r="T194" s="185" t="n">
        <v>40725</v>
      </c>
      <c r="U194" s="182"/>
      <c r="V194" s="182"/>
      <c r="W194" s="183"/>
      <c r="X194" s="183"/>
      <c r="Y194" s="184" t="n">
        <v>771</v>
      </c>
      <c r="Z194" s="185" t="n">
        <v>40725</v>
      </c>
      <c r="AA194" s="184" t="n">
        <v>97867</v>
      </c>
      <c r="AB194" s="185" t="n">
        <v>40725</v>
      </c>
      <c r="AC194" s="184" t="n">
        <v>42.3</v>
      </c>
      <c r="AD194" s="185" t="n">
        <v>40725</v>
      </c>
      <c r="AE194" s="196"/>
      <c r="AF194" s="185"/>
      <c r="AG194" s="184" t="n">
        <v>4.33</v>
      </c>
      <c r="AH194" s="185" t="n">
        <v>40725</v>
      </c>
      <c r="AI194" s="183"/>
      <c r="AJ194" s="183"/>
      <c r="AK194" s="182"/>
      <c r="AL194" s="182"/>
      <c r="AM194" s="184" t="n">
        <v>75</v>
      </c>
      <c r="AN194" s="183" t="n">
        <v>40630</v>
      </c>
      <c r="AO194" s="182"/>
      <c r="AP194" s="182"/>
      <c r="AQ194" s="183"/>
      <c r="AR194" s="183"/>
      <c r="AS194" s="182"/>
      <c r="AT194" s="182"/>
      <c r="AU194" s="183"/>
      <c r="AV194" s="183"/>
      <c r="AW194" s="182"/>
      <c r="AX194" s="182"/>
      <c r="AY194" s="183"/>
      <c r="AZ194" s="183"/>
      <c r="BA194" s="182"/>
      <c r="BB194" s="182"/>
      <c r="BK194" s="183"/>
      <c r="BL194" s="183"/>
      <c r="BM194" s="182"/>
      <c r="BN194" s="182"/>
      <c r="BO194" s="183"/>
      <c r="BP194" s="183"/>
      <c r="BQ194" s="182"/>
      <c r="BR194" s="182"/>
      <c r="BS194" s="184" t="n">
        <v>50.3</v>
      </c>
      <c r="BT194" s="185" t="n">
        <v>40725</v>
      </c>
      <c r="BU194" s="184" t="n">
        <v>18.2</v>
      </c>
      <c r="BV194" s="185" t="n">
        <v>40725</v>
      </c>
      <c r="CL194" s="182"/>
      <c r="CM194" s="182"/>
    </row>
    <row r="195" customFormat="false" ht="12.75" hidden="false" customHeight="false" outlineLevel="0" collapsed="false">
      <c r="A195" s="204" t="s">
        <v>519</v>
      </c>
      <c r="B195" s="193" t="s">
        <v>785</v>
      </c>
      <c r="C195" s="193" t="s">
        <v>877</v>
      </c>
      <c r="D195" s="193"/>
      <c r="E195" s="119" t="n">
        <v>21</v>
      </c>
      <c r="F195" s="195" t="n">
        <v>68</v>
      </c>
      <c r="G195" s="119"/>
      <c r="H195" s="119"/>
      <c r="J195" s="118"/>
      <c r="K195" s="118"/>
      <c r="L195" s="181"/>
      <c r="N195" s="182"/>
      <c r="O195" s="182"/>
      <c r="S195" s="184" t="n">
        <v>1904</v>
      </c>
      <c r="T195" s="185" t="n">
        <v>40725</v>
      </c>
      <c r="U195" s="182"/>
      <c r="V195" s="182"/>
      <c r="W195" s="183"/>
      <c r="X195" s="183"/>
      <c r="Y195" s="184" t="n">
        <v>678</v>
      </c>
      <c r="Z195" s="185" t="n">
        <v>40725</v>
      </c>
      <c r="AA195" s="184" t="n">
        <v>88972</v>
      </c>
      <c r="AB195" s="185" t="n">
        <v>40725</v>
      </c>
      <c r="AC195" s="184" t="n">
        <v>37.7</v>
      </c>
      <c r="AD195" s="185" t="n">
        <v>40725</v>
      </c>
      <c r="AE195" s="196"/>
      <c r="AF195" s="185"/>
      <c r="AG195" s="184" t="n">
        <v>4.24</v>
      </c>
      <c r="AH195" s="185" t="n">
        <v>40725</v>
      </c>
      <c r="AI195" s="183"/>
      <c r="AJ195" s="183"/>
      <c r="AK195" s="182"/>
      <c r="AL195" s="182"/>
      <c r="AM195" s="184" t="n">
        <v>75</v>
      </c>
      <c r="AN195" s="183" t="n">
        <v>40630</v>
      </c>
      <c r="AO195" s="182"/>
      <c r="AP195" s="182"/>
      <c r="AQ195" s="183"/>
      <c r="AR195" s="183"/>
      <c r="AS195" s="182"/>
      <c r="AT195" s="182"/>
      <c r="AU195" s="183"/>
      <c r="AV195" s="183"/>
      <c r="AW195" s="182"/>
      <c r="AX195" s="182"/>
      <c r="AY195" s="183"/>
      <c r="AZ195" s="183"/>
      <c r="BA195" s="182"/>
      <c r="BB195" s="182"/>
      <c r="BK195" s="183"/>
      <c r="BL195" s="183"/>
      <c r="BM195" s="182"/>
      <c r="BN195" s="182"/>
      <c r="BO195" s="183"/>
      <c r="BP195" s="183"/>
      <c r="BQ195" s="182"/>
      <c r="BR195" s="182"/>
      <c r="BS195" s="184" t="n">
        <v>50.5</v>
      </c>
      <c r="BT195" s="185" t="n">
        <v>40725</v>
      </c>
      <c r="BU195" s="184" t="n">
        <v>18</v>
      </c>
      <c r="BV195" s="185" t="n">
        <v>40725</v>
      </c>
      <c r="CL195" s="182"/>
      <c r="CM195" s="182"/>
    </row>
    <row r="196" customFormat="false" ht="12.75" hidden="false" customHeight="false" outlineLevel="0" collapsed="false">
      <c r="A196" s="204" t="s">
        <v>522</v>
      </c>
      <c r="B196" s="193" t="s">
        <v>782</v>
      </c>
      <c r="C196" s="193" t="s">
        <v>875</v>
      </c>
      <c r="D196" s="193"/>
      <c r="E196" s="194" t="n">
        <v>1</v>
      </c>
      <c r="F196" s="195" t="n">
        <v>32</v>
      </c>
      <c r="G196" s="119"/>
      <c r="H196" s="119"/>
      <c r="J196" s="118"/>
      <c r="K196" s="118"/>
      <c r="L196" s="181"/>
      <c r="N196" s="182"/>
      <c r="O196" s="182"/>
      <c r="S196" s="184" t="n">
        <v>1952</v>
      </c>
      <c r="T196" s="185" t="n">
        <v>40725</v>
      </c>
      <c r="U196" s="182"/>
      <c r="V196" s="182"/>
      <c r="W196" s="183"/>
      <c r="X196" s="183"/>
      <c r="Y196" s="184" t="n">
        <v>554</v>
      </c>
      <c r="Z196" s="185" t="n">
        <v>40725</v>
      </c>
      <c r="AA196" s="184" t="n">
        <v>83271</v>
      </c>
      <c r="AB196" s="185" t="n">
        <v>40725</v>
      </c>
      <c r="AC196" s="184" t="n">
        <v>36.4</v>
      </c>
      <c r="AD196" s="185" t="n">
        <v>40725</v>
      </c>
      <c r="AE196" s="196"/>
      <c r="AF196" s="185"/>
      <c r="AG196" s="184" t="n">
        <v>4.37</v>
      </c>
      <c r="AH196" s="185" t="n">
        <v>40725</v>
      </c>
      <c r="AI196" s="183"/>
      <c r="AJ196" s="183"/>
      <c r="AK196" s="182"/>
      <c r="AL196" s="182"/>
      <c r="AM196" s="184" t="n">
        <v>75</v>
      </c>
      <c r="AN196" s="183" t="n">
        <v>40630</v>
      </c>
      <c r="AO196" s="182"/>
      <c r="AP196" s="182"/>
      <c r="AQ196" s="183"/>
      <c r="AR196" s="183"/>
      <c r="AS196" s="182"/>
      <c r="AT196" s="182"/>
      <c r="AU196" s="183"/>
      <c r="AV196" s="183"/>
      <c r="AW196" s="182"/>
      <c r="AX196" s="182"/>
      <c r="AY196" s="183"/>
      <c r="AZ196" s="183"/>
      <c r="BA196" s="182"/>
      <c r="BB196" s="182"/>
      <c r="BK196" s="183"/>
      <c r="BL196" s="183"/>
      <c r="BM196" s="182"/>
      <c r="BN196" s="182"/>
      <c r="BO196" s="183"/>
      <c r="BP196" s="183"/>
      <c r="BQ196" s="182"/>
      <c r="BR196" s="182"/>
      <c r="BS196" s="184" t="n">
        <v>53.6</v>
      </c>
      <c r="BT196" s="185" t="n">
        <v>40725</v>
      </c>
      <c r="BU196" s="184" t="n">
        <v>15.2</v>
      </c>
      <c r="BV196" s="185" t="n">
        <v>40725</v>
      </c>
      <c r="CL196" s="182"/>
      <c r="CM196" s="182"/>
    </row>
    <row r="197" customFormat="false" ht="12.75" hidden="false" customHeight="false" outlineLevel="0" collapsed="false">
      <c r="A197" s="204" t="s">
        <v>522</v>
      </c>
      <c r="B197" s="193" t="s">
        <v>782</v>
      </c>
      <c r="C197" s="193" t="s">
        <v>876</v>
      </c>
      <c r="D197" s="193"/>
      <c r="E197" s="194" t="n">
        <v>6</v>
      </c>
      <c r="F197" s="195" t="n">
        <v>49</v>
      </c>
      <c r="G197" s="119"/>
      <c r="H197" s="119"/>
      <c r="J197" s="118"/>
      <c r="K197" s="118"/>
      <c r="L197" s="181"/>
      <c r="N197" s="182"/>
      <c r="O197" s="182"/>
      <c r="S197" s="184" t="n">
        <v>1594</v>
      </c>
      <c r="T197" s="185" t="n">
        <v>40725</v>
      </c>
      <c r="U197" s="182"/>
      <c r="V197" s="182"/>
      <c r="W197" s="183"/>
      <c r="X197" s="183"/>
      <c r="Y197" s="184" t="n">
        <v>549</v>
      </c>
      <c r="Z197" s="185" t="n">
        <v>40725</v>
      </c>
      <c r="AA197" s="184" t="n">
        <v>66637</v>
      </c>
      <c r="AB197" s="185" t="n">
        <v>40725</v>
      </c>
      <c r="AC197" s="184" t="n">
        <v>31.1</v>
      </c>
      <c r="AD197" s="185" t="n">
        <v>40725</v>
      </c>
      <c r="AE197" s="196"/>
      <c r="AF197" s="185"/>
      <c r="AG197" s="184" t="n">
        <v>4.67</v>
      </c>
      <c r="AH197" s="185" t="n">
        <v>40725</v>
      </c>
      <c r="AI197" s="183"/>
      <c r="AJ197" s="183"/>
      <c r="AK197" s="182"/>
      <c r="AL197" s="182"/>
      <c r="AM197" s="184" t="n">
        <v>75</v>
      </c>
      <c r="AN197" s="183" t="n">
        <v>40630</v>
      </c>
      <c r="AO197" s="182"/>
      <c r="AP197" s="182"/>
      <c r="AQ197" s="183"/>
      <c r="AR197" s="183"/>
      <c r="AS197" s="182"/>
      <c r="AT197" s="182"/>
      <c r="AU197" s="183"/>
      <c r="AV197" s="183"/>
      <c r="AW197" s="182"/>
      <c r="AX197" s="182"/>
      <c r="AY197" s="183"/>
      <c r="AZ197" s="183"/>
      <c r="BA197" s="182"/>
      <c r="BB197" s="182"/>
      <c r="BK197" s="183"/>
      <c r="BL197" s="183"/>
      <c r="BM197" s="182"/>
      <c r="BN197" s="182"/>
      <c r="BO197" s="183"/>
      <c r="BP197" s="183"/>
      <c r="BQ197" s="182"/>
      <c r="BR197" s="182"/>
      <c r="BS197" s="184" t="n">
        <v>51.2</v>
      </c>
      <c r="BT197" s="185" t="n">
        <v>40725</v>
      </c>
      <c r="BU197" s="184" t="n">
        <v>17.6</v>
      </c>
      <c r="BV197" s="185" t="n">
        <v>40725</v>
      </c>
      <c r="CL197" s="182"/>
      <c r="CM197" s="182"/>
    </row>
    <row r="198" customFormat="false" ht="12.75" hidden="false" customHeight="false" outlineLevel="0" collapsed="false">
      <c r="A198" s="204" t="s">
        <v>522</v>
      </c>
      <c r="B198" s="193" t="s">
        <v>782</v>
      </c>
      <c r="C198" s="193" t="s">
        <v>877</v>
      </c>
      <c r="D198" s="193"/>
      <c r="E198" s="119" t="n">
        <v>19</v>
      </c>
      <c r="F198" s="195" t="n">
        <v>83</v>
      </c>
      <c r="G198" s="119"/>
      <c r="H198" s="119"/>
      <c r="J198" s="118"/>
      <c r="K198" s="118"/>
      <c r="L198" s="181"/>
      <c r="N198" s="182"/>
      <c r="O198" s="182"/>
      <c r="S198" s="184" t="n">
        <v>1596</v>
      </c>
      <c r="T198" s="185" t="n">
        <v>40725</v>
      </c>
      <c r="U198" s="182"/>
      <c r="V198" s="182"/>
      <c r="W198" s="183"/>
      <c r="X198" s="183"/>
      <c r="Y198" s="184" t="n">
        <v>507</v>
      </c>
      <c r="Z198" s="185" t="n">
        <v>40725</v>
      </c>
      <c r="AA198" s="184" t="n">
        <v>69720</v>
      </c>
      <c r="AB198" s="185" t="n">
        <v>40725</v>
      </c>
      <c r="AC198" s="184" t="n">
        <v>30.6</v>
      </c>
      <c r="AD198" s="185" t="n">
        <v>40725</v>
      </c>
      <c r="AE198" s="196"/>
      <c r="AF198" s="185"/>
      <c r="AG198" s="184" t="n">
        <v>4.4</v>
      </c>
      <c r="AH198" s="185" t="n">
        <v>40725</v>
      </c>
      <c r="AI198" s="183"/>
      <c r="AJ198" s="183"/>
      <c r="AK198" s="182"/>
      <c r="AL198" s="182"/>
      <c r="AM198" s="184" t="n">
        <v>74</v>
      </c>
      <c r="AN198" s="183" t="n">
        <v>40630</v>
      </c>
      <c r="AO198" s="182"/>
      <c r="AP198" s="182"/>
      <c r="AQ198" s="183"/>
      <c r="AR198" s="183"/>
      <c r="AS198" s="182"/>
      <c r="AT198" s="182"/>
      <c r="AU198" s="183"/>
      <c r="AV198" s="183"/>
      <c r="AW198" s="182"/>
      <c r="AX198" s="182"/>
      <c r="AY198" s="183"/>
      <c r="AZ198" s="183"/>
      <c r="BA198" s="182"/>
      <c r="BB198" s="182"/>
      <c r="BK198" s="183"/>
      <c r="BL198" s="183"/>
      <c r="BM198" s="182"/>
      <c r="BN198" s="182"/>
      <c r="BO198" s="183"/>
      <c r="BP198" s="183"/>
      <c r="BQ198" s="182"/>
      <c r="BR198" s="182"/>
      <c r="BS198" s="184" t="n">
        <v>52.1</v>
      </c>
      <c r="BT198" s="185" t="n">
        <v>40725</v>
      </c>
      <c r="BU198" s="184" t="n">
        <v>16.5</v>
      </c>
      <c r="BV198" s="185" t="n">
        <v>40725</v>
      </c>
      <c r="CL198" s="182"/>
      <c r="CM198" s="182"/>
    </row>
    <row r="199" customFormat="false" ht="12.75" hidden="false" customHeight="false" outlineLevel="0" collapsed="false">
      <c r="A199" s="204" t="s">
        <v>522</v>
      </c>
      <c r="B199" s="193" t="s">
        <v>785</v>
      </c>
      <c r="C199" s="193" t="s">
        <v>875</v>
      </c>
      <c r="D199" s="193"/>
      <c r="E199" s="194" t="n">
        <v>8</v>
      </c>
      <c r="F199" s="195" t="n">
        <v>25</v>
      </c>
      <c r="G199" s="119"/>
      <c r="H199" s="119"/>
      <c r="J199" s="118"/>
      <c r="K199" s="118"/>
      <c r="L199" s="181"/>
      <c r="N199" s="182"/>
      <c r="O199" s="182"/>
      <c r="S199" s="184" t="n">
        <v>1995</v>
      </c>
      <c r="T199" s="185" t="n">
        <v>40725</v>
      </c>
      <c r="U199" s="182"/>
      <c r="V199" s="182"/>
      <c r="W199" s="183"/>
      <c r="X199" s="183"/>
      <c r="Y199" s="184" t="n">
        <v>662</v>
      </c>
      <c r="Z199" s="185" t="n">
        <v>40725</v>
      </c>
      <c r="AA199" s="184" t="n">
        <v>91494</v>
      </c>
      <c r="AB199" s="185" t="n">
        <v>40725</v>
      </c>
      <c r="AC199" s="184" t="n">
        <v>39</v>
      </c>
      <c r="AD199" s="185" t="n">
        <v>40725</v>
      </c>
      <c r="AE199" s="196"/>
      <c r="AF199" s="185"/>
      <c r="AG199" s="184" t="n">
        <v>4.27</v>
      </c>
      <c r="AH199" s="185" t="n">
        <v>40725</v>
      </c>
      <c r="AI199" s="183"/>
      <c r="AJ199" s="183"/>
      <c r="AK199" s="182"/>
      <c r="AL199" s="182"/>
      <c r="AM199" s="184" t="n">
        <v>77</v>
      </c>
      <c r="AN199" s="183" t="n">
        <v>40630</v>
      </c>
      <c r="AO199" s="182"/>
      <c r="AP199" s="182"/>
      <c r="AQ199" s="183"/>
      <c r="AR199" s="183"/>
      <c r="AS199" s="182"/>
      <c r="AT199" s="182"/>
      <c r="AU199" s="183"/>
      <c r="AV199" s="183"/>
      <c r="AW199" s="182"/>
      <c r="AX199" s="182"/>
      <c r="AY199" s="183"/>
      <c r="AZ199" s="183"/>
      <c r="BA199" s="182"/>
      <c r="BB199" s="182"/>
      <c r="BK199" s="183"/>
      <c r="BL199" s="183"/>
      <c r="BM199" s="182"/>
      <c r="BN199" s="182"/>
      <c r="BO199" s="183"/>
      <c r="BP199" s="183"/>
      <c r="BQ199" s="182"/>
      <c r="BR199" s="182"/>
      <c r="BS199" s="184" t="n">
        <v>51.1</v>
      </c>
      <c r="BT199" s="185" t="n">
        <v>40725</v>
      </c>
      <c r="BU199" s="184" t="n">
        <v>17</v>
      </c>
      <c r="BV199" s="185" t="n">
        <v>40725</v>
      </c>
      <c r="CL199" s="182"/>
      <c r="CM199" s="182"/>
    </row>
    <row r="200" customFormat="false" ht="12.75" hidden="false" customHeight="false" outlineLevel="0" collapsed="false">
      <c r="A200" s="204" t="s">
        <v>522</v>
      </c>
      <c r="B200" s="193" t="s">
        <v>785</v>
      </c>
      <c r="C200" s="193" t="s">
        <v>876</v>
      </c>
      <c r="D200" s="193"/>
      <c r="E200" s="194" t="n">
        <v>3</v>
      </c>
      <c r="F200" s="195" t="n">
        <v>44</v>
      </c>
      <c r="G200" s="119"/>
      <c r="H200" s="119"/>
      <c r="J200" s="118"/>
      <c r="K200" s="118"/>
      <c r="L200" s="181"/>
      <c r="N200" s="182"/>
      <c r="O200" s="182"/>
      <c r="S200" s="184" t="n">
        <v>2180</v>
      </c>
      <c r="T200" s="185" t="n">
        <v>40725</v>
      </c>
      <c r="U200" s="182"/>
      <c r="V200" s="182"/>
      <c r="W200" s="183"/>
      <c r="X200" s="183"/>
      <c r="Y200" s="184" t="n">
        <v>735</v>
      </c>
      <c r="Z200" s="185" t="n">
        <v>40725</v>
      </c>
      <c r="AA200" s="184" t="n">
        <v>96266</v>
      </c>
      <c r="AB200" s="185" t="n">
        <v>40725</v>
      </c>
      <c r="AC200" s="184" t="n">
        <v>42.1</v>
      </c>
      <c r="AD200" s="185" t="n">
        <v>40725</v>
      </c>
      <c r="AE200" s="196"/>
      <c r="AF200" s="185"/>
      <c r="AG200" s="184" t="n">
        <v>4.38</v>
      </c>
      <c r="AH200" s="185" t="n">
        <v>40725</v>
      </c>
      <c r="AI200" s="183"/>
      <c r="AJ200" s="183"/>
      <c r="AK200" s="182"/>
      <c r="AL200" s="182"/>
      <c r="AM200" s="184" t="n">
        <v>77</v>
      </c>
      <c r="AN200" s="183" t="n">
        <v>40630</v>
      </c>
      <c r="AO200" s="182"/>
      <c r="AP200" s="182"/>
      <c r="AQ200" s="183"/>
      <c r="AR200" s="183"/>
      <c r="AS200" s="182"/>
      <c r="AT200" s="182"/>
      <c r="AU200" s="183"/>
      <c r="AV200" s="183"/>
      <c r="AW200" s="182"/>
      <c r="AX200" s="182"/>
      <c r="AY200" s="183"/>
      <c r="AZ200" s="183"/>
      <c r="BA200" s="182"/>
      <c r="BB200" s="182"/>
      <c r="BK200" s="183"/>
      <c r="BL200" s="183"/>
      <c r="BM200" s="182"/>
      <c r="BN200" s="182"/>
      <c r="BO200" s="183"/>
      <c r="BP200" s="183"/>
      <c r="BQ200" s="182"/>
      <c r="BR200" s="182"/>
      <c r="BS200" s="184" t="n">
        <v>51.7</v>
      </c>
      <c r="BT200" s="185" t="n">
        <v>40725</v>
      </c>
      <c r="BU200" s="184" t="n">
        <v>17.4</v>
      </c>
      <c r="BV200" s="185" t="n">
        <v>40725</v>
      </c>
      <c r="CL200" s="182"/>
      <c r="CM200" s="182"/>
    </row>
    <row r="201" customFormat="false" ht="12.75" hidden="false" customHeight="false" outlineLevel="0" collapsed="false">
      <c r="A201" s="204" t="s">
        <v>522</v>
      </c>
      <c r="B201" s="193" t="s">
        <v>785</v>
      </c>
      <c r="C201" s="193" t="s">
        <v>877</v>
      </c>
      <c r="D201" s="193"/>
      <c r="E201" s="119" t="n">
        <v>23</v>
      </c>
      <c r="F201" s="195" t="n">
        <v>78</v>
      </c>
      <c r="G201" s="119"/>
      <c r="H201" s="119"/>
      <c r="J201" s="118"/>
      <c r="K201" s="118"/>
      <c r="L201" s="181"/>
      <c r="N201" s="182"/>
      <c r="O201" s="182"/>
      <c r="S201" s="184" t="n">
        <v>1809</v>
      </c>
      <c r="T201" s="185" t="n">
        <v>40725</v>
      </c>
      <c r="U201" s="182"/>
      <c r="V201" s="182"/>
      <c r="W201" s="183"/>
      <c r="X201" s="183"/>
      <c r="Y201" s="184" t="n">
        <v>587</v>
      </c>
      <c r="Z201" s="185" t="n">
        <v>40725</v>
      </c>
      <c r="AA201" s="184" t="n">
        <v>78942</v>
      </c>
      <c r="AB201" s="185" t="n">
        <v>40725</v>
      </c>
      <c r="AC201" s="184" t="n">
        <v>34.7</v>
      </c>
      <c r="AD201" s="185" t="n">
        <v>40725</v>
      </c>
      <c r="AE201" s="196"/>
      <c r="AF201" s="185"/>
      <c r="AG201" s="184" t="n">
        <v>4.39</v>
      </c>
      <c r="AH201" s="185" t="n">
        <v>40725</v>
      </c>
      <c r="AI201" s="183"/>
      <c r="AJ201" s="183"/>
      <c r="AK201" s="182"/>
      <c r="AL201" s="182"/>
      <c r="AM201" s="184" t="n">
        <v>75</v>
      </c>
      <c r="AN201" s="183" t="n">
        <v>40630</v>
      </c>
      <c r="AO201" s="182"/>
      <c r="AP201" s="182"/>
      <c r="AQ201" s="183"/>
      <c r="AR201" s="183"/>
      <c r="AS201" s="182"/>
      <c r="AT201" s="182"/>
      <c r="AU201" s="183"/>
      <c r="AV201" s="183"/>
      <c r="AW201" s="182"/>
      <c r="AX201" s="182"/>
      <c r="AY201" s="183"/>
      <c r="AZ201" s="183"/>
      <c r="BA201" s="182"/>
      <c r="BB201" s="182"/>
      <c r="BK201" s="183"/>
      <c r="BL201" s="183"/>
      <c r="BM201" s="182"/>
      <c r="BN201" s="182"/>
      <c r="BO201" s="183"/>
      <c r="BP201" s="183"/>
      <c r="BQ201" s="182"/>
      <c r="BR201" s="182"/>
      <c r="BS201" s="184" t="n">
        <v>52.2</v>
      </c>
      <c r="BT201" s="185" t="n">
        <v>40725</v>
      </c>
      <c r="BU201" s="184" t="n">
        <v>16.9</v>
      </c>
      <c r="BV201" s="185" t="n">
        <v>40725</v>
      </c>
      <c r="CL201" s="182"/>
      <c r="CM201" s="182"/>
    </row>
    <row r="202" customFormat="false" ht="12.75" hidden="false" customHeight="false" outlineLevel="0" collapsed="false">
      <c r="A202" s="204" t="s">
        <v>525</v>
      </c>
      <c r="B202" s="193" t="s">
        <v>782</v>
      </c>
      <c r="C202" s="193" t="s">
        <v>875</v>
      </c>
      <c r="D202" s="193"/>
      <c r="E202" s="194" t="n">
        <v>1</v>
      </c>
      <c r="F202" s="195" t="n">
        <v>3</v>
      </c>
      <c r="G202" s="119"/>
      <c r="H202" s="119"/>
      <c r="J202" s="118"/>
      <c r="K202" s="118"/>
      <c r="L202" s="181"/>
      <c r="N202" s="182"/>
      <c r="O202" s="182"/>
      <c r="S202" s="184" t="n">
        <v>1891</v>
      </c>
      <c r="T202" s="185" t="n">
        <v>40725</v>
      </c>
      <c r="U202" s="182"/>
      <c r="V202" s="182"/>
      <c r="W202" s="183"/>
      <c r="X202" s="183"/>
      <c r="Y202" s="184" t="n">
        <v>528</v>
      </c>
      <c r="Z202" s="185" t="n">
        <v>40725</v>
      </c>
      <c r="AA202" s="184" t="n">
        <v>87845</v>
      </c>
      <c r="AB202" s="185" t="n">
        <v>40725</v>
      </c>
      <c r="AC202" s="184" t="n">
        <v>35.5</v>
      </c>
      <c r="AD202" s="185" t="n">
        <v>40725</v>
      </c>
      <c r="AE202" s="196"/>
      <c r="AF202" s="185"/>
      <c r="AG202" s="184" t="n">
        <v>4.04</v>
      </c>
      <c r="AH202" s="185" t="n">
        <v>40725</v>
      </c>
      <c r="AI202" s="183"/>
      <c r="AJ202" s="183"/>
      <c r="AK202" s="182"/>
      <c r="AL202" s="182"/>
      <c r="AM202" s="184" t="n">
        <v>85</v>
      </c>
      <c r="AN202" s="183" t="n">
        <v>40630</v>
      </c>
      <c r="AO202" s="182"/>
      <c r="AP202" s="182"/>
      <c r="AQ202" s="183"/>
      <c r="AR202" s="183"/>
      <c r="AS202" s="182"/>
      <c r="AT202" s="182"/>
      <c r="AU202" s="183"/>
      <c r="AV202" s="183"/>
      <c r="AW202" s="182"/>
      <c r="AX202" s="182"/>
      <c r="AY202" s="183"/>
      <c r="AZ202" s="183"/>
      <c r="BA202" s="182"/>
      <c r="BB202" s="182"/>
      <c r="BK202" s="183"/>
      <c r="BL202" s="183"/>
      <c r="BM202" s="182"/>
      <c r="BN202" s="182"/>
      <c r="BO202" s="183"/>
      <c r="BP202" s="183"/>
      <c r="BQ202" s="182"/>
      <c r="BR202" s="182"/>
      <c r="BS202" s="184" t="n">
        <v>53.2</v>
      </c>
      <c r="BT202" s="185" t="n">
        <v>40725</v>
      </c>
      <c r="BU202" s="184" t="n">
        <v>14.9</v>
      </c>
      <c r="BV202" s="185" t="n">
        <v>40725</v>
      </c>
      <c r="CL202" s="182"/>
      <c r="CM202" s="182"/>
    </row>
    <row r="203" customFormat="false" ht="12.75" hidden="false" customHeight="false" outlineLevel="0" collapsed="false">
      <c r="A203" s="204" t="s">
        <v>525</v>
      </c>
      <c r="B203" s="193" t="s">
        <v>782</v>
      </c>
      <c r="C203" s="193" t="s">
        <v>876</v>
      </c>
      <c r="D203" s="193"/>
      <c r="E203" s="194" t="n">
        <v>6</v>
      </c>
      <c r="F203" s="195" t="n">
        <v>59</v>
      </c>
      <c r="G203" s="119"/>
      <c r="H203" s="119"/>
      <c r="J203" s="118"/>
      <c r="K203" s="118"/>
      <c r="L203" s="181"/>
      <c r="N203" s="182"/>
      <c r="O203" s="182"/>
      <c r="S203" s="184" t="n">
        <v>1525</v>
      </c>
      <c r="T203" s="185" t="n">
        <v>40725</v>
      </c>
      <c r="U203" s="182"/>
      <c r="V203" s="182"/>
      <c r="W203" s="183"/>
      <c r="X203" s="183"/>
      <c r="Y203" s="184" t="n">
        <v>429</v>
      </c>
      <c r="Z203" s="185" t="n">
        <v>40725</v>
      </c>
      <c r="AA203" s="184" t="n">
        <v>71435</v>
      </c>
      <c r="AB203" s="185" t="n">
        <v>40725</v>
      </c>
      <c r="AC203" s="184" t="n">
        <v>28.4</v>
      </c>
      <c r="AD203" s="185" t="n">
        <v>40725</v>
      </c>
      <c r="AE203" s="196"/>
      <c r="AF203" s="185"/>
      <c r="AG203" s="184" t="n">
        <v>3.97</v>
      </c>
      <c r="AH203" s="185" t="n">
        <v>40725</v>
      </c>
      <c r="AI203" s="183"/>
      <c r="AJ203" s="183"/>
      <c r="AK203" s="182"/>
      <c r="AL203" s="182"/>
      <c r="AM203" s="184" t="n">
        <v>84</v>
      </c>
      <c r="AN203" s="183" t="n">
        <v>40630</v>
      </c>
      <c r="AO203" s="182"/>
      <c r="AP203" s="182"/>
      <c r="AQ203" s="183"/>
      <c r="AR203" s="183"/>
      <c r="AS203" s="182"/>
      <c r="AT203" s="182"/>
      <c r="AU203" s="183"/>
      <c r="AV203" s="183"/>
      <c r="AW203" s="182"/>
      <c r="AX203" s="182"/>
      <c r="AY203" s="183"/>
      <c r="AZ203" s="183"/>
      <c r="BA203" s="182"/>
      <c r="BB203" s="182"/>
      <c r="BK203" s="183"/>
      <c r="BL203" s="183"/>
      <c r="BM203" s="182"/>
      <c r="BN203" s="182"/>
      <c r="BO203" s="183"/>
      <c r="BP203" s="183"/>
      <c r="BQ203" s="182"/>
      <c r="BR203" s="182"/>
      <c r="BS203" s="184" t="n">
        <v>53.8</v>
      </c>
      <c r="BT203" s="185" t="n">
        <v>40725</v>
      </c>
      <c r="BU203" s="184" t="n">
        <v>15.1</v>
      </c>
      <c r="BV203" s="185" t="n">
        <v>40725</v>
      </c>
      <c r="CL203" s="182"/>
      <c r="CM203" s="182"/>
    </row>
    <row r="204" customFormat="false" ht="12.75" hidden="false" customHeight="false" outlineLevel="0" collapsed="false">
      <c r="A204" s="204" t="s">
        <v>525</v>
      </c>
      <c r="B204" s="193" t="s">
        <v>782</v>
      </c>
      <c r="C204" s="193" t="s">
        <v>877</v>
      </c>
      <c r="D204" s="193"/>
      <c r="E204" s="119" t="n">
        <v>18</v>
      </c>
      <c r="F204" s="195" t="n">
        <v>74</v>
      </c>
      <c r="G204" s="119"/>
      <c r="H204" s="119"/>
      <c r="J204" s="118"/>
      <c r="K204" s="118"/>
      <c r="L204" s="181"/>
      <c r="N204" s="182"/>
      <c r="O204" s="182"/>
      <c r="S204" s="184" t="n">
        <v>1542</v>
      </c>
      <c r="T204" s="185" t="n">
        <v>40725</v>
      </c>
      <c r="U204" s="182"/>
      <c r="V204" s="182"/>
      <c r="W204" s="183"/>
      <c r="X204" s="183"/>
      <c r="Y204" s="184" t="n">
        <v>488</v>
      </c>
      <c r="Z204" s="185" t="n">
        <v>40725</v>
      </c>
      <c r="AA204" s="184" t="n">
        <v>70760</v>
      </c>
      <c r="AB204" s="185" t="n">
        <v>40725</v>
      </c>
      <c r="AC204" s="184" t="n">
        <v>29.8</v>
      </c>
      <c r="AD204" s="185" t="n">
        <v>40725</v>
      </c>
      <c r="AE204" s="196"/>
      <c r="AF204" s="185"/>
      <c r="AG204" s="184" t="n">
        <v>4.2</v>
      </c>
      <c r="AH204" s="185" t="n">
        <v>40725</v>
      </c>
      <c r="AI204" s="183"/>
      <c r="AJ204" s="183"/>
      <c r="AK204" s="182"/>
      <c r="AL204" s="182"/>
      <c r="AM204" s="184" t="n">
        <v>83</v>
      </c>
      <c r="AN204" s="183" t="n">
        <v>40630</v>
      </c>
      <c r="AO204" s="182"/>
      <c r="AP204" s="182"/>
      <c r="AQ204" s="183"/>
      <c r="AR204" s="183"/>
      <c r="AS204" s="182"/>
      <c r="AT204" s="182"/>
      <c r="AU204" s="183"/>
      <c r="AV204" s="183"/>
      <c r="AW204" s="182"/>
      <c r="AX204" s="182"/>
      <c r="AY204" s="183"/>
      <c r="AZ204" s="183"/>
      <c r="BA204" s="182"/>
      <c r="BB204" s="182"/>
      <c r="BK204" s="183"/>
      <c r="BL204" s="183"/>
      <c r="BM204" s="182"/>
      <c r="BN204" s="182"/>
      <c r="BO204" s="183"/>
      <c r="BP204" s="183"/>
      <c r="BQ204" s="182"/>
      <c r="BR204" s="182"/>
      <c r="BS204" s="184" t="n">
        <v>51.8</v>
      </c>
      <c r="BT204" s="185" t="n">
        <v>40725</v>
      </c>
      <c r="BU204" s="184" t="n">
        <v>16.4</v>
      </c>
      <c r="BV204" s="185" t="n">
        <v>40725</v>
      </c>
      <c r="CL204" s="182"/>
      <c r="CM204" s="182"/>
    </row>
    <row r="205" customFormat="false" ht="12.75" hidden="false" customHeight="false" outlineLevel="0" collapsed="false">
      <c r="A205" s="204" t="s">
        <v>525</v>
      </c>
      <c r="B205" s="193" t="s">
        <v>785</v>
      </c>
      <c r="C205" s="193" t="s">
        <v>875</v>
      </c>
      <c r="D205" s="193"/>
      <c r="E205" s="194" t="n">
        <v>7</v>
      </c>
      <c r="F205" s="195" t="n">
        <v>8</v>
      </c>
      <c r="G205" s="119"/>
      <c r="H205" s="119"/>
      <c r="J205" s="118"/>
      <c r="K205" s="118"/>
      <c r="L205" s="181"/>
      <c r="N205" s="182"/>
      <c r="O205" s="182"/>
      <c r="S205" s="184" t="n">
        <v>2301</v>
      </c>
      <c r="T205" s="185" t="n">
        <v>40725</v>
      </c>
      <c r="U205" s="182"/>
      <c r="V205" s="182"/>
      <c r="W205" s="183"/>
      <c r="X205" s="183"/>
      <c r="Y205" s="184" t="n">
        <v>665</v>
      </c>
      <c r="Z205" s="185" t="n">
        <v>40725</v>
      </c>
      <c r="AA205" s="184" t="n">
        <v>106027</v>
      </c>
      <c r="AB205" s="185" t="n">
        <v>40725</v>
      </c>
      <c r="AC205" s="184" t="n">
        <v>43.2</v>
      </c>
      <c r="AD205" s="185" t="n">
        <v>40725</v>
      </c>
      <c r="AE205" s="196"/>
      <c r="AF205" s="185"/>
      <c r="AG205" s="184" t="n">
        <v>4.07</v>
      </c>
      <c r="AH205" s="185" t="n">
        <v>40725</v>
      </c>
      <c r="AI205" s="183"/>
      <c r="AJ205" s="183"/>
      <c r="AK205" s="182"/>
      <c r="AL205" s="182"/>
      <c r="AM205" s="184" t="n">
        <v>87</v>
      </c>
      <c r="AN205" s="183" t="n">
        <v>40630</v>
      </c>
      <c r="AO205" s="182"/>
      <c r="AP205" s="182"/>
      <c r="AQ205" s="183"/>
      <c r="AR205" s="183"/>
      <c r="AS205" s="182"/>
      <c r="AT205" s="182"/>
      <c r="AU205" s="183"/>
      <c r="AV205" s="183"/>
      <c r="AW205" s="182"/>
      <c r="AX205" s="182"/>
      <c r="AY205" s="183"/>
      <c r="AZ205" s="183"/>
      <c r="BA205" s="182"/>
      <c r="BB205" s="182"/>
      <c r="BK205" s="183"/>
      <c r="BL205" s="183"/>
      <c r="BM205" s="182"/>
      <c r="BN205" s="182"/>
      <c r="BO205" s="183"/>
      <c r="BP205" s="183"/>
      <c r="BQ205" s="182"/>
      <c r="BR205" s="182"/>
      <c r="BS205" s="184" t="n">
        <v>53.3</v>
      </c>
      <c r="BT205" s="185" t="n">
        <v>40725</v>
      </c>
      <c r="BU205" s="184" t="n">
        <v>15.4</v>
      </c>
      <c r="BV205" s="185" t="n">
        <v>40725</v>
      </c>
      <c r="CL205" s="182"/>
      <c r="CM205" s="182"/>
    </row>
    <row r="206" customFormat="false" ht="12.75" hidden="false" customHeight="false" outlineLevel="0" collapsed="false">
      <c r="A206" s="204" t="s">
        <v>525</v>
      </c>
      <c r="B206" s="193" t="s">
        <v>785</v>
      </c>
      <c r="C206" s="193" t="s">
        <v>876</v>
      </c>
      <c r="D206" s="193"/>
      <c r="E206" s="194" t="n">
        <v>3</v>
      </c>
      <c r="F206" s="195" t="n">
        <v>60</v>
      </c>
      <c r="G206" s="119"/>
      <c r="H206" s="119"/>
      <c r="J206" s="118"/>
      <c r="K206" s="118"/>
      <c r="L206" s="181"/>
      <c r="N206" s="182"/>
      <c r="O206" s="182"/>
      <c r="S206" s="184" t="n">
        <v>2060</v>
      </c>
      <c r="T206" s="185" t="n">
        <v>40725</v>
      </c>
      <c r="U206" s="182"/>
      <c r="V206" s="182"/>
      <c r="W206" s="183"/>
      <c r="X206" s="183"/>
      <c r="Y206" s="184" t="n">
        <v>587</v>
      </c>
      <c r="Z206" s="185" t="n">
        <v>40725</v>
      </c>
      <c r="AA206" s="184" t="n">
        <v>94711</v>
      </c>
      <c r="AB206" s="185" t="n">
        <v>40725</v>
      </c>
      <c r="AC206" s="184" t="n">
        <v>38.6</v>
      </c>
      <c r="AD206" s="185" t="n">
        <v>40725</v>
      </c>
      <c r="AE206" s="196"/>
      <c r="AF206" s="185"/>
      <c r="AG206" s="184" t="n">
        <v>4.08</v>
      </c>
      <c r="AH206" s="185" t="n">
        <v>40725</v>
      </c>
      <c r="AI206" s="183"/>
      <c r="AJ206" s="183"/>
      <c r="AK206" s="182"/>
      <c r="AL206" s="182"/>
      <c r="AM206" s="184" t="n">
        <v>85</v>
      </c>
      <c r="AN206" s="183" t="n">
        <v>40630</v>
      </c>
      <c r="AO206" s="182"/>
      <c r="AP206" s="182"/>
      <c r="AQ206" s="183"/>
      <c r="AR206" s="183"/>
      <c r="AS206" s="182"/>
      <c r="AT206" s="182"/>
      <c r="AU206" s="183"/>
      <c r="AV206" s="183"/>
      <c r="AW206" s="182"/>
      <c r="AX206" s="182"/>
      <c r="AY206" s="183"/>
      <c r="AZ206" s="183"/>
      <c r="BA206" s="182"/>
      <c r="BB206" s="182"/>
      <c r="BK206" s="183"/>
      <c r="BL206" s="183"/>
      <c r="BM206" s="182"/>
      <c r="BN206" s="182"/>
      <c r="BO206" s="183"/>
      <c r="BP206" s="183"/>
      <c r="BQ206" s="182"/>
      <c r="BR206" s="182"/>
      <c r="BS206" s="184" t="n">
        <v>53.3</v>
      </c>
      <c r="BT206" s="185" t="n">
        <v>40725</v>
      </c>
      <c r="BU206" s="184" t="n">
        <v>15.2</v>
      </c>
      <c r="BV206" s="185" t="n">
        <v>40725</v>
      </c>
      <c r="CL206" s="182"/>
      <c r="CM206" s="182"/>
    </row>
    <row r="207" customFormat="false" ht="12.75" hidden="false" customHeight="false" outlineLevel="0" collapsed="false">
      <c r="A207" s="204" t="s">
        <v>525</v>
      </c>
      <c r="B207" s="193" t="s">
        <v>785</v>
      </c>
      <c r="C207" s="193" t="s">
        <v>877</v>
      </c>
      <c r="D207" s="193"/>
      <c r="E207" s="119" t="n">
        <v>21</v>
      </c>
      <c r="F207" s="195" t="n">
        <v>82</v>
      </c>
      <c r="G207" s="119"/>
      <c r="H207" s="119"/>
      <c r="J207" s="118"/>
      <c r="K207" s="118"/>
      <c r="L207" s="181"/>
      <c r="N207" s="182"/>
      <c r="O207" s="182"/>
      <c r="S207" s="184" t="n">
        <v>2178</v>
      </c>
      <c r="T207" s="185" t="n">
        <v>40725</v>
      </c>
      <c r="U207" s="182"/>
      <c r="V207" s="182"/>
      <c r="W207" s="183"/>
      <c r="X207" s="183"/>
      <c r="Y207" s="184" t="n">
        <v>720</v>
      </c>
      <c r="Z207" s="185" t="n">
        <v>40725</v>
      </c>
      <c r="AA207" s="184" t="n">
        <v>97329</v>
      </c>
      <c r="AB207" s="185" t="n">
        <v>40725</v>
      </c>
      <c r="AC207" s="184" t="n">
        <v>42.3</v>
      </c>
      <c r="AD207" s="185" t="n">
        <v>40725</v>
      </c>
      <c r="AE207" s="196"/>
      <c r="AF207" s="185"/>
      <c r="AG207" s="184" t="n">
        <v>4.34</v>
      </c>
      <c r="AH207" s="185" t="n">
        <v>40725</v>
      </c>
      <c r="AI207" s="183"/>
      <c r="AJ207" s="183"/>
      <c r="AK207" s="182"/>
      <c r="AL207" s="182"/>
      <c r="AM207" s="184" t="n">
        <v>85</v>
      </c>
      <c r="AN207" s="183" t="n">
        <v>40630</v>
      </c>
      <c r="AO207" s="182"/>
      <c r="AP207" s="182"/>
      <c r="AQ207" s="183"/>
      <c r="AR207" s="183"/>
      <c r="AS207" s="182"/>
      <c r="AT207" s="182"/>
      <c r="AU207" s="183"/>
      <c r="AV207" s="183"/>
      <c r="AW207" s="182"/>
      <c r="AX207" s="182"/>
      <c r="AY207" s="183"/>
      <c r="AZ207" s="183"/>
      <c r="BA207" s="182"/>
      <c r="BB207" s="182"/>
      <c r="BK207" s="183"/>
      <c r="BL207" s="183"/>
      <c r="BM207" s="182"/>
      <c r="BN207" s="182"/>
      <c r="BO207" s="183"/>
      <c r="BP207" s="183"/>
      <c r="BQ207" s="182"/>
      <c r="BR207" s="182"/>
      <c r="BS207" s="184" t="n">
        <v>51.6</v>
      </c>
      <c r="BT207" s="185" t="n">
        <v>40725</v>
      </c>
      <c r="BU207" s="184" t="n">
        <v>17</v>
      </c>
      <c r="BV207" s="185" t="n">
        <v>40725</v>
      </c>
      <c r="CL207" s="182"/>
      <c r="CM207" s="182"/>
    </row>
    <row r="208" customFormat="false" ht="12.75" hidden="false" customHeight="false" outlineLevel="0" collapsed="false">
      <c r="A208" s="204" t="s">
        <v>528</v>
      </c>
      <c r="B208" s="193" t="s">
        <v>782</v>
      </c>
      <c r="C208" s="193" t="s">
        <v>875</v>
      </c>
      <c r="D208" s="193"/>
      <c r="E208" s="194" t="n">
        <v>4</v>
      </c>
      <c r="F208" s="195" t="n">
        <v>1</v>
      </c>
      <c r="G208" s="119"/>
      <c r="H208" s="119"/>
      <c r="J208" s="118"/>
      <c r="K208" s="118"/>
      <c r="L208" s="181"/>
      <c r="N208" s="182"/>
      <c r="O208" s="182"/>
      <c r="S208" s="184" t="n">
        <v>1705</v>
      </c>
      <c r="T208" s="185" t="n">
        <v>40725</v>
      </c>
      <c r="U208" s="182"/>
      <c r="V208" s="182"/>
      <c r="W208" s="183"/>
      <c r="X208" s="183"/>
      <c r="Y208" s="184" t="n">
        <v>502</v>
      </c>
      <c r="Z208" s="185" t="n">
        <v>40725</v>
      </c>
      <c r="AA208" s="184" t="n">
        <v>78128</v>
      </c>
      <c r="AB208" s="185" t="n">
        <v>40725</v>
      </c>
      <c r="AC208" s="184" t="n">
        <v>31.4</v>
      </c>
      <c r="AD208" s="185" t="n">
        <v>40725</v>
      </c>
      <c r="AE208" s="196"/>
      <c r="AF208" s="185"/>
      <c r="AG208" s="184" t="n">
        <v>4.02</v>
      </c>
      <c r="AH208" s="185" t="n">
        <v>40725</v>
      </c>
      <c r="AI208" s="183"/>
      <c r="AJ208" s="183"/>
      <c r="AK208" s="182"/>
      <c r="AL208" s="182"/>
      <c r="AM208" s="184" t="n">
        <v>92</v>
      </c>
      <c r="AN208" s="183" t="n">
        <v>40630</v>
      </c>
      <c r="AO208" s="182"/>
      <c r="AP208" s="182"/>
      <c r="AQ208" s="183"/>
      <c r="AR208" s="183"/>
      <c r="AS208" s="182"/>
      <c r="AT208" s="182"/>
      <c r="AU208" s="183"/>
      <c r="AV208" s="183"/>
      <c r="AW208" s="182"/>
      <c r="AX208" s="182"/>
      <c r="AY208" s="183"/>
      <c r="AZ208" s="183"/>
      <c r="BA208" s="182"/>
      <c r="BB208" s="182"/>
      <c r="BK208" s="183"/>
      <c r="BL208" s="183"/>
      <c r="BM208" s="182"/>
      <c r="BN208" s="182"/>
      <c r="BO208" s="183"/>
      <c r="BP208" s="183"/>
      <c r="BQ208" s="182"/>
      <c r="BR208" s="182"/>
      <c r="BS208" s="184" t="n">
        <v>54.2</v>
      </c>
      <c r="BT208" s="185" t="n">
        <v>40725</v>
      </c>
      <c r="BU208" s="184" t="n">
        <v>16</v>
      </c>
      <c r="BV208" s="185" t="n">
        <v>40725</v>
      </c>
      <c r="CL208" s="182"/>
      <c r="CM208" s="182"/>
    </row>
    <row r="209" customFormat="false" ht="12.75" hidden="false" customHeight="false" outlineLevel="0" collapsed="false">
      <c r="A209" s="204" t="s">
        <v>528</v>
      </c>
      <c r="B209" s="193" t="s">
        <v>782</v>
      </c>
      <c r="C209" s="193" t="s">
        <v>876</v>
      </c>
      <c r="D209" s="193"/>
      <c r="E209" s="194" t="n">
        <v>7</v>
      </c>
      <c r="F209" s="195" t="n">
        <v>58</v>
      </c>
      <c r="G209" s="119"/>
      <c r="H209" s="119"/>
      <c r="J209" s="118"/>
      <c r="K209" s="118"/>
      <c r="L209" s="181"/>
      <c r="N209" s="182"/>
      <c r="O209" s="182"/>
      <c r="S209" s="184" t="n">
        <v>1824</v>
      </c>
      <c r="T209" s="185" t="n">
        <v>40725</v>
      </c>
      <c r="U209" s="182"/>
      <c r="V209" s="182"/>
      <c r="W209" s="183"/>
      <c r="X209" s="183"/>
      <c r="Y209" s="184" t="n">
        <v>625</v>
      </c>
      <c r="Z209" s="185" t="n">
        <v>40725</v>
      </c>
      <c r="AA209" s="184" t="n">
        <v>87024</v>
      </c>
      <c r="AB209" s="185" t="n">
        <v>40725</v>
      </c>
      <c r="AC209" s="184" t="n">
        <v>35</v>
      </c>
      <c r="AD209" s="185" t="n">
        <v>40725</v>
      </c>
      <c r="AE209" s="196"/>
      <c r="AF209" s="185"/>
      <c r="AG209" s="184" t="n">
        <v>4.03</v>
      </c>
      <c r="AH209" s="185" t="n">
        <v>40725</v>
      </c>
      <c r="AI209" s="183"/>
      <c r="AJ209" s="183"/>
      <c r="AK209" s="182"/>
      <c r="AL209" s="182"/>
      <c r="AM209" s="184" t="n">
        <v>91</v>
      </c>
      <c r="AN209" s="183" t="n">
        <v>40630</v>
      </c>
      <c r="AO209" s="182"/>
      <c r="AP209" s="182"/>
      <c r="AQ209" s="183"/>
      <c r="AR209" s="183"/>
      <c r="AS209" s="182"/>
      <c r="AT209" s="182"/>
      <c r="AU209" s="183"/>
      <c r="AV209" s="183"/>
      <c r="AW209" s="182"/>
      <c r="AX209" s="182"/>
      <c r="AY209" s="183"/>
      <c r="AZ209" s="183"/>
      <c r="BA209" s="182"/>
      <c r="BB209" s="182"/>
      <c r="BK209" s="183"/>
      <c r="BL209" s="183"/>
      <c r="BM209" s="182"/>
      <c r="BN209" s="182"/>
      <c r="BO209" s="183"/>
      <c r="BP209" s="183"/>
      <c r="BQ209" s="182"/>
      <c r="BR209" s="182"/>
      <c r="BS209" s="184" t="n">
        <v>52.1</v>
      </c>
      <c r="BT209" s="185" t="n">
        <v>40725</v>
      </c>
      <c r="BU209" s="184" t="n">
        <v>17.8</v>
      </c>
      <c r="BV209" s="185" t="n">
        <v>40725</v>
      </c>
      <c r="CL209" s="182"/>
      <c r="CM209" s="182"/>
    </row>
    <row r="210" customFormat="false" ht="12.75" hidden="false" customHeight="false" outlineLevel="0" collapsed="false">
      <c r="A210" s="204" t="s">
        <v>528</v>
      </c>
      <c r="B210" s="193" t="s">
        <v>782</v>
      </c>
      <c r="C210" s="193" t="s">
        <v>877</v>
      </c>
      <c r="D210" s="193"/>
      <c r="E210" s="119" t="n">
        <v>18</v>
      </c>
      <c r="F210" s="195" t="n">
        <v>65</v>
      </c>
      <c r="G210" s="119"/>
      <c r="H210" s="119"/>
      <c r="J210" s="118"/>
      <c r="K210" s="118"/>
      <c r="L210" s="181"/>
      <c r="N210" s="182"/>
      <c r="O210" s="182"/>
      <c r="S210" s="184" t="n">
        <v>1512</v>
      </c>
      <c r="T210" s="185" t="n">
        <v>40725</v>
      </c>
      <c r="U210" s="182"/>
      <c r="V210" s="182"/>
      <c r="W210" s="183"/>
      <c r="X210" s="183"/>
      <c r="Y210" s="184" t="n">
        <v>486</v>
      </c>
      <c r="Z210" s="185" t="n">
        <v>40725</v>
      </c>
      <c r="AA210" s="184" t="n">
        <v>65709</v>
      </c>
      <c r="AB210" s="185" t="n">
        <v>40725</v>
      </c>
      <c r="AC210" s="184" t="n">
        <v>28.6</v>
      </c>
      <c r="AD210" s="185" t="n">
        <v>40725</v>
      </c>
      <c r="AE210" s="196"/>
      <c r="AF210" s="185"/>
      <c r="AG210" s="184" t="n">
        <v>4.35</v>
      </c>
      <c r="AH210" s="185" t="n">
        <v>40725</v>
      </c>
      <c r="AI210" s="183"/>
      <c r="AJ210" s="183"/>
      <c r="AK210" s="182"/>
      <c r="AL210" s="182"/>
      <c r="AM210" s="184" t="n">
        <v>92</v>
      </c>
      <c r="AN210" s="183" t="n">
        <v>40630</v>
      </c>
      <c r="AO210" s="182"/>
      <c r="AP210" s="182"/>
      <c r="AQ210" s="183"/>
      <c r="AR210" s="183"/>
      <c r="AS210" s="182"/>
      <c r="AT210" s="182"/>
      <c r="AU210" s="183"/>
      <c r="AV210" s="183"/>
      <c r="AW210" s="182"/>
      <c r="AX210" s="182"/>
      <c r="AY210" s="183"/>
      <c r="AZ210" s="183"/>
      <c r="BA210" s="182"/>
      <c r="BB210" s="182"/>
      <c r="BK210" s="183"/>
      <c r="BL210" s="183"/>
      <c r="BM210" s="182"/>
      <c r="BN210" s="182"/>
      <c r="BO210" s="183"/>
      <c r="BP210" s="183"/>
      <c r="BQ210" s="182"/>
      <c r="BR210" s="182"/>
      <c r="BS210" s="184" t="n">
        <v>52.9</v>
      </c>
      <c r="BT210" s="185" t="n">
        <v>40725</v>
      </c>
      <c r="BU210" s="184" t="n">
        <v>17</v>
      </c>
      <c r="BV210" s="185" t="n">
        <v>40725</v>
      </c>
      <c r="CL210" s="182"/>
      <c r="CM210" s="182"/>
    </row>
    <row r="211" customFormat="false" ht="12.75" hidden="false" customHeight="false" outlineLevel="0" collapsed="false">
      <c r="A211" s="204" t="s">
        <v>528</v>
      </c>
      <c r="B211" s="193" t="s">
        <v>785</v>
      </c>
      <c r="C211" s="193" t="s">
        <v>875</v>
      </c>
      <c r="D211" s="193"/>
      <c r="E211" s="194" t="n">
        <v>7</v>
      </c>
      <c r="F211" s="195" t="n">
        <v>16</v>
      </c>
      <c r="G211" s="119"/>
      <c r="H211" s="119"/>
      <c r="J211" s="118"/>
      <c r="K211" s="118"/>
      <c r="L211" s="181"/>
      <c r="N211" s="182"/>
      <c r="O211" s="182"/>
      <c r="S211" s="184" t="n">
        <v>2297</v>
      </c>
      <c r="T211" s="185" t="n">
        <v>40725</v>
      </c>
      <c r="U211" s="182"/>
      <c r="V211" s="182"/>
      <c r="W211" s="183"/>
      <c r="X211" s="183"/>
      <c r="Y211" s="184" t="n">
        <v>722</v>
      </c>
      <c r="Z211" s="185" t="n">
        <v>40725</v>
      </c>
      <c r="AA211" s="184" t="n">
        <v>99652</v>
      </c>
      <c r="AB211" s="185" t="n">
        <v>40725</v>
      </c>
      <c r="AC211" s="184" t="n">
        <v>43.1</v>
      </c>
      <c r="AD211" s="185" t="n">
        <v>40725</v>
      </c>
      <c r="AE211" s="196"/>
      <c r="AF211" s="185"/>
      <c r="AG211" s="184" t="n">
        <v>4.33</v>
      </c>
      <c r="AH211" s="185" t="n">
        <v>40725</v>
      </c>
      <c r="AI211" s="183"/>
      <c r="AJ211" s="183"/>
      <c r="AK211" s="182"/>
      <c r="AL211" s="182"/>
      <c r="AM211" s="184" t="n">
        <v>92</v>
      </c>
      <c r="AN211" s="183" t="n">
        <v>40630</v>
      </c>
      <c r="AO211" s="182"/>
      <c r="AP211" s="182"/>
      <c r="AQ211" s="183"/>
      <c r="AR211" s="183"/>
      <c r="AS211" s="182"/>
      <c r="AT211" s="182"/>
      <c r="AU211" s="183"/>
      <c r="AV211" s="183"/>
      <c r="AW211" s="182"/>
      <c r="AX211" s="182"/>
      <c r="AY211" s="183"/>
      <c r="AZ211" s="183"/>
      <c r="BA211" s="182"/>
      <c r="BB211" s="182"/>
      <c r="BK211" s="183"/>
      <c r="BL211" s="183"/>
      <c r="BM211" s="182"/>
      <c r="BN211" s="182"/>
      <c r="BO211" s="183"/>
      <c r="BP211" s="183"/>
      <c r="BQ211" s="182"/>
      <c r="BR211" s="182"/>
      <c r="BS211" s="184" t="n">
        <v>53.3</v>
      </c>
      <c r="BT211" s="185" t="n">
        <v>40725</v>
      </c>
      <c r="BU211" s="184" t="n">
        <v>16.7</v>
      </c>
      <c r="BV211" s="185" t="n">
        <v>40725</v>
      </c>
      <c r="CL211" s="182"/>
      <c r="CM211" s="182"/>
    </row>
    <row r="212" customFormat="false" ht="12.75" hidden="false" customHeight="false" outlineLevel="0" collapsed="false">
      <c r="A212" s="204" t="s">
        <v>528</v>
      </c>
      <c r="B212" s="193" t="s">
        <v>785</v>
      </c>
      <c r="C212" s="193" t="s">
        <v>876</v>
      </c>
      <c r="D212" s="193"/>
      <c r="E212" s="194" t="n">
        <v>4</v>
      </c>
      <c r="F212" s="195" t="n">
        <v>63</v>
      </c>
      <c r="G212" s="119"/>
      <c r="H212" s="119"/>
      <c r="J212" s="118"/>
      <c r="K212" s="118"/>
      <c r="L212" s="181"/>
      <c r="N212" s="182"/>
      <c r="O212" s="182"/>
      <c r="S212" s="184" t="n">
        <v>1843</v>
      </c>
      <c r="T212" s="185" t="n">
        <v>40725</v>
      </c>
      <c r="U212" s="182"/>
      <c r="V212" s="182"/>
      <c r="W212" s="183"/>
      <c r="X212" s="183"/>
      <c r="Y212" s="184" t="n">
        <v>613</v>
      </c>
      <c r="Z212" s="185" t="n">
        <v>40725</v>
      </c>
      <c r="AA212" s="184" t="n">
        <v>81830</v>
      </c>
      <c r="AB212" s="185" t="n">
        <v>40725</v>
      </c>
      <c r="AC212" s="184" t="n">
        <v>34.8</v>
      </c>
      <c r="AD212" s="185" t="n">
        <v>40725</v>
      </c>
      <c r="AE212" s="196"/>
      <c r="AF212" s="185"/>
      <c r="AG212" s="184" t="n">
        <v>4.25</v>
      </c>
      <c r="AH212" s="185" t="n">
        <v>40725</v>
      </c>
      <c r="AI212" s="183"/>
      <c r="AJ212" s="183"/>
      <c r="AK212" s="182"/>
      <c r="AL212" s="182"/>
      <c r="AM212" s="184" t="n">
        <v>92</v>
      </c>
      <c r="AN212" s="183" t="n">
        <v>40630</v>
      </c>
      <c r="AO212" s="182"/>
      <c r="AP212" s="182"/>
      <c r="AQ212" s="183"/>
      <c r="AR212" s="183"/>
      <c r="AS212" s="182"/>
      <c r="AT212" s="182"/>
      <c r="AU212" s="183"/>
      <c r="AV212" s="183"/>
      <c r="AW212" s="182"/>
      <c r="AX212" s="182"/>
      <c r="AY212" s="183"/>
      <c r="AZ212" s="183"/>
      <c r="BA212" s="182"/>
      <c r="BB212" s="182"/>
      <c r="BK212" s="183"/>
      <c r="BL212" s="183"/>
      <c r="BM212" s="182"/>
      <c r="BN212" s="182"/>
      <c r="BO212" s="183"/>
      <c r="BP212" s="183"/>
      <c r="BQ212" s="182"/>
      <c r="BR212" s="182"/>
      <c r="BS212" s="184" t="n">
        <v>53</v>
      </c>
      <c r="BT212" s="185" t="n">
        <v>40725</v>
      </c>
      <c r="BU212" s="184" t="n">
        <v>17.6</v>
      </c>
      <c r="BV212" s="185" t="n">
        <v>40725</v>
      </c>
      <c r="CL212" s="182"/>
      <c r="CM212" s="182"/>
    </row>
    <row r="213" customFormat="false" ht="12.75" hidden="false" customHeight="false" outlineLevel="0" collapsed="false">
      <c r="A213" s="204" t="s">
        <v>528</v>
      </c>
      <c r="B213" s="193" t="s">
        <v>785</v>
      </c>
      <c r="C213" s="193" t="s">
        <v>877</v>
      </c>
      <c r="D213" s="193"/>
      <c r="E213" s="119" t="n">
        <v>24</v>
      </c>
      <c r="F213" s="195" t="n">
        <v>77</v>
      </c>
      <c r="G213" s="119"/>
      <c r="H213" s="119"/>
      <c r="J213" s="118"/>
      <c r="K213" s="118"/>
      <c r="L213" s="181"/>
      <c r="N213" s="182"/>
      <c r="O213" s="182"/>
      <c r="S213" s="184" t="s">
        <v>879</v>
      </c>
      <c r="T213" s="185" t="n">
        <v>40725</v>
      </c>
      <c r="U213" s="182"/>
      <c r="V213" s="182"/>
      <c r="W213" s="183"/>
      <c r="X213" s="183"/>
      <c r="Y213" s="184" t="s">
        <v>879</v>
      </c>
      <c r="Z213" s="185" t="n">
        <v>40725</v>
      </c>
      <c r="AA213" s="184" t="s">
        <v>879</v>
      </c>
      <c r="AB213" s="185" t="n">
        <v>40725</v>
      </c>
      <c r="AC213" s="184" t="s">
        <v>879</v>
      </c>
      <c r="AD213" s="185" t="n">
        <v>40725</v>
      </c>
      <c r="AE213" s="196"/>
      <c r="AF213" s="185"/>
      <c r="AG213" s="184" t="s">
        <v>879</v>
      </c>
      <c r="AH213" s="185" t="n">
        <v>40725</v>
      </c>
      <c r="AI213" s="183"/>
      <c r="AJ213" s="183"/>
      <c r="AK213" s="182"/>
      <c r="AL213" s="182"/>
      <c r="AM213" s="184" t="n">
        <v>92</v>
      </c>
      <c r="AN213" s="183" t="n">
        <v>40630</v>
      </c>
      <c r="AO213" s="182"/>
      <c r="AP213" s="182"/>
      <c r="AQ213" s="183"/>
      <c r="AR213" s="183"/>
      <c r="AS213" s="182"/>
      <c r="AT213" s="182"/>
      <c r="AU213" s="183"/>
      <c r="AV213" s="183"/>
      <c r="AW213" s="182"/>
      <c r="AX213" s="182"/>
      <c r="AY213" s="183"/>
      <c r="AZ213" s="183"/>
      <c r="BA213" s="182"/>
      <c r="BB213" s="182"/>
      <c r="BK213" s="183"/>
      <c r="BL213" s="183"/>
      <c r="BM213" s="182"/>
      <c r="BN213" s="182"/>
      <c r="BO213" s="183"/>
      <c r="BP213" s="183"/>
      <c r="BQ213" s="182"/>
      <c r="BR213" s="182"/>
      <c r="BS213" s="184" t="s">
        <v>879</v>
      </c>
      <c r="BT213" s="185" t="n">
        <v>40725</v>
      </c>
      <c r="BU213" s="184" t="s">
        <v>879</v>
      </c>
      <c r="BV213" s="185" t="n">
        <v>40725</v>
      </c>
      <c r="CL213" s="182"/>
      <c r="CM213" s="182"/>
    </row>
    <row r="214" customFormat="false" ht="12.75" hidden="false" customHeight="false" outlineLevel="0" collapsed="false">
      <c r="A214" s="204" t="s">
        <v>531</v>
      </c>
      <c r="B214" s="193" t="s">
        <v>782</v>
      </c>
      <c r="C214" s="193" t="s">
        <v>875</v>
      </c>
      <c r="D214" s="193"/>
      <c r="E214" s="194" t="n">
        <v>1</v>
      </c>
      <c r="F214" s="195" t="n">
        <v>24</v>
      </c>
      <c r="G214" s="119"/>
      <c r="H214" s="119"/>
      <c r="J214" s="118"/>
      <c r="K214" s="118"/>
      <c r="L214" s="181"/>
      <c r="N214" s="182"/>
      <c r="O214" s="182"/>
      <c r="S214" s="184" t="n">
        <v>1878</v>
      </c>
      <c r="T214" s="185" t="n">
        <v>40725</v>
      </c>
      <c r="U214" s="182"/>
      <c r="V214" s="182"/>
      <c r="W214" s="183"/>
      <c r="X214" s="183"/>
      <c r="Y214" s="184" t="n">
        <v>635</v>
      </c>
      <c r="Z214" s="185" t="n">
        <v>40725</v>
      </c>
      <c r="AA214" s="184" t="n">
        <v>85066</v>
      </c>
      <c r="AB214" s="185" t="n">
        <v>40725</v>
      </c>
      <c r="AC214" s="184" t="n">
        <v>36.2</v>
      </c>
      <c r="AD214" s="185" t="n">
        <v>40725</v>
      </c>
      <c r="AE214" s="196"/>
      <c r="AF214" s="185"/>
      <c r="AG214" s="184" t="n">
        <v>4.26</v>
      </c>
      <c r="AH214" s="185" t="n">
        <v>40725</v>
      </c>
      <c r="AI214" s="183"/>
      <c r="AJ214" s="183"/>
      <c r="AK214" s="182"/>
      <c r="AL214" s="182"/>
      <c r="AM214" s="184" t="n">
        <v>85</v>
      </c>
      <c r="AN214" s="183" t="n">
        <v>40630</v>
      </c>
      <c r="AO214" s="182"/>
      <c r="AP214" s="182"/>
      <c r="AQ214" s="183"/>
      <c r="AR214" s="183"/>
      <c r="AS214" s="182"/>
      <c r="AT214" s="182"/>
      <c r="AU214" s="183"/>
      <c r="AV214" s="183"/>
      <c r="AW214" s="182"/>
      <c r="AX214" s="182"/>
      <c r="AY214" s="183"/>
      <c r="AZ214" s="183"/>
      <c r="BA214" s="182"/>
      <c r="BB214" s="182"/>
      <c r="BK214" s="183"/>
      <c r="BL214" s="183"/>
      <c r="BM214" s="182"/>
      <c r="BN214" s="182"/>
      <c r="BO214" s="183"/>
      <c r="BP214" s="183"/>
      <c r="BQ214" s="182"/>
      <c r="BR214" s="182"/>
      <c r="BS214" s="184" t="n">
        <v>51.8</v>
      </c>
      <c r="BT214" s="185" t="n">
        <v>40725</v>
      </c>
      <c r="BU214" s="184" t="n">
        <v>17.5</v>
      </c>
      <c r="BV214" s="185" t="n">
        <v>40725</v>
      </c>
      <c r="CL214" s="182"/>
      <c r="CM214" s="182"/>
    </row>
    <row r="215" customFormat="false" ht="12.75" hidden="false" customHeight="false" outlineLevel="0" collapsed="false">
      <c r="A215" s="204" t="s">
        <v>531</v>
      </c>
      <c r="B215" s="193" t="s">
        <v>782</v>
      </c>
      <c r="C215" s="193" t="s">
        <v>876</v>
      </c>
      <c r="D215" s="193"/>
      <c r="E215" s="194" t="n">
        <v>6</v>
      </c>
      <c r="F215" s="195" t="n">
        <v>58</v>
      </c>
      <c r="G215" s="119"/>
      <c r="H215" s="119"/>
      <c r="J215" s="118"/>
      <c r="K215" s="118"/>
      <c r="L215" s="181"/>
      <c r="N215" s="182"/>
      <c r="O215" s="182"/>
      <c r="S215" s="184" t="n">
        <v>1467</v>
      </c>
      <c r="T215" s="185" t="n">
        <v>40725</v>
      </c>
      <c r="U215" s="182"/>
      <c r="V215" s="182"/>
      <c r="W215" s="183"/>
      <c r="X215" s="183"/>
      <c r="Y215" s="184" t="n">
        <v>448</v>
      </c>
      <c r="Z215" s="185" t="n">
        <v>40725</v>
      </c>
      <c r="AA215" s="184" t="n">
        <v>61678</v>
      </c>
      <c r="AB215" s="185" t="n">
        <v>40725</v>
      </c>
      <c r="AC215" s="184" t="n">
        <v>27.7</v>
      </c>
      <c r="AD215" s="185" t="n">
        <v>40725</v>
      </c>
      <c r="AE215" s="196"/>
      <c r="AF215" s="185"/>
      <c r="AG215" s="184" t="n">
        <v>4.49</v>
      </c>
      <c r="AH215" s="185" t="n">
        <v>40725</v>
      </c>
      <c r="AI215" s="183"/>
      <c r="AJ215" s="183"/>
      <c r="AK215" s="182"/>
      <c r="AL215" s="182"/>
      <c r="AM215" s="184" t="n">
        <v>84</v>
      </c>
      <c r="AN215" s="183" t="n">
        <v>40630</v>
      </c>
      <c r="AO215" s="182"/>
      <c r="AP215" s="182"/>
      <c r="AQ215" s="183"/>
      <c r="AR215" s="183"/>
      <c r="AS215" s="182"/>
      <c r="AT215" s="182"/>
      <c r="AU215" s="183"/>
      <c r="AV215" s="183"/>
      <c r="AW215" s="182"/>
      <c r="AX215" s="182"/>
      <c r="AY215" s="183"/>
      <c r="AZ215" s="183"/>
      <c r="BA215" s="182"/>
      <c r="BB215" s="182"/>
      <c r="BK215" s="183"/>
      <c r="BL215" s="183"/>
      <c r="BM215" s="182"/>
      <c r="BN215" s="182"/>
      <c r="BO215" s="183"/>
      <c r="BP215" s="183"/>
      <c r="BQ215" s="182"/>
      <c r="BR215" s="182"/>
      <c r="BS215" s="184" t="n">
        <v>53</v>
      </c>
      <c r="BT215" s="185" t="n">
        <v>40725</v>
      </c>
      <c r="BU215" s="184" t="n">
        <v>16.2</v>
      </c>
      <c r="BV215" s="185" t="n">
        <v>40725</v>
      </c>
      <c r="CL215" s="182"/>
      <c r="CM215" s="182"/>
    </row>
    <row r="216" customFormat="false" ht="12.75" hidden="false" customHeight="false" outlineLevel="0" collapsed="false">
      <c r="A216" s="204" t="s">
        <v>531</v>
      </c>
      <c r="B216" s="193" t="s">
        <v>782</v>
      </c>
      <c r="C216" s="193" t="s">
        <v>877</v>
      </c>
      <c r="D216" s="193"/>
      <c r="E216" s="119" t="n">
        <v>17</v>
      </c>
      <c r="F216" s="195" t="n">
        <v>67</v>
      </c>
      <c r="G216" s="119"/>
      <c r="H216" s="119"/>
      <c r="J216" s="118"/>
      <c r="K216" s="118"/>
      <c r="L216" s="181"/>
      <c r="N216" s="182"/>
      <c r="O216" s="182"/>
      <c r="S216" s="184" t="n">
        <v>1371</v>
      </c>
      <c r="T216" s="185" t="n">
        <v>40725</v>
      </c>
      <c r="U216" s="182"/>
      <c r="V216" s="182"/>
      <c r="W216" s="183"/>
      <c r="X216" s="183"/>
      <c r="Y216" s="184" t="n">
        <v>461</v>
      </c>
      <c r="Z216" s="185" t="n">
        <v>40725</v>
      </c>
      <c r="AA216" s="184" t="n">
        <v>57400</v>
      </c>
      <c r="AB216" s="185" t="n">
        <v>40725</v>
      </c>
      <c r="AC216" s="184" t="n">
        <v>26.6</v>
      </c>
      <c r="AD216" s="185" t="n">
        <v>40725</v>
      </c>
      <c r="AE216" s="196"/>
      <c r="AF216" s="185"/>
      <c r="AG216" s="184" t="n">
        <v>4.64</v>
      </c>
      <c r="AH216" s="185" t="n">
        <v>40725</v>
      </c>
      <c r="AI216" s="183"/>
      <c r="AJ216" s="183"/>
      <c r="AK216" s="182"/>
      <c r="AL216" s="182"/>
      <c r="AM216" s="184" t="n">
        <v>84</v>
      </c>
      <c r="AN216" s="183" t="n">
        <v>40630</v>
      </c>
      <c r="AO216" s="182"/>
      <c r="AP216" s="182"/>
      <c r="AQ216" s="183"/>
      <c r="AR216" s="183"/>
      <c r="AS216" s="182"/>
      <c r="AT216" s="182"/>
      <c r="AU216" s="183"/>
      <c r="AV216" s="183"/>
      <c r="AW216" s="182"/>
      <c r="AX216" s="182"/>
      <c r="AY216" s="183"/>
      <c r="AZ216" s="183"/>
      <c r="BA216" s="182"/>
      <c r="BB216" s="182"/>
      <c r="BK216" s="183"/>
      <c r="BL216" s="183"/>
      <c r="BM216" s="182"/>
      <c r="BN216" s="182"/>
      <c r="BO216" s="183"/>
      <c r="BP216" s="183"/>
      <c r="BQ216" s="182"/>
      <c r="BR216" s="182"/>
      <c r="BS216" s="184" t="n">
        <v>51.4</v>
      </c>
      <c r="BT216" s="185" t="n">
        <v>40725</v>
      </c>
      <c r="BU216" s="184" t="n">
        <v>17.3</v>
      </c>
      <c r="BV216" s="185" t="n">
        <v>40725</v>
      </c>
      <c r="CL216" s="182"/>
      <c r="CM216" s="182"/>
    </row>
    <row r="217" customFormat="false" ht="12.75" hidden="false" customHeight="false" outlineLevel="0" collapsed="false">
      <c r="A217" s="204" t="s">
        <v>531</v>
      </c>
      <c r="B217" s="193" t="s">
        <v>785</v>
      </c>
      <c r="C217" s="193" t="s">
        <v>875</v>
      </c>
      <c r="D217" s="193"/>
      <c r="E217" s="194" t="n">
        <v>5</v>
      </c>
      <c r="F217" s="195" t="n">
        <v>3</v>
      </c>
      <c r="G217" s="119"/>
      <c r="H217" s="119"/>
      <c r="J217" s="118"/>
      <c r="K217" s="118"/>
      <c r="L217" s="181"/>
      <c r="N217" s="182"/>
      <c r="O217" s="182"/>
      <c r="S217" s="184" t="n">
        <v>2466</v>
      </c>
      <c r="T217" s="185" t="n">
        <v>40725</v>
      </c>
      <c r="U217" s="182"/>
      <c r="V217" s="182"/>
      <c r="W217" s="183"/>
      <c r="X217" s="183"/>
      <c r="Y217" s="184" t="n">
        <v>858</v>
      </c>
      <c r="Z217" s="185" t="n">
        <v>40725</v>
      </c>
      <c r="AA217" s="184" t="n">
        <v>108239</v>
      </c>
      <c r="AB217" s="185" t="n">
        <v>40725</v>
      </c>
      <c r="AC217" s="184" t="n">
        <v>47.5</v>
      </c>
      <c r="AD217" s="185" t="n">
        <v>40725</v>
      </c>
      <c r="AE217" s="196"/>
      <c r="AF217" s="185"/>
      <c r="AG217" s="184" t="n">
        <v>4.39</v>
      </c>
      <c r="AH217" s="185" t="n">
        <v>40725</v>
      </c>
      <c r="AI217" s="183"/>
      <c r="AJ217" s="183"/>
      <c r="AK217" s="182"/>
      <c r="AL217" s="182"/>
      <c r="AM217" s="184" t="n">
        <v>86</v>
      </c>
      <c r="AN217" s="183" t="n">
        <v>40630</v>
      </c>
      <c r="AO217" s="182"/>
      <c r="AP217" s="182"/>
      <c r="AQ217" s="183"/>
      <c r="AR217" s="183"/>
      <c r="AS217" s="182"/>
      <c r="AT217" s="182"/>
      <c r="AU217" s="183"/>
      <c r="AV217" s="183"/>
      <c r="AW217" s="182"/>
      <c r="AX217" s="182"/>
      <c r="AY217" s="183"/>
      <c r="AZ217" s="183"/>
      <c r="BA217" s="182"/>
      <c r="BB217" s="182"/>
      <c r="BK217" s="183"/>
      <c r="BL217" s="183"/>
      <c r="BM217" s="182"/>
      <c r="BN217" s="182"/>
      <c r="BO217" s="183"/>
      <c r="BP217" s="183"/>
      <c r="BQ217" s="182"/>
      <c r="BR217" s="182"/>
      <c r="BS217" s="184" t="n">
        <v>51.9</v>
      </c>
      <c r="BT217" s="185" t="n">
        <v>40725</v>
      </c>
      <c r="BU217" s="184" t="n">
        <v>18.1</v>
      </c>
      <c r="BV217" s="185" t="n">
        <v>40725</v>
      </c>
      <c r="CL217" s="182"/>
      <c r="CM217" s="182"/>
    </row>
    <row r="218" customFormat="false" ht="12.75" hidden="false" customHeight="false" outlineLevel="0" collapsed="false">
      <c r="A218" s="204" t="s">
        <v>531</v>
      </c>
      <c r="B218" s="193" t="s">
        <v>785</v>
      </c>
      <c r="C218" s="193" t="s">
        <v>876</v>
      </c>
      <c r="D218" s="193"/>
      <c r="E218" s="194" t="n">
        <v>3</v>
      </c>
      <c r="F218" s="195" t="n">
        <v>54</v>
      </c>
      <c r="G218" s="119"/>
      <c r="H218" s="119"/>
      <c r="J218" s="118"/>
      <c r="K218" s="118"/>
      <c r="L218" s="181"/>
      <c r="N218" s="182"/>
      <c r="O218" s="182"/>
      <c r="S218" s="184" t="n">
        <v>2148</v>
      </c>
      <c r="T218" s="185" t="n">
        <v>40725</v>
      </c>
      <c r="U218" s="182"/>
      <c r="V218" s="182"/>
      <c r="W218" s="183"/>
      <c r="X218" s="183"/>
      <c r="Y218" s="184" t="n">
        <v>726</v>
      </c>
      <c r="Z218" s="185" t="n">
        <v>40725</v>
      </c>
      <c r="AA218" s="184" t="n">
        <v>88777</v>
      </c>
      <c r="AB218" s="185" t="n">
        <v>40725</v>
      </c>
      <c r="AC218" s="184" t="n">
        <v>41.5</v>
      </c>
      <c r="AD218" s="185" t="n">
        <v>40725</v>
      </c>
      <c r="AE218" s="196"/>
      <c r="AF218" s="185"/>
      <c r="AG218" s="184" t="n">
        <v>4.68</v>
      </c>
      <c r="AH218" s="185" t="n">
        <v>40725</v>
      </c>
      <c r="AI218" s="183"/>
      <c r="AJ218" s="183"/>
      <c r="AK218" s="182"/>
      <c r="AL218" s="182"/>
      <c r="AM218" s="184" t="n">
        <v>84</v>
      </c>
      <c r="AN218" s="183" t="n">
        <v>40630</v>
      </c>
      <c r="AO218" s="182"/>
      <c r="AP218" s="182"/>
      <c r="AQ218" s="183"/>
      <c r="AR218" s="183"/>
      <c r="AS218" s="182"/>
      <c r="AT218" s="182"/>
      <c r="AU218" s="183"/>
      <c r="AV218" s="183"/>
      <c r="AW218" s="182"/>
      <c r="AX218" s="182"/>
      <c r="AY218" s="183"/>
      <c r="AZ218" s="183"/>
      <c r="BA218" s="182"/>
      <c r="BB218" s="182"/>
      <c r="BK218" s="183"/>
      <c r="BL218" s="183"/>
      <c r="BM218" s="182"/>
      <c r="BN218" s="182"/>
      <c r="BO218" s="183"/>
      <c r="BP218" s="183"/>
      <c r="BQ218" s="182"/>
      <c r="BR218" s="182"/>
      <c r="BS218" s="184" t="n">
        <v>51.8</v>
      </c>
      <c r="BT218" s="185" t="n">
        <v>40725</v>
      </c>
      <c r="BU218" s="184" t="n">
        <v>17.5</v>
      </c>
      <c r="BV218" s="185" t="n">
        <v>40725</v>
      </c>
      <c r="CL218" s="182"/>
      <c r="CM218" s="182"/>
    </row>
    <row r="219" customFormat="false" ht="12.75" hidden="false" customHeight="false" outlineLevel="0" collapsed="false">
      <c r="A219" s="204" t="s">
        <v>531</v>
      </c>
      <c r="B219" s="193" t="s">
        <v>785</v>
      </c>
      <c r="C219" s="193" t="s">
        <v>877</v>
      </c>
      <c r="D219" s="193"/>
      <c r="E219" s="119" t="n">
        <v>22</v>
      </c>
      <c r="F219" s="195" t="n">
        <v>87</v>
      </c>
      <c r="G219" s="119"/>
      <c r="H219" s="119"/>
      <c r="J219" s="118"/>
      <c r="K219" s="118"/>
      <c r="L219" s="181"/>
      <c r="N219" s="182"/>
      <c r="O219" s="182"/>
      <c r="S219" s="184" t="n">
        <v>1867</v>
      </c>
      <c r="T219" s="185" t="n">
        <v>40725</v>
      </c>
      <c r="U219" s="182"/>
      <c r="V219" s="182"/>
      <c r="W219" s="183"/>
      <c r="X219" s="183"/>
      <c r="Y219" s="184" t="n">
        <v>670</v>
      </c>
      <c r="Z219" s="185" t="n">
        <v>40725</v>
      </c>
      <c r="AA219" s="184" t="n">
        <v>79033</v>
      </c>
      <c r="AB219" s="185" t="n">
        <v>40725</v>
      </c>
      <c r="AC219" s="184" t="n">
        <v>36.3</v>
      </c>
      <c r="AD219" s="185" t="n">
        <v>40725</v>
      </c>
      <c r="AE219" s="196"/>
      <c r="AF219" s="185"/>
      <c r="AG219" s="184" t="n">
        <v>4.6</v>
      </c>
      <c r="AH219" s="185" t="n">
        <v>40725</v>
      </c>
      <c r="AI219" s="183"/>
      <c r="AJ219" s="183"/>
      <c r="AK219" s="182"/>
      <c r="AL219" s="182"/>
      <c r="AM219" s="184" t="n">
        <v>85</v>
      </c>
      <c r="AN219" s="183" t="n">
        <v>40630</v>
      </c>
      <c r="AO219" s="182"/>
      <c r="AP219" s="182"/>
      <c r="AQ219" s="183"/>
      <c r="AR219" s="183"/>
      <c r="AS219" s="182"/>
      <c r="AT219" s="182"/>
      <c r="AU219" s="183"/>
      <c r="AV219" s="183"/>
      <c r="AW219" s="182"/>
      <c r="AX219" s="182"/>
      <c r="AY219" s="183"/>
      <c r="AZ219" s="183"/>
      <c r="BA219" s="182"/>
      <c r="BB219" s="182"/>
      <c r="BK219" s="183"/>
      <c r="BL219" s="183"/>
      <c r="BM219" s="182"/>
      <c r="BN219" s="182"/>
      <c r="BO219" s="183"/>
      <c r="BP219" s="183"/>
      <c r="BQ219" s="182"/>
      <c r="BR219" s="182"/>
      <c r="BS219" s="184" t="n">
        <v>51.4</v>
      </c>
      <c r="BT219" s="185" t="n">
        <v>40725</v>
      </c>
      <c r="BU219" s="184" t="n">
        <v>18.4</v>
      </c>
      <c r="BV219" s="185" t="n">
        <v>40725</v>
      </c>
      <c r="CL219" s="182"/>
      <c r="CM219" s="182"/>
    </row>
    <row r="220" customFormat="false" ht="12.75" hidden="false" customHeight="false" outlineLevel="0" collapsed="false">
      <c r="A220" s="204" t="s">
        <v>534</v>
      </c>
      <c r="B220" s="193" t="s">
        <v>782</v>
      </c>
      <c r="C220" s="193" t="s">
        <v>875</v>
      </c>
      <c r="D220" s="193"/>
      <c r="E220" s="194" t="n">
        <v>1</v>
      </c>
      <c r="F220" s="195" t="n">
        <v>5</v>
      </c>
      <c r="G220" s="119"/>
      <c r="H220" s="119"/>
      <c r="J220" s="118"/>
      <c r="K220" s="118"/>
      <c r="L220" s="181"/>
      <c r="N220" s="182"/>
      <c r="O220" s="182"/>
      <c r="S220" s="184" t="n">
        <v>1821</v>
      </c>
      <c r="T220" s="185" t="n">
        <v>40725</v>
      </c>
      <c r="U220" s="182"/>
      <c r="V220" s="182"/>
      <c r="W220" s="183"/>
      <c r="X220" s="183"/>
      <c r="Y220" s="184" t="n">
        <v>596</v>
      </c>
      <c r="Z220" s="185" t="n">
        <v>40725</v>
      </c>
      <c r="AA220" s="184" t="n">
        <v>81666</v>
      </c>
      <c r="AB220" s="185" t="n">
        <v>40725</v>
      </c>
      <c r="AC220" s="184" t="n">
        <v>35.1</v>
      </c>
      <c r="AD220" s="185" t="n">
        <v>40725</v>
      </c>
      <c r="AE220" s="196"/>
      <c r="AF220" s="185"/>
      <c r="AG220" s="184" t="n">
        <v>4.29</v>
      </c>
      <c r="AH220" s="185" t="n">
        <v>40725</v>
      </c>
      <c r="AI220" s="183"/>
      <c r="AJ220" s="183"/>
      <c r="AK220" s="182"/>
      <c r="AL220" s="182"/>
      <c r="AM220" s="184" t="n">
        <v>87</v>
      </c>
      <c r="AN220" s="183" t="n">
        <v>40630</v>
      </c>
      <c r="AO220" s="182"/>
      <c r="AP220" s="182"/>
      <c r="AQ220" s="183"/>
      <c r="AR220" s="183"/>
      <c r="AS220" s="182"/>
      <c r="AT220" s="182"/>
      <c r="AU220" s="183"/>
      <c r="AV220" s="183"/>
      <c r="AW220" s="182"/>
      <c r="AX220" s="182"/>
      <c r="AY220" s="183"/>
      <c r="AZ220" s="183"/>
      <c r="BA220" s="182"/>
      <c r="BB220" s="182"/>
      <c r="BK220" s="183"/>
      <c r="BL220" s="183"/>
      <c r="BM220" s="182"/>
      <c r="BN220" s="182"/>
      <c r="BO220" s="183"/>
      <c r="BP220" s="183"/>
      <c r="BQ220" s="182"/>
      <c r="BR220" s="182"/>
      <c r="BS220" s="184" t="n">
        <v>51.9</v>
      </c>
      <c r="BT220" s="185" t="n">
        <v>40725</v>
      </c>
      <c r="BU220" s="184" t="n">
        <v>17</v>
      </c>
      <c r="BV220" s="185" t="n">
        <v>40725</v>
      </c>
      <c r="CL220" s="182"/>
      <c r="CM220" s="182"/>
    </row>
    <row r="221" customFormat="false" ht="12.75" hidden="false" customHeight="false" outlineLevel="0" collapsed="false">
      <c r="A221" s="204" t="s">
        <v>534</v>
      </c>
      <c r="B221" s="193" t="s">
        <v>782</v>
      </c>
      <c r="C221" s="193" t="s">
        <v>876</v>
      </c>
      <c r="D221" s="193"/>
      <c r="E221" s="194" t="n">
        <v>6</v>
      </c>
      <c r="F221" s="195" t="n">
        <v>36</v>
      </c>
      <c r="G221" s="119"/>
      <c r="H221" s="119"/>
      <c r="J221" s="118"/>
      <c r="K221" s="118"/>
      <c r="L221" s="181"/>
      <c r="N221" s="182"/>
      <c r="O221" s="182"/>
      <c r="S221" s="184" t="n">
        <v>1563</v>
      </c>
      <c r="T221" s="185" t="n">
        <v>40725</v>
      </c>
      <c r="U221" s="182"/>
      <c r="V221" s="182"/>
      <c r="W221" s="183"/>
      <c r="X221" s="183"/>
      <c r="Y221" s="184" t="n">
        <v>432</v>
      </c>
      <c r="Z221" s="185" t="n">
        <v>40725</v>
      </c>
      <c r="AA221" s="184" t="n">
        <v>67909</v>
      </c>
      <c r="AB221" s="185" t="n">
        <v>40725</v>
      </c>
      <c r="AC221" s="184" t="n">
        <v>29</v>
      </c>
      <c r="AD221" s="185" t="n">
        <v>40725</v>
      </c>
      <c r="AE221" s="196"/>
      <c r="AF221" s="185"/>
      <c r="AG221" s="184" t="n">
        <v>4.27</v>
      </c>
      <c r="AH221" s="185" t="n">
        <v>40725</v>
      </c>
      <c r="AI221" s="183"/>
      <c r="AJ221" s="183"/>
      <c r="AK221" s="182"/>
      <c r="AL221" s="182"/>
      <c r="AM221" s="184" t="n">
        <v>86</v>
      </c>
      <c r="AN221" s="183" t="n">
        <v>40630</v>
      </c>
      <c r="AO221" s="182"/>
      <c r="AP221" s="182"/>
      <c r="AQ221" s="183"/>
      <c r="AR221" s="183"/>
      <c r="AS221" s="182"/>
      <c r="AT221" s="182"/>
      <c r="AU221" s="183"/>
      <c r="AV221" s="183"/>
      <c r="AW221" s="182"/>
      <c r="AX221" s="182"/>
      <c r="AY221" s="183"/>
      <c r="AZ221" s="183"/>
      <c r="BA221" s="182"/>
      <c r="BB221" s="182"/>
      <c r="BK221" s="183"/>
      <c r="BL221" s="183"/>
      <c r="BM221" s="182"/>
      <c r="BN221" s="182"/>
      <c r="BO221" s="183"/>
      <c r="BP221" s="183"/>
      <c r="BQ221" s="182"/>
      <c r="BR221" s="182"/>
      <c r="BS221" s="184" t="n">
        <v>53.9</v>
      </c>
      <c r="BT221" s="185" t="n">
        <v>40725</v>
      </c>
      <c r="BU221" s="184" t="n">
        <v>14.9</v>
      </c>
      <c r="BV221" s="185" t="n">
        <v>40725</v>
      </c>
      <c r="CL221" s="182"/>
      <c r="CM221" s="182"/>
    </row>
    <row r="222" customFormat="false" ht="12.75" hidden="false" customHeight="false" outlineLevel="0" collapsed="false">
      <c r="A222" s="204" t="s">
        <v>534</v>
      </c>
      <c r="B222" s="193" t="s">
        <v>782</v>
      </c>
      <c r="C222" s="193" t="s">
        <v>877</v>
      </c>
      <c r="D222" s="193"/>
      <c r="E222" s="119" t="n">
        <v>17</v>
      </c>
      <c r="F222" s="195" t="n">
        <v>72</v>
      </c>
      <c r="G222" s="119"/>
      <c r="H222" s="119"/>
      <c r="J222" s="118"/>
      <c r="K222" s="118"/>
      <c r="L222" s="181"/>
      <c r="N222" s="182"/>
      <c r="O222" s="182"/>
      <c r="S222" s="184" t="n">
        <v>1300</v>
      </c>
      <c r="T222" s="185" t="n">
        <v>40725</v>
      </c>
      <c r="U222" s="182"/>
      <c r="V222" s="182"/>
      <c r="W222" s="183"/>
      <c r="X222" s="183"/>
      <c r="Y222" s="184" t="n">
        <v>412</v>
      </c>
      <c r="Z222" s="185" t="n">
        <v>40725</v>
      </c>
      <c r="AA222" s="184" t="n">
        <v>56642</v>
      </c>
      <c r="AB222" s="185" t="n">
        <v>40725</v>
      </c>
      <c r="AC222" s="184" t="n">
        <v>24.6</v>
      </c>
      <c r="AD222" s="185" t="n">
        <v>40725</v>
      </c>
      <c r="AE222" s="196"/>
      <c r="AF222" s="185"/>
      <c r="AG222" s="184" t="n">
        <v>4.35</v>
      </c>
      <c r="AH222" s="185" t="n">
        <v>40725</v>
      </c>
      <c r="AI222" s="183"/>
      <c r="AJ222" s="183"/>
      <c r="AK222" s="182"/>
      <c r="AL222" s="182"/>
      <c r="AM222" s="184" t="n">
        <v>87</v>
      </c>
      <c r="AN222" s="183" t="n">
        <v>40630</v>
      </c>
      <c r="AO222" s="182"/>
      <c r="AP222" s="182"/>
      <c r="AQ222" s="183"/>
      <c r="AR222" s="183"/>
      <c r="AS222" s="182"/>
      <c r="AT222" s="182"/>
      <c r="AU222" s="183"/>
      <c r="AV222" s="183"/>
      <c r="AW222" s="182"/>
      <c r="AX222" s="182"/>
      <c r="AY222" s="183"/>
      <c r="AZ222" s="183"/>
      <c r="BA222" s="182"/>
      <c r="BB222" s="182"/>
      <c r="BK222" s="183"/>
      <c r="BL222" s="183"/>
      <c r="BM222" s="182"/>
      <c r="BN222" s="182"/>
      <c r="BO222" s="183"/>
      <c r="BP222" s="183"/>
      <c r="BQ222" s="182"/>
      <c r="BR222" s="182"/>
      <c r="BS222" s="184" t="n">
        <v>52.8</v>
      </c>
      <c r="BT222" s="185" t="n">
        <v>40725</v>
      </c>
      <c r="BU222" s="184" t="n">
        <v>16.7</v>
      </c>
      <c r="BV222" s="185" t="n">
        <v>40725</v>
      </c>
      <c r="CL222" s="182"/>
      <c r="CM222" s="182"/>
    </row>
    <row r="223" customFormat="false" ht="12.75" hidden="false" customHeight="false" outlineLevel="0" collapsed="false">
      <c r="A223" s="204" t="s">
        <v>534</v>
      </c>
      <c r="B223" s="193" t="s">
        <v>785</v>
      </c>
      <c r="C223" s="193" t="s">
        <v>875</v>
      </c>
      <c r="D223" s="193"/>
      <c r="E223" s="194" t="n">
        <v>6</v>
      </c>
      <c r="F223" s="195" t="n">
        <v>7</v>
      </c>
      <c r="G223" s="119"/>
      <c r="H223" s="119"/>
      <c r="J223" s="118"/>
      <c r="K223" s="118"/>
      <c r="L223" s="181"/>
      <c r="N223" s="182"/>
      <c r="O223" s="182"/>
      <c r="S223" s="184" t="n">
        <v>1918</v>
      </c>
      <c r="T223" s="185" t="n">
        <v>40725</v>
      </c>
      <c r="U223" s="182"/>
      <c r="V223" s="182"/>
      <c r="W223" s="183"/>
      <c r="X223" s="183"/>
      <c r="Y223" s="184" t="n">
        <v>628</v>
      </c>
      <c r="Z223" s="185" t="n">
        <v>40725</v>
      </c>
      <c r="AA223" s="184" t="n">
        <v>81750</v>
      </c>
      <c r="AB223" s="185" t="n">
        <v>40725</v>
      </c>
      <c r="AC223" s="184" t="n">
        <v>36.6</v>
      </c>
      <c r="AD223" s="185" t="n">
        <v>40725</v>
      </c>
      <c r="AE223" s="196"/>
      <c r="AF223" s="185"/>
      <c r="AG223" s="184" t="n">
        <v>4.48</v>
      </c>
      <c r="AH223" s="185" t="n">
        <v>40725</v>
      </c>
      <c r="AI223" s="183"/>
      <c r="AJ223" s="183"/>
      <c r="AK223" s="182"/>
      <c r="AL223" s="182"/>
      <c r="AM223" s="184" t="n">
        <v>89</v>
      </c>
      <c r="AN223" s="183" t="n">
        <v>40630</v>
      </c>
      <c r="AO223" s="182"/>
      <c r="AP223" s="182"/>
      <c r="AQ223" s="183"/>
      <c r="AR223" s="183"/>
      <c r="AS223" s="182"/>
      <c r="AT223" s="182"/>
      <c r="AU223" s="183"/>
      <c r="AV223" s="183"/>
      <c r="AW223" s="182"/>
      <c r="AX223" s="182"/>
      <c r="AY223" s="183"/>
      <c r="AZ223" s="183"/>
      <c r="BA223" s="182"/>
      <c r="BB223" s="182"/>
      <c r="BK223" s="183"/>
      <c r="BL223" s="183"/>
      <c r="BM223" s="182"/>
      <c r="BN223" s="182"/>
      <c r="BO223" s="183"/>
      <c r="BP223" s="183"/>
      <c r="BQ223" s="182"/>
      <c r="BR223" s="182"/>
      <c r="BS223" s="184" t="n">
        <v>52.4</v>
      </c>
      <c r="BT223" s="185" t="n">
        <v>40725</v>
      </c>
      <c r="BU223" s="184" t="n">
        <v>17.2</v>
      </c>
      <c r="BV223" s="185" t="n">
        <v>40725</v>
      </c>
      <c r="CL223" s="182"/>
      <c r="CM223" s="182"/>
    </row>
    <row r="224" customFormat="false" ht="12.75" hidden="false" customHeight="false" outlineLevel="0" collapsed="false">
      <c r="A224" s="204" t="s">
        <v>534</v>
      </c>
      <c r="B224" s="193" t="s">
        <v>785</v>
      </c>
      <c r="C224" s="193" t="s">
        <v>876</v>
      </c>
      <c r="D224" s="193"/>
      <c r="E224" s="194" t="n">
        <v>1</v>
      </c>
      <c r="F224" s="195" t="n">
        <v>60</v>
      </c>
      <c r="G224" s="119"/>
      <c r="H224" s="119"/>
      <c r="J224" s="118"/>
      <c r="K224" s="118"/>
      <c r="L224" s="181"/>
      <c r="N224" s="182"/>
      <c r="O224" s="182"/>
      <c r="S224" s="184" t="n">
        <v>2110</v>
      </c>
      <c r="T224" s="185" t="n">
        <v>40725</v>
      </c>
      <c r="U224" s="182"/>
      <c r="V224" s="182"/>
      <c r="W224" s="183"/>
      <c r="X224" s="183"/>
      <c r="Y224" s="184" t="n">
        <v>666</v>
      </c>
      <c r="Z224" s="185" t="n">
        <v>40725</v>
      </c>
      <c r="AA224" s="184" t="n">
        <v>89425</v>
      </c>
      <c r="AB224" s="185" t="n">
        <v>40725</v>
      </c>
      <c r="AC224" s="184" t="n">
        <v>39.9</v>
      </c>
      <c r="AD224" s="185" t="n">
        <v>40725</v>
      </c>
      <c r="AE224" s="196"/>
      <c r="AF224" s="185"/>
      <c r="AG224" s="184" t="n">
        <v>4.46</v>
      </c>
      <c r="AH224" s="185" t="n">
        <v>40725</v>
      </c>
      <c r="AI224" s="183"/>
      <c r="AJ224" s="183"/>
      <c r="AK224" s="182"/>
      <c r="AL224" s="182"/>
      <c r="AM224" s="184" t="n">
        <v>88</v>
      </c>
      <c r="AN224" s="183" t="n">
        <v>40630</v>
      </c>
      <c r="AO224" s="182"/>
      <c r="AP224" s="182"/>
      <c r="AQ224" s="183"/>
      <c r="AR224" s="183"/>
      <c r="AS224" s="182"/>
      <c r="AT224" s="182"/>
      <c r="AU224" s="183"/>
      <c r="AV224" s="183"/>
      <c r="AW224" s="182"/>
      <c r="AX224" s="182"/>
      <c r="AY224" s="183"/>
      <c r="AZ224" s="183"/>
      <c r="BA224" s="182"/>
      <c r="BB224" s="182"/>
      <c r="BK224" s="183"/>
      <c r="BL224" s="183"/>
      <c r="BM224" s="182"/>
      <c r="BN224" s="182"/>
      <c r="BO224" s="183"/>
      <c r="BP224" s="183"/>
      <c r="BQ224" s="182"/>
      <c r="BR224" s="182"/>
      <c r="BS224" s="184" t="n">
        <v>52.9</v>
      </c>
      <c r="BT224" s="185" t="n">
        <v>40725</v>
      </c>
      <c r="BU224" s="184" t="n">
        <v>16.7</v>
      </c>
      <c r="BV224" s="185" t="n">
        <v>40725</v>
      </c>
      <c r="CL224" s="182"/>
      <c r="CM224" s="182"/>
    </row>
    <row r="225" customFormat="false" ht="12.75" hidden="false" customHeight="false" outlineLevel="0" collapsed="false">
      <c r="A225" s="204" t="s">
        <v>534</v>
      </c>
      <c r="B225" s="193" t="s">
        <v>785</v>
      </c>
      <c r="C225" s="193" t="s">
        <v>877</v>
      </c>
      <c r="D225" s="193"/>
      <c r="E225" s="119" t="n">
        <v>20</v>
      </c>
      <c r="F225" s="195" t="n">
        <v>84</v>
      </c>
      <c r="G225" s="119"/>
      <c r="H225" s="119"/>
      <c r="J225" s="118"/>
      <c r="K225" s="118"/>
      <c r="L225" s="181"/>
      <c r="N225" s="182"/>
      <c r="O225" s="182"/>
      <c r="S225" s="184" t="n">
        <v>2433</v>
      </c>
      <c r="T225" s="185" t="n">
        <v>40725</v>
      </c>
      <c r="U225" s="182"/>
      <c r="V225" s="182"/>
      <c r="W225" s="183"/>
      <c r="X225" s="183"/>
      <c r="Y225" s="184" t="n">
        <v>866</v>
      </c>
      <c r="Z225" s="185" t="n">
        <v>40725</v>
      </c>
      <c r="AA225" s="184" t="n">
        <v>96901</v>
      </c>
      <c r="AB225" s="185" t="n">
        <v>40725</v>
      </c>
      <c r="AC225" s="184" t="n">
        <v>47</v>
      </c>
      <c r="AD225" s="185" t="n">
        <v>40725</v>
      </c>
      <c r="AE225" s="196"/>
      <c r="AF225" s="185"/>
      <c r="AG225" s="184" t="n">
        <v>4.85</v>
      </c>
      <c r="AH225" s="185" t="n">
        <v>40725</v>
      </c>
      <c r="AI225" s="183"/>
      <c r="AJ225" s="183"/>
      <c r="AK225" s="182"/>
      <c r="AL225" s="182"/>
      <c r="AM225" s="184" t="n">
        <v>87</v>
      </c>
      <c r="AN225" s="183" t="n">
        <v>40630</v>
      </c>
      <c r="AO225" s="182"/>
      <c r="AP225" s="182"/>
      <c r="AQ225" s="183"/>
      <c r="AR225" s="183"/>
      <c r="AS225" s="182"/>
      <c r="AT225" s="182"/>
      <c r="AU225" s="183"/>
      <c r="AV225" s="183"/>
      <c r="AW225" s="182"/>
      <c r="AX225" s="182"/>
      <c r="AY225" s="183"/>
      <c r="AZ225" s="183"/>
      <c r="BA225" s="182"/>
      <c r="BB225" s="182"/>
      <c r="BK225" s="183"/>
      <c r="BL225" s="183"/>
      <c r="BM225" s="182"/>
      <c r="BN225" s="182"/>
      <c r="BO225" s="183"/>
      <c r="BP225" s="183"/>
      <c r="BQ225" s="182"/>
      <c r="BR225" s="182"/>
      <c r="BS225" s="184" t="n">
        <v>51.8</v>
      </c>
      <c r="BT225" s="185" t="n">
        <v>40725</v>
      </c>
      <c r="BU225" s="184" t="n">
        <v>18.4</v>
      </c>
      <c r="BV225" s="185" t="n">
        <v>40725</v>
      </c>
      <c r="CL225" s="182"/>
      <c r="CM225" s="182"/>
    </row>
    <row r="226" customFormat="false" ht="12.75" hidden="false" customHeight="false" outlineLevel="0" collapsed="false">
      <c r="A226" s="204" t="s">
        <v>537</v>
      </c>
      <c r="B226" s="193" t="s">
        <v>782</v>
      </c>
      <c r="C226" s="193" t="s">
        <v>875</v>
      </c>
      <c r="D226" s="193"/>
      <c r="E226" s="194" t="n">
        <v>2</v>
      </c>
      <c r="F226" s="195" t="n">
        <v>13</v>
      </c>
      <c r="G226" s="119"/>
      <c r="H226" s="119"/>
      <c r="J226" s="118"/>
      <c r="K226" s="118"/>
      <c r="L226" s="181"/>
      <c r="N226" s="182"/>
      <c r="O226" s="182"/>
      <c r="S226" s="184" t="n">
        <v>1778</v>
      </c>
      <c r="T226" s="185" t="n">
        <v>40725</v>
      </c>
      <c r="U226" s="182"/>
      <c r="V226" s="182"/>
      <c r="W226" s="183"/>
      <c r="X226" s="183"/>
      <c r="Y226" s="184" t="n">
        <v>551</v>
      </c>
      <c r="Z226" s="185" t="n">
        <v>40725</v>
      </c>
      <c r="AA226" s="184" t="n">
        <v>86979</v>
      </c>
      <c r="AB226" s="185" t="n">
        <v>40725</v>
      </c>
      <c r="AC226" s="184" t="n">
        <v>33.8</v>
      </c>
      <c r="AD226" s="185" t="n">
        <v>40725</v>
      </c>
      <c r="AE226" s="196"/>
      <c r="AF226" s="185"/>
      <c r="AG226" s="184" t="n">
        <v>3.88</v>
      </c>
      <c r="AH226" s="185" t="n">
        <v>40725</v>
      </c>
      <c r="AI226" s="183"/>
      <c r="AJ226" s="183"/>
      <c r="AK226" s="182"/>
      <c r="AL226" s="182"/>
      <c r="AM226" s="184" t="n">
        <v>86</v>
      </c>
      <c r="AN226" s="183" t="n">
        <v>40630</v>
      </c>
      <c r="AO226" s="182"/>
      <c r="AP226" s="182"/>
      <c r="AQ226" s="183"/>
      <c r="AR226" s="183"/>
      <c r="AS226" s="182"/>
      <c r="AT226" s="182"/>
      <c r="AU226" s="183"/>
      <c r="AV226" s="183"/>
      <c r="AW226" s="182"/>
      <c r="AX226" s="182"/>
      <c r="AY226" s="183"/>
      <c r="AZ226" s="183"/>
      <c r="BA226" s="182"/>
      <c r="BB226" s="182"/>
      <c r="BK226" s="183"/>
      <c r="BL226" s="183"/>
      <c r="BM226" s="182"/>
      <c r="BN226" s="182"/>
      <c r="BO226" s="183"/>
      <c r="BP226" s="183"/>
      <c r="BQ226" s="182"/>
      <c r="BR226" s="182"/>
      <c r="BS226" s="184" t="n">
        <v>52.7</v>
      </c>
      <c r="BT226" s="185" t="n">
        <v>40725</v>
      </c>
      <c r="BU226" s="184" t="n">
        <v>16.3</v>
      </c>
      <c r="BV226" s="185" t="n">
        <v>40725</v>
      </c>
      <c r="CL226" s="182"/>
      <c r="CM226" s="182"/>
    </row>
    <row r="227" customFormat="false" ht="12.75" hidden="false" customHeight="false" outlineLevel="0" collapsed="false">
      <c r="A227" s="204" t="s">
        <v>537</v>
      </c>
      <c r="B227" s="193" t="s">
        <v>782</v>
      </c>
      <c r="C227" s="193" t="s">
        <v>876</v>
      </c>
      <c r="D227" s="193"/>
      <c r="E227" s="194" t="n">
        <v>8</v>
      </c>
      <c r="F227" s="195" t="n">
        <v>59</v>
      </c>
      <c r="G227" s="119"/>
      <c r="H227" s="119"/>
      <c r="J227" s="118"/>
      <c r="K227" s="118"/>
      <c r="L227" s="181"/>
      <c r="N227" s="182"/>
      <c r="O227" s="182"/>
      <c r="S227" s="184" t="n">
        <v>1973</v>
      </c>
      <c r="T227" s="185" t="n">
        <v>40725</v>
      </c>
      <c r="U227" s="182"/>
      <c r="V227" s="182"/>
      <c r="W227" s="183"/>
      <c r="X227" s="183"/>
      <c r="Y227" s="184" t="n">
        <v>540</v>
      </c>
      <c r="Z227" s="185" t="n">
        <v>40725</v>
      </c>
      <c r="AA227" s="184" t="n">
        <v>91826</v>
      </c>
      <c r="AB227" s="185" t="n">
        <v>40725</v>
      </c>
      <c r="AC227" s="184" t="n">
        <v>36.1</v>
      </c>
      <c r="AD227" s="185" t="n">
        <v>40725</v>
      </c>
      <c r="AE227" s="196"/>
      <c r="AF227" s="185"/>
      <c r="AG227" s="184" t="n">
        <v>3.93</v>
      </c>
      <c r="AH227" s="185" t="n">
        <v>40725</v>
      </c>
      <c r="AI227" s="183"/>
      <c r="AJ227" s="183"/>
      <c r="AK227" s="182"/>
      <c r="AL227" s="182"/>
      <c r="AM227" s="184" t="n">
        <v>83</v>
      </c>
      <c r="AN227" s="183" t="n">
        <v>40630</v>
      </c>
      <c r="AO227" s="182"/>
      <c r="AP227" s="182"/>
      <c r="AQ227" s="183"/>
      <c r="AR227" s="183"/>
      <c r="AS227" s="182"/>
      <c r="AT227" s="182"/>
      <c r="AU227" s="183"/>
      <c r="AV227" s="183"/>
      <c r="AW227" s="182"/>
      <c r="AX227" s="182"/>
      <c r="AY227" s="183"/>
      <c r="AZ227" s="183"/>
      <c r="BA227" s="182"/>
      <c r="BB227" s="182"/>
      <c r="BK227" s="183"/>
      <c r="BL227" s="183"/>
      <c r="BM227" s="182"/>
      <c r="BN227" s="182"/>
      <c r="BO227" s="183"/>
      <c r="BP227" s="183"/>
      <c r="BQ227" s="182"/>
      <c r="BR227" s="182"/>
      <c r="BS227" s="184" t="n">
        <v>54.7</v>
      </c>
      <c r="BT227" s="185" t="n">
        <v>40725</v>
      </c>
      <c r="BU227" s="184" t="n">
        <v>15</v>
      </c>
      <c r="BV227" s="185" t="n">
        <v>40725</v>
      </c>
      <c r="CL227" s="182"/>
      <c r="CM227" s="182"/>
    </row>
    <row r="228" customFormat="false" ht="12.75" hidden="false" customHeight="false" outlineLevel="0" collapsed="false">
      <c r="A228" s="204" t="s">
        <v>537</v>
      </c>
      <c r="B228" s="193" t="s">
        <v>782</v>
      </c>
      <c r="C228" s="193" t="s">
        <v>877</v>
      </c>
      <c r="D228" s="193"/>
      <c r="E228" s="194" t="n">
        <v>16</v>
      </c>
      <c r="F228" s="195" t="n">
        <v>77</v>
      </c>
      <c r="G228" s="119"/>
      <c r="H228" s="119"/>
      <c r="J228" s="118"/>
      <c r="K228" s="118"/>
      <c r="L228" s="181"/>
      <c r="N228" s="182"/>
      <c r="O228" s="182"/>
      <c r="S228" s="184" t="s">
        <v>879</v>
      </c>
      <c r="T228" s="185" t="n">
        <v>40725</v>
      </c>
      <c r="U228" s="182"/>
      <c r="V228" s="182"/>
      <c r="W228" s="183"/>
      <c r="X228" s="183"/>
      <c r="Y228" s="184" t="s">
        <v>879</v>
      </c>
      <c r="Z228" s="185" t="n">
        <v>40725</v>
      </c>
      <c r="AA228" s="184" t="s">
        <v>879</v>
      </c>
      <c r="AB228" s="185" t="n">
        <v>40725</v>
      </c>
      <c r="AC228" s="184" t="s">
        <v>879</v>
      </c>
      <c r="AD228" s="185" t="n">
        <v>40725</v>
      </c>
      <c r="AE228" s="196"/>
      <c r="AF228" s="185"/>
      <c r="AG228" s="184" t="s">
        <v>879</v>
      </c>
      <c r="AH228" s="185" t="n">
        <v>40725</v>
      </c>
      <c r="AI228" s="183"/>
      <c r="AJ228" s="183"/>
      <c r="AK228" s="182"/>
      <c r="AL228" s="182"/>
      <c r="AM228" s="184" t="n">
        <v>84</v>
      </c>
      <c r="AN228" s="183" t="n">
        <v>40630</v>
      </c>
      <c r="AO228" s="182"/>
      <c r="AP228" s="182"/>
      <c r="AQ228" s="183"/>
      <c r="AR228" s="183"/>
      <c r="AS228" s="182"/>
      <c r="AT228" s="182"/>
      <c r="AU228" s="183"/>
      <c r="AV228" s="183"/>
      <c r="AW228" s="182"/>
      <c r="AX228" s="182"/>
      <c r="AY228" s="183"/>
      <c r="AZ228" s="183"/>
      <c r="BA228" s="182"/>
      <c r="BB228" s="182"/>
      <c r="BK228" s="183"/>
      <c r="BL228" s="183"/>
      <c r="BM228" s="182"/>
      <c r="BN228" s="182"/>
      <c r="BO228" s="183"/>
      <c r="BP228" s="183"/>
      <c r="BQ228" s="182"/>
      <c r="BR228" s="182"/>
      <c r="BS228" s="184" t="s">
        <v>879</v>
      </c>
      <c r="BT228" s="185" t="n">
        <v>40725</v>
      </c>
      <c r="BU228" s="184" t="s">
        <v>879</v>
      </c>
      <c r="BV228" s="185" t="n">
        <v>40725</v>
      </c>
      <c r="CL228" s="182"/>
      <c r="CM228" s="182"/>
    </row>
    <row r="229" customFormat="false" ht="12.75" hidden="false" customHeight="false" outlineLevel="0" collapsed="false">
      <c r="A229" s="204" t="s">
        <v>537</v>
      </c>
      <c r="B229" s="193" t="s">
        <v>785</v>
      </c>
      <c r="C229" s="193" t="s">
        <v>875</v>
      </c>
      <c r="D229" s="193"/>
      <c r="E229" s="194" t="n">
        <v>5</v>
      </c>
      <c r="F229" s="195" t="n">
        <v>11</v>
      </c>
      <c r="G229" s="119"/>
      <c r="H229" s="119"/>
      <c r="J229" s="118"/>
      <c r="K229" s="118"/>
      <c r="L229" s="181"/>
      <c r="N229" s="182"/>
      <c r="O229" s="182"/>
      <c r="S229" s="184" t="n">
        <v>2427</v>
      </c>
      <c r="T229" s="185" t="n">
        <v>40725</v>
      </c>
      <c r="U229" s="182"/>
      <c r="V229" s="182"/>
      <c r="W229" s="183"/>
      <c r="X229" s="183"/>
      <c r="Y229" s="184" t="n">
        <v>729</v>
      </c>
      <c r="Z229" s="185" t="n">
        <v>40725</v>
      </c>
      <c r="AA229" s="184" t="n">
        <v>111626</v>
      </c>
      <c r="AB229" s="185" t="n">
        <v>40725</v>
      </c>
      <c r="AC229" s="184" t="n">
        <v>45.2</v>
      </c>
      <c r="AD229" s="185" t="n">
        <v>40725</v>
      </c>
      <c r="AE229" s="196"/>
      <c r="AF229" s="185"/>
      <c r="AG229" s="184" t="n">
        <v>4.05</v>
      </c>
      <c r="AH229" s="185" t="n">
        <v>40725</v>
      </c>
      <c r="AI229" s="183"/>
      <c r="AJ229" s="183"/>
      <c r="AK229" s="182"/>
      <c r="AL229" s="182"/>
      <c r="AM229" s="184" t="n">
        <v>86</v>
      </c>
      <c r="AN229" s="183" t="n">
        <v>40630</v>
      </c>
      <c r="AO229" s="182"/>
      <c r="AP229" s="182"/>
      <c r="AQ229" s="183"/>
      <c r="AR229" s="183"/>
      <c r="AS229" s="182"/>
      <c r="AT229" s="182"/>
      <c r="AU229" s="183"/>
      <c r="AV229" s="183"/>
      <c r="AW229" s="182"/>
      <c r="AX229" s="182"/>
      <c r="AY229" s="183"/>
      <c r="AZ229" s="183"/>
      <c r="BA229" s="182"/>
      <c r="BB229" s="182"/>
      <c r="BK229" s="183"/>
      <c r="BL229" s="183"/>
      <c r="BM229" s="182"/>
      <c r="BN229" s="182"/>
      <c r="BO229" s="183"/>
      <c r="BP229" s="183"/>
      <c r="BQ229" s="182"/>
      <c r="BR229" s="182"/>
      <c r="BS229" s="184" t="n">
        <v>53.7</v>
      </c>
      <c r="BT229" s="185" t="n">
        <v>40725</v>
      </c>
      <c r="BU229" s="184" t="n">
        <v>16.1</v>
      </c>
      <c r="BV229" s="185" t="n">
        <v>40725</v>
      </c>
      <c r="CL229" s="182"/>
      <c r="CM229" s="182"/>
    </row>
    <row r="230" customFormat="false" ht="12.75" hidden="false" customHeight="false" outlineLevel="0" collapsed="false">
      <c r="A230" s="204" t="s">
        <v>537</v>
      </c>
      <c r="B230" s="193" t="s">
        <v>785</v>
      </c>
      <c r="C230" s="193" t="s">
        <v>876</v>
      </c>
      <c r="D230" s="193"/>
      <c r="E230" s="194" t="n">
        <v>4</v>
      </c>
      <c r="F230" s="195" t="n">
        <v>64</v>
      </c>
      <c r="G230" s="119"/>
      <c r="H230" s="119"/>
      <c r="J230" s="118"/>
      <c r="K230" s="118"/>
      <c r="L230" s="181"/>
      <c r="N230" s="182"/>
      <c r="O230" s="182"/>
      <c r="S230" s="184" t="n">
        <v>2411</v>
      </c>
      <c r="T230" s="185" t="n">
        <v>40725</v>
      </c>
      <c r="U230" s="182"/>
      <c r="V230" s="182"/>
      <c r="W230" s="183"/>
      <c r="X230" s="183"/>
      <c r="Y230" s="184" t="n">
        <v>761</v>
      </c>
      <c r="Z230" s="185" t="n">
        <v>40725</v>
      </c>
      <c r="AA230" s="184" t="n">
        <v>110500</v>
      </c>
      <c r="AB230" s="185" t="n">
        <v>40725</v>
      </c>
      <c r="AC230" s="184" t="n">
        <v>45</v>
      </c>
      <c r="AD230" s="185" t="n">
        <v>40725</v>
      </c>
      <c r="AE230" s="196"/>
      <c r="AF230" s="185"/>
      <c r="AG230" s="184" t="n">
        <v>4.07</v>
      </c>
      <c r="AH230" s="185" t="n">
        <v>40725</v>
      </c>
      <c r="AI230" s="183"/>
      <c r="AJ230" s="183"/>
      <c r="AK230" s="182"/>
      <c r="AL230" s="182"/>
      <c r="AM230" s="184" t="n">
        <v>85</v>
      </c>
      <c r="AN230" s="183" t="n">
        <v>40630</v>
      </c>
      <c r="AO230" s="182"/>
      <c r="AP230" s="182"/>
      <c r="AQ230" s="183"/>
      <c r="AR230" s="183"/>
      <c r="AS230" s="182"/>
      <c r="AT230" s="182"/>
      <c r="AU230" s="183"/>
      <c r="AV230" s="183"/>
      <c r="AW230" s="182"/>
      <c r="AX230" s="182"/>
      <c r="AY230" s="183"/>
      <c r="AZ230" s="183"/>
      <c r="BA230" s="182"/>
      <c r="BB230" s="182"/>
      <c r="BK230" s="183"/>
      <c r="BL230" s="183"/>
      <c r="BM230" s="182"/>
      <c r="BN230" s="182"/>
      <c r="BO230" s="183"/>
      <c r="BP230" s="183"/>
      <c r="BQ230" s="182"/>
      <c r="BR230" s="182"/>
      <c r="BS230" s="184" t="n">
        <v>53.6</v>
      </c>
      <c r="BT230" s="185" t="n">
        <v>40725</v>
      </c>
      <c r="BU230" s="184" t="n">
        <v>16.9</v>
      </c>
      <c r="BV230" s="185" t="n">
        <v>40725</v>
      </c>
      <c r="CL230" s="182"/>
      <c r="CM230" s="182"/>
    </row>
    <row r="231" customFormat="false" ht="12.75" hidden="false" customHeight="false" outlineLevel="0" collapsed="false">
      <c r="A231" s="204" t="s">
        <v>537</v>
      </c>
      <c r="B231" s="193" t="s">
        <v>785</v>
      </c>
      <c r="C231" s="193" t="s">
        <v>877</v>
      </c>
      <c r="D231" s="193"/>
      <c r="E231" s="119" t="n">
        <v>24</v>
      </c>
      <c r="F231" s="195" t="n">
        <v>87</v>
      </c>
      <c r="G231" s="119"/>
      <c r="H231" s="119"/>
      <c r="J231" s="118"/>
      <c r="K231" s="118"/>
      <c r="L231" s="181"/>
      <c r="N231" s="182"/>
      <c r="O231" s="182"/>
      <c r="S231" s="184" t="n">
        <v>2059</v>
      </c>
      <c r="T231" s="185" t="n">
        <v>40725</v>
      </c>
      <c r="U231" s="182"/>
      <c r="V231" s="182"/>
      <c r="W231" s="183"/>
      <c r="X231" s="183"/>
      <c r="Y231" s="184" t="n">
        <v>706</v>
      </c>
      <c r="Z231" s="185" t="n">
        <v>40725</v>
      </c>
      <c r="AA231" s="184" t="n">
        <v>99810</v>
      </c>
      <c r="AB231" s="185" t="n">
        <v>40725</v>
      </c>
      <c r="AC231" s="184" t="n">
        <v>39.8</v>
      </c>
      <c r="AD231" s="185" t="n">
        <v>40725</v>
      </c>
      <c r="AE231" s="196"/>
      <c r="AF231" s="185"/>
      <c r="AG231" s="184" t="n">
        <v>3.98</v>
      </c>
      <c r="AH231" s="185" t="n">
        <v>40725</v>
      </c>
      <c r="AI231" s="183"/>
      <c r="AJ231" s="183"/>
      <c r="AK231" s="182"/>
      <c r="AL231" s="182"/>
      <c r="AM231" s="184" t="n">
        <v>85</v>
      </c>
      <c r="AN231" s="183" t="n">
        <v>40630</v>
      </c>
      <c r="AO231" s="182"/>
      <c r="AP231" s="182"/>
      <c r="AQ231" s="183"/>
      <c r="AR231" s="183"/>
      <c r="AS231" s="182"/>
      <c r="AT231" s="182"/>
      <c r="AU231" s="183"/>
      <c r="AV231" s="183"/>
      <c r="AW231" s="182"/>
      <c r="AX231" s="182"/>
      <c r="AY231" s="183"/>
      <c r="AZ231" s="183"/>
      <c r="BA231" s="182"/>
      <c r="BB231" s="182"/>
      <c r="BK231" s="183"/>
      <c r="BL231" s="183"/>
      <c r="BM231" s="182"/>
      <c r="BN231" s="182"/>
      <c r="BO231" s="183"/>
      <c r="BP231" s="183"/>
      <c r="BQ231" s="182"/>
      <c r="BR231" s="182"/>
      <c r="BS231" s="184" t="n">
        <v>51.8</v>
      </c>
      <c r="BT231" s="185" t="n">
        <v>40725</v>
      </c>
      <c r="BU231" s="184" t="n">
        <v>17.8</v>
      </c>
      <c r="BV231" s="185" t="n">
        <v>40725</v>
      </c>
      <c r="CL231" s="182"/>
      <c r="CM231" s="182"/>
    </row>
    <row r="232" customFormat="false" ht="12.75" hidden="false" customHeight="false" outlineLevel="0" collapsed="false">
      <c r="A232" s="204" t="s">
        <v>540</v>
      </c>
      <c r="B232" s="193" t="s">
        <v>782</v>
      </c>
      <c r="C232" s="193" t="s">
        <v>875</v>
      </c>
      <c r="D232" s="193"/>
      <c r="E232" s="194" t="n">
        <v>2</v>
      </c>
      <c r="F232" s="195" t="n">
        <v>3</v>
      </c>
      <c r="G232" s="119"/>
      <c r="H232" s="119"/>
      <c r="J232" s="118"/>
      <c r="K232" s="118"/>
      <c r="L232" s="181"/>
      <c r="N232" s="182"/>
      <c r="O232" s="182"/>
      <c r="S232" s="184" t="n">
        <v>1994</v>
      </c>
      <c r="T232" s="185" t="n">
        <v>40725</v>
      </c>
      <c r="U232" s="182"/>
      <c r="V232" s="182"/>
      <c r="W232" s="183"/>
      <c r="X232" s="183"/>
      <c r="Y232" s="184" t="n">
        <v>621</v>
      </c>
      <c r="Z232" s="185" t="n">
        <v>40725</v>
      </c>
      <c r="AA232" s="184" t="n">
        <v>89075</v>
      </c>
      <c r="AB232" s="185" t="n">
        <v>40725</v>
      </c>
      <c r="AC232" s="184" t="n">
        <v>37.6</v>
      </c>
      <c r="AD232" s="185" t="n">
        <v>40725</v>
      </c>
      <c r="AE232" s="196"/>
      <c r="AF232" s="185"/>
      <c r="AG232" s="184" t="n">
        <v>4.22</v>
      </c>
      <c r="AH232" s="185" t="n">
        <v>40725</v>
      </c>
      <c r="AI232" s="183"/>
      <c r="AJ232" s="183"/>
      <c r="AK232" s="182"/>
      <c r="AL232" s="182"/>
      <c r="AM232" s="184" t="n">
        <v>83</v>
      </c>
      <c r="AN232" s="183" t="n">
        <v>40630</v>
      </c>
      <c r="AO232" s="182"/>
      <c r="AP232" s="182"/>
      <c r="AQ232" s="183"/>
      <c r="AR232" s="183"/>
      <c r="AS232" s="182"/>
      <c r="AT232" s="182"/>
      <c r="AU232" s="183"/>
      <c r="AV232" s="183"/>
      <c r="AW232" s="182"/>
      <c r="AX232" s="182"/>
      <c r="AY232" s="183"/>
      <c r="AZ232" s="183"/>
      <c r="BA232" s="182"/>
      <c r="BB232" s="182"/>
      <c r="BK232" s="183"/>
      <c r="BL232" s="183"/>
      <c r="BM232" s="182"/>
      <c r="BN232" s="182"/>
      <c r="BO232" s="183"/>
      <c r="BP232" s="183"/>
      <c r="BQ232" s="182"/>
      <c r="BR232" s="182"/>
      <c r="BS232" s="184" t="n">
        <v>53.1</v>
      </c>
      <c r="BT232" s="185" t="n">
        <v>40725</v>
      </c>
      <c r="BU232" s="184" t="n">
        <v>16.5</v>
      </c>
      <c r="BV232" s="185" t="n">
        <v>40725</v>
      </c>
      <c r="CL232" s="182"/>
      <c r="CM232" s="182"/>
    </row>
    <row r="233" customFormat="false" ht="12.75" hidden="false" customHeight="false" outlineLevel="0" collapsed="false">
      <c r="A233" s="204" t="s">
        <v>540</v>
      </c>
      <c r="B233" s="193" t="s">
        <v>782</v>
      </c>
      <c r="C233" s="193" t="s">
        <v>876</v>
      </c>
      <c r="D233" s="193"/>
      <c r="E233" s="194" t="n">
        <v>6</v>
      </c>
      <c r="F233" s="195" t="n">
        <v>52</v>
      </c>
      <c r="G233" s="119"/>
      <c r="H233" s="119"/>
      <c r="J233" s="118"/>
      <c r="K233" s="118"/>
      <c r="L233" s="181"/>
      <c r="N233" s="182"/>
      <c r="O233" s="182"/>
      <c r="S233" s="184" t="n">
        <v>1353</v>
      </c>
      <c r="T233" s="185" t="n">
        <v>40725</v>
      </c>
      <c r="U233" s="182"/>
      <c r="V233" s="182"/>
      <c r="W233" s="183"/>
      <c r="X233" s="183"/>
      <c r="Y233" s="184" t="n">
        <v>460</v>
      </c>
      <c r="Z233" s="185" t="n">
        <v>40725</v>
      </c>
      <c r="AA233" s="184" t="n">
        <v>58664</v>
      </c>
      <c r="AB233" s="185" t="n">
        <v>40725</v>
      </c>
      <c r="AC233" s="184" t="n">
        <v>26</v>
      </c>
      <c r="AD233" s="185" t="n">
        <v>40725</v>
      </c>
      <c r="AE233" s="196"/>
      <c r="AF233" s="185"/>
      <c r="AG233" s="184" t="n">
        <v>4.44</v>
      </c>
      <c r="AH233" s="185" t="n">
        <v>40725</v>
      </c>
      <c r="AI233" s="183"/>
      <c r="AJ233" s="183"/>
      <c r="AK233" s="182"/>
      <c r="AL233" s="182"/>
      <c r="AM233" s="184" t="n">
        <v>81</v>
      </c>
      <c r="AN233" s="183" t="n">
        <v>40630</v>
      </c>
      <c r="AO233" s="182"/>
      <c r="AP233" s="182"/>
      <c r="AQ233" s="183"/>
      <c r="AR233" s="183"/>
      <c r="AS233" s="182"/>
      <c r="AT233" s="182"/>
      <c r="AU233" s="183"/>
      <c r="AV233" s="183"/>
      <c r="AW233" s="182"/>
      <c r="AX233" s="182"/>
      <c r="AY233" s="183"/>
      <c r="AZ233" s="183"/>
      <c r="BA233" s="182"/>
      <c r="BB233" s="182"/>
      <c r="BK233" s="183"/>
      <c r="BL233" s="183"/>
      <c r="BM233" s="182"/>
      <c r="BN233" s="182"/>
      <c r="BO233" s="183"/>
      <c r="BP233" s="183"/>
      <c r="BQ233" s="182"/>
      <c r="BR233" s="182"/>
      <c r="BS233" s="184" t="n">
        <v>52</v>
      </c>
      <c r="BT233" s="185" t="n">
        <v>40725</v>
      </c>
      <c r="BU233" s="184" t="n">
        <v>17.7</v>
      </c>
      <c r="BV233" s="185" t="n">
        <v>40725</v>
      </c>
      <c r="CL233" s="182"/>
      <c r="CM233" s="182"/>
    </row>
    <row r="234" customFormat="false" ht="12.75" hidden="false" customHeight="false" outlineLevel="0" collapsed="false">
      <c r="A234" s="204" t="s">
        <v>540</v>
      </c>
      <c r="B234" s="193" t="s">
        <v>782</v>
      </c>
      <c r="C234" s="193" t="s">
        <v>877</v>
      </c>
      <c r="D234" s="193"/>
      <c r="E234" s="119" t="n">
        <v>15</v>
      </c>
      <c r="F234" s="195" t="n">
        <v>90</v>
      </c>
      <c r="G234" s="119"/>
      <c r="H234" s="119"/>
      <c r="J234" s="118"/>
      <c r="K234" s="118"/>
      <c r="L234" s="181"/>
      <c r="N234" s="182"/>
      <c r="O234" s="182"/>
      <c r="S234" s="184" t="n">
        <v>1481</v>
      </c>
      <c r="T234" s="185" t="n">
        <v>40725</v>
      </c>
      <c r="U234" s="182"/>
      <c r="V234" s="182"/>
      <c r="W234" s="183"/>
      <c r="X234" s="183"/>
      <c r="Y234" s="184" t="n">
        <v>503</v>
      </c>
      <c r="Z234" s="185" t="n">
        <v>40725</v>
      </c>
      <c r="AA234" s="184" t="n">
        <v>65779</v>
      </c>
      <c r="AB234" s="185" t="n">
        <v>40725</v>
      </c>
      <c r="AC234" s="184" t="n">
        <v>28.6</v>
      </c>
      <c r="AD234" s="185" t="n">
        <v>40725</v>
      </c>
      <c r="AE234" s="196"/>
      <c r="AF234" s="185"/>
      <c r="AG234" s="184" t="n">
        <v>4.35</v>
      </c>
      <c r="AH234" s="185" t="n">
        <v>40725</v>
      </c>
      <c r="AI234" s="183"/>
      <c r="AJ234" s="183"/>
      <c r="AK234" s="182"/>
      <c r="AL234" s="182"/>
      <c r="AM234" s="184" t="n">
        <v>82</v>
      </c>
      <c r="AN234" s="183" t="n">
        <v>40630</v>
      </c>
      <c r="AO234" s="182"/>
      <c r="AP234" s="182"/>
      <c r="AQ234" s="183"/>
      <c r="AR234" s="183"/>
      <c r="AS234" s="182"/>
      <c r="AT234" s="182"/>
      <c r="AU234" s="183"/>
      <c r="AV234" s="183"/>
      <c r="AW234" s="182"/>
      <c r="AX234" s="182"/>
      <c r="AY234" s="183"/>
      <c r="AZ234" s="183"/>
      <c r="BA234" s="182"/>
      <c r="BB234" s="182"/>
      <c r="BK234" s="183"/>
      <c r="BL234" s="183"/>
      <c r="BM234" s="182"/>
      <c r="BN234" s="182"/>
      <c r="BO234" s="183"/>
      <c r="BP234" s="183"/>
      <c r="BQ234" s="182"/>
      <c r="BR234" s="182"/>
      <c r="BS234" s="184" t="n">
        <v>51.7</v>
      </c>
      <c r="BT234" s="185" t="n">
        <v>40725</v>
      </c>
      <c r="BU234" s="184" t="n">
        <v>17.6</v>
      </c>
      <c r="BV234" s="185" t="n">
        <v>40725</v>
      </c>
      <c r="CL234" s="182"/>
      <c r="CM234" s="182"/>
    </row>
    <row r="235" customFormat="false" ht="12.75" hidden="false" customHeight="false" outlineLevel="0" collapsed="false">
      <c r="A235" s="204" t="s">
        <v>540</v>
      </c>
      <c r="B235" s="193" t="s">
        <v>785</v>
      </c>
      <c r="C235" s="193" t="s">
        <v>875</v>
      </c>
      <c r="D235" s="193"/>
      <c r="E235" s="194" t="n">
        <v>6</v>
      </c>
      <c r="F235" s="195" t="n">
        <v>20</v>
      </c>
      <c r="G235" s="119"/>
      <c r="H235" s="119"/>
      <c r="J235" s="118"/>
      <c r="K235" s="118"/>
      <c r="L235" s="181"/>
      <c r="N235" s="182"/>
      <c r="O235" s="182"/>
      <c r="S235" s="184" t="n">
        <v>1823</v>
      </c>
      <c r="T235" s="185" t="n">
        <v>40725</v>
      </c>
      <c r="U235" s="182"/>
      <c r="V235" s="182"/>
      <c r="W235" s="183"/>
      <c r="X235" s="183"/>
      <c r="Y235" s="184" t="n">
        <v>581</v>
      </c>
      <c r="Z235" s="185" t="n">
        <v>40725</v>
      </c>
      <c r="AA235" s="184" t="n">
        <v>82279</v>
      </c>
      <c r="AB235" s="185" t="n">
        <v>40725</v>
      </c>
      <c r="AC235" s="184" t="n">
        <v>34.4</v>
      </c>
      <c r="AD235" s="185" t="n">
        <v>40725</v>
      </c>
      <c r="AE235" s="196"/>
      <c r="AF235" s="185"/>
      <c r="AG235" s="184" t="n">
        <v>4.18</v>
      </c>
      <c r="AH235" s="185" t="n">
        <v>40725</v>
      </c>
      <c r="AI235" s="183"/>
      <c r="AJ235" s="183"/>
      <c r="AK235" s="182"/>
      <c r="AL235" s="182"/>
      <c r="AM235" s="184" t="n">
        <v>84</v>
      </c>
      <c r="AN235" s="183" t="n">
        <v>40630</v>
      </c>
      <c r="AO235" s="182"/>
      <c r="AP235" s="182"/>
      <c r="AQ235" s="183"/>
      <c r="AR235" s="183"/>
      <c r="AS235" s="182"/>
      <c r="AT235" s="182"/>
      <c r="AU235" s="183"/>
      <c r="AV235" s="183"/>
      <c r="AW235" s="182"/>
      <c r="AX235" s="182"/>
      <c r="AY235" s="183"/>
      <c r="AZ235" s="183"/>
      <c r="BA235" s="182"/>
      <c r="BB235" s="182"/>
      <c r="BK235" s="183"/>
      <c r="BL235" s="183"/>
      <c r="BM235" s="182"/>
      <c r="BN235" s="182"/>
      <c r="BO235" s="183"/>
      <c r="BP235" s="183"/>
      <c r="BQ235" s="182"/>
      <c r="BR235" s="182"/>
      <c r="BS235" s="184" t="n">
        <v>53</v>
      </c>
      <c r="BT235" s="185" t="n">
        <v>40725</v>
      </c>
      <c r="BU235" s="184" t="n">
        <v>16.9</v>
      </c>
      <c r="BV235" s="185" t="n">
        <v>40725</v>
      </c>
      <c r="CL235" s="182"/>
      <c r="CM235" s="182"/>
    </row>
    <row r="236" customFormat="false" ht="12.75" hidden="false" customHeight="false" outlineLevel="0" collapsed="false">
      <c r="A236" s="204" t="s">
        <v>540</v>
      </c>
      <c r="B236" s="193" t="s">
        <v>785</v>
      </c>
      <c r="C236" s="193" t="s">
        <v>876</v>
      </c>
      <c r="D236" s="193"/>
      <c r="E236" s="194" t="n">
        <v>1</v>
      </c>
      <c r="F236" s="195" t="n">
        <v>59</v>
      </c>
      <c r="G236" s="119"/>
      <c r="H236" s="119"/>
      <c r="J236" s="118"/>
      <c r="K236" s="118"/>
      <c r="L236" s="181"/>
      <c r="N236" s="182"/>
      <c r="O236" s="182"/>
      <c r="S236" s="184" t="n">
        <v>1825</v>
      </c>
      <c r="T236" s="185" t="n">
        <v>40725</v>
      </c>
      <c r="U236" s="182"/>
      <c r="V236" s="182"/>
      <c r="W236" s="183"/>
      <c r="X236" s="183"/>
      <c r="Y236" s="184" t="n">
        <v>651</v>
      </c>
      <c r="Z236" s="185" t="n">
        <v>40725</v>
      </c>
      <c r="AA236" s="184" t="n">
        <v>79123</v>
      </c>
      <c r="AB236" s="185" t="n">
        <v>40725</v>
      </c>
      <c r="AC236" s="184" t="n">
        <v>35</v>
      </c>
      <c r="AD236" s="185" t="n">
        <v>40725</v>
      </c>
      <c r="AE236" s="196"/>
      <c r="AF236" s="185"/>
      <c r="AG236" s="184" t="n">
        <v>4.42</v>
      </c>
      <c r="AH236" s="185" t="n">
        <v>40725</v>
      </c>
      <c r="AI236" s="183"/>
      <c r="AJ236" s="183"/>
      <c r="AK236" s="182"/>
      <c r="AL236" s="182"/>
      <c r="AM236" s="184" t="n">
        <v>83</v>
      </c>
      <c r="AN236" s="183" t="n">
        <v>40630</v>
      </c>
      <c r="AO236" s="182"/>
      <c r="AP236" s="182"/>
      <c r="AQ236" s="183"/>
      <c r="AR236" s="183"/>
      <c r="AS236" s="182"/>
      <c r="AT236" s="182"/>
      <c r="AU236" s="183"/>
      <c r="AV236" s="183"/>
      <c r="AW236" s="182"/>
      <c r="AX236" s="182"/>
      <c r="AY236" s="183"/>
      <c r="AZ236" s="183"/>
      <c r="BA236" s="182"/>
      <c r="BB236" s="182"/>
      <c r="BK236" s="183"/>
      <c r="BL236" s="183"/>
      <c r="BM236" s="182"/>
      <c r="BN236" s="182"/>
      <c r="BO236" s="183"/>
      <c r="BP236" s="183"/>
      <c r="BQ236" s="182"/>
      <c r="BR236" s="182"/>
      <c r="BS236" s="184" t="n">
        <v>52.2</v>
      </c>
      <c r="BT236" s="185" t="n">
        <v>40725</v>
      </c>
      <c r="BU236" s="184" t="n">
        <v>18.6</v>
      </c>
      <c r="BV236" s="185" t="n">
        <v>40725</v>
      </c>
      <c r="CL236" s="182"/>
      <c r="CM236" s="182"/>
    </row>
    <row r="237" customFormat="false" ht="12.75" hidden="false" customHeight="false" outlineLevel="0" collapsed="false">
      <c r="A237" s="204" t="s">
        <v>540</v>
      </c>
      <c r="B237" s="193" t="s">
        <v>785</v>
      </c>
      <c r="C237" s="193" t="s">
        <v>877</v>
      </c>
      <c r="D237" s="193"/>
      <c r="E237" s="119" t="n">
        <v>22</v>
      </c>
      <c r="F237" s="195" t="n">
        <v>67</v>
      </c>
      <c r="G237" s="119"/>
      <c r="H237" s="119"/>
      <c r="J237" s="118"/>
      <c r="K237" s="118"/>
      <c r="L237" s="181"/>
      <c r="N237" s="182"/>
      <c r="O237" s="182"/>
      <c r="S237" s="184" t="n">
        <v>1934</v>
      </c>
      <c r="T237" s="185" t="n">
        <v>40725</v>
      </c>
      <c r="U237" s="182"/>
      <c r="V237" s="182"/>
      <c r="W237" s="183"/>
      <c r="X237" s="183"/>
      <c r="Y237" s="184" t="n">
        <v>642</v>
      </c>
      <c r="Z237" s="185" t="n">
        <v>40725</v>
      </c>
      <c r="AA237" s="184" t="n">
        <v>82305</v>
      </c>
      <c r="AB237" s="185" t="n">
        <v>40725</v>
      </c>
      <c r="AC237" s="184" t="n">
        <v>36.6</v>
      </c>
      <c r="AD237" s="185" t="n">
        <v>40725</v>
      </c>
      <c r="AE237" s="196"/>
      <c r="AF237" s="185"/>
      <c r="AG237" s="184" t="n">
        <v>4.45</v>
      </c>
      <c r="AH237" s="185" t="n">
        <v>40725</v>
      </c>
      <c r="AI237" s="183"/>
      <c r="AJ237" s="183"/>
      <c r="AK237" s="182"/>
      <c r="AL237" s="182"/>
      <c r="AM237" s="184" t="n">
        <v>82</v>
      </c>
      <c r="AN237" s="183" t="n">
        <v>40630</v>
      </c>
      <c r="AO237" s="182"/>
      <c r="AP237" s="182"/>
      <c r="AQ237" s="183"/>
      <c r="AR237" s="183"/>
      <c r="AS237" s="182"/>
      <c r="AT237" s="182"/>
      <c r="AU237" s="183"/>
      <c r="AV237" s="183"/>
      <c r="AW237" s="182"/>
      <c r="AX237" s="182"/>
      <c r="AY237" s="183"/>
      <c r="AZ237" s="183"/>
      <c r="BA237" s="182"/>
      <c r="BB237" s="182"/>
      <c r="BK237" s="183"/>
      <c r="BL237" s="183"/>
      <c r="BM237" s="182"/>
      <c r="BN237" s="182"/>
      <c r="BO237" s="183"/>
      <c r="BP237" s="183"/>
      <c r="BQ237" s="182"/>
      <c r="BR237" s="182"/>
      <c r="BS237" s="184" t="n">
        <v>52.8</v>
      </c>
      <c r="BT237" s="185" t="n">
        <v>40725</v>
      </c>
      <c r="BU237" s="184" t="n">
        <v>17.5</v>
      </c>
      <c r="BV237" s="185" t="n">
        <v>40725</v>
      </c>
      <c r="CL237" s="182"/>
      <c r="CM237" s="182"/>
    </row>
    <row r="238" customFormat="false" ht="12.75" hidden="false" customHeight="false" outlineLevel="0" collapsed="false">
      <c r="A238" s="204" t="s">
        <v>543</v>
      </c>
      <c r="B238" s="193" t="s">
        <v>782</v>
      </c>
      <c r="C238" s="193" t="s">
        <v>875</v>
      </c>
      <c r="D238" s="193"/>
      <c r="E238" s="194" t="n">
        <v>1</v>
      </c>
      <c r="F238" s="195" t="n">
        <v>18</v>
      </c>
      <c r="G238" s="119"/>
      <c r="H238" s="119"/>
      <c r="J238" s="118"/>
      <c r="K238" s="118"/>
      <c r="L238" s="181"/>
      <c r="N238" s="182"/>
      <c r="O238" s="182"/>
      <c r="S238" s="184" t="n">
        <v>1722</v>
      </c>
      <c r="T238" s="185" t="n">
        <v>40725</v>
      </c>
      <c r="U238" s="182"/>
      <c r="V238" s="182"/>
      <c r="W238" s="183"/>
      <c r="X238" s="183"/>
      <c r="Y238" s="184" t="n">
        <v>501</v>
      </c>
      <c r="Z238" s="185" t="n">
        <v>40725</v>
      </c>
      <c r="AA238" s="184" t="n">
        <v>74612</v>
      </c>
      <c r="AB238" s="185" t="n">
        <v>40725</v>
      </c>
      <c r="AC238" s="184" t="n">
        <v>32.2</v>
      </c>
      <c r="AD238" s="185" t="n">
        <v>40725</v>
      </c>
      <c r="AE238" s="196"/>
      <c r="AF238" s="185"/>
      <c r="AG238" s="184" t="n">
        <v>4.31</v>
      </c>
      <c r="AH238" s="185" t="n">
        <v>40725</v>
      </c>
      <c r="AI238" s="183"/>
      <c r="AJ238" s="183"/>
      <c r="AK238" s="182"/>
      <c r="AL238" s="182"/>
      <c r="AM238" s="184" t="n">
        <v>81</v>
      </c>
      <c r="AN238" s="183" t="n">
        <v>40630</v>
      </c>
      <c r="AO238" s="182"/>
      <c r="AP238" s="182"/>
      <c r="AQ238" s="183"/>
      <c r="AR238" s="183"/>
      <c r="AS238" s="182"/>
      <c r="AT238" s="182"/>
      <c r="AU238" s="183"/>
      <c r="AV238" s="183"/>
      <c r="AW238" s="182"/>
      <c r="AX238" s="182"/>
      <c r="AY238" s="183"/>
      <c r="AZ238" s="183"/>
      <c r="BA238" s="182"/>
      <c r="BB238" s="182"/>
      <c r="BK238" s="183"/>
      <c r="BL238" s="183"/>
      <c r="BM238" s="182"/>
      <c r="BN238" s="182"/>
      <c r="BO238" s="183"/>
      <c r="BP238" s="183"/>
      <c r="BQ238" s="182"/>
      <c r="BR238" s="182"/>
      <c r="BS238" s="184" t="n">
        <v>53.5</v>
      </c>
      <c r="BT238" s="185" t="n">
        <v>40725</v>
      </c>
      <c r="BU238" s="184" t="n">
        <v>15.6</v>
      </c>
      <c r="BV238" s="185" t="n">
        <v>40725</v>
      </c>
      <c r="CL238" s="182"/>
      <c r="CM238" s="182"/>
    </row>
    <row r="239" customFormat="false" ht="12.75" hidden="false" customHeight="false" outlineLevel="0" collapsed="false">
      <c r="A239" s="204" t="s">
        <v>543</v>
      </c>
      <c r="B239" s="193" t="s">
        <v>782</v>
      </c>
      <c r="C239" s="193" t="s">
        <v>876</v>
      </c>
      <c r="D239" s="193"/>
      <c r="E239" s="194" t="n">
        <v>5</v>
      </c>
      <c r="F239" s="195" t="n">
        <v>33</v>
      </c>
      <c r="G239" s="119"/>
      <c r="H239" s="119"/>
      <c r="J239" s="118"/>
      <c r="K239" s="118"/>
      <c r="L239" s="181"/>
      <c r="N239" s="182"/>
      <c r="O239" s="182"/>
      <c r="S239" s="184" t="n">
        <v>1684</v>
      </c>
      <c r="T239" s="185" t="n">
        <v>40725</v>
      </c>
      <c r="U239" s="182"/>
      <c r="V239" s="182"/>
      <c r="W239" s="183"/>
      <c r="X239" s="183"/>
      <c r="Y239" s="184" t="n">
        <v>476</v>
      </c>
      <c r="Z239" s="185" t="n">
        <v>40725</v>
      </c>
      <c r="AA239" s="184" t="n">
        <v>73444</v>
      </c>
      <c r="AB239" s="185" t="n">
        <v>40725</v>
      </c>
      <c r="AC239" s="184" t="n">
        <v>31.5</v>
      </c>
      <c r="AD239" s="185" t="n">
        <v>40725</v>
      </c>
      <c r="AE239" s="196"/>
      <c r="AF239" s="185"/>
      <c r="AG239" s="184" t="n">
        <v>4.29</v>
      </c>
      <c r="AH239" s="185" t="n">
        <v>40725</v>
      </c>
      <c r="AI239" s="183"/>
      <c r="AJ239" s="183"/>
      <c r="AK239" s="182"/>
      <c r="AL239" s="182"/>
      <c r="AM239" s="184" t="n">
        <v>77</v>
      </c>
      <c r="AN239" s="183" t="n">
        <v>40630</v>
      </c>
      <c r="AO239" s="182"/>
      <c r="AP239" s="182"/>
      <c r="AQ239" s="183"/>
      <c r="AR239" s="183"/>
      <c r="AS239" s="182"/>
      <c r="AT239" s="182"/>
      <c r="AU239" s="183"/>
      <c r="AV239" s="183"/>
      <c r="AW239" s="182"/>
      <c r="AX239" s="182"/>
      <c r="AY239" s="183"/>
      <c r="AZ239" s="183"/>
      <c r="BA239" s="182"/>
      <c r="BB239" s="182"/>
      <c r="BK239" s="183"/>
      <c r="BL239" s="183"/>
      <c r="BM239" s="182"/>
      <c r="BN239" s="182"/>
      <c r="BO239" s="183"/>
      <c r="BP239" s="183"/>
      <c r="BQ239" s="182"/>
      <c r="BR239" s="182"/>
      <c r="BS239" s="184" t="n">
        <v>53.4</v>
      </c>
      <c r="BT239" s="185" t="n">
        <v>40725</v>
      </c>
      <c r="BU239" s="184" t="n">
        <v>15.1</v>
      </c>
      <c r="BV239" s="185" t="n">
        <v>40725</v>
      </c>
      <c r="CL239" s="182"/>
      <c r="CM239" s="182"/>
    </row>
    <row r="240" customFormat="false" ht="12.75" hidden="false" customHeight="false" outlineLevel="0" collapsed="false">
      <c r="A240" s="204" t="s">
        <v>543</v>
      </c>
      <c r="B240" s="193" t="s">
        <v>782</v>
      </c>
      <c r="C240" s="193" t="s">
        <v>877</v>
      </c>
      <c r="D240" s="193"/>
      <c r="E240" s="119" t="n">
        <v>19</v>
      </c>
      <c r="F240" s="195" t="n">
        <v>79</v>
      </c>
      <c r="G240" s="119"/>
      <c r="H240" s="119"/>
      <c r="J240" s="118"/>
      <c r="K240" s="118"/>
      <c r="L240" s="181"/>
      <c r="N240" s="182"/>
      <c r="O240" s="182"/>
      <c r="S240" s="184" t="n">
        <v>1553</v>
      </c>
      <c r="T240" s="185" t="n">
        <v>40725</v>
      </c>
      <c r="U240" s="182"/>
      <c r="V240" s="182"/>
      <c r="W240" s="183"/>
      <c r="X240" s="183"/>
      <c r="Y240" s="184" t="n">
        <v>540</v>
      </c>
      <c r="Z240" s="185" t="n">
        <v>40725</v>
      </c>
      <c r="AA240" s="184" t="n">
        <v>68467</v>
      </c>
      <c r="AB240" s="185" t="n">
        <v>40725</v>
      </c>
      <c r="AC240" s="184" t="n">
        <v>30.1</v>
      </c>
      <c r="AD240" s="185" t="n">
        <v>40725</v>
      </c>
      <c r="AE240" s="196"/>
      <c r="AF240" s="185"/>
      <c r="AG240" s="184" t="n">
        <v>4.4</v>
      </c>
      <c r="AH240" s="185" t="n">
        <v>40725</v>
      </c>
      <c r="AI240" s="183"/>
      <c r="AJ240" s="183"/>
      <c r="AK240" s="182"/>
      <c r="AL240" s="182"/>
      <c r="AM240" s="184" t="n">
        <v>77</v>
      </c>
      <c r="AN240" s="183" t="n">
        <v>40630</v>
      </c>
      <c r="AO240" s="182"/>
      <c r="AP240" s="182"/>
      <c r="AQ240" s="183"/>
      <c r="AR240" s="183"/>
      <c r="AS240" s="182"/>
      <c r="AT240" s="182"/>
      <c r="AU240" s="183"/>
      <c r="AV240" s="183"/>
      <c r="AW240" s="182"/>
      <c r="AX240" s="182"/>
      <c r="AY240" s="183"/>
      <c r="AZ240" s="183"/>
      <c r="BA240" s="182"/>
      <c r="BB240" s="182"/>
      <c r="BK240" s="183"/>
      <c r="BL240" s="183"/>
      <c r="BM240" s="182"/>
      <c r="BN240" s="182"/>
      <c r="BO240" s="183"/>
      <c r="BP240" s="183"/>
      <c r="BQ240" s="182"/>
      <c r="BR240" s="182"/>
      <c r="BS240" s="184" t="n">
        <v>51.6</v>
      </c>
      <c r="BT240" s="185" t="n">
        <v>40725</v>
      </c>
      <c r="BU240" s="184" t="n">
        <v>17.9</v>
      </c>
      <c r="BV240" s="185" t="n">
        <v>40725</v>
      </c>
      <c r="CL240" s="182"/>
      <c r="CM240" s="182"/>
    </row>
    <row r="241" customFormat="false" ht="12.75" hidden="false" customHeight="false" outlineLevel="0" collapsed="false">
      <c r="A241" s="204" t="s">
        <v>543</v>
      </c>
      <c r="B241" s="193" t="s">
        <v>785</v>
      </c>
      <c r="C241" s="193" t="s">
        <v>875</v>
      </c>
      <c r="D241" s="193"/>
      <c r="E241" s="194" t="n">
        <v>6</v>
      </c>
      <c r="F241" s="195" t="n">
        <v>5</v>
      </c>
      <c r="G241" s="119"/>
      <c r="H241" s="119"/>
      <c r="J241" s="118"/>
      <c r="K241" s="118"/>
      <c r="L241" s="181"/>
      <c r="N241" s="182"/>
      <c r="O241" s="182"/>
      <c r="S241" s="184" t="n">
        <v>2070</v>
      </c>
      <c r="T241" s="185" t="n">
        <v>40725</v>
      </c>
      <c r="U241" s="182"/>
      <c r="V241" s="182"/>
      <c r="W241" s="183"/>
      <c r="X241" s="183"/>
      <c r="Y241" s="184" t="n">
        <v>702</v>
      </c>
      <c r="Z241" s="185" t="n">
        <v>40725</v>
      </c>
      <c r="AA241" s="184" t="n">
        <v>88191</v>
      </c>
      <c r="AB241" s="185" t="n">
        <v>40725</v>
      </c>
      <c r="AC241" s="184" t="n">
        <v>40.1</v>
      </c>
      <c r="AD241" s="185" t="n">
        <v>40725</v>
      </c>
      <c r="AE241" s="196"/>
      <c r="AF241" s="185"/>
      <c r="AG241" s="184" t="n">
        <v>4.55</v>
      </c>
      <c r="AH241" s="185" t="n">
        <v>40725</v>
      </c>
      <c r="AI241" s="183"/>
      <c r="AJ241" s="183"/>
      <c r="AK241" s="182"/>
      <c r="AL241" s="182"/>
      <c r="AM241" s="184" t="n">
        <v>82</v>
      </c>
      <c r="AN241" s="183" t="n">
        <v>40630</v>
      </c>
      <c r="AO241" s="182"/>
      <c r="AP241" s="182"/>
      <c r="AQ241" s="183"/>
      <c r="AR241" s="183"/>
      <c r="AS241" s="182"/>
      <c r="AT241" s="182"/>
      <c r="AU241" s="183"/>
      <c r="AV241" s="183"/>
      <c r="AW241" s="182"/>
      <c r="AX241" s="182"/>
      <c r="AY241" s="183"/>
      <c r="AZ241" s="183"/>
      <c r="BA241" s="182"/>
      <c r="BB241" s="182"/>
      <c r="BK241" s="183"/>
      <c r="BL241" s="183"/>
      <c r="BM241" s="182"/>
      <c r="BN241" s="182"/>
      <c r="BO241" s="183"/>
      <c r="BP241" s="183"/>
      <c r="BQ241" s="182"/>
      <c r="BR241" s="182"/>
      <c r="BS241" s="184" t="n">
        <v>51.6</v>
      </c>
      <c r="BT241" s="185" t="n">
        <v>40725</v>
      </c>
      <c r="BU241" s="184" t="n">
        <v>17.5</v>
      </c>
      <c r="BV241" s="185" t="n">
        <v>40725</v>
      </c>
      <c r="CL241" s="182"/>
      <c r="CM241" s="182"/>
    </row>
    <row r="242" customFormat="false" ht="12.75" hidden="false" customHeight="false" outlineLevel="0" collapsed="false">
      <c r="A242" s="204" t="s">
        <v>543</v>
      </c>
      <c r="B242" s="193" t="s">
        <v>785</v>
      </c>
      <c r="C242" s="193" t="s">
        <v>876</v>
      </c>
      <c r="D242" s="193"/>
      <c r="E242" s="194" t="n">
        <v>2</v>
      </c>
      <c r="F242" s="195" t="n">
        <v>47</v>
      </c>
      <c r="G242" s="119"/>
      <c r="H242" s="119"/>
      <c r="J242" s="118"/>
      <c r="K242" s="118"/>
      <c r="L242" s="181"/>
      <c r="N242" s="182"/>
      <c r="O242" s="182"/>
      <c r="S242" s="184" t="n">
        <v>2090</v>
      </c>
      <c r="T242" s="185" t="n">
        <v>40725</v>
      </c>
      <c r="U242" s="182"/>
      <c r="V242" s="182"/>
      <c r="W242" s="183"/>
      <c r="X242" s="183"/>
      <c r="Y242" s="184" t="n">
        <v>726</v>
      </c>
      <c r="Z242" s="185" t="n">
        <v>40725</v>
      </c>
      <c r="AA242" s="184" t="n">
        <v>88837</v>
      </c>
      <c r="AB242" s="185" t="n">
        <v>40725</v>
      </c>
      <c r="AC242" s="184" t="n">
        <v>41</v>
      </c>
      <c r="AD242" s="185" t="n">
        <v>40725</v>
      </c>
      <c r="AE242" s="196"/>
      <c r="AF242" s="185"/>
      <c r="AG242" s="184" t="n">
        <v>4.61</v>
      </c>
      <c r="AH242" s="185" t="n">
        <v>40725</v>
      </c>
      <c r="AI242" s="183"/>
      <c r="AJ242" s="183"/>
      <c r="AK242" s="182"/>
      <c r="AL242" s="182"/>
      <c r="AM242" s="184" t="n">
        <v>81</v>
      </c>
      <c r="AN242" s="183" t="n">
        <v>40630</v>
      </c>
      <c r="AO242" s="182"/>
      <c r="AP242" s="182"/>
      <c r="AQ242" s="183"/>
      <c r="AR242" s="183"/>
      <c r="AS242" s="182"/>
      <c r="AT242" s="182"/>
      <c r="AU242" s="183"/>
      <c r="AV242" s="183"/>
      <c r="AW242" s="182"/>
      <c r="AX242" s="182"/>
      <c r="AY242" s="183"/>
      <c r="AZ242" s="183"/>
      <c r="BA242" s="182"/>
      <c r="BB242" s="182"/>
      <c r="BK242" s="183"/>
      <c r="BL242" s="183"/>
      <c r="BM242" s="182"/>
      <c r="BN242" s="182"/>
      <c r="BO242" s="183"/>
      <c r="BP242" s="183"/>
      <c r="BQ242" s="182"/>
      <c r="BR242" s="182"/>
      <c r="BS242" s="184" t="n">
        <v>51</v>
      </c>
      <c r="BT242" s="185" t="n">
        <v>40725</v>
      </c>
      <c r="BU242" s="184" t="n">
        <v>17.7</v>
      </c>
      <c r="BV242" s="185" t="n">
        <v>40725</v>
      </c>
      <c r="CL242" s="182"/>
      <c r="CM242" s="182"/>
    </row>
    <row r="243" customFormat="false" ht="12.75" hidden="false" customHeight="false" outlineLevel="0" collapsed="false">
      <c r="A243" s="204" t="s">
        <v>543</v>
      </c>
      <c r="B243" s="193" t="s">
        <v>785</v>
      </c>
      <c r="C243" s="193" t="s">
        <v>877</v>
      </c>
      <c r="D243" s="193"/>
      <c r="E243" s="119" t="n">
        <v>24</v>
      </c>
      <c r="F243" s="195" t="n">
        <v>69</v>
      </c>
      <c r="G243" s="119"/>
      <c r="H243" s="119"/>
      <c r="J243" s="118"/>
      <c r="K243" s="118"/>
      <c r="L243" s="181"/>
      <c r="N243" s="182"/>
      <c r="O243" s="182"/>
      <c r="S243" s="184" t="n">
        <v>1697</v>
      </c>
      <c r="T243" s="185" t="n">
        <v>40725</v>
      </c>
      <c r="U243" s="182"/>
      <c r="V243" s="182"/>
      <c r="W243" s="183"/>
      <c r="X243" s="183"/>
      <c r="Y243" s="184" t="n">
        <v>584</v>
      </c>
      <c r="Z243" s="185" t="n">
        <v>40725</v>
      </c>
      <c r="AA243" s="184" t="n">
        <v>73448</v>
      </c>
      <c r="AB243" s="185" t="n">
        <v>40725</v>
      </c>
      <c r="AC243" s="184" t="n">
        <v>33</v>
      </c>
      <c r="AD243" s="185" t="n">
        <v>40725</v>
      </c>
      <c r="AE243" s="196"/>
      <c r="AF243" s="185"/>
      <c r="AG243" s="184" t="n">
        <v>4.49</v>
      </c>
      <c r="AH243" s="185" t="n">
        <v>40725</v>
      </c>
      <c r="AI243" s="183"/>
      <c r="AJ243" s="183"/>
      <c r="AK243" s="182"/>
      <c r="AL243" s="182"/>
      <c r="AM243" s="184" t="n">
        <v>81</v>
      </c>
      <c r="AN243" s="183" t="n">
        <v>40630</v>
      </c>
      <c r="AO243" s="182"/>
      <c r="AP243" s="182"/>
      <c r="AQ243" s="183"/>
      <c r="AR243" s="183"/>
      <c r="AS243" s="182"/>
      <c r="AT243" s="182"/>
      <c r="AU243" s="183"/>
      <c r="AV243" s="183"/>
      <c r="AW243" s="182"/>
      <c r="AX243" s="182"/>
      <c r="AY243" s="183"/>
      <c r="AZ243" s="183"/>
      <c r="BA243" s="182"/>
      <c r="BB243" s="182"/>
      <c r="BK243" s="183"/>
      <c r="BL243" s="183"/>
      <c r="BM243" s="182"/>
      <c r="BN243" s="182"/>
      <c r="BO243" s="183"/>
      <c r="BP243" s="183"/>
      <c r="BQ243" s="182"/>
      <c r="BR243" s="182"/>
      <c r="BS243" s="184" t="n">
        <v>51.5</v>
      </c>
      <c r="BT243" s="185" t="n">
        <v>40725</v>
      </c>
      <c r="BU243" s="184" t="n">
        <v>17.7</v>
      </c>
      <c r="BV243" s="185" t="n">
        <v>40725</v>
      </c>
      <c r="CL243" s="182"/>
      <c r="CM243" s="182"/>
    </row>
    <row r="244" customFormat="false" ht="12.75" hidden="false" customHeight="false" outlineLevel="0" collapsed="false">
      <c r="A244" s="204" t="s">
        <v>546</v>
      </c>
      <c r="B244" s="193" t="s">
        <v>782</v>
      </c>
      <c r="C244" s="193" t="s">
        <v>875</v>
      </c>
      <c r="D244" s="193"/>
      <c r="E244" s="194" t="n">
        <v>3</v>
      </c>
      <c r="F244" s="195" t="n">
        <v>31</v>
      </c>
      <c r="G244" s="119"/>
      <c r="H244" s="119"/>
      <c r="J244" s="118"/>
      <c r="K244" s="118"/>
      <c r="L244" s="181"/>
      <c r="N244" s="182"/>
      <c r="O244" s="182"/>
      <c r="S244" s="184" t="n">
        <v>1712</v>
      </c>
      <c r="T244" s="185" t="n">
        <v>40725</v>
      </c>
      <c r="U244" s="182"/>
      <c r="V244" s="182"/>
      <c r="W244" s="183"/>
      <c r="X244" s="183"/>
      <c r="Y244" s="184" t="n">
        <v>571</v>
      </c>
      <c r="Z244" s="185" t="n">
        <v>40725</v>
      </c>
      <c r="AA244" s="184" t="n">
        <v>74306</v>
      </c>
      <c r="AB244" s="185" t="n">
        <v>40725</v>
      </c>
      <c r="AC244" s="184" t="n">
        <v>33.4</v>
      </c>
      <c r="AD244" s="185" t="n">
        <v>40725</v>
      </c>
      <c r="AE244" s="196"/>
      <c r="AF244" s="185"/>
      <c r="AG244" s="184" t="n">
        <v>4.5</v>
      </c>
      <c r="AH244" s="185" t="n">
        <v>40725</v>
      </c>
      <c r="AI244" s="183"/>
      <c r="AJ244" s="183"/>
      <c r="AK244" s="182"/>
      <c r="AL244" s="182"/>
      <c r="AM244" s="184" t="n">
        <v>78</v>
      </c>
      <c r="AN244" s="183" t="n">
        <v>40630</v>
      </c>
      <c r="AO244" s="182"/>
      <c r="AP244" s="182"/>
      <c r="AQ244" s="183"/>
      <c r="AR244" s="183"/>
      <c r="AS244" s="182"/>
      <c r="AT244" s="182"/>
      <c r="AU244" s="183"/>
      <c r="AV244" s="183"/>
      <c r="AW244" s="182"/>
      <c r="AX244" s="182"/>
      <c r="AY244" s="183"/>
      <c r="AZ244" s="183"/>
      <c r="BA244" s="182"/>
      <c r="BB244" s="182"/>
      <c r="BK244" s="183"/>
      <c r="BL244" s="183"/>
      <c r="BM244" s="182"/>
      <c r="BN244" s="182"/>
      <c r="BO244" s="183"/>
      <c r="BP244" s="183"/>
      <c r="BQ244" s="182"/>
      <c r="BR244" s="182"/>
      <c r="BS244" s="184" t="n">
        <v>51.2</v>
      </c>
      <c r="BT244" s="185" t="n">
        <v>40725</v>
      </c>
      <c r="BU244" s="184" t="n">
        <v>17.1</v>
      </c>
      <c r="BV244" s="185" t="n">
        <v>40725</v>
      </c>
      <c r="CL244" s="182"/>
      <c r="CM244" s="182"/>
    </row>
    <row r="245" customFormat="false" ht="12.75" hidden="false" customHeight="false" outlineLevel="0" collapsed="false">
      <c r="A245" s="204" t="s">
        <v>546</v>
      </c>
      <c r="B245" s="193" t="s">
        <v>782</v>
      </c>
      <c r="C245" s="193" t="s">
        <v>876</v>
      </c>
      <c r="D245" s="193"/>
      <c r="E245" s="194" t="n">
        <v>8</v>
      </c>
      <c r="F245" s="195" t="n">
        <v>46</v>
      </c>
      <c r="G245" s="119"/>
      <c r="H245" s="119"/>
      <c r="J245" s="118"/>
      <c r="K245" s="118"/>
      <c r="L245" s="181"/>
      <c r="N245" s="182"/>
      <c r="O245" s="182"/>
      <c r="S245" s="184" t="n">
        <v>1583</v>
      </c>
      <c r="T245" s="185" t="n">
        <v>40725</v>
      </c>
      <c r="U245" s="182"/>
      <c r="V245" s="182"/>
      <c r="W245" s="183"/>
      <c r="X245" s="183"/>
      <c r="Y245" s="184" t="n">
        <v>493</v>
      </c>
      <c r="Z245" s="185" t="n">
        <v>40725</v>
      </c>
      <c r="AA245" s="184" t="n">
        <v>65226</v>
      </c>
      <c r="AB245" s="185" t="n">
        <v>40725</v>
      </c>
      <c r="AC245" s="184" t="n">
        <v>30.1</v>
      </c>
      <c r="AD245" s="185" t="n">
        <v>40725</v>
      </c>
      <c r="AE245" s="196"/>
      <c r="AF245" s="185"/>
      <c r="AG245" s="184" t="n">
        <v>4.62</v>
      </c>
      <c r="AH245" s="185" t="n">
        <v>40725</v>
      </c>
      <c r="AI245" s="183"/>
      <c r="AJ245" s="183"/>
      <c r="AK245" s="182"/>
      <c r="AL245" s="182"/>
      <c r="AM245" s="184" t="n">
        <v>77</v>
      </c>
      <c r="AN245" s="183" t="n">
        <v>40630</v>
      </c>
      <c r="AO245" s="182"/>
      <c r="AP245" s="182"/>
      <c r="AQ245" s="183"/>
      <c r="AR245" s="183"/>
      <c r="AS245" s="182"/>
      <c r="AT245" s="182"/>
      <c r="AU245" s="183"/>
      <c r="AV245" s="183"/>
      <c r="AW245" s="182"/>
      <c r="AX245" s="182"/>
      <c r="AY245" s="183"/>
      <c r="AZ245" s="183"/>
      <c r="BA245" s="182"/>
      <c r="BB245" s="182"/>
      <c r="BK245" s="183"/>
      <c r="BL245" s="183"/>
      <c r="BM245" s="182"/>
      <c r="BN245" s="182"/>
      <c r="BO245" s="183"/>
      <c r="BP245" s="183"/>
      <c r="BQ245" s="182"/>
      <c r="BR245" s="182"/>
      <c r="BS245" s="184" t="n">
        <v>52.5</v>
      </c>
      <c r="BT245" s="185" t="n">
        <v>40725</v>
      </c>
      <c r="BU245" s="184" t="n">
        <v>16.4</v>
      </c>
      <c r="BV245" s="185" t="n">
        <v>40725</v>
      </c>
      <c r="CL245" s="182"/>
      <c r="CM245" s="182"/>
    </row>
    <row r="246" customFormat="false" ht="12.75" hidden="false" customHeight="false" outlineLevel="0" collapsed="false">
      <c r="A246" s="204" t="s">
        <v>546</v>
      </c>
      <c r="B246" s="193" t="s">
        <v>782</v>
      </c>
      <c r="C246" s="193" t="s">
        <v>877</v>
      </c>
      <c r="D246" s="193"/>
      <c r="E246" s="194" t="n">
        <v>16</v>
      </c>
      <c r="F246" s="195" t="n">
        <v>88</v>
      </c>
      <c r="G246" s="119"/>
      <c r="H246" s="119"/>
      <c r="J246" s="118"/>
      <c r="K246" s="118"/>
      <c r="L246" s="181"/>
      <c r="N246" s="182"/>
      <c r="O246" s="182"/>
      <c r="S246" s="184" t="n">
        <v>1575</v>
      </c>
      <c r="T246" s="185" t="n">
        <v>40725</v>
      </c>
      <c r="U246" s="182"/>
      <c r="V246" s="182"/>
      <c r="W246" s="183"/>
      <c r="X246" s="183"/>
      <c r="Y246" s="184" t="n">
        <v>495</v>
      </c>
      <c r="Z246" s="185" t="n">
        <v>40725</v>
      </c>
      <c r="AA246" s="184" t="n">
        <v>66388</v>
      </c>
      <c r="AB246" s="185" t="n">
        <v>40725</v>
      </c>
      <c r="AC246" s="184" t="n">
        <v>30</v>
      </c>
      <c r="AD246" s="185" t="n">
        <v>40725</v>
      </c>
      <c r="AE246" s="196"/>
      <c r="AF246" s="185"/>
      <c r="AG246" s="184" t="n">
        <v>4.53</v>
      </c>
      <c r="AH246" s="185" t="n">
        <v>40725</v>
      </c>
      <c r="AI246" s="183"/>
      <c r="AJ246" s="183"/>
      <c r="AK246" s="182"/>
      <c r="AL246" s="182"/>
      <c r="AM246" s="184" t="n">
        <v>77</v>
      </c>
      <c r="AN246" s="183" t="n">
        <v>40630</v>
      </c>
      <c r="AO246" s="182"/>
      <c r="AP246" s="182"/>
      <c r="AQ246" s="183"/>
      <c r="AR246" s="183"/>
      <c r="AS246" s="182"/>
      <c r="AT246" s="182"/>
      <c r="AU246" s="183"/>
      <c r="AV246" s="183"/>
      <c r="AW246" s="182"/>
      <c r="AX246" s="182"/>
      <c r="AY246" s="183"/>
      <c r="AZ246" s="183"/>
      <c r="BA246" s="182"/>
      <c r="BB246" s="182"/>
      <c r="BK246" s="183"/>
      <c r="BL246" s="183"/>
      <c r="BM246" s="182"/>
      <c r="BN246" s="182"/>
      <c r="BO246" s="183"/>
      <c r="BP246" s="183"/>
      <c r="BQ246" s="182"/>
      <c r="BR246" s="182"/>
      <c r="BS246" s="184" t="n">
        <v>52.4</v>
      </c>
      <c r="BT246" s="185" t="n">
        <v>40725</v>
      </c>
      <c r="BU246" s="184" t="n">
        <v>16.5</v>
      </c>
      <c r="BV246" s="185" t="n">
        <v>40725</v>
      </c>
      <c r="CL246" s="182"/>
      <c r="CM246" s="182"/>
    </row>
    <row r="247" customFormat="false" ht="12.75" hidden="false" customHeight="false" outlineLevel="0" collapsed="false">
      <c r="A247" s="204" t="s">
        <v>546</v>
      </c>
      <c r="B247" s="193" t="s">
        <v>785</v>
      </c>
      <c r="C247" s="193" t="s">
        <v>875</v>
      </c>
      <c r="D247" s="193"/>
      <c r="E247" s="194" t="n">
        <v>6</v>
      </c>
      <c r="F247" s="195" t="n">
        <v>32</v>
      </c>
      <c r="G247" s="119"/>
      <c r="H247" s="119"/>
      <c r="J247" s="118"/>
      <c r="K247" s="118"/>
      <c r="L247" s="181"/>
      <c r="N247" s="182"/>
      <c r="O247" s="182"/>
      <c r="S247" s="184" t="n">
        <v>2055</v>
      </c>
      <c r="T247" s="185" t="n">
        <v>40725</v>
      </c>
      <c r="U247" s="182"/>
      <c r="V247" s="182"/>
      <c r="W247" s="183"/>
      <c r="X247" s="183"/>
      <c r="Y247" s="184" t="n">
        <v>698</v>
      </c>
      <c r="Z247" s="185" t="n">
        <v>40725</v>
      </c>
      <c r="AA247" s="184" t="n">
        <v>88580</v>
      </c>
      <c r="AB247" s="185" t="n">
        <v>40725</v>
      </c>
      <c r="AC247" s="184" t="n">
        <v>39.7</v>
      </c>
      <c r="AD247" s="185" t="n">
        <v>40725</v>
      </c>
      <c r="AE247" s="196"/>
      <c r="AF247" s="185"/>
      <c r="AG247" s="184" t="n">
        <v>4.49</v>
      </c>
      <c r="AH247" s="185" t="n">
        <v>40725</v>
      </c>
      <c r="AI247" s="183"/>
      <c r="AJ247" s="183"/>
      <c r="AK247" s="182"/>
      <c r="AL247" s="182"/>
      <c r="AM247" s="184" t="n">
        <v>82</v>
      </c>
      <c r="AN247" s="183" t="n">
        <v>40630</v>
      </c>
      <c r="AO247" s="182"/>
      <c r="AP247" s="182"/>
      <c r="AQ247" s="183"/>
      <c r="AR247" s="183"/>
      <c r="AS247" s="182"/>
      <c r="AT247" s="182"/>
      <c r="AU247" s="183"/>
      <c r="AV247" s="183"/>
      <c r="AW247" s="182"/>
      <c r="AX247" s="182"/>
      <c r="AY247" s="183"/>
      <c r="AZ247" s="183"/>
      <c r="BA247" s="182"/>
      <c r="BB247" s="182"/>
      <c r="BK247" s="183"/>
      <c r="BL247" s="183"/>
      <c r="BM247" s="182"/>
      <c r="BN247" s="182"/>
      <c r="BO247" s="183"/>
      <c r="BP247" s="183"/>
      <c r="BQ247" s="182"/>
      <c r="BR247" s="182"/>
      <c r="BS247" s="184" t="n">
        <v>51.7</v>
      </c>
      <c r="BT247" s="185" t="n">
        <v>40725</v>
      </c>
      <c r="BU247" s="184" t="n">
        <v>17.6</v>
      </c>
      <c r="BV247" s="185" t="n">
        <v>40725</v>
      </c>
      <c r="CL247" s="182"/>
      <c r="CM247" s="182"/>
    </row>
    <row r="248" customFormat="false" ht="12.75" hidden="false" customHeight="false" outlineLevel="0" collapsed="false">
      <c r="A248" s="204" t="s">
        <v>546</v>
      </c>
      <c r="B248" s="193" t="s">
        <v>785</v>
      </c>
      <c r="C248" s="193" t="s">
        <v>876</v>
      </c>
      <c r="D248" s="193"/>
      <c r="E248" s="194" t="n">
        <v>1</v>
      </c>
      <c r="F248" s="195" t="n">
        <v>48</v>
      </c>
      <c r="G248" s="119"/>
      <c r="H248" s="119"/>
      <c r="J248" s="118"/>
      <c r="K248" s="118"/>
      <c r="L248" s="181"/>
      <c r="N248" s="182"/>
      <c r="O248" s="182"/>
      <c r="S248" s="184" t="s">
        <v>879</v>
      </c>
      <c r="T248" s="185" t="n">
        <v>40725</v>
      </c>
      <c r="U248" s="182"/>
      <c r="V248" s="182"/>
      <c r="W248" s="183"/>
      <c r="X248" s="183"/>
      <c r="Y248" s="184" t="s">
        <v>879</v>
      </c>
      <c r="Z248" s="185" t="n">
        <v>40725</v>
      </c>
      <c r="AA248" s="184" t="s">
        <v>879</v>
      </c>
      <c r="AB248" s="185" t="n">
        <v>40725</v>
      </c>
      <c r="AC248" s="184" t="s">
        <v>879</v>
      </c>
      <c r="AD248" s="185" t="n">
        <v>40725</v>
      </c>
      <c r="AE248" s="196"/>
      <c r="AF248" s="185"/>
      <c r="AG248" s="184" t="s">
        <v>879</v>
      </c>
      <c r="AH248" s="185" t="n">
        <v>40725</v>
      </c>
      <c r="AI248" s="183"/>
      <c r="AJ248" s="183"/>
      <c r="AK248" s="182"/>
      <c r="AL248" s="182"/>
      <c r="AM248" s="184" t="n">
        <v>80</v>
      </c>
      <c r="AN248" s="183" t="n">
        <v>40630</v>
      </c>
      <c r="AO248" s="182"/>
      <c r="AP248" s="182"/>
      <c r="AQ248" s="183"/>
      <c r="AR248" s="183"/>
      <c r="AS248" s="182"/>
      <c r="AT248" s="182"/>
      <c r="AU248" s="183"/>
      <c r="AV248" s="183"/>
      <c r="AW248" s="182"/>
      <c r="AX248" s="182"/>
      <c r="AY248" s="183"/>
      <c r="AZ248" s="183"/>
      <c r="BA248" s="182"/>
      <c r="BB248" s="182"/>
      <c r="BK248" s="183"/>
      <c r="BL248" s="183"/>
      <c r="BM248" s="182"/>
      <c r="BN248" s="182"/>
      <c r="BO248" s="183"/>
      <c r="BP248" s="183"/>
      <c r="BQ248" s="182"/>
      <c r="BR248" s="182"/>
      <c r="BS248" s="184" t="s">
        <v>879</v>
      </c>
      <c r="BT248" s="185" t="n">
        <v>40725</v>
      </c>
      <c r="BU248" s="184" t="s">
        <v>879</v>
      </c>
      <c r="BV248" s="185" t="n">
        <v>40725</v>
      </c>
      <c r="CL248" s="182"/>
      <c r="CM248" s="182"/>
    </row>
    <row r="249" customFormat="false" ht="12.75" hidden="false" customHeight="false" outlineLevel="0" collapsed="false">
      <c r="A249" s="204" t="s">
        <v>546</v>
      </c>
      <c r="B249" s="193" t="s">
        <v>785</v>
      </c>
      <c r="C249" s="193" t="s">
        <v>877</v>
      </c>
      <c r="D249" s="193"/>
      <c r="E249" s="119" t="n">
        <v>21</v>
      </c>
      <c r="F249" s="195" t="n">
        <v>66</v>
      </c>
      <c r="G249" s="119"/>
      <c r="H249" s="119"/>
      <c r="J249" s="118"/>
      <c r="K249" s="118"/>
      <c r="L249" s="181"/>
      <c r="N249" s="182"/>
      <c r="O249" s="182"/>
      <c r="S249" s="184" t="n">
        <v>1869</v>
      </c>
      <c r="T249" s="185" t="n">
        <v>40725</v>
      </c>
      <c r="U249" s="182"/>
      <c r="V249" s="182"/>
      <c r="W249" s="183"/>
      <c r="X249" s="183"/>
      <c r="Y249" s="184" t="n">
        <v>608</v>
      </c>
      <c r="Z249" s="185" t="n">
        <v>40725</v>
      </c>
      <c r="AA249" s="184" t="n">
        <v>78673</v>
      </c>
      <c r="AB249" s="185" t="n">
        <v>40725</v>
      </c>
      <c r="AC249" s="184" t="n">
        <v>36.1</v>
      </c>
      <c r="AD249" s="185" t="n">
        <v>40725</v>
      </c>
      <c r="AE249" s="196"/>
      <c r="AF249" s="185"/>
      <c r="AG249" s="184" t="n">
        <v>4.59</v>
      </c>
      <c r="AH249" s="185" t="n">
        <v>40725</v>
      </c>
      <c r="AI249" s="183"/>
      <c r="AJ249" s="183"/>
      <c r="AK249" s="182"/>
      <c r="AL249" s="182"/>
      <c r="AM249" s="184" t="n">
        <v>81</v>
      </c>
      <c r="AN249" s="183" t="n">
        <v>40630</v>
      </c>
      <c r="AO249" s="182"/>
      <c r="AP249" s="182"/>
      <c r="AQ249" s="183"/>
      <c r="AR249" s="183"/>
      <c r="AS249" s="182"/>
      <c r="AT249" s="182"/>
      <c r="AU249" s="183"/>
      <c r="AV249" s="183"/>
      <c r="AW249" s="182"/>
      <c r="AX249" s="182"/>
      <c r="AY249" s="183"/>
      <c r="AZ249" s="183"/>
      <c r="BA249" s="182"/>
      <c r="BB249" s="182"/>
      <c r="BK249" s="183"/>
      <c r="BL249" s="183"/>
      <c r="BM249" s="182"/>
      <c r="BN249" s="182"/>
      <c r="BO249" s="183"/>
      <c r="BP249" s="183"/>
      <c r="BQ249" s="182"/>
      <c r="BR249" s="182"/>
      <c r="BS249" s="184" t="n">
        <v>51.7</v>
      </c>
      <c r="BT249" s="185" t="n">
        <v>40725</v>
      </c>
      <c r="BU249" s="184" t="n">
        <v>16.8</v>
      </c>
      <c r="BV249" s="185" t="n">
        <v>40725</v>
      </c>
      <c r="CL249" s="182"/>
      <c r="CM249" s="182"/>
    </row>
    <row r="250" customFormat="false" ht="12.75" hidden="false" customHeight="false" outlineLevel="0" collapsed="false">
      <c r="A250" s="204" t="s">
        <v>549</v>
      </c>
      <c r="B250" s="193" t="s">
        <v>782</v>
      </c>
      <c r="C250" s="193" t="s">
        <v>875</v>
      </c>
      <c r="D250" s="193"/>
      <c r="E250" s="194" t="n">
        <v>1</v>
      </c>
      <c r="F250" s="195" t="n">
        <v>10</v>
      </c>
      <c r="G250" s="119"/>
      <c r="H250" s="119"/>
      <c r="J250" s="118"/>
      <c r="K250" s="118"/>
      <c r="L250" s="181"/>
      <c r="N250" s="182"/>
      <c r="O250" s="182"/>
      <c r="S250" s="184" t="n">
        <v>1285</v>
      </c>
      <c r="T250" s="185" t="n">
        <v>40725</v>
      </c>
      <c r="U250" s="182"/>
      <c r="V250" s="182"/>
      <c r="W250" s="183"/>
      <c r="X250" s="183"/>
      <c r="Y250" s="184" t="n">
        <v>427</v>
      </c>
      <c r="Z250" s="185" t="n">
        <v>40725</v>
      </c>
      <c r="AA250" s="184" t="n">
        <v>60526</v>
      </c>
      <c r="AB250" s="185" t="n">
        <v>40725</v>
      </c>
      <c r="AC250" s="184" t="n">
        <v>24.5</v>
      </c>
      <c r="AD250" s="185" t="n">
        <v>40725</v>
      </c>
      <c r="AE250" s="196"/>
      <c r="AF250" s="185"/>
      <c r="AG250" s="184" t="n">
        <v>4.04</v>
      </c>
      <c r="AH250" s="185" t="n">
        <v>40725</v>
      </c>
      <c r="AI250" s="183"/>
      <c r="AJ250" s="183"/>
      <c r="AK250" s="182"/>
      <c r="AL250" s="182"/>
      <c r="AM250" s="184" t="n">
        <v>77</v>
      </c>
      <c r="AN250" s="183" t="n">
        <v>40630</v>
      </c>
      <c r="AO250" s="182"/>
      <c r="AP250" s="182"/>
      <c r="AQ250" s="183"/>
      <c r="AR250" s="183"/>
      <c r="AS250" s="182"/>
      <c r="AT250" s="182"/>
      <c r="AU250" s="183"/>
      <c r="AV250" s="183"/>
      <c r="AW250" s="182"/>
      <c r="AX250" s="182"/>
      <c r="AY250" s="183"/>
      <c r="AZ250" s="183"/>
      <c r="BA250" s="182"/>
      <c r="BB250" s="182"/>
      <c r="BK250" s="183"/>
      <c r="BL250" s="183"/>
      <c r="BM250" s="182"/>
      <c r="BN250" s="182"/>
      <c r="BO250" s="183"/>
      <c r="BP250" s="183"/>
      <c r="BQ250" s="182"/>
      <c r="BR250" s="182"/>
      <c r="BS250" s="184" t="n">
        <v>52.5</v>
      </c>
      <c r="BT250" s="185" t="n">
        <v>40725</v>
      </c>
      <c r="BU250" s="184" t="n">
        <v>17.4</v>
      </c>
      <c r="BV250" s="185" t="n">
        <v>40725</v>
      </c>
      <c r="CL250" s="182"/>
      <c r="CM250" s="182"/>
    </row>
    <row r="251" customFormat="false" ht="12.75" hidden="false" customHeight="false" outlineLevel="0" collapsed="false">
      <c r="A251" s="204" t="s">
        <v>549</v>
      </c>
      <c r="B251" s="193" t="s">
        <v>782</v>
      </c>
      <c r="C251" s="193" t="s">
        <v>876</v>
      </c>
      <c r="D251" s="193"/>
      <c r="E251" s="194" t="n">
        <v>7</v>
      </c>
      <c r="F251" s="195" t="n">
        <v>55</v>
      </c>
      <c r="G251" s="119"/>
      <c r="H251" s="119"/>
      <c r="J251" s="118"/>
      <c r="K251" s="118"/>
      <c r="L251" s="181"/>
      <c r="N251" s="182"/>
      <c r="O251" s="182"/>
      <c r="S251" s="184" t="n">
        <v>968</v>
      </c>
      <c r="T251" s="185" t="n">
        <v>40725</v>
      </c>
      <c r="U251" s="182"/>
      <c r="V251" s="182"/>
      <c r="W251" s="183"/>
      <c r="X251" s="183"/>
      <c r="Y251" s="184" t="n">
        <v>355</v>
      </c>
      <c r="Z251" s="185" t="n">
        <v>40725</v>
      </c>
      <c r="AA251" s="184" t="n">
        <v>44860</v>
      </c>
      <c r="AB251" s="185" t="n">
        <v>40725</v>
      </c>
      <c r="AC251" s="184" t="n">
        <v>18.9</v>
      </c>
      <c r="AD251" s="185" t="n">
        <v>40725</v>
      </c>
      <c r="AE251" s="196"/>
      <c r="AF251" s="185"/>
      <c r="AG251" s="184" t="n">
        <v>4.21</v>
      </c>
      <c r="AH251" s="185" t="n">
        <v>40725</v>
      </c>
      <c r="AI251" s="183"/>
      <c r="AJ251" s="183"/>
      <c r="AK251" s="182"/>
      <c r="AL251" s="182"/>
      <c r="AM251" s="184" t="n">
        <v>77</v>
      </c>
      <c r="AN251" s="183" t="n">
        <v>40630</v>
      </c>
      <c r="AO251" s="182"/>
      <c r="AP251" s="182"/>
      <c r="AQ251" s="183"/>
      <c r="AR251" s="183"/>
      <c r="AS251" s="182"/>
      <c r="AT251" s="182"/>
      <c r="AU251" s="183"/>
      <c r="AV251" s="183"/>
      <c r="AW251" s="182"/>
      <c r="AX251" s="182"/>
      <c r="AY251" s="183"/>
      <c r="AZ251" s="183"/>
      <c r="BA251" s="182"/>
      <c r="BB251" s="182"/>
      <c r="BK251" s="183"/>
      <c r="BL251" s="183"/>
      <c r="BM251" s="182"/>
      <c r="BN251" s="182"/>
      <c r="BO251" s="183"/>
      <c r="BP251" s="183"/>
      <c r="BQ251" s="182"/>
      <c r="BR251" s="182"/>
      <c r="BS251" s="184" t="n">
        <v>51.3</v>
      </c>
      <c r="BT251" s="185" t="n">
        <v>40725</v>
      </c>
      <c r="BU251" s="184" t="n">
        <v>18.8</v>
      </c>
      <c r="BV251" s="185" t="n">
        <v>40725</v>
      </c>
      <c r="CL251" s="182"/>
      <c r="CM251" s="182"/>
    </row>
    <row r="252" customFormat="false" ht="12.75" hidden="false" customHeight="false" outlineLevel="0" collapsed="false">
      <c r="A252" s="204" t="s">
        <v>549</v>
      </c>
      <c r="B252" s="193" t="s">
        <v>782</v>
      </c>
      <c r="C252" s="193" t="s">
        <v>877</v>
      </c>
      <c r="D252" s="193"/>
      <c r="E252" s="119" t="n">
        <v>15</v>
      </c>
      <c r="F252" s="195" t="n">
        <v>67</v>
      </c>
      <c r="G252" s="119"/>
      <c r="H252" s="119"/>
      <c r="J252" s="118"/>
      <c r="K252" s="118"/>
      <c r="L252" s="181"/>
      <c r="N252" s="182"/>
      <c r="O252" s="182"/>
      <c r="S252" s="184" t="n">
        <v>1152</v>
      </c>
      <c r="T252" s="185" t="n">
        <v>40725</v>
      </c>
      <c r="U252" s="182"/>
      <c r="V252" s="182"/>
      <c r="W252" s="183"/>
      <c r="X252" s="183"/>
      <c r="Y252" s="184" t="n">
        <v>411</v>
      </c>
      <c r="Z252" s="185" t="n">
        <v>40725</v>
      </c>
      <c r="AA252" s="184" t="n">
        <v>54382</v>
      </c>
      <c r="AB252" s="185" t="n">
        <v>40725</v>
      </c>
      <c r="AC252" s="184" t="n">
        <v>22.3</v>
      </c>
      <c r="AD252" s="185" t="n">
        <v>40725</v>
      </c>
      <c r="AE252" s="196"/>
      <c r="AF252" s="185"/>
      <c r="AG252" s="184" t="n">
        <v>4.09</v>
      </c>
      <c r="AH252" s="185" t="n">
        <v>40725</v>
      </c>
      <c r="AI252" s="183"/>
      <c r="AJ252" s="183"/>
      <c r="AK252" s="182"/>
      <c r="AL252" s="182"/>
      <c r="AM252" s="184" t="n">
        <v>76</v>
      </c>
      <c r="AN252" s="183" t="n">
        <v>40630</v>
      </c>
      <c r="AO252" s="182"/>
      <c r="AP252" s="182"/>
      <c r="AQ252" s="183"/>
      <c r="AR252" s="183"/>
      <c r="AS252" s="182"/>
      <c r="AT252" s="182"/>
      <c r="AU252" s="183"/>
      <c r="AV252" s="183"/>
      <c r="AW252" s="182"/>
      <c r="AX252" s="182"/>
      <c r="AY252" s="183"/>
      <c r="AZ252" s="183"/>
      <c r="BA252" s="182"/>
      <c r="BB252" s="182"/>
      <c r="BK252" s="183"/>
      <c r="BL252" s="183"/>
      <c r="BM252" s="182"/>
      <c r="BN252" s="182"/>
      <c r="BO252" s="183"/>
      <c r="BP252" s="183"/>
      <c r="BQ252" s="182"/>
      <c r="BR252" s="182"/>
      <c r="BS252" s="184" t="n">
        <v>51.8</v>
      </c>
      <c r="BT252" s="185" t="n">
        <v>40725</v>
      </c>
      <c r="BU252" s="184" t="n">
        <v>18.5</v>
      </c>
      <c r="BV252" s="185" t="n">
        <v>40725</v>
      </c>
      <c r="CL252" s="182"/>
      <c r="CM252" s="182"/>
    </row>
    <row r="253" customFormat="false" ht="12.75" hidden="false" customHeight="false" outlineLevel="0" collapsed="false">
      <c r="A253" s="204" t="s">
        <v>549</v>
      </c>
      <c r="B253" s="193" t="s">
        <v>785</v>
      </c>
      <c r="C253" s="193" t="s">
        <v>875</v>
      </c>
      <c r="D253" s="193"/>
      <c r="E253" s="194" t="n">
        <v>8</v>
      </c>
      <c r="F253" s="195" t="n">
        <v>26</v>
      </c>
      <c r="G253" s="119"/>
      <c r="H253" s="119"/>
      <c r="J253" s="118"/>
      <c r="K253" s="118"/>
      <c r="L253" s="181"/>
      <c r="N253" s="182"/>
      <c r="O253" s="182"/>
      <c r="S253" s="184" t="n">
        <v>1411</v>
      </c>
      <c r="T253" s="185" t="n">
        <v>40725</v>
      </c>
      <c r="U253" s="182"/>
      <c r="V253" s="182"/>
      <c r="W253" s="183"/>
      <c r="X253" s="183"/>
      <c r="Y253" s="184" t="n">
        <v>494</v>
      </c>
      <c r="Z253" s="185" t="n">
        <v>40725</v>
      </c>
      <c r="AA253" s="184" t="n">
        <v>67806</v>
      </c>
      <c r="AB253" s="185" t="n">
        <v>40725</v>
      </c>
      <c r="AC253" s="184" t="n">
        <v>27.1</v>
      </c>
      <c r="AD253" s="185" t="n">
        <v>40725</v>
      </c>
      <c r="AE253" s="196"/>
      <c r="AF253" s="185"/>
      <c r="AG253" s="184" t="n">
        <v>4</v>
      </c>
      <c r="AH253" s="185" t="n">
        <v>40725</v>
      </c>
      <c r="AI253" s="183"/>
      <c r="AJ253" s="183"/>
      <c r="AK253" s="182"/>
      <c r="AL253" s="182"/>
      <c r="AM253" s="184" t="n">
        <v>78</v>
      </c>
      <c r="AN253" s="183" t="n">
        <v>40630</v>
      </c>
      <c r="AO253" s="182"/>
      <c r="AP253" s="182"/>
      <c r="AQ253" s="183"/>
      <c r="AR253" s="183"/>
      <c r="AS253" s="182"/>
      <c r="AT253" s="182"/>
      <c r="AU253" s="183"/>
      <c r="AV253" s="183"/>
      <c r="AW253" s="182"/>
      <c r="AX253" s="182"/>
      <c r="AY253" s="183"/>
      <c r="AZ253" s="183"/>
      <c r="BA253" s="182"/>
      <c r="BB253" s="182"/>
      <c r="BK253" s="183"/>
      <c r="BL253" s="183"/>
      <c r="BM253" s="182"/>
      <c r="BN253" s="182"/>
      <c r="BO253" s="183"/>
      <c r="BP253" s="183"/>
      <c r="BQ253" s="182"/>
      <c r="BR253" s="182"/>
      <c r="BS253" s="184" t="n">
        <v>52</v>
      </c>
      <c r="BT253" s="185" t="n">
        <v>40725</v>
      </c>
      <c r="BU253" s="184" t="n">
        <v>18.2</v>
      </c>
      <c r="BV253" s="185" t="n">
        <v>40725</v>
      </c>
      <c r="CL253" s="182"/>
      <c r="CM253" s="182"/>
    </row>
    <row r="254" customFormat="false" ht="12.75" hidden="false" customHeight="false" outlineLevel="0" collapsed="false">
      <c r="A254" s="204" t="s">
        <v>549</v>
      </c>
      <c r="B254" s="193" t="s">
        <v>785</v>
      </c>
      <c r="C254" s="193" t="s">
        <v>876</v>
      </c>
      <c r="D254" s="193"/>
      <c r="E254" s="194" t="n">
        <v>3</v>
      </c>
      <c r="F254" s="195" t="n">
        <v>48</v>
      </c>
      <c r="G254" s="119"/>
      <c r="H254" s="119"/>
      <c r="J254" s="118"/>
      <c r="K254" s="118"/>
      <c r="L254" s="181"/>
      <c r="N254" s="182"/>
      <c r="O254" s="182"/>
      <c r="S254" s="184" t="n">
        <v>1707</v>
      </c>
      <c r="T254" s="185" t="n">
        <v>40725</v>
      </c>
      <c r="U254" s="182"/>
      <c r="V254" s="182"/>
      <c r="W254" s="183"/>
      <c r="X254" s="183"/>
      <c r="Y254" s="184" t="n">
        <v>612</v>
      </c>
      <c r="Z254" s="185" t="n">
        <v>40725</v>
      </c>
      <c r="AA254" s="184" t="n">
        <v>80862</v>
      </c>
      <c r="AB254" s="185" t="n">
        <v>40725</v>
      </c>
      <c r="AC254" s="184" t="n">
        <v>33.2</v>
      </c>
      <c r="AD254" s="185" t="n">
        <v>40725</v>
      </c>
      <c r="AE254" s="196"/>
      <c r="AF254" s="185"/>
      <c r="AG254" s="184" t="n">
        <v>4.1</v>
      </c>
      <c r="AH254" s="185" t="n">
        <v>40725</v>
      </c>
      <c r="AI254" s="183"/>
      <c r="AJ254" s="183"/>
      <c r="AK254" s="182"/>
      <c r="AL254" s="182"/>
      <c r="AM254" s="184" t="n">
        <v>77</v>
      </c>
      <c r="AN254" s="183" t="n">
        <v>40630</v>
      </c>
      <c r="AO254" s="182"/>
      <c r="AP254" s="182"/>
      <c r="AQ254" s="183"/>
      <c r="AR254" s="183"/>
      <c r="AS254" s="182"/>
      <c r="AT254" s="182"/>
      <c r="AU254" s="183"/>
      <c r="AV254" s="183"/>
      <c r="AW254" s="182"/>
      <c r="AX254" s="182"/>
      <c r="AY254" s="183"/>
      <c r="AZ254" s="183"/>
      <c r="BA254" s="182"/>
      <c r="BB254" s="182"/>
      <c r="BK254" s="183"/>
      <c r="BL254" s="183"/>
      <c r="BM254" s="182"/>
      <c r="BN254" s="182"/>
      <c r="BO254" s="183"/>
      <c r="BP254" s="183"/>
      <c r="BQ254" s="182"/>
      <c r="BR254" s="182"/>
      <c r="BS254" s="184" t="n">
        <v>51.5</v>
      </c>
      <c r="BT254" s="185" t="n">
        <v>40725</v>
      </c>
      <c r="BU254" s="184" t="n">
        <v>18.4</v>
      </c>
      <c r="BV254" s="185" t="n">
        <v>40725</v>
      </c>
      <c r="CL254" s="182"/>
      <c r="CM254" s="182"/>
    </row>
    <row r="255" customFormat="false" ht="12.75" hidden="false" customHeight="false" outlineLevel="0" collapsed="false">
      <c r="A255" s="204" t="s">
        <v>549</v>
      </c>
      <c r="B255" s="193" t="s">
        <v>785</v>
      </c>
      <c r="C255" s="193" t="s">
        <v>877</v>
      </c>
      <c r="D255" s="193"/>
      <c r="E255" s="119" t="n">
        <v>20</v>
      </c>
      <c r="F255" s="195" t="n">
        <v>68</v>
      </c>
      <c r="G255" s="119"/>
      <c r="H255" s="119"/>
      <c r="J255" s="118"/>
      <c r="K255" s="118"/>
      <c r="L255" s="181"/>
      <c r="N255" s="182"/>
      <c r="O255" s="182"/>
      <c r="S255" s="184" t="n">
        <v>1463</v>
      </c>
      <c r="T255" s="185" t="n">
        <v>40725</v>
      </c>
      <c r="U255" s="182"/>
      <c r="V255" s="182"/>
      <c r="W255" s="183"/>
      <c r="X255" s="183"/>
      <c r="Y255" s="184" t="n">
        <v>591</v>
      </c>
      <c r="Z255" s="185" t="n">
        <v>40725</v>
      </c>
      <c r="AA255" s="184" t="n">
        <v>68864</v>
      </c>
      <c r="AB255" s="185" t="n">
        <v>40725</v>
      </c>
      <c r="AC255" s="184" t="n">
        <v>29.1</v>
      </c>
      <c r="AD255" s="185" t="n">
        <v>40725</v>
      </c>
      <c r="AE255" s="196"/>
      <c r="AF255" s="185"/>
      <c r="AG255" s="184" t="n">
        <v>4.23</v>
      </c>
      <c r="AH255" s="185" t="n">
        <v>40725</v>
      </c>
      <c r="AI255" s="183"/>
      <c r="AJ255" s="183"/>
      <c r="AK255" s="182"/>
      <c r="AL255" s="182"/>
      <c r="AM255" s="184" t="n">
        <v>77</v>
      </c>
      <c r="AN255" s="183" t="n">
        <v>40630</v>
      </c>
      <c r="AO255" s="182"/>
      <c r="AP255" s="182"/>
      <c r="AQ255" s="183"/>
      <c r="AR255" s="183"/>
      <c r="AS255" s="182"/>
      <c r="AT255" s="182"/>
      <c r="AU255" s="183"/>
      <c r="AV255" s="183"/>
      <c r="AW255" s="182"/>
      <c r="AX255" s="182"/>
      <c r="AY255" s="183"/>
      <c r="AZ255" s="183"/>
      <c r="BA255" s="182"/>
      <c r="BB255" s="182"/>
      <c r="BK255" s="183"/>
      <c r="BL255" s="183"/>
      <c r="BM255" s="182"/>
      <c r="BN255" s="182"/>
      <c r="BO255" s="183"/>
      <c r="BP255" s="183"/>
      <c r="BQ255" s="182"/>
      <c r="BR255" s="182"/>
      <c r="BS255" s="184" t="n">
        <v>50.3</v>
      </c>
      <c r="BT255" s="185" t="n">
        <v>40725</v>
      </c>
      <c r="BU255" s="184" t="n">
        <v>20.3</v>
      </c>
      <c r="BV255" s="185" t="n">
        <v>40725</v>
      </c>
      <c r="CL255" s="182"/>
      <c r="CM255" s="182"/>
    </row>
    <row r="256" customFormat="false" ht="12.75" hidden="false" customHeight="false" outlineLevel="0" collapsed="false">
      <c r="A256" s="204" t="s">
        <v>552</v>
      </c>
      <c r="B256" s="193" t="s">
        <v>782</v>
      </c>
      <c r="C256" s="193" t="s">
        <v>875</v>
      </c>
      <c r="D256" s="193"/>
      <c r="E256" s="194" t="n">
        <v>2</v>
      </c>
      <c r="F256" s="195" t="n">
        <v>6</v>
      </c>
      <c r="G256" s="119"/>
      <c r="H256" s="119"/>
      <c r="J256" s="118"/>
      <c r="K256" s="118"/>
      <c r="L256" s="181"/>
      <c r="N256" s="182"/>
      <c r="O256" s="182"/>
      <c r="S256" s="184" t="n">
        <v>1791</v>
      </c>
      <c r="T256" s="185" t="n">
        <v>40725</v>
      </c>
      <c r="U256" s="182"/>
      <c r="V256" s="182"/>
      <c r="W256" s="183"/>
      <c r="X256" s="183"/>
      <c r="Y256" s="184" t="n">
        <v>552</v>
      </c>
      <c r="Z256" s="185" t="n">
        <v>40725</v>
      </c>
      <c r="AA256" s="184" t="n">
        <v>76147</v>
      </c>
      <c r="AB256" s="185" t="n">
        <v>40725</v>
      </c>
      <c r="AC256" s="184" t="n">
        <v>34.7</v>
      </c>
      <c r="AD256" s="185" t="n">
        <v>40725</v>
      </c>
      <c r="AE256" s="196"/>
      <c r="AF256" s="185"/>
      <c r="AG256" s="184" t="n">
        <v>4.56</v>
      </c>
      <c r="AH256" s="185" t="n">
        <v>40725</v>
      </c>
      <c r="AI256" s="183"/>
      <c r="AJ256" s="183"/>
      <c r="AK256" s="182"/>
      <c r="AL256" s="182"/>
      <c r="AM256" s="184" t="n">
        <v>85</v>
      </c>
      <c r="AN256" s="183" t="n">
        <v>40630</v>
      </c>
      <c r="AO256" s="182"/>
      <c r="AP256" s="182"/>
      <c r="AQ256" s="183"/>
      <c r="AR256" s="183"/>
      <c r="AS256" s="182"/>
      <c r="AT256" s="182"/>
      <c r="AU256" s="183"/>
      <c r="AV256" s="183"/>
      <c r="AW256" s="182"/>
      <c r="AX256" s="182"/>
      <c r="AY256" s="183"/>
      <c r="AZ256" s="183"/>
      <c r="BA256" s="182"/>
      <c r="BB256" s="182"/>
      <c r="BK256" s="183"/>
      <c r="BL256" s="183"/>
      <c r="BM256" s="182"/>
      <c r="BN256" s="182"/>
      <c r="BO256" s="183"/>
      <c r="BP256" s="183"/>
      <c r="BQ256" s="182"/>
      <c r="BR256" s="182"/>
      <c r="BS256" s="184" t="n">
        <v>51.5</v>
      </c>
      <c r="BT256" s="185" t="n">
        <v>40725</v>
      </c>
      <c r="BU256" s="184" t="n">
        <v>15.9</v>
      </c>
      <c r="BV256" s="185" t="n">
        <v>40725</v>
      </c>
      <c r="CL256" s="182"/>
      <c r="CM256" s="182"/>
    </row>
    <row r="257" customFormat="false" ht="12.75" hidden="false" customHeight="false" outlineLevel="0" collapsed="false">
      <c r="A257" s="204" t="s">
        <v>552</v>
      </c>
      <c r="B257" s="193" t="s">
        <v>782</v>
      </c>
      <c r="C257" s="193" t="s">
        <v>876</v>
      </c>
      <c r="D257" s="193"/>
      <c r="E257" s="194" t="n">
        <v>6</v>
      </c>
      <c r="F257" s="195" t="n">
        <v>51</v>
      </c>
      <c r="G257" s="119"/>
      <c r="H257" s="119"/>
      <c r="J257" s="118"/>
      <c r="K257" s="118"/>
      <c r="L257" s="181"/>
      <c r="N257" s="182"/>
      <c r="O257" s="182"/>
      <c r="S257" s="184" t="n">
        <v>1597</v>
      </c>
      <c r="T257" s="185" t="n">
        <v>40725</v>
      </c>
      <c r="U257" s="182"/>
      <c r="V257" s="182"/>
      <c r="W257" s="183"/>
      <c r="X257" s="183"/>
      <c r="Y257" s="184" t="n">
        <v>496</v>
      </c>
      <c r="Z257" s="185" t="n">
        <v>40725</v>
      </c>
      <c r="AA257" s="184" t="n">
        <v>65850</v>
      </c>
      <c r="AB257" s="185" t="n">
        <v>40725</v>
      </c>
      <c r="AC257" s="184" t="n">
        <v>31.4</v>
      </c>
      <c r="AD257" s="185" t="n">
        <v>40725</v>
      </c>
      <c r="AE257" s="196"/>
      <c r="AF257" s="185"/>
      <c r="AG257" s="184" t="n">
        <v>4.77</v>
      </c>
      <c r="AH257" s="185" t="n">
        <v>40725</v>
      </c>
      <c r="AI257" s="183"/>
      <c r="AJ257" s="183"/>
      <c r="AK257" s="182"/>
      <c r="AL257" s="182"/>
      <c r="AM257" s="184" t="n">
        <v>83</v>
      </c>
      <c r="AN257" s="183" t="n">
        <v>40630</v>
      </c>
      <c r="AO257" s="182"/>
      <c r="AP257" s="182"/>
      <c r="AQ257" s="183"/>
      <c r="AR257" s="183"/>
      <c r="AS257" s="182"/>
      <c r="AT257" s="182"/>
      <c r="AU257" s="183"/>
      <c r="AV257" s="183"/>
      <c r="AW257" s="182"/>
      <c r="AX257" s="182"/>
      <c r="AY257" s="183"/>
      <c r="AZ257" s="183"/>
      <c r="BA257" s="182"/>
      <c r="BB257" s="182"/>
      <c r="BK257" s="183"/>
      <c r="BL257" s="183"/>
      <c r="BM257" s="182"/>
      <c r="BN257" s="182"/>
      <c r="BO257" s="183"/>
      <c r="BP257" s="183"/>
      <c r="BQ257" s="182"/>
      <c r="BR257" s="182"/>
      <c r="BS257" s="184" t="n">
        <v>50.8</v>
      </c>
      <c r="BT257" s="185" t="n">
        <v>40725</v>
      </c>
      <c r="BU257" s="184" t="n">
        <v>15.8</v>
      </c>
      <c r="BV257" s="185" t="n">
        <v>40725</v>
      </c>
      <c r="CL257" s="182"/>
      <c r="CM257" s="182"/>
    </row>
    <row r="258" customFormat="false" ht="12.75" hidden="false" customHeight="false" outlineLevel="0" collapsed="false">
      <c r="A258" s="204" t="s">
        <v>552</v>
      </c>
      <c r="B258" s="193" t="s">
        <v>782</v>
      </c>
      <c r="C258" s="193" t="s">
        <v>877</v>
      </c>
      <c r="D258" s="193"/>
      <c r="E258" s="119" t="n">
        <v>15</v>
      </c>
      <c r="F258" s="195" t="n">
        <v>70</v>
      </c>
      <c r="G258" s="119"/>
      <c r="H258" s="119"/>
      <c r="J258" s="118"/>
      <c r="K258" s="118"/>
      <c r="L258" s="181"/>
      <c r="N258" s="182"/>
      <c r="O258" s="182"/>
      <c r="S258" s="184" t="n">
        <v>1621</v>
      </c>
      <c r="T258" s="185" t="n">
        <v>40725</v>
      </c>
      <c r="U258" s="182"/>
      <c r="V258" s="182"/>
      <c r="W258" s="183"/>
      <c r="X258" s="183"/>
      <c r="Y258" s="184" t="n">
        <v>541</v>
      </c>
      <c r="Z258" s="185" t="n">
        <v>40725</v>
      </c>
      <c r="AA258" s="184" t="n">
        <v>65993</v>
      </c>
      <c r="AB258" s="185" t="n">
        <v>40725</v>
      </c>
      <c r="AC258" s="184" t="n">
        <v>31.8</v>
      </c>
      <c r="AD258" s="185" t="n">
        <v>40725</v>
      </c>
      <c r="AE258" s="196"/>
      <c r="AF258" s="185"/>
      <c r="AG258" s="184" t="n">
        <v>4.82</v>
      </c>
      <c r="AH258" s="185" t="n">
        <v>40725</v>
      </c>
      <c r="AI258" s="183"/>
      <c r="AJ258" s="183"/>
      <c r="AK258" s="182"/>
      <c r="AL258" s="182"/>
      <c r="AM258" s="184" t="n">
        <v>84</v>
      </c>
      <c r="AN258" s="183" t="n">
        <v>40630</v>
      </c>
      <c r="AO258" s="182"/>
      <c r="AP258" s="182"/>
      <c r="AQ258" s="183"/>
      <c r="AR258" s="183"/>
      <c r="AS258" s="182"/>
      <c r="AT258" s="182"/>
      <c r="AU258" s="183"/>
      <c r="AV258" s="183"/>
      <c r="AW258" s="182"/>
      <c r="AX258" s="182"/>
      <c r="AY258" s="183"/>
      <c r="AZ258" s="183"/>
      <c r="BA258" s="182"/>
      <c r="BB258" s="182"/>
      <c r="BK258" s="183"/>
      <c r="BL258" s="183"/>
      <c r="BM258" s="182"/>
      <c r="BN258" s="182"/>
      <c r="BO258" s="183"/>
      <c r="BP258" s="183"/>
      <c r="BQ258" s="182"/>
      <c r="BR258" s="182"/>
      <c r="BS258" s="184" t="n">
        <v>51</v>
      </c>
      <c r="BT258" s="185" t="n">
        <v>40725</v>
      </c>
      <c r="BU258" s="184" t="n">
        <v>17</v>
      </c>
      <c r="BV258" s="185" t="n">
        <v>40725</v>
      </c>
      <c r="CL258" s="182"/>
      <c r="CM258" s="182"/>
    </row>
    <row r="259" customFormat="false" ht="12.75" hidden="false" customHeight="false" outlineLevel="0" collapsed="false">
      <c r="A259" s="204" t="s">
        <v>552</v>
      </c>
      <c r="B259" s="193" t="s">
        <v>785</v>
      </c>
      <c r="C259" s="193" t="s">
        <v>875</v>
      </c>
      <c r="D259" s="193"/>
      <c r="E259" s="194" t="n">
        <v>6</v>
      </c>
      <c r="F259" s="195" t="n">
        <v>18</v>
      </c>
      <c r="G259" s="119"/>
      <c r="H259" s="119"/>
      <c r="J259" s="118"/>
      <c r="K259" s="118"/>
      <c r="L259" s="181"/>
      <c r="N259" s="182"/>
      <c r="O259" s="182"/>
      <c r="S259" s="184" t="n">
        <v>2093</v>
      </c>
      <c r="T259" s="185" t="n">
        <v>40725</v>
      </c>
      <c r="U259" s="182"/>
      <c r="V259" s="182"/>
      <c r="W259" s="183"/>
      <c r="X259" s="183"/>
      <c r="Y259" s="184" t="n">
        <v>681</v>
      </c>
      <c r="Z259" s="185" t="n">
        <v>40725</v>
      </c>
      <c r="AA259" s="184" t="n">
        <v>88126</v>
      </c>
      <c r="AB259" s="185" t="n">
        <v>40725</v>
      </c>
      <c r="AC259" s="184" t="n">
        <v>41.4</v>
      </c>
      <c r="AD259" s="185" t="n">
        <v>40725</v>
      </c>
      <c r="AE259" s="196"/>
      <c r="AF259" s="185"/>
      <c r="AG259" s="184" t="n">
        <v>4.7</v>
      </c>
      <c r="AH259" s="185" t="n">
        <v>40725</v>
      </c>
      <c r="AI259" s="183"/>
      <c r="AJ259" s="183"/>
      <c r="AK259" s="182"/>
      <c r="AL259" s="182"/>
      <c r="AM259" s="184" t="n">
        <v>85</v>
      </c>
      <c r="AN259" s="183" t="n">
        <v>40630</v>
      </c>
      <c r="AO259" s="182"/>
      <c r="AP259" s="182"/>
      <c r="AQ259" s="183"/>
      <c r="AR259" s="183"/>
      <c r="AS259" s="182"/>
      <c r="AT259" s="182"/>
      <c r="AU259" s="183"/>
      <c r="AV259" s="183"/>
      <c r="AW259" s="182"/>
      <c r="AX259" s="182"/>
      <c r="AY259" s="183"/>
      <c r="AZ259" s="183"/>
      <c r="BA259" s="182"/>
      <c r="BB259" s="182"/>
      <c r="BK259" s="183"/>
      <c r="BL259" s="183"/>
      <c r="BM259" s="182"/>
      <c r="BN259" s="182"/>
      <c r="BO259" s="183"/>
      <c r="BP259" s="183"/>
      <c r="BQ259" s="182"/>
      <c r="BR259" s="182"/>
      <c r="BS259" s="184" t="n">
        <v>50.6</v>
      </c>
      <c r="BT259" s="185" t="n">
        <v>40725</v>
      </c>
      <c r="BU259" s="184" t="n">
        <v>16.4</v>
      </c>
      <c r="BV259" s="185" t="n">
        <v>40725</v>
      </c>
      <c r="CL259" s="182"/>
      <c r="CM259" s="182"/>
    </row>
    <row r="260" customFormat="false" ht="12.75" hidden="false" customHeight="false" outlineLevel="0" collapsed="false">
      <c r="A260" s="204" t="s">
        <v>552</v>
      </c>
      <c r="B260" s="193" t="s">
        <v>785</v>
      </c>
      <c r="C260" s="193" t="s">
        <v>876</v>
      </c>
      <c r="D260" s="193"/>
      <c r="E260" s="194" t="n">
        <v>3</v>
      </c>
      <c r="F260" s="195" t="n">
        <v>57</v>
      </c>
      <c r="G260" s="119"/>
      <c r="H260" s="119"/>
      <c r="J260" s="118"/>
      <c r="K260" s="118"/>
      <c r="L260" s="181"/>
      <c r="N260" s="182"/>
      <c r="O260" s="182"/>
      <c r="S260" s="184" t="n">
        <v>1919</v>
      </c>
      <c r="T260" s="185" t="n">
        <v>40725</v>
      </c>
      <c r="U260" s="182"/>
      <c r="V260" s="182"/>
      <c r="W260" s="183"/>
      <c r="X260" s="183"/>
      <c r="Y260" s="184" t="n">
        <v>620</v>
      </c>
      <c r="Z260" s="185" t="n">
        <v>40725</v>
      </c>
      <c r="AA260" s="184" t="n">
        <v>77931</v>
      </c>
      <c r="AB260" s="185" t="n">
        <v>40725</v>
      </c>
      <c r="AC260" s="184" t="n">
        <v>37.9</v>
      </c>
      <c r="AD260" s="185" t="n">
        <v>40725</v>
      </c>
      <c r="AE260" s="196"/>
      <c r="AF260" s="185"/>
      <c r="AG260" s="184" t="n">
        <v>4.87</v>
      </c>
      <c r="AH260" s="185" t="n">
        <v>40725</v>
      </c>
      <c r="AI260" s="183"/>
      <c r="AJ260" s="183"/>
      <c r="AK260" s="182"/>
      <c r="AL260" s="182"/>
      <c r="AM260" s="184" t="n">
        <v>84</v>
      </c>
      <c r="AN260" s="183" t="n">
        <v>40630</v>
      </c>
      <c r="AO260" s="182"/>
      <c r="AP260" s="182"/>
      <c r="AQ260" s="183"/>
      <c r="AR260" s="183"/>
      <c r="AS260" s="182"/>
      <c r="AT260" s="182"/>
      <c r="AU260" s="183"/>
      <c r="AV260" s="183"/>
      <c r="AW260" s="182"/>
      <c r="AX260" s="182"/>
      <c r="AY260" s="183"/>
      <c r="AZ260" s="183"/>
      <c r="BA260" s="182"/>
      <c r="BB260" s="182"/>
      <c r="BK260" s="183"/>
      <c r="BL260" s="183"/>
      <c r="BM260" s="182"/>
      <c r="BN260" s="182"/>
      <c r="BO260" s="183"/>
      <c r="BP260" s="183"/>
      <c r="BQ260" s="182"/>
      <c r="BR260" s="182"/>
      <c r="BS260" s="184" t="n">
        <v>50.6</v>
      </c>
      <c r="BT260" s="185" t="n">
        <v>40725</v>
      </c>
      <c r="BU260" s="184" t="n">
        <v>16.4</v>
      </c>
      <c r="BV260" s="185" t="n">
        <v>40725</v>
      </c>
      <c r="CL260" s="182"/>
      <c r="CM260" s="182"/>
    </row>
    <row r="261" customFormat="false" ht="12.75" hidden="false" customHeight="false" outlineLevel="0" collapsed="false">
      <c r="A261" s="204" t="s">
        <v>552</v>
      </c>
      <c r="B261" s="193" t="s">
        <v>785</v>
      </c>
      <c r="C261" s="193" t="s">
        <v>877</v>
      </c>
      <c r="D261" s="193"/>
      <c r="E261" s="119" t="n">
        <v>20</v>
      </c>
      <c r="F261" s="195" t="n">
        <v>74</v>
      </c>
      <c r="G261" s="119"/>
      <c r="H261" s="119"/>
      <c r="J261" s="118"/>
      <c r="K261" s="118"/>
      <c r="L261" s="181"/>
      <c r="N261" s="182"/>
      <c r="O261" s="182"/>
      <c r="S261" s="184" t="n">
        <v>1952</v>
      </c>
      <c r="T261" s="185" t="n">
        <v>40725</v>
      </c>
      <c r="U261" s="182"/>
      <c r="V261" s="182"/>
      <c r="W261" s="183"/>
      <c r="X261" s="183"/>
      <c r="Y261" s="184" t="n">
        <v>700</v>
      </c>
      <c r="Z261" s="185" t="n">
        <v>40725</v>
      </c>
      <c r="AA261" s="184" t="n">
        <v>79559</v>
      </c>
      <c r="AB261" s="185" t="n">
        <v>40725</v>
      </c>
      <c r="AC261" s="184" t="n">
        <v>39</v>
      </c>
      <c r="AD261" s="185" t="n">
        <v>40725</v>
      </c>
      <c r="AE261" s="196"/>
      <c r="AF261" s="185"/>
      <c r="AG261" s="184" t="n">
        <v>4.9</v>
      </c>
      <c r="AH261" s="185" t="n">
        <v>40725</v>
      </c>
      <c r="AI261" s="183"/>
      <c r="AJ261" s="183"/>
      <c r="AK261" s="182"/>
      <c r="AL261" s="182"/>
      <c r="AM261" s="184" t="n">
        <v>84</v>
      </c>
      <c r="AN261" s="183" t="n">
        <v>40630</v>
      </c>
      <c r="AO261" s="182"/>
      <c r="AP261" s="182"/>
      <c r="AQ261" s="183"/>
      <c r="AR261" s="183"/>
      <c r="AS261" s="182"/>
      <c r="AT261" s="182"/>
      <c r="AU261" s="183"/>
      <c r="AV261" s="183"/>
      <c r="AW261" s="182"/>
      <c r="AX261" s="182"/>
      <c r="AY261" s="183"/>
      <c r="AZ261" s="183"/>
      <c r="BA261" s="182"/>
      <c r="BB261" s="182"/>
      <c r="BK261" s="183"/>
      <c r="BL261" s="183"/>
      <c r="BM261" s="182"/>
      <c r="BN261" s="182"/>
      <c r="BO261" s="183"/>
      <c r="BP261" s="183"/>
      <c r="BQ261" s="182"/>
      <c r="BR261" s="182"/>
      <c r="BS261" s="184" t="n">
        <v>50.1</v>
      </c>
      <c r="BT261" s="185" t="n">
        <v>40725</v>
      </c>
      <c r="BU261" s="184" t="n">
        <v>18</v>
      </c>
      <c r="BV261" s="185" t="n">
        <v>40725</v>
      </c>
      <c r="CL261" s="182"/>
      <c r="CM261" s="182"/>
    </row>
    <row r="262" customFormat="false" ht="12.75" hidden="false" customHeight="false" outlineLevel="0" collapsed="false">
      <c r="A262" s="204" t="s">
        <v>555</v>
      </c>
      <c r="B262" s="193" t="s">
        <v>782</v>
      </c>
      <c r="C262" s="193" t="s">
        <v>875</v>
      </c>
      <c r="D262" s="193"/>
      <c r="E262" s="194" t="n">
        <v>4</v>
      </c>
      <c r="F262" s="195" t="n">
        <v>21</v>
      </c>
      <c r="G262" s="119"/>
      <c r="H262" s="119"/>
      <c r="J262" s="118"/>
      <c r="K262" s="118"/>
      <c r="L262" s="181"/>
      <c r="N262" s="182"/>
      <c r="O262" s="182"/>
      <c r="S262" s="184" t="n">
        <v>1820</v>
      </c>
      <c r="T262" s="185" t="n">
        <v>40725</v>
      </c>
      <c r="U262" s="182"/>
      <c r="V262" s="182"/>
      <c r="W262" s="183"/>
      <c r="X262" s="183"/>
      <c r="Y262" s="184" t="n">
        <v>524</v>
      </c>
      <c r="Z262" s="185" t="n">
        <v>40725</v>
      </c>
      <c r="AA262" s="184" t="n">
        <v>79507</v>
      </c>
      <c r="AB262" s="185" t="n">
        <v>40725</v>
      </c>
      <c r="AC262" s="184" t="n">
        <v>33.9</v>
      </c>
      <c r="AD262" s="185" t="n">
        <v>40725</v>
      </c>
      <c r="AE262" s="196"/>
      <c r="AF262" s="185"/>
      <c r="AG262" s="184" t="n">
        <v>4.26</v>
      </c>
      <c r="AH262" s="185" t="n">
        <v>40725</v>
      </c>
      <c r="AI262" s="183"/>
      <c r="AJ262" s="183"/>
      <c r="AK262" s="182"/>
      <c r="AL262" s="182"/>
      <c r="AM262" s="184" t="n">
        <v>84</v>
      </c>
      <c r="AN262" s="183" t="n">
        <v>40630</v>
      </c>
      <c r="AO262" s="182"/>
      <c r="AP262" s="182"/>
      <c r="AQ262" s="183"/>
      <c r="AR262" s="183"/>
      <c r="AS262" s="182"/>
      <c r="AT262" s="182"/>
      <c r="AU262" s="183"/>
      <c r="AV262" s="183"/>
      <c r="AW262" s="182"/>
      <c r="AX262" s="182"/>
      <c r="AY262" s="183"/>
      <c r="AZ262" s="183"/>
      <c r="BA262" s="182"/>
      <c r="BB262" s="182"/>
      <c r="BK262" s="183"/>
      <c r="BL262" s="183"/>
      <c r="BM262" s="182"/>
      <c r="BN262" s="182"/>
      <c r="BO262" s="183"/>
      <c r="BP262" s="183"/>
      <c r="BQ262" s="182"/>
      <c r="BR262" s="182"/>
      <c r="BS262" s="184" t="n">
        <v>53.7</v>
      </c>
      <c r="BT262" s="185" t="n">
        <v>40725</v>
      </c>
      <c r="BU262" s="184" t="n">
        <v>15.5</v>
      </c>
      <c r="BV262" s="185" t="n">
        <v>40725</v>
      </c>
      <c r="CL262" s="182"/>
      <c r="CM262" s="182"/>
    </row>
    <row r="263" customFormat="false" ht="12.75" hidden="false" customHeight="false" outlineLevel="0" collapsed="false">
      <c r="A263" s="204" t="s">
        <v>555</v>
      </c>
      <c r="B263" s="193" t="s">
        <v>782</v>
      </c>
      <c r="C263" s="193" t="s">
        <v>876</v>
      </c>
      <c r="D263" s="193"/>
      <c r="E263" s="194" t="n">
        <v>6</v>
      </c>
      <c r="F263" s="195" t="n">
        <v>63</v>
      </c>
      <c r="G263" s="119"/>
      <c r="H263" s="119"/>
      <c r="J263" s="118"/>
      <c r="K263" s="118"/>
      <c r="L263" s="181"/>
      <c r="N263" s="182"/>
      <c r="O263" s="182"/>
      <c r="S263" s="184" t="n">
        <v>1696</v>
      </c>
      <c r="T263" s="185" t="n">
        <v>40725</v>
      </c>
      <c r="U263" s="182"/>
      <c r="V263" s="182"/>
      <c r="W263" s="183"/>
      <c r="X263" s="183"/>
      <c r="Y263" s="184" t="n">
        <v>443</v>
      </c>
      <c r="Z263" s="185" t="n">
        <v>40725</v>
      </c>
      <c r="AA263" s="184" t="n">
        <v>71436</v>
      </c>
      <c r="AB263" s="185" t="n">
        <v>40725</v>
      </c>
      <c r="AC263" s="184" t="n">
        <v>30.8</v>
      </c>
      <c r="AD263" s="185" t="n">
        <v>40725</v>
      </c>
      <c r="AE263" s="196"/>
      <c r="AF263" s="185"/>
      <c r="AG263" s="184" t="n">
        <v>4.31</v>
      </c>
      <c r="AH263" s="185" t="n">
        <v>40725</v>
      </c>
      <c r="AI263" s="183"/>
      <c r="AJ263" s="183"/>
      <c r="AK263" s="182"/>
      <c r="AL263" s="182"/>
      <c r="AM263" s="184" t="n">
        <v>83</v>
      </c>
      <c r="AN263" s="183" t="n">
        <v>40630</v>
      </c>
      <c r="AO263" s="182"/>
      <c r="AP263" s="182"/>
      <c r="AQ263" s="183"/>
      <c r="AR263" s="183"/>
      <c r="AS263" s="182"/>
      <c r="AT263" s="182"/>
      <c r="AU263" s="183"/>
      <c r="AV263" s="183"/>
      <c r="AW263" s="182"/>
      <c r="AX263" s="182"/>
      <c r="AY263" s="183"/>
      <c r="AZ263" s="183"/>
      <c r="BA263" s="182"/>
      <c r="BB263" s="182"/>
      <c r="BK263" s="183"/>
      <c r="BL263" s="183"/>
      <c r="BM263" s="182"/>
      <c r="BN263" s="182"/>
      <c r="BO263" s="183"/>
      <c r="BP263" s="183"/>
      <c r="BQ263" s="182"/>
      <c r="BR263" s="182"/>
      <c r="BS263" s="184" t="n">
        <v>55</v>
      </c>
      <c r="BT263" s="185" t="n">
        <v>40725</v>
      </c>
      <c r="BU263" s="184" t="n">
        <v>14.4</v>
      </c>
      <c r="BV263" s="185" t="n">
        <v>40725</v>
      </c>
      <c r="CL263" s="182"/>
      <c r="CM263" s="182"/>
    </row>
    <row r="264" customFormat="false" ht="12.75" hidden="false" customHeight="false" outlineLevel="0" collapsed="false">
      <c r="A264" s="204" t="s">
        <v>555</v>
      </c>
      <c r="B264" s="193" t="s">
        <v>782</v>
      </c>
      <c r="C264" s="193" t="s">
        <v>877</v>
      </c>
      <c r="D264" s="193"/>
      <c r="E264" s="119" t="n">
        <v>19</v>
      </c>
      <c r="F264" s="195" t="n">
        <v>87</v>
      </c>
      <c r="G264" s="119"/>
      <c r="H264" s="119"/>
      <c r="J264" s="118"/>
      <c r="K264" s="118"/>
      <c r="L264" s="181"/>
      <c r="N264" s="182"/>
      <c r="O264" s="182"/>
      <c r="S264" s="184" t="n">
        <v>1705</v>
      </c>
      <c r="T264" s="185" t="n">
        <v>40725</v>
      </c>
      <c r="U264" s="182"/>
      <c r="V264" s="182"/>
      <c r="W264" s="183"/>
      <c r="X264" s="183"/>
      <c r="Y264" s="184" t="n">
        <v>508</v>
      </c>
      <c r="Z264" s="185" t="n">
        <v>40725</v>
      </c>
      <c r="AA264" s="184" t="n">
        <v>71301</v>
      </c>
      <c r="AB264" s="185" t="n">
        <v>40725</v>
      </c>
      <c r="AC264" s="184" t="n">
        <v>31.8</v>
      </c>
      <c r="AD264" s="185" t="n">
        <v>40725</v>
      </c>
      <c r="AE264" s="196"/>
      <c r="AF264" s="185"/>
      <c r="AG264" s="184" t="n">
        <v>4.46</v>
      </c>
      <c r="AH264" s="185" t="n">
        <v>40725</v>
      </c>
      <c r="AI264" s="183"/>
      <c r="AJ264" s="183"/>
      <c r="AK264" s="182"/>
      <c r="AL264" s="182"/>
      <c r="AM264" s="184" t="n">
        <v>83</v>
      </c>
      <c r="AN264" s="183" t="n">
        <v>40630</v>
      </c>
      <c r="AO264" s="182"/>
      <c r="AP264" s="182"/>
      <c r="AQ264" s="183"/>
      <c r="AR264" s="183"/>
      <c r="AS264" s="182"/>
      <c r="AT264" s="182"/>
      <c r="AU264" s="183"/>
      <c r="AV264" s="183"/>
      <c r="AW264" s="182"/>
      <c r="AX264" s="182"/>
      <c r="AY264" s="183"/>
      <c r="AZ264" s="183"/>
      <c r="BA264" s="182"/>
      <c r="BB264" s="182"/>
      <c r="BK264" s="183"/>
      <c r="BL264" s="183"/>
      <c r="BM264" s="182"/>
      <c r="BN264" s="182"/>
      <c r="BO264" s="183"/>
      <c r="BP264" s="183"/>
      <c r="BQ264" s="182"/>
      <c r="BR264" s="182"/>
      <c r="BS264" s="184" t="n">
        <v>53.6</v>
      </c>
      <c r="BT264" s="185" t="n">
        <v>40725</v>
      </c>
      <c r="BU264" s="184" t="n">
        <v>16</v>
      </c>
      <c r="BV264" s="185" t="n">
        <v>40725</v>
      </c>
      <c r="CL264" s="182"/>
      <c r="CM264" s="182"/>
    </row>
    <row r="265" customFormat="false" ht="12.75" hidden="false" customHeight="false" outlineLevel="0" collapsed="false">
      <c r="A265" s="204" t="s">
        <v>555</v>
      </c>
      <c r="B265" s="193" t="s">
        <v>785</v>
      </c>
      <c r="C265" s="193" t="s">
        <v>875</v>
      </c>
      <c r="D265" s="193"/>
      <c r="E265" s="194" t="n">
        <v>8</v>
      </c>
      <c r="F265" s="195" t="n">
        <v>28</v>
      </c>
      <c r="G265" s="119"/>
      <c r="H265" s="119"/>
      <c r="J265" s="118"/>
      <c r="K265" s="118"/>
      <c r="L265" s="181"/>
      <c r="N265" s="182"/>
      <c r="O265" s="182"/>
      <c r="S265" s="184" t="n">
        <v>2500</v>
      </c>
      <c r="T265" s="185" t="n">
        <v>40725</v>
      </c>
      <c r="U265" s="182"/>
      <c r="V265" s="182"/>
      <c r="W265" s="183"/>
      <c r="X265" s="183"/>
      <c r="Y265" s="184" t="n">
        <v>822</v>
      </c>
      <c r="Z265" s="185" t="n">
        <v>40725</v>
      </c>
      <c r="AA265" s="184" t="n">
        <v>110189</v>
      </c>
      <c r="AB265" s="185" t="n">
        <v>40725</v>
      </c>
      <c r="AC265" s="184" t="n">
        <v>48</v>
      </c>
      <c r="AD265" s="185" t="n">
        <v>40725</v>
      </c>
      <c r="AE265" s="196"/>
      <c r="AF265" s="185"/>
      <c r="AG265" s="184" t="n">
        <v>4.35</v>
      </c>
      <c r="AH265" s="185" t="n">
        <v>40725</v>
      </c>
      <c r="AI265" s="183"/>
      <c r="AJ265" s="183"/>
      <c r="AK265" s="182"/>
      <c r="AL265" s="182"/>
      <c r="AM265" s="184" t="n">
        <v>85</v>
      </c>
      <c r="AN265" s="183" t="n">
        <v>40630</v>
      </c>
      <c r="AO265" s="182"/>
      <c r="AP265" s="182"/>
      <c r="AQ265" s="183"/>
      <c r="AR265" s="183"/>
      <c r="AS265" s="182"/>
      <c r="AT265" s="182"/>
      <c r="AU265" s="183"/>
      <c r="AV265" s="183"/>
      <c r="AW265" s="182"/>
      <c r="AX265" s="182"/>
      <c r="AY265" s="183"/>
      <c r="AZ265" s="183"/>
      <c r="BA265" s="182"/>
      <c r="BB265" s="182"/>
      <c r="BK265" s="183"/>
      <c r="BL265" s="183"/>
      <c r="BM265" s="182"/>
      <c r="BN265" s="182"/>
      <c r="BO265" s="183"/>
      <c r="BP265" s="183"/>
      <c r="BQ265" s="182"/>
      <c r="BR265" s="182"/>
      <c r="BS265" s="184" t="n">
        <v>52.1</v>
      </c>
      <c r="BT265" s="185" t="n">
        <v>40725</v>
      </c>
      <c r="BU265" s="184" t="n">
        <v>17.1</v>
      </c>
      <c r="BV265" s="185" t="n">
        <v>40725</v>
      </c>
      <c r="CL265" s="182"/>
      <c r="CM265" s="182"/>
    </row>
    <row r="266" customFormat="false" ht="12.75" hidden="false" customHeight="false" outlineLevel="0" collapsed="false">
      <c r="A266" s="204" t="s">
        <v>555</v>
      </c>
      <c r="B266" s="193" t="s">
        <v>785</v>
      </c>
      <c r="C266" s="193" t="s">
        <v>876</v>
      </c>
      <c r="D266" s="193"/>
      <c r="E266" s="194" t="n">
        <v>3</v>
      </c>
      <c r="F266" s="195" t="n">
        <v>56</v>
      </c>
      <c r="G266" s="119"/>
      <c r="H266" s="119"/>
      <c r="J266" s="118"/>
      <c r="K266" s="118"/>
      <c r="L266" s="181"/>
      <c r="N266" s="182"/>
      <c r="O266" s="182"/>
      <c r="S266" s="184" t="n">
        <v>2426</v>
      </c>
      <c r="T266" s="185" t="n">
        <v>40725</v>
      </c>
      <c r="U266" s="182"/>
      <c r="V266" s="182"/>
      <c r="W266" s="183"/>
      <c r="X266" s="183"/>
      <c r="Y266" s="184" t="n">
        <v>729</v>
      </c>
      <c r="Z266" s="185" t="n">
        <v>40725</v>
      </c>
      <c r="AA266" s="184" t="n">
        <v>106231</v>
      </c>
      <c r="AB266" s="185" t="n">
        <v>40725</v>
      </c>
      <c r="AC266" s="184" t="n">
        <v>45</v>
      </c>
      <c r="AD266" s="185" t="n">
        <v>40725</v>
      </c>
      <c r="AE266" s="196"/>
      <c r="AF266" s="185"/>
      <c r="AG266" s="184" t="n">
        <v>4.24</v>
      </c>
      <c r="AH266" s="185" t="n">
        <v>40725</v>
      </c>
      <c r="AI266" s="183"/>
      <c r="AJ266" s="183"/>
      <c r="AK266" s="182"/>
      <c r="AL266" s="182"/>
      <c r="AM266" s="184" t="n">
        <v>85</v>
      </c>
      <c r="AN266" s="183" t="n">
        <v>40630</v>
      </c>
      <c r="AO266" s="182"/>
      <c r="AP266" s="182"/>
      <c r="AQ266" s="183"/>
      <c r="AR266" s="183"/>
      <c r="AS266" s="182"/>
      <c r="AT266" s="182"/>
      <c r="AU266" s="183"/>
      <c r="AV266" s="183"/>
      <c r="AW266" s="182"/>
      <c r="AX266" s="182"/>
      <c r="AY266" s="183"/>
      <c r="AZ266" s="183"/>
      <c r="BA266" s="182"/>
      <c r="BB266" s="182"/>
      <c r="BK266" s="183"/>
      <c r="BL266" s="183"/>
      <c r="BM266" s="182"/>
      <c r="BN266" s="182"/>
      <c r="BO266" s="183"/>
      <c r="BP266" s="183"/>
      <c r="BQ266" s="182"/>
      <c r="BR266" s="182"/>
      <c r="BS266" s="184" t="n">
        <v>53.9</v>
      </c>
      <c r="BT266" s="185" t="n">
        <v>40725</v>
      </c>
      <c r="BU266" s="184" t="n">
        <v>16.2</v>
      </c>
      <c r="BV266" s="185" t="n">
        <v>40725</v>
      </c>
      <c r="CL266" s="182"/>
      <c r="CM266" s="182"/>
    </row>
    <row r="267" customFormat="false" ht="12.75" hidden="false" customHeight="false" outlineLevel="0" collapsed="false">
      <c r="A267" s="204" t="s">
        <v>555</v>
      </c>
      <c r="B267" s="193" t="s">
        <v>785</v>
      </c>
      <c r="C267" s="193" t="s">
        <v>877</v>
      </c>
      <c r="D267" s="193"/>
      <c r="E267" s="119" t="n">
        <v>21</v>
      </c>
      <c r="F267" s="195" t="n">
        <v>67</v>
      </c>
      <c r="G267" s="119"/>
      <c r="H267" s="119"/>
      <c r="J267" s="118"/>
      <c r="K267" s="118"/>
      <c r="L267" s="181"/>
      <c r="N267" s="182"/>
      <c r="O267" s="182"/>
      <c r="S267" s="184" t="n">
        <v>2306</v>
      </c>
      <c r="T267" s="185" t="n">
        <v>40725</v>
      </c>
      <c r="U267" s="182"/>
      <c r="V267" s="182"/>
      <c r="W267" s="183"/>
      <c r="X267" s="183"/>
      <c r="Y267" s="184" t="n">
        <v>783</v>
      </c>
      <c r="Z267" s="185" t="n">
        <v>40725</v>
      </c>
      <c r="AA267" s="184" t="n">
        <v>93373</v>
      </c>
      <c r="AB267" s="185" t="n">
        <v>40725</v>
      </c>
      <c r="AC267" s="184" t="n">
        <v>44.2</v>
      </c>
      <c r="AD267" s="185" t="n">
        <v>40725</v>
      </c>
      <c r="AE267" s="196"/>
      <c r="AF267" s="185"/>
      <c r="AG267" s="184" t="n">
        <v>4.73</v>
      </c>
      <c r="AH267" s="185" t="n">
        <v>40725</v>
      </c>
      <c r="AI267" s="183"/>
      <c r="AJ267" s="183"/>
      <c r="AK267" s="182"/>
      <c r="AL267" s="182"/>
      <c r="AM267" s="184" t="n">
        <v>87</v>
      </c>
      <c r="AN267" s="183" t="n">
        <v>40630</v>
      </c>
      <c r="AO267" s="182"/>
      <c r="AP267" s="182"/>
      <c r="AQ267" s="183"/>
      <c r="AR267" s="183"/>
      <c r="AS267" s="182"/>
      <c r="AT267" s="182"/>
      <c r="AU267" s="183"/>
      <c r="AV267" s="183"/>
      <c r="AW267" s="182"/>
      <c r="AX267" s="182"/>
      <c r="AY267" s="183"/>
      <c r="AZ267" s="183"/>
      <c r="BA267" s="182"/>
      <c r="BB267" s="182"/>
      <c r="BK267" s="183"/>
      <c r="BL267" s="183"/>
      <c r="BM267" s="182"/>
      <c r="BN267" s="182"/>
      <c r="BO267" s="183"/>
      <c r="BP267" s="183"/>
      <c r="BQ267" s="182"/>
      <c r="BR267" s="182"/>
      <c r="BS267" s="184" t="n">
        <v>52.2</v>
      </c>
      <c r="BT267" s="185" t="n">
        <v>40725</v>
      </c>
      <c r="BU267" s="184" t="n">
        <v>17.7</v>
      </c>
      <c r="BV267" s="185" t="n">
        <v>40725</v>
      </c>
      <c r="CL267" s="182"/>
      <c r="CM267" s="182"/>
    </row>
    <row r="268" customFormat="false" ht="12.75" hidden="false" customHeight="false" outlineLevel="0" collapsed="false">
      <c r="A268" s="204" t="s">
        <v>558</v>
      </c>
      <c r="B268" s="193" t="s">
        <v>782</v>
      </c>
      <c r="C268" s="193" t="s">
        <v>875</v>
      </c>
      <c r="D268" s="193"/>
      <c r="E268" s="194" t="n">
        <v>4</v>
      </c>
      <c r="F268" s="195" t="n">
        <v>26</v>
      </c>
      <c r="G268" s="119"/>
      <c r="H268" s="119"/>
      <c r="J268" s="118"/>
      <c r="K268" s="118"/>
      <c r="L268" s="181"/>
      <c r="N268" s="182"/>
      <c r="O268" s="182"/>
      <c r="S268" s="184" t="n">
        <v>1955</v>
      </c>
      <c r="T268" s="185" t="n">
        <v>40725</v>
      </c>
      <c r="U268" s="182"/>
      <c r="V268" s="182"/>
      <c r="W268" s="183"/>
      <c r="X268" s="183"/>
      <c r="Y268" s="184" t="n">
        <v>568</v>
      </c>
      <c r="Z268" s="185" t="n">
        <v>40725</v>
      </c>
      <c r="AA268" s="184" t="n">
        <v>81783</v>
      </c>
      <c r="AB268" s="185" t="n">
        <v>40725</v>
      </c>
      <c r="AC268" s="184" t="n">
        <v>36.9</v>
      </c>
      <c r="AD268" s="185" t="n">
        <v>40725</v>
      </c>
      <c r="AE268" s="196"/>
      <c r="AF268" s="185"/>
      <c r="AG268" s="184" t="n">
        <v>4.51</v>
      </c>
      <c r="AH268" s="185" t="n">
        <v>40725</v>
      </c>
      <c r="AI268" s="183"/>
      <c r="AJ268" s="183"/>
      <c r="AK268" s="182"/>
      <c r="AL268" s="182"/>
      <c r="AM268" s="184" t="n">
        <v>84</v>
      </c>
      <c r="AN268" s="183" t="n">
        <v>40630</v>
      </c>
      <c r="AO268" s="182"/>
      <c r="AP268" s="182"/>
      <c r="AQ268" s="183"/>
      <c r="AR268" s="183"/>
      <c r="AS268" s="182"/>
      <c r="AT268" s="182"/>
      <c r="AU268" s="183"/>
      <c r="AV268" s="183"/>
      <c r="AW268" s="182"/>
      <c r="AX268" s="182"/>
      <c r="AY268" s="183"/>
      <c r="AZ268" s="183"/>
      <c r="BA268" s="182"/>
      <c r="BB268" s="182"/>
      <c r="BK268" s="183"/>
      <c r="BL268" s="183"/>
      <c r="BM268" s="182"/>
      <c r="BN268" s="182"/>
      <c r="BO268" s="183"/>
      <c r="BP268" s="183"/>
      <c r="BQ268" s="182"/>
      <c r="BR268" s="182"/>
      <c r="BS268" s="184" t="n">
        <v>53</v>
      </c>
      <c r="BT268" s="185" t="n">
        <v>40725</v>
      </c>
      <c r="BU268" s="184" t="n">
        <v>15.4</v>
      </c>
      <c r="BV268" s="185" t="n">
        <v>40725</v>
      </c>
      <c r="CL268" s="182"/>
      <c r="CM268" s="182"/>
    </row>
    <row r="269" customFormat="false" ht="12.75" hidden="false" customHeight="false" outlineLevel="0" collapsed="false">
      <c r="A269" s="204" t="s">
        <v>558</v>
      </c>
      <c r="B269" s="193" t="s">
        <v>782</v>
      </c>
      <c r="C269" s="193" t="s">
        <v>876</v>
      </c>
      <c r="D269" s="193"/>
      <c r="E269" s="194" t="n">
        <v>6</v>
      </c>
      <c r="F269" s="195" t="n">
        <v>61</v>
      </c>
      <c r="G269" s="119"/>
      <c r="H269" s="119"/>
      <c r="J269" s="118"/>
      <c r="K269" s="118"/>
      <c r="L269" s="181"/>
      <c r="N269" s="182"/>
      <c r="O269" s="182"/>
      <c r="S269" s="184" t="n">
        <v>1771</v>
      </c>
      <c r="T269" s="185" t="n">
        <v>40725</v>
      </c>
      <c r="U269" s="182"/>
      <c r="V269" s="182"/>
      <c r="W269" s="183"/>
      <c r="X269" s="183"/>
      <c r="Y269" s="184" t="n">
        <v>513</v>
      </c>
      <c r="Z269" s="185" t="n">
        <v>40725</v>
      </c>
      <c r="AA269" s="184" t="n">
        <v>78062</v>
      </c>
      <c r="AB269" s="185" t="n">
        <v>40725</v>
      </c>
      <c r="AC269" s="184" t="n">
        <v>33.2</v>
      </c>
      <c r="AD269" s="185" t="n">
        <v>40725</v>
      </c>
      <c r="AE269" s="196"/>
      <c r="AF269" s="185"/>
      <c r="AG269" s="184" t="n">
        <v>4.25</v>
      </c>
      <c r="AH269" s="185" t="n">
        <v>40725</v>
      </c>
      <c r="AI269" s="183"/>
      <c r="AJ269" s="183"/>
      <c r="AK269" s="182"/>
      <c r="AL269" s="182"/>
      <c r="AM269" s="184" t="n">
        <v>83</v>
      </c>
      <c r="AN269" s="183" t="n">
        <v>40630</v>
      </c>
      <c r="AO269" s="182"/>
      <c r="AP269" s="182"/>
      <c r="AQ269" s="183"/>
      <c r="AR269" s="183"/>
      <c r="AS269" s="182"/>
      <c r="AT269" s="182"/>
      <c r="AU269" s="183"/>
      <c r="AV269" s="183"/>
      <c r="AW269" s="182"/>
      <c r="AX269" s="182"/>
      <c r="AY269" s="183"/>
      <c r="AZ269" s="183"/>
      <c r="BA269" s="182"/>
      <c r="BB269" s="182"/>
      <c r="BK269" s="183"/>
      <c r="BL269" s="183"/>
      <c r="BM269" s="182"/>
      <c r="BN269" s="182"/>
      <c r="BO269" s="183"/>
      <c r="BP269" s="183"/>
      <c r="BQ269" s="182"/>
      <c r="BR269" s="182"/>
      <c r="BS269" s="184" t="n">
        <v>53.4</v>
      </c>
      <c r="BT269" s="185" t="n">
        <v>40725</v>
      </c>
      <c r="BU269" s="184" t="n">
        <v>15.5</v>
      </c>
      <c r="BV269" s="185" t="n">
        <v>40725</v>
      </c>
      <c r="CL269" s="182"/>
      <c r="CM269" s="182"/>
    </row>
    <row r="270" customFormat="false" ht="12.75" hidden="false" customHeight="false" outlineLevel="0" collapsed="false">
      <c r="A270" s="204" t="s">
        <v>558</v>
      </c>
      <c r="B270" s="193" t="s">
        <v>782</v>
      </c>
      <c r="C270" s="193" t="s">
        <v>877</v>
      </c>
      <c r="D270" s="193"/>
      <c r="E270" s="194" t="n">
        <v>16</v>
      </c>
      <c r="F270" s="195" t="n">
        <v>72</v>
      </c>
      <c r="G270" s="119"/>
      <c r="H270" s="119"/>
      <c r="J270" s="118"/>
      <c r="K270" s="118"/>
      <c r="L270" s="181"/>
      <c r="N270" s="182"/>
      <c r="O270" s="182"/>
      <c r="S270" s="184" t="n">
        <v>1669</v>
      </c>
      <c r="T270" s="185" t="n">
        <v>40725</v>
      </c>
      <c r="U270" s="182"/>
      <c r="V270" s="182"/>
      <c r="W270" s="183"/>
      <c r="X270" s="183"/>
      <c r="Y270" s="184" t="n">
        <v>523</v>
      </c>
      <c r="Z270" s="185" t="n">
        <v>40725</v>
      </c>
      <c r="AA270" s="184" t="n">
        <v>76541</v>
      </c>
      <c r="AB270" s="185" t="n">
        <v>40725</v>
      </c>
      <c r="AC270" s="184" t="n">
        <v>31.8</v>
      </c>
      <c r="AD270" s="185" t="n">
        <v>40725</v>
      </c>
      <c r="AE270" s="196"/>
      <c r="AF270" s="185"/>
      <c r="AG270" s="184" t="n">
        <v>4.16</v>
      </c>
      <c r="AH270" s="185" t="n">
        <v>40725</v>
      </c>
      <c r="AI270" s="183"/>
      <c r="AJ270" s="183"/>
      <c r="AK270" s="182"/>
      <c r="AL270" s="182"/>
      <c r="AM270" s="184" t="n">
        <v>84</v>
      </c>
      <c r="AN270" s="183" t="n">
        <v>40630</v>
      </c>
      <c r="AO270" s="182"/>
      <c r="AP270" s="182"/>
      <c r="AQ270" s="183"/>
      <c r="AR270" s="183"/>
      <c r="AS270" s="182"/>
      <c r="AT270" s="182"/>
      <c r="AU270" s="183"/>
      <c r="AV270" s="183"/>
      <c r="AW270" s="182"/>
      <c r="AX270" s="182"/>
      <c r="AY270" s="183"/>
      <c r="AZ270" s="183"/>
      <c r="BA270" s="182"/>
      <c r="BB270" s="182"/>
      <c r="BK270" s="183"/>
      <c r="BL270" s="183"/>
      <c r="BM270" s="182"/>
      <c r="BN270" s="182"/>
      <c r="BO270" s="183"/>
      <c r="BP270" s="183"/>
      <c r="BQ270" s="182"/>
      <c r="BR270" s="182"/>
      <c r="BS270" s="184" t="n">
        <v>52.5</v>
      </c>
      <c r="BT270" s="185" t="n">
        <v>40725</v>
      </c>
      <c r="BU270" s="184" t="n">
        <v>16.4</v>
      </c>
      <c r="BV270" s="185" t="n">
        <v>40725</v>
      </c>
      <c r="CL270" s="182"/>
      <c r="CM270" s="182"/>
    </row>
    <row r="271" customFormat="false" ht="12.75" hidden="false" customHeight="false" outlineLevel="0" collapsed="false">
      <c r="A271" s="204" t="s">
        <v>558</v>
      </c>
      <c r="B271" s="193" t="s">
        <v>785</v>
      </c>
      <c r="C271" s="193" t="s">
        <v>875</v>
      </c>
      <c r="D271" s="193"/>
      <c r="E271" s="194" t="n">
        <v>7</v>
      </c>
      <c r="F271" s="195" t="n">
        <v>21</v>
      </c>
      <c r="G271" s="119"/>
      <c r="H271" s="119"/>
      <c r="J271" s="118"/>
      <c r="K271" s="118"/>
      <c r="L271" s="181"/>
      <c r="N271" s="182"/>
      <c r="O271" s="182"/>
      <c r="S271" s="184" t="n">
        <v>2256</v>
      </c>
      <c r="T271" s="185" t="n">
        <v>40725</v>
      </c>
      <c r="U271" s="182"/>
      <c r="V271" s="182"/>
      <c r="W271" s="183"/>
      <c r="X271" s="183"/>
      <c r="Y271" s="184" t="n">
        <v>732</v>
      </c>
      <c r="Z271" s="185" t="n">
        <v>40725</v>
      </c>
      <c r="AA271" s="184" t="n">
        <v>100573</v>
      </c>
      <c r="AB271" s="185" t="n">
        <v>40725</v>
      </c>
      <c r="AC271" s="184" t="n">
        <v>43.3</v>
      </c>
      <c r="AD271" s="185" t="n">
        <v>40725</v>
      </c>
      <c r="AE271" s="196"/>
      <c r="AF271" s="185"/>
      <c r="AG271" s="184" t="n">
        <v>4.3</v>
      </c>
      <c r="AH271" s="185" t="n">
        <v>40725</v>
      </c>
      <c r="AI271" s="183"/>
      <c r="AJ271" s="183"/>
      <c r="AK271" s="182"/>
      <c r="AL271" s="182"/>
      <c r="AM271" s="184" t="n">
        <v>86</v>
      </c>
      <c r="AN271" s="183" t="n">
        <v>40630</v>
      </c>
      <c r="AO271" s="182"/>
      <c r="AP271" s="182"/>
      <c r="AQ271" s="183"/>
      <c r="AR271" s="183"/>
      <c r="AS271" s="182"/>
      <c r="AT271" s="182"/>
      <c r="AU271" s="183"/>
      <c r="AV271" s="183"/>
      <c r="AW271" s="182"/>
      <c r="AX271" s="182"/>
      <c r="AY271" s="183"/>
      <c r="AZ271" s="183"/>
      <c r="BA271" s="182"/>
      <c r="BB271" s="182"/>
      <c r="BK271" s="183"/>
      <c r="BL271" s="183"/>
      <c r="BM271" s="182"/>
      <c r="BN271" s="182"/>
      <c r="BO271" s="183"/>
      <c r="BP271" s="183"/>
      <c r="BQ271" s="182"/>
      <c r="BR271" s="182"/>
      <c r="BS271" s="184" t="n">
        <v>52.1</v>
      </c>
      <c r="BT271" s="185" t="n">
        <v>40725</v>
      </c>
      <c r="BU271" s="184" t="n">
        <v>16.9</v>
      </c>
      <c r="BV271" s="185" t="n">
        <v>40725</v>
      </c>
      <c r="CL271" s="182"/>
      <c r="CM271" s="182"/>
    </row>
    <row r="272" customFormat="false" ht="12.75" hidden="false" customHeight="false" outlineLevel="0" collapsed="false">
      <c r="A272" s="204" t="s">
        <v>558</v>
      </c>
      <c r="B272" s="193" t="s">
        <v>785</v>
      </c>
      <c r="C272" s="193" t="s">
        <v>876</v>
      </c>
      <c r="D272" s="193"/>
      <c r="E272" s="194" t="n">
        <v>4</v>
      </c>
      <c r="F272" s="195" t="n">
        <v>40</v>
      </c>
      <c r="G272" s="119"/>
      <c r="H272" s="119"/>
      <c r="J272" s="118"/>
      <c r="K272" s="118"/>
      <c r="L272" s="181"/>
      <c r="N272" s="182"/>
      <c r="O272" s="182"/>
      <c r="S272" s="184" t="n">
        <v>2557</v>
      </c>
      <c r="T272" s="185" t="n">
        <v>40725</v>
      </c>
      <c r="U272" s="182"/>
      <c r="V272" s="182"/>
      <c r="W272" s="183"/>
      <c r="X272" s="183"/>
      <c r="Y272" s="184" t="n">
        <v>929</v>
      </c>
      <c r="Z272" s="185" t="n">
        <v>40725</v>
      </c>
      <c r="AA272" s="184" t="n">
        <v>115432</v>
      </c>
      <c r="AB272" s="185" t="n">
        <v>40725</v>
      </c>
      <c r="AC272" s="184" t="n">
        <v>50</v>
      </c>
      <c r="AD272" s="185" t="n">
        <v>40725</v>
      </c>
      <c r="AE272" s="196"/>
      <c r="AF272" s="185"/>
      <c r="AG272" s="184" t="n">
        <v>4.33</v>
      </c>
      <c r="AH272" s="185" t="n">
        <v>40725</v>
      </c>
      <c r="AI272" s="183"/>
      <c r="AJ272" s="183"/>
      <c r="AK272" s="182"/>
      <c r="AL272" s="182"/>
      <c r="AM272" s="184" t="n">
        <v>84</v>
      </c>
      <c r="AN272" s="183" t="n">
        <v>40630</v>
      </c>
      <c r="AO272" s="182"/>
      <c r="AP272" s="182"/>
      <c r="AQ272" s="183"/>
      <c r="AR272" s="183"/>
      <c r="AS272" s="182"/>
      <c r="AT272" s="182"/>
      <c r="AU272" s="183"/>
      <c r="AV272" s="183"/>
      <c r="AW272" s="182"/>
      <c r="AX272" s="182"/>
      <c r="AY272" s="183"/>
      <c r="AZ272" s="183"/>
      <c r="BA272" s="182"/>
      <c r="BB272" s="182"/>
      <c r="BK272" s="183"/>
      <c r="BL272" s="183"/>
      <c r="BM272" s="182"/>
      <c r="BN272" s="182"/>
      <c r="BO272" s="183"/>
      <c r="BP272" s="183"/>
      <c r="BQ272" s="182"/>
      <c r="BR272" s="182"/>
      <c r="BS272" s="184" t="n">
        <v>51.1</v>
      </c>
      <c r="BT272" s="185" t="n">
        <v>40725</v>
      </c>
      <c r="BU272" s="184" t="n">
        <v>18.6</v>
      </c>
      <c r="BV272" s="185" t="n">
        <v>40725</v>
      </c>
      <c r="CL272" s="182"/>
      <c r="CM272" s="182"/>
    </row>
    <row r="273" customFormat="false" ht="12.75" hidden="false" customHeight="false" outlineLevel="0" collapsed="false">
      <c r="A273" s="204" t="s">
        <v>558</v>
      </c>
      <c r="B273" s="193" t="s">
        <v>785</v>
      </c>
      <c r="C273" s="193" t="s">
        <v>877</v>
      </c>
      <c r="D273" s="193"/>
      <c r="E273" s="119" t="n">
        <v>20</v>
      </c>
      <c r="F273" s="195" t="n">
        <v>87</v>
      </c>
      <c r="G273" s="119"/>
      <c r="H273" s="119"/>
      <c r="J273" s="118"/>
      <c r="K273" s="118"/>
      <c r="L273" s="181"/>
      <c r="N273" s="182"/>
      <c r="O273" s="182"/>
      <c r="S273" s="184" t="n">
        <v>1986</v>
      </c>
      <c r="T273" s="185" t="n">
        <v>40725</v>
      </c>
      <c r="U273" s="182"/>
      <c r="V273" s="182"/>
      <c r="W273" s="183"/>
      <c r="X273" s="183"/>
      <c r="Y273" s="184" t="n">
        <v>722</v>
      </c>
      <c r="Z273" s="185" t="n">
        <v>40725</v>
      </c>
      <c r="AA273" s="184" t="n">
        <v>85898</v>
      </c>
      <c r="AB273" s="185" t="n">
        <v>40725</v>
      </c>
      <c r="AC273" s="184" t="n">
        <v>39.4</v>
      </c>
      <c r="AD273" s="185" t="n">
        <v>40725</v>
      </c>
      <c r="AE273" s="196"/>
      <c r="AF273" s="185"/>
      <c r="AG273" s="184" t="n">
        <v>4.59</v>
      </c>
      <c r="AH273" s="185" t="n">
        <v>40725</v>
      </c>
      <c r="AI273" s="183"/>
      <c r="AJ273" s="183"/>
      <c r="AK273" s="182"/>
      <c r="AL273" s="182"/>
      <c r="AM273" s="184" t="n">
        <v>85</v>
      </c>
      <c r="AN273" s="183" t="n">
        <v>40630</v>
      </c>
      <c r="AO273" s="182"/>
      <c r="AP273" s="182"/>
      <c r="AQ273" s="183"/>
      <c r="AR273" s="183"/>
      <c r="AS273" s="182"/>
      <c r="AT273" s="182"/>
      <c r="AU273" s="183"/>
      <c r="AV273" s="183"/>
      <c r="AW273" s="182"/>
      <c r="AX273" s="182"/>
      <c r="AY273" s="183"/>
      <c r="AZ273" s="183"/>
      <c r="BA273" s="182"/>
      <c r="BB273" s="182"/>
      <c r="BK273" s="183"/>
      <c r="BL273" s="183"/>
      <c r="BM273" s="182"/>
      <c r="BN273" s="182"/>
      <c r="BO273" s="183"/>
      <c r="BP273" s="183"/>
      <c r="BQ273" s="182"/>
      <c r="BR273" s="182"/>
      <c r="BS273" s="184" t="n">
        <v>50.4</v>
      </c>
      <c r="BT273" s="185" t="n">
        <v>40725</v>
      </c>
      <c r="BU273" s="184" t="n">
        <v>18.3</v>
      </c>
      <c r="BV273" s="185" t="n">
        <v>40725</v>
      </c>
      <c r="CL273" s="182"/>
      <c r="CM273" s="182"/>
    </row>
    <row r="274" customFormat="false" ht="12.75" hidden="false" customHeight="false" outlineLevel="0" collapsed="false">
      <c r="A274" s="204" t="s">
        <v>561</v>
      </c>
      <c r="B274" s="193" t="s">
        <v>782</v>
      </c>
      <c r="C274" s="193" t="s">
        <v>875</v>
      </c>
      <c r="D274" s="193"/>
      <c r="E274" s="194" t="n">
        <v>1</v>
      </c>
      <c r="F274" s="195" t="n">
        <v>7</v>
      </c>
      <c r="G274" s="119"/>
      <c r="H274" s="119"/>
      <c r="J274" s="118"/>
      <c r="K274" s="118"/>
      <c r="L274" s="181"/>
      <c r="N274" s="182"/>
      <c r="O274" s="182"/>
      <c r="S274" s="184" t="n">
        <v>1819</v>
      </c>
      <c r="T274" s="185" t="n">
        <v>40725</v>
      </c>
      <c r="U274" s="182"/>
      <c r="V274" s="182"/>
      <c r="W274" s="183"/>
      <c r="X274" s="183"/>
      <c r="Y274" s="184" t="n">
        <v>530</v>
      </c>
      <c r="Z274" s="185" t="n">
        <v>40725</v>
      </c>
      <c r="AA274" s="184" t="n">
        <v>74869</v>
      </c>
      <c r="AB274" s="185" t="n">
        <v>40725</v>
      </c>
      <c r="AC274" s="184" t="n">
        <v>33.9</v>
      </c>
      <c r="AD274" s="185" t="n">
        <v>40725</v>
      </c>
      <c r="AE274" s="196"/>
      <c r="AF274" s="185"/>
      <c r="AG274" s="184" t="n">
        <v>4.53</v>
      </c>
      <c r="AH274" s="185" t="n">
        <v>40725</v>
      </c>
      <c r="AI274" s="183"/>
      <c r="AJ274" s="183"/>
      <c r="AK274" s="182"/>
      <c r="AL274" s="182"/>
      <c r="AM274" s="184" t="n">
        <v>84</v>
      </c>
      <c r="AN274" s="183" t="n">
        <v>40630</v>
      </c>
      <c r="AO274" s="182"/>
      <c r="AP274" s="182"/>
      <c r="AQ274" s="183"/>
      <c r="AR274" s="183"/>
      <c r="AS274" s="182"/>
      <c r="AT274" s="182"/>
      <c r="AU274" s="183"/>
      <c r="AV274" s="183"/>
      <c r="AW274" s="182"/>
      <c r="AX274" s="182"/>
      <c r="AY274" s="183"/>
      <c r="AZ274" s="183"/>
      <c r="BA274" s="182"/>
      <c r="BB274" s="182"/>
      <c r="BK274" s="183"/>
      <c r="BL274" s="183"/>
      <c r="BM274" s="182"/>
      <c r="BN274" s="182"/>
      <c r="BO274" s="183"/>
      <c r="BP274" s="183"/>
      <c r="BQ274" s="182"/>
      <c r="BR274" s="182"/>
      <c r="BS274" s="184" t="n">
        <v>53.6</v>
      </c>
      <c r="BT274" s="185" t="n">
        <v>40725</v>
      </c>
      <c r="BU274" s="184" t="n">
        <v>15.6</v>
      </c>
      <c r="BV274" s="185" t="n">
        <v>40725</v>
      </c>
      <c r="CL274" s="182"/>
      <c r="CM274" s="182"/>
    </row>
    <row r="275" customFormat="false" ht="12.75" hidden="false" customHeight="false" outlineLevel="0" collapsed="false">
      <c r="A275" s="204" t="s">
        <v>561</v>
      </c>
      <c r="B275" s="193" t="s">
        <v>782</v>
      </c>
      <c r="C275" s="193" t="s">
        <v>876</v>
      </c>
      <c r="D275" s="193"/>
      <c r="E275" s="194" t="n">
        <v>5</v>
      </c>
      <c r="F275" s="195" t="n">
        <v>55</v>
      </c>
      <c r="G275" s="119"/>
      <c r="H275" s="119"/>
      <c r="J275" s="118"/>
      <c r="K275" s="118"/>
      <c r="L275" s="181"/>
      <c r="N275" s="182"/>
      <c r="O275" s="182"/>
      <c r="S275" s="184" t="n">
        <v>1046</v>
      </c>
      <c r="T275" s="185" t="n">
        <v>40725</v>
      </c>
      <c r="U275" s="182"/>
      <c r="V275" s="182"/>
      <c r="W275" s="183"/>
      <c r="X275" s="183"/>
      <c r="Y275" s="184" t="n">
        <v>300</v>
      </c>
      <c r="Z275" s="185" t="n">
        <v>40725</v>
      </c>
      <c r="AA275" s="184" t="n">
        <v>41383</v>
      </c>
      <c r="AB275" s="185" t="n">
        <v>40725</v>
      </c>
      <c r="AC275" s="184" t="n">
        <v>19.2</v>
      </c>
      <c r="AD275" s="185" t="n">
        <v>40725</v>
      </c>
      <c r="AE275" s="196"/>
      <c r="AF275" s="185"/>
      <c r="AG275" s="184" t="n">
        <v>4.65</v>
      </c>
      <c r="AH275" s="185" t="n">
        <v>40725</v>
      </c>
      <c r="AI275" s="183"/>
      <c r="AJ275" s="183"/>
      <c r="AK275" s="182"/>
      <c r="AL275" s="182"/>
      <c r="AM275" s="184" t="n">
        <v>84</v>
      </c>
      <c r="AN275" s="183" t="n">
        <v>40630</v>
      </c>
      <c r="AO275" s="182"/>
      <c r="AP275" s="182"/>
      <c r="AQ275" s="183"/>
      <c r="AR275" s="183"/>
      <c r="AS275" s="182"/>
      <c r="AT275" s="182"/>
      <c r="AU275" s="183"/>
      <c r="AV275" s="183"/>
      <c r="AW275" s="182"/>
      <c r="AX275" s="182"/>
      <c r="AY275" s="183"/>
      <c r="AZ275" s="183"/>
      <c r="BA275" s="182"/>
      <c r="BB275" s="182"/>
      <c r="BK275" s="183"/>
      <c r="BL275" s="183"/>
      <c r="BM275" s="182"/>
      <c r="BN275" s="182"/>
      <c r="BO275" s="183"/>
      <c r="BP275" s="183"/>
      <c r="BQ275" s="182"/>
      <c r="BR275" s="182"/>
      <c r="BS275" s="184" t="n">
        <v>54.3</v>
      </c>
      <c r="BT275" s="185" t="n">
        <v>40725</v>
      </c>
      <c r="BU275" s="184" t="n">
        <v>15.6</v>
      </c>
      <c r="BV275" s="185" t="n">
        <v>40725</v>
      </c>
      <c r="CL275" s="182"/>
      <c r="CM275" s="182"/>
    </row>
    <row r="276" customFormat="false" ht="12.75" hidden="false" customHeight="false" outlineLevel="0" collapsed="false">
      <c r="A276" s="204" t="s">
        <v>561</v>
      </c>
      <c r="B276" s="193" t="s">
        <v>782</v>
      </c>
      <c r="C276" s="193" t="s">
        <v>877</v>
      </c>
      <c r="D276" s="193"/>
      <c r="E276" s="119" t="n">
        <v>18</v>
      </c>
      <c r="F276" s="195" t="n">
        <v>86</v>
      </c>
      <c r="G276" s="119"/>
      <c r="H276" s="119"/>
      <c r="J276" s="118"/>
      <c r="K276" s="118"/>
      <c r="L276" s="181"/>
      <c r="N276" s="182"/>
      <c r="O276" s="182"/>
      <c r="S276" s="184" t="n">
        <v>1542</v>
      </c>
      <c r="T276" s="185" t="n">
        <v>40725</v>
      </c>
      <c r="U276" s="182"/>
      <c r="V276" s="182"/>
      <c r="W276" s="183"/>
      <c r="X276" s="183"/>
      <c r="Y276" s="184" t="n">
        <v>482</v>
      </c>
      <c r="Z276" s="185" t="n">
        <v>40725</v>
      </c>
      <c r="AA276" s="184" t="n">
        <v>61745</v>
      </c>
      <c r="AB276" s="185" t="n">
        <v>40725</v>
      </c>
      <c r="AC276" s="184" t="n">
        <v>29</v>
      </c>
      <c r="AD276" s="185" t="n">
        <v>40725</v>
      </c>
      <c r="AE276" s="196"/>
      <c r="AF276" s="185"/>
      <c r="AG276" s="184" t="n">
        <v>4.69</v>
      </c>
      <c r="AH276" s="185" t="n">
        <v>40725</v>
      </c>
      <c r="AI276" s="183"/>
      <c r="AJ276" s="183"/>
      <c r="AK276" s="182"/>
      <c r="AL276" s="182"/>
      <c r="AM276" s="184" t="n">
        <v>83</v>
      </c>
      <c r="AN276" s="183" t="n">
        <v>40630</v>
      </c>
      <c r="AO276" s="182"/>
      <c r="AP276" s="182"/>
      <c r="AQ276" s="183"/>
      <c r="AR276" s="183"/>
      <c r="AS276" s="182"/>
      <c r="AT276" s="182"/>
      <c r="AU276" s="183"/>
      <c r="AV276" s="183"/>
      <c r="AW276" s="182"/>
      <c r="AX276" s="182"/>
      <c r="AY276" s="183"/>
      <c r="AZ276" s="183"/>
      <c r="BA276" s="182"/>
      <c r="BB276" s="182"/>
      <c r="BK276" s="183"/>
      <c r="BL276" s="183"/>
      <c r="BM276" s="182"/>
      <c r="BN276" s="182"/>
      <c r="BO276" s="183"/>
      <c r="BP276" s="183"/>
      <c r="BQ276" s="182"/>
      <c r="BR276" s="182"/>
      <c r="BS276" s="184" t="n">
        <v>53.2</v>
      </c>
      <c r="BT276" s="185" t="n">
        <v>40725</v>
      </c>
      <c r="BU276" s="184" t="n">
        <v>16.6</v>
      </c>
      <c r="BV276" s="185" t="n">
        <v>40725</v>
      </c>
      <c r="CL276" s="182"/>
      <c r="CM276" s="182"/>
    </row>
    <row r="277" customFormat="false" ht="12.75" hidden="false" customHeight="false" outlineLevel="0" collapsed="false">
      <c r="A277" s="204" t="s">
        <v>561</v>
      </c>
      <c r="B277" s="193" t="s">
        <v>785</v>
      </c>
      <c r="C277" s="193" t="s">
        <v>875</v>
      </c>
      <c r="D277" s="193"/>
      <c r="E277" s="194" t="n">
        <v>8</v>
      </c>
      <c r="F277" s="195" t="n">
        <v>32</v>
      </c>
      <c r="G277" s="119"/>
      <c r="H277" s="119"/>
      <c r="J277" s="118"/>
      <c r="K277" s="118"/>
      <c r="L277" s="181"/>
      <c r="N277" s="182"/>
      <c r="O277" s="182"/>
      <c r="S277" s="184" t="n">
        <v>2078</v>
      </c>
      <c r="T277" s="185" t="n">
        <v>40725</v>
      </c>
      <c r="U277" s="182"/>
      <c r="V277" s="182"/>
      <c r="W277" s="183"/>
      <c r="X277" s="183"/>
      <c r="Y277" s="184" t="n">
        <v>648</v>
      </c>
      <c r="Z277" s="185" t="n">
        <v>40725</v>
      </c>
      <c r="AA277" s="184" t="n">
        <v>84159</v>
      </c>
      <c r="AB277" s="185" t="n">
        <v>40725</v>
      </c>
      <c r="AC277" s="184" t="n">
        <v>38.8</v>
      </c>
      <c r="AD277" s="185" t="n">
        <v>40725</v>
      </c>
      <c r="AE277" s="196"/>
      <c r="AF277" s="185"/>
      <c r="AG277" s="184" t="n">
        <v>4.61</v>
      </c>
      <c r="AH277" s="185" t="n">
        <v>40725</v>
      </c>
      <c r="AI277" s="183"/>
      <c r="AJ277" s="183"/>
      <c r="AK277" s="182"/>
      <c r="AL277" s="182"/>
      <c r="AM277" s="184" t="n">
        <v>85</v>
      </c>
      <c r="AN277" s="183" t="n">
        <v>40630</v>
      </c>
      <c r="AO277" s="182"/>
      <c r="AP277" s="182"/>
      <c r="AQ277" s="183"/>
      <c r="AR277" s="183"/>
      <c r="AS277" s="182"/>
      <c r="AT277" s="182"/>
      <c r="AU277" s="183"/>
      <c r="AV277" s="183"/>
      <c r="AW277" s="182"/>
      <c r="AX277" s="182"/>
      <c r="AY277" s="183"/>
      <c r="AZ277" s="183"/>
      <c r="BA277" s="182"/>
      <c r="BB277" s="182"/>
      <c r="BK277" s="183"/>
      <c r="BL277" s="183"/>
      <c r="BM277" s="182"/>
      <c r="BN277" s="182"/>
      <c r="BO277" s="183"/>
      <c r="BP277" s="183"/>
      <c r="BQ277" s="182"/>
      <c r="BR277" s="182"/>
      <c r="BS277" s="184" t="n">
        <v>53.5</v>
      </c>
      <c r="BT277" s="185" t="n">
        <v>40725</v>
      </c>
      <c r="BU277" s="184" t="n">
        <v>16.7</v>
      </c>
      <c r="BV277" s="185" t="n">
        <v>40725</v>
      </c>
      <c r="CL277" s="182"/>
      <c r="CM277" s="182"/>
    </row>
    <row r="278" customFormat="false" ht="12.75" hidden="false" customHeight="false" outlineLevel="0" collapsed="false">
      <c r="A278" s="204" t="s">
        <v>561</v>
      </c>
      <c r="B278" s="193" t="s">
        <v>785</v>
      </c>
      <c r="C278" s="193" t="s">
        <v>876</v>
      </c>
      <c r="D278" s="193"/>
      <c r="E278" s="194" t="n">
        <v>3</v>
      </c>
      <c r="F278" s="195" t="n">
        <v>40</v>
      </c>
      <c r="G278" s="119"/>
      <c r="H278" s="119"/>
      <c r="J278" s="118"/>
      <c r="K278" s="118"/>
      <c r="L278" s="181"/>
      <c r="N278" s="182"/>
      <c r="O278" s="182"/>
      <c r="S278" s="184" t="n">
        <v>2073</v>
      </c>
      <c r="T278" s="185" t="n">
        <v>40725</v>
      </c>
      <c r="U278" s="182"/>
      <c r="V278" s="182"/>
      <c r="W278" s="183"/>
      <c r="X278" s="183"/>
      <c r="Y278" s="184" t="n">
        <v>629</v>
      </c>
      <c r="Z278" s="185" t="n">
        <v>40725</v>
      </c>
      <c r="AA278" s="184" t="n">
        <v>79361</v>
      </c>
      <c r="AB278" s="185" t="n">
        <v>40725</v>
      </c>
      <c r="AC278" s="184" t="n">
        <v>38.5</v>
      </c>
      <c r="AD278" s="185" t="n">
        <v>40725</v>
      </c>
      <c r="AE278" s="196"/>
      <c r="AF278" s="185"/>
      <c r="AG278" s="184" t="n">
        <v>4.85</v>
      </c>
      <c r="AH278" s="185" t="n">
        <v>40725</v>
      </c>
      <c r="AI278" s="183"/>
      <c r="AJ278" s="183"/>
      <c r="AK278" s="182"/>
      <c r="AL278" s="182"/>
      <c r="AM278" s="184" t="n">
        <v>84</v>
      </c>
      <c r="AN278" s="183" t="n">
        <v>40630</v>
      </c>
      <c r="AO278" s="182"/>
      <c r="AP278" s="182"/>
      <c r="AQ278" s="183"/>
      <c r="AR278" s="183"/>
      <c r="AS278" s="182"/>
      <c r="AT278" s="182"/>
      <c r="AU278" s="183"/>
      <c r="AV278" s="183"/>
      <c r="AW278" s="182"/>
      <c r="AX278" s="182"/>
      <c r="AY278" s="183"/>
      <c r="AZ278" s="183"/>
      <c r="BA278" s="182"/>
      <c r="BB278" s="182"/>
      <c r="BK278" s="183"/>
      <c r="BL278" s="183"/>
      <c r="BM278" s="182"/>
      <c r="BN278" s="182"/>
      <c r="BO278" s="183"/>
      <c r="BP278" s="183"/>
      <c r="BQ278" s="182"/>
      <c r="BR278" s="182"/>
      <c r="BS278" s="184" t="n">
        <v>53.9</v>
      </c>
      <c r="BT278" s="185" t="n">
        <v>40725</v>
      </c>
      <c r="BU278" s="184" t="n">
        <v>16.3</v>
      </c>
      <c r="BV278" s="185" t="n">
        <v>40725</v>
      </c>
      <c r="CL278" s="182"/>
      <c r="CM278" s="182"/>
    </row>
    <row r="279" customFormat="false" ht="12.75" hidden="false" customHeight="false" outlineLevel="0" collapsed="false">
      <c r="A279" s="204" t="s">
        <v>561</v>
      </c>
      <c r="B279" s="193" t="s">
        <v>785</v>
      </c>
      <c r="C279" s="193" t="s">
        <v>877</v>
      </c>
      <c r="D279" s="193"/>
      <c r="E279" s="119" t="n">
        <v>23</v>
      </c>
      <c r="F279" s="195" t="n">
        <v>75</v>
      </c>
      <c r="G279" s="119"/>
      <c r="H279" s="119"/>
      <c r="J279" s="118"/>
      <c r="K279" s="118"/>
      <c r="L279" s="181"/>
      <c r="N279" s="182"/>
      <c r="O279" s="182"/>
      <c r="S279" s="184" t="n">
        <v>2051</v>
      </c>
      <c r="T279" s="185" t="n">
        <v>40725</v>
      </c>
      <c r="U279" s="182"/>
      <c r="V279" s="182"/>
      <c r="W279" s="183"/>
      <c r="X279" s="183"/>
      <c r="Y279" s="184" t="n">
        <v>646</v>
      </c>
      <c r="Z279" s="185" t="n">
        <v>40725</v>
      </c>
      <c r="AA279" s="184" t="n">
        <v>81636</v>
      </c>
      <c r="AB279" s="185" t="n">
        <v>40725</v>
      </c>
      <c r="AC279" s="184" t="n">
        <v>38.5</v>
      </c>
      <c r="AD279" s="185" t="n">
        <v>40725</v>
      </c>
      <c r="AE279" s="196"/>
      <c r="AF279" s="185"/>
      <c r="AG279" s="184" t="n">
        <v>4.72</v>
      </c>
      <c r="AH279" s="185" t="n">
        <v>40725</v>
      </c>
      <c r="AI279" s="183"/>
      <c r="AJ279" s="183"/>
      <c r="AK279" s="182"/>
      <c r="AL279" s="182"/>
      <c r="AM279" s="184" t="n">
        <v>84</v>
      </c>
      <c r="AN279" s="183" t="n">
        <v>40630</v>
      </c>
      <c r="AO279" s="182"/>
      <c r="AP279" s="182"/>
      <c r="AQ279" s="183"/>
      <c r="AR279" s="183"/>
      <c r="AS279" s="182"/>
      <c r="AT279" s="182"/>
      <c r="AU279" s="183"/>
      <c r="AV279" s="183"/>
      <c r="AW279" s="182"/>
      <c r="AX279" s="182"/>
      <c r="AY279" s="183"/>
      <c r="AZ279" s="183"/>
      <c r="BA279" s="182"/>
      <c r="BB279" s="182"/>
      <c r="BK279" s="183"/>
      <c r="BL279" s="183"/>
      <c r="BM279" s="182"/>
      <c r="BN279" s="182"/>
      <c r="BO279" s="183"/>
      <c r="BP279" s="183"/>
      <c r="BQ279" s="182"/>
      <c r="BR279" s="182"/>
      <c r="BS279" s="184" t="n">
        <v>53.2</v>
      </c>
      <c r="BT279" s="185" t="n">
        <v>40725</v>
      </c>
      <c r="BU279" s="184" t="n">
        <v>16.8</v>
      </c>
      <c r="BV279" s="185" t="n">
        <v>40725</v>
      </c>
      <c r="CL279" s="182"/>
      <c r="CM279" s="182"/>
    </row>
    <row r="280" customFormat="false" ht="12.75" hidden="false" customHeight="false" outlineLevel="0" collapsed="false">
      <c r="A280" s="204" t="s">
        <v>564</v>
      </c>
      <c r="B280" s="193" t="s">
        <v>782</v>
      </c>
      <c r="C280" s="193" t="s">
        <v>875</v>
      </c>
      <c r="D280" s="193"/>
      <c r="E280" s="194" t="n">
        <v>3</v>
      </c>
      <c r="F280" s="195" t="n">
        <v>28</v>
      </c>
      <c r="G280" s="119"/>
      <c r="H280" s="119"/>
      <c r="J280" s="118"/>
      <c r="K280" s="118"/>
      <c r="L280" s="181"/>
      <c r="N280" s="182"/>
      <c r="O280" s="182"/>
      <c r="S280" s="184" t="n">
        <v>2143</v>
      </c>
      <c r="T280" s="185" t="n">
        <v>40725</v>
      </c>
      <c r="U280" s="182"/>
      <c r="V280" s="182"/>
      <c r="W280" s="183"/>
      <c r="X280" s="183"/>
      <c r="Y280" s="184" t="n">
        <v>681</v>
      </c>
      <c r="Z280" s="185" t="n">
        <v>40725</v>
      </c>
      <c r="AA280" s="184" t="n">
        <v>90911</v>
      </c>
      <c r="AB280" s="185" t="n">
        <v>40725</v>
      </c>
      <c r="AC280" s="184" t="n">
        <v>40.8</v>
      </c>
      <c r="AD280" s="185" t="n">
        <v>40725</v>
      </c>
      <c r="AE280" s="196"/>
      <c r="AF280" s="185"/>
      <c r="AG280" s="184" t="n">
        <v>4.49</v>
      </c>
      <c r="AH280" s="185" t="n">
        <v>40725</v>
      </c>
      <c r="AI280" s="183"/>
      <c r="AJ280" s="183"/>
      <c r="AK280" s="182"/>
      <c r="AL280" s="182"/>
      <c r="AM280" s="184" t="n">
        <v>82</v>
      </c>
      <c r="AN280" s="183" t="n">
        <v>40630</v>
      </c>
      <c r="AO280" s="182"/>
      <c r="AP280" s="182"/>
      <c r="AQ280" s="183"/>
      <c r="AR280" s="183"/>
      <c r="AS280" s="182"/>
      <c r="AT280" s="182"/>
      <c r="AU280" s="183"/>
      <c r="AV280" s="183"/>
      <c r="AW280" s="182"/>
      <c r="AX280" s="182"/>
      <c r="AY280" s="183"/>
      <c r="AZ280" s="183"/>
      <c r="BA280" s="182"/>
      <c r="BB280" s="182"/>
      <c r="BK280" s="183"/>
      <c r="BL280" s="183"/>
      <c r="BM280" s="182"/>
      <c r="BN280" s="182"/>
      <c r="BO280" s="183"/>
      <c r="BP280" s="183"/>
      <c r="BQ280" s="182"/>
      <c r="BR280" s="182"/>
      <c r="BS280" s="184" t="n">
        <v>52.5</v>
      </c>
      <c r="BT280" s="185" t="n">
        <v>40725</v>
      </c>
      <c r="BU280" s="184" t="n">
        <v>16.7</v>
      </c>
      <c r="BV280" s="185" t="n">
        <v>40725</v>
      </c>
      <c r="CL280" s="182"/>
      <c r="CM280" s="182"/>
    </row>
    <row r="281" customFormat="false" ht="12.75" hidden="false" customHeight="false" outlineLevel="0" collapsed="false">
      <c r="A281" s="204" t="s">
        <v>564</v>
      </c>
      <c r="B281" s="193" t="s">
        <v>782</v>
      </c>
      <c r="C281" s="193" t="s">
        <v>876</v>
      </c>
      <c r="D281" s="193"/>
      <c r="E281" s="194" t="n">
        <v>5</v>
      </c>
      <c r="F281" s="195" t="n">
        <v>57</v>
      </c>
      <c r="G281" s="119"/>
      <c r="H281" s="119"/>
      <c r="J281" s="118"/>
      <c r="K281" s="118"/>
      <c r="L281" s="181"/>
      <c r="N281" s="182"/>
      <c r="O281" s="182"/>
      <c r="S281" s="184" t="n">
        <v>1868</v>
      </c>
      <c r="T281" s="185" t="n">
        <v>40725</v>
      </c>
      <c r="U281" s="182"/>
      <c r="V281" s="182"/>
      <c r="W281" s="183"/>
      <c r="X281" s="183"/>
      <c r="Y281" s="184" t="n">
        <v>501</v>
      </c>
      <c r="Z281" s="185" t="n">
        <v>40725</v>
      </c>
      <c r="AA281" s="184" t="n">
        <v>78467</v>
      </c>
      <c r="AB281" s="185" t="n">
        <v>40725</v>
      </c>
      <c r="AC281" s="184" t="n">
        <v>34.6</v>
      </c>
      <c r="AD281" s="185" t="n">
        <v>40725</v>
      </c>
      <c r="AE281" s="196"/>
      <c r="AF281" s="185"/>
      <c r="AG281" s="184" t="n">
        <v>4.41</v>
      </c>
      <c r="AH281" s="185" t="n">
        <v>40725</v>
      </c>
      <c r="AI281" s="183"/>
      <c r="AJ281" s="183"/>
      <c r="AK281" s="182"/>
      <c r="AL281" s="182"/>
      <c r="AM281" s="184" t="n">
        <v>81</v>
      </c>
      <c r="AN281" s="183" t="n">
        <v>40630</v>
      </c>
      <c r="AO281" s="182"/>
      <c r="AP281" s="182"/>
      <c r="AQ281" s="183"/>
      <c r="AR281" s="183"/>
      <c r="AS281" s="182"/>
      <c r="AT281" s="182"/>
      <c r="AU281" s="183"/>
      <c r="AV281" s="183"/>
      <c r="AW281" s="182"/>
      <c r="AX281" s="182"/>
      <c r="AY281" s="183"/>
      <c r="AZ281" s="183"/>
      <c r="BA281" s="182"/>
      <c r="BB281" s="182"/>
      <c r="BK281" s="183"/>
      <c r="BL281" s="183"/>
      <c r="BM281" s="182"/>
      <c r="BN281" s="182"/>
      <c r="BO281" s="183"/>
      <c r="BP281" s="183"/>
      <c r="BQ281" s="182"/>
      <c r="BR281" s="182"/>
      <c r="BS281" s="184" t="n">
        <v>54</v>
      </c>
      <c r="BT281" s="185" t="n">
        <v>40725</v>
      </c>
      <c r="BU281" s="184" t="n">
        <v>14.5</v>
      </c>
      <c r="BV281" s="185" t="n">
        <v>40725</v>
      </c>
      <c r="CL281" s="182"/>
      <c r="CM281" s="182"/>
    </row>
    <row r="282" customFormat="false" ht="12.75" hidden="false" customHeight="false" outlineLevel="0" collapsed="false">
      <c r="A282" s="204" t="s">
        <v>564</v>
      </c>
      <c r="B282" s="193" t="s">
        <v>782</v>
      </c>
      <c r="C282" s="193" t="s">
        <v>877</v>
      </c>
      <c r="D282" s="193"/>
      <c r="E282" s="119" t="n">
        <v>19</v>
      </c>
      <c r="F282" s="195" t="n">
        <v>66</v>
      </c>
      <c r="G282" s="119"/>
      <c r="H282" s="119"/>
      <c r="J282" s="118"/>
      <c r="K282" s="118"/>
      <c r="L282" s="181"/>
      <c r="N282" s="182"/>
      <c r="O282" s="182"/>
      <c r="S282" s="184" t="n">
        <v>1819</v>
      </c>
      <c r="T282" s="185" t="n">
        <v>40725</v>
      </c>
      <c r="U282" s="182"/>
      <c r="V282" s="182"/>
      <c r="W282" s="183"/>
      <c r="X282" s="183"/>
      <c r="Y282" s="184" t="n">
        <v>534</v>
      </c>
      <c r="Z282" s="185" t="n">
        <v>40725</v>
      </c>
      <c r="AA282" s="184" t="n">
        <v>74668</v>
      </c>
      <c r="AB282" s="185" t="n">
        <v>40725</v>
      </c>
      <c r="AC282" s="184" t="n">
        <v>34.3</v>
      </c>
      <c r="AD282" s="185" t="n">
        <v>40725</v>
      </c>
      <c r="AE282" s="196"/>
      <c r="AF282" s="185"/>
      <c r="AG282" s="184" t="n">
        <v>4.59</v>
      </c>
      <c r="AH282" s="185" t="n">
        <v>40725</v>
      </c>
      <c r="AI282" s="183"/>
      <c r="AJ282" s="183"/>
      <c r="AK282" s="182"/>
      <c r="AL282" s="182"/>
      <c r="AM282" s="184" t="n">
        <v>81</v>
      </c>
      <c r="AN282" s="183" t="n">
        <v>40630</v>
      </c>
      <c r="AO282" s="182"/>
      <c r="AP282" s="182"/>
      <c r="AQ282" s="183"/>
      <c r="AR282" s="183"/>
      <c r="AS282" s="182"/>
      <c r="AT282" s="182"/>
      <c r="AU282" s="183"/>
      <c r="AV282" s="183"/>
      <c r="AW282" s="182"/>
      <c r="AX282" s="182"/>
      <c r="AY282" s="183"/>
      <c r="AZ282" s="183"/>
      <c r="BA282" s="182"/>
      <c r="BB282" s="182"/>
      <c r="BK282" s="183"/>
      <c r="BL282" s="183"/>
      <c r="BM282" s="182"/>
      <c r="BN282" s="182"/>
      <c r="BO282" s="183"/>
      <c r="BP282" s="183"/>
      <c r="BQ282" s="182"/>
      <c r="BR282" s="182"/>
      <c r="BS282" s="184" t="n">
        <v>53</v>
      </c>
      <c r="BT282" s="185" t="n">
        <v>40725</v>
      </c>
      <c r="BU282" s="184" t="n">
        <v>15.6</v>
      </c>
      <c r="BV282" s="185" t="n">
        <v>40725</v>
      </c>
      <c r="CL282" s="182"/>
      <c r="CM282" s="182"/>
    </row>
    <row r="283" customFormat="false" ht="12.75" hidden="false" customHeight="false" outlineLevel="0" collapsed="false">
      <c r="A283" s="204" t="s">
        <v>564</v>
      </c>
      <c r="B283" s="193" t="s">
        <v>785</v>
      </c>
      <c r="C283" s="193" t="s">
        <v>875</v>
      </c>
      <c r="D283" s="193"/>
      <c r="E283" s="194" t="n">
        <v>8</v>
      </c>
      <c r="F283" s="195" t="n">
        <v>24</v>
      </c>
      <c r="G283" s="119"/>
      <c r="H283" s="119"/>
      <c r="J283" s="118"/>
      <c r="K283" s="118"/>
      <c r="L283" s="181"/>
      <c r="N283" s="182"/>
      <c r="O283" s="182"/>
      <c r="S283" s="184" t="n">
        <v>2450</v>
      </c>
      <c r="T283" s="185" t="n">
        <v>40725</v>
      </c>
      <c r="U283" s="182"/>
      <c r="V283" s="182"/>
      <c r="W283" s="183"/>
      <c r="X283" s="183"/>
      <c r="Y283" s="184" t="n">
        <v>799</v>
      </c>
      <c r="Z283" s="185" t="n">
        <v>40725</v>
      </c>
      <c r="AA283" s="184" t="n">
        <v>104537</v>
      </c>
      <c r="AB283" s="185" t="n">
        <v>40725</v>
      </c>
      <c r="AC283" s="184" t="n">
        <v>46.6</v>
      </c>
      <c r="AD283" s="185" t="n">
        <v>40725</v>
      </c>
      <c r="AE283" s="196"/>
      <c r="AF283" s="185"/>
      <c r="AG283" s="184" t="n">
        <v>4.46</v>
      </c>
      <c r="AH283" s="185" t="n">
        <v>40725</v>
      </c>
      <c r="AI283" s="183"/>
      <c r="AJ283" s="183"/>
      <c r="AK283" s="182"/>
      <c r="AL283" s="182"/>
      <c r="AM283" s="184" t="n">
        <v>84</v>
      </c>
      <c r="AN283" s="183" t="n">
        <v>40630</v>
      </c>
      <c r="AO283" s="182"/>
      <c r="AP283" s="182"/>
      <c r="AQ283" s="183"/>
      <c r="AR283" s="183"/>
      <c r="AS283" s="182"/>
      <c r="AT283" s="182"/>
      <c r="AU283" s="183"/>
      <c r="AV283" s="183"/>
      <c r="AW283" s="182"/>
      <c r="AX283" s="182"/>
      <c r="AY283" s="183"/>
      <c r="AZ283" s="183"/>
      <c r="BA283" s="182"/>
      <c r="BB283" s="182"/>
      <c r="BK283" s="183"/>
      <c r="BL283" s="183"/>
      <c r="BM283" s="182"/>
      <c r="BN283" s="182"/>
      <c r="BO283" s="183"/>
      <c r="BP283" s="183"/>
      <c r="BQ283" s="182"/>
      <c r="BR283" s="182"/>
      <c r="BS283" s="184" t="n">
        <v>52.6</v>
      </c>
      <c r="BT283" s="185" t="n">
        <v>40725</v>
      </c>
      <c r="BU283" s="184" t="n">
        <v>17.1</v>
      </c>
      <c r="BV283" s="185" t="n">
        <v>40725</v>
      </c>
      <c r="CL283" s="182"/>
      <c r="CM283" s="182"/>
    </row>
    <row r="284" customFormat="false" ht="12.75" hidden="false" customHeight="false" outlineLevel="0" collapsed="false">
      <c r="A284" s="204" t="s">
        <v>564</v>
      </c>
      <c r="B284" s="193" t="s">
        <v>785</v>
      </c>
      <c r="C284" s="193" t="s">
        <v>876</v>
      </c>
      <c r="D284" s="193"/>
      <c r="E284" s="194" t="n">
        <v>2</v>
      </c>
      <c r="F284" s="195" t="n">
        <v>51</v>
      </c>
      <c r="G284" s="119"/>
      <c r="H284" s="119"/>
      <c r="J284" s="118"/>
      <c r="K284" s="118"/>
      <c r="L284" s="181"/>
      <c r="N284" s="182"/>
      <c r="O284" s="182"/>
      <c r="S284" s="184" t="n">
        <v>2215</v>
      </c>
      <c r="T284" s="185" t="n">
        <v>40725</v>
      </c>
      <c r="U284" s="182"/>
      <c r="V284" s="182"/>
      <c r="W284" s="183"/>
      <c r="X284" s="183"/>
      <c r="Y284" s="184" t="n">
        <v>761</v>
      </c>
      <c r="Z284" s="185" t="n">
        <v>40725</v>
      </c>
      <c r="AA284" s="184" t="n">
        <v>93647</v>
      </c>
      <c r="AB284" s="185" t="n">
        <v>40725</v>
      </c>
      <c r="AC284" s="184" t="n">
        <v>43.1</v>
      </c>
      <c r="AD284" s="185" t="n">
        <v>40725</v>
      </c>
      <c r="AE284" s="196"/>
      <c r="AF284" s="185"/>
      <c r="AG284" s="184" t="n">
        <v>4.6</v>
      </c>
      <c r="AH284" s="185" t="n">
        <v>40725</v>
      </c>
      <c r="AI284" s="183"/>
      <c r="AJ284" s="183"/>
      <c r="AK284" s="182"/>
      <c r="AL284" s="182"/>
      <c r="AM284" s="184" t="n">
        <v>83</v>
      </c>
      <c r="AN284" s="183" t="n">
        <v>40630</v>
      </c>
      <c r="AO284" s="182"/>
      <c r="AP284" s="182"/>
      <c r="AQ284" s="183"/>
      <c r="AR284" s="183"/>
      <c r="AS284" s="182"/>
      <c r="AT284" s="182"/>
      <c r="AU284" s="183"/>
      <c r="AV284" s="183"/>
      <c r="AW284" s="182"/>
      <c r="AX284" s="182"/>
      <c r="AY284" s="183"/>
      <c r="AZ284" s="183"/>
      <c r="BA284" s="182"/>
      <c r="BB284" s="182"/>
      <c r="BK284" s="183"/>
      <c r="BL284" s="183"/>
      <c r="BM284" s="182"/>
      <c r="BN284" s="182"/>
      <c r="BO284" s="183"/>
      <c r="BP284" s="183"/>
      <c r="BQ284" s="182"/>
      <c r="BR284" s="182"/>
      <c r="BS284" s="184" t="n">
        <v>51.5</v>
      </c>
      <c r="BT284" s="185" t="n">
        <v>40725</v>
      </c>
      <c r="BU284" s="184" t="n">
        <v>17.7</v>
      </c>
      <c r="BV284" s="185" t="n">
        <v>40725</v>
      </c>
      <c r="CL284" s="182"/>
      <c r="CM284" s="182"/>
    </row>
    <row r="285" customFormat="false" ht="12.75" hidden="false" customHeight="false" outlineLevel="0" collapsed="false">
      <c r="A285" s="204" t="s">
        <v>564</v>
      </c>
      <c r="B285" s="193" t="s">
        <v>785</v>
      </c>
      <c r="C285" s="193" t="s">
        <v>877</v>
      </c>
      <c r="D285" s="193"/>
      <c r="E285" s="119" t="n">
        <v>23</v>
      </c>
      <c r="F285" s="195" t="n">
        <v>69</v>
      </c>
      <c r="G285" s="119"/>
      <c r="H285" s="119"/>
      <c r="J285" s="118"/>
      <c r="K285" s="118"/>
      <c r="L285" s="181"/>
      <c r="N285" s="182"/>
      <c r="O285" s="182"/>
      <c r="S285" s="184" t="n">
        <v>2087</v>
      </c>
      <c r="T285" s="185" t="n">
        <v>40725</v>
      </c>
      <c r="U285" s="182"/>
      <c r="V285" s="182"/>
      <c r="W285" s="183"/>
      <c r="X285" s="183"/>
      <c r="Y285" s="184" t="n">
        <v>697</v>
      </c>
      <c r="Z285" s="185" t="n">
        <v>40725</v>
      </c>
      <c r="AA285" s="184" t="n">
        <v>86319</v>
      </c>
      <c r="AB285" s="185" t="n">
        <v>40725</v>
      </c>
      <c r="AC285" s="184" t="n">
        <v>40.5</v>
      </c>
      <c r="AD285" s="185" t="n">
        <v>40725</v>
      </c>
      <c r="AE285" s="196"/>
      <c r="AF285" s="185"/>
      <c r="AG285" s="184" t="n">
        <v>4.69</v>
      </c>
      <c r="AH285" s="185" t="n">
        <v>40725</v>
      </c>
      <c r="AI285" s="183"/>
      <c r="AJ285" s="183"/>
      <c r="AK285" s="182"/>
      <c r="AL285" s="182"/>
      <c r="AM285" s="184" t="n">
        <v>83</v>
      </c>
      <c r="AN285" s="183" t="n">
        <v>40630</v>
      </c>
      <c r="AO285" s="182"/>
      <c r="AP285" s="182"/>
      <c r="AQ285" s="183"/>
      <c r="AR285" s="183"/>
      <c r="AS285" s="182"/>
      <c r="AT285" s="182"/>
      <c r="AU285" s="183"/>
      <c r="AV285" s="183"/>
      <c r="AW285" s="182"/>
      <c r="AX285" s="182"/>
      <c r="AY285" s="183"/>
      <c r="AZ285" s="183"/>
      <c r="BA285" s="182"/>
      <c r="BB285" s="182"/>
      <c r="BK285" s="183"/>
      <c r="BL285" s="183"/>
      <c r="BM285" s="182"/>
      <c r="BN285" s="182"/>
      <c r="BO285" s="183"/>
      <c r="BP285" s="183"/>
      <c r="BQ285" s="182"/>
      <c r="BR285" s="182"/>
      <c r="BS285" s="184" t="n">
        <v>51.6</v>
      </c>
      <c r="BT285" s="185" t="n">
        <v>40725</v>
      </c>
      <c r="BU285" s="184" t="n">
        <v>17.2</v>
      </c>
      <c r="BV285" s="185" t="n">
        <v>40725</v>
      </c>
      <c r="CL285" s="182"/>
      <c r="CM285" s="182"/>
    </row>
    <row r="286" customFormat="false" ht="12.75" hidden="false" customHeight="false" outlineLevel="0" collapsed="false">
      <c r="A286" s="204" t="s">
        <v>567</v>
      </c>
      <c r="B286" s="193" t="s">
        <v>782</v>
      </c>
      <c r="C286" s="193" t="s">
        <v>875</v>
      </c>
      <c r="D286" s="193"/>
      <c r="E286" s="194" t="n">
        <v>4</v>
      </c>
      <c r="F286" s="195" t="n">
        <v>2</v>
      </c>
      <c r="G286" s="119"/>
      <c r="H286" s="119"/>
      <c r="J286" s="118"/>
      <c r="K286" s="118"/>
      <c r="L286" s="181"/>
      <c r="N286" s="182"/>
      <c r="O286" s="182"/>
      <c r="S286" s="184" t="n">
        <v>1746</v>
      </c>
      <c r="T286" s="185" t="n">
        <v>40725</v>
      </c>
      <c r="U286" s="182"/>
      <c r="V286" s="182"/>
      <c r="W286" s="183"/>
      <c r="X286" s="183"/>
      <c r="Y286" s="184" t="n">
        <v>547</v>
      </c>
      <c r="Z286" s="185" t="n">
        <v>40725</v>
      </c>
      <c r="AA286" s="184" t="n">
        <v>77651</v>
      </c>
      <c r="AB286" s="185" t="n">
        <v>40725</v>
      </c>
      <c r="AC286" s="184" t="n">
        <v>33</v>
      </c>
      <c r="AD286" s="185" t="n">
        <v>40725</v>
      </c>
      <c r="AE286" s="196"/>
      <c r="AF286" s="185"/>
      <c r="AG286" s="184" t="n">
        <v>4.25</v>
      </c>
      <c r="AH286" s="185" t="n">
        <v>40725</v>
      </c>
      <c r="AI286" s="183"/>
      <c r="AJ286" s="183"/>
      <c r="AK286" s="182"/>
      <c r="AL286" s="182"/>
      <c r="AM286" s="184" t="n">
        <v>82</v>
      </c>
      <c r="AN286" s="183" t="n">
        <v>40630</v>
      </c>
      <c r="AO286" s="182"/>
      <c r="AP286" s="182"/>
      <c r="AQ286" s="183"/>
      <c r="AR286" s="183"/>
      <c r="AS286" s="182"/>
      <c r="AT286" s="182"/>
      <c r="AU286" s="183"/>
      <c r="AV286" s="183"/>
      <c r="AW286" s="182"/>
      <c r="AX286" s="182"/>
      <c r="AY286" s="183"/>
      <c r="AZ286" s="183"/>
      <c r="BA286" s="182"/>
      <c r="BB286" s="182"/>
      <c r="BK286" s="183"/>
      <c r="BL286" s="183"/>
      <c r="BM286" s="182"/>
      <c r="BN286" s="182"/>
      <c r="BO286" s="183"/>
      <c r="BP286" s="183"/>
      <c r="BQ286" s="182"/>
      <c r="BR286" s="182"/>
      <c r="BS286" s="184" t="n">
        <v>52.9</v>
      </c>
      <c r="BT286" s="185" t="n">
        <v>40725</v>
      </c>
      <c r="BU286" s="184" t="n">
        <v>16.6</v>
      </c>
      <c r="BV286" s="185" t="n">
        <v>40725</v>
      </c>
      <c r="CL286" s="182"/>
      <c r="CM286" s="182"/>
    </row>
    <row r="287" customFormat="false" ht="12.75" hidden="false" customHeight="false" outlineLevel="0" collapsed="false">
      <c r="A287" s="204" t="s">
        <v>567</v>
      </c>
      <c r="B287" s="193" t="s">
        <v>782</v>
      </c>
      <c r="C287" s="193" t="s">
        <v>876</v>
      </c>
      <c r="D287" s="193"/>
      <c r="E287" s="194" t="n">
        <v>8</v>
      </c>
      <c r="F287" s="195" t="n">
        <v>62</v>
      </c>
      <c r="G287" s="119"/>
      <c r="H287" s="119"/>
      <c r="J287" s="118"/>
      <c r="K287" s="118"/>
      <c r="L287" s="181"/>
      <c r="N287" s="182"/>
      <c r="O287" s="182"/>
      <c r="S287" s="184" t="n">
        <v>1540</v>
      </c>
      <c r="T287" s="185" t="n">
        <v>40725</v>
      </c>
      <c r="U287" s="182"/>
      <c r="V287" s="182"/>
      <c r="W287" s="183"/>
      <c r="X287" s="183"/>
      <c r="Y287" s="184" t="n">
        <v>469</v>
      </c>
      <c r="Z287" s="185" t="n">
        <v>40725</v>
      </c>
      <c r="AA287" s="184" t="n">
        <v>68859</v>
      </c>
      <c r="AB287" s="185" t="n">
        <v>40725</v>
      </c>
      <c r="AC287" s="184" t="n">
        <v>28.8</v>
      </c>
      <c r="AD287" s="185" t="n">
        <v>40725</v>
      </c>
      <c r="AE287" s="196"/>
      <c r="AF287" s="185"/>
      <c r="AG287" s="184" t="n">
        <v>4.18</v>
      </c>
      <c r="AH287" s="185" t="n">
        <v>40725</v>
      </c>
      <c r="AI287" s="183"/>
      <c r="AJ287" s="183"/>
      <c r="AK287" s="182"/>
      <c r="AL287" s="182"/>
      <c r="AM287" s="184" t="n">
        <v>78</v>
      </c>
      <c r="AN287" s="183" t="n">
        <v>40630</v>
      </c>
      <c r="AO287" s="182"/>
      <c r="AP287" s="182"/>
      <c r="AQ287" s="183"/>
      <c r="AR287" s="183"/>
      <c r="AS287" s="182"/>
      <c r="AT287" s="182"/>
      <c r="AU287" s="183"/>
      <c r="AV287" s="183"/>
      <c r="AW287" s="182"/>
      <c r="AX287" s="182"/>
      <c r="AY287" s="183"/>
      <c r="AZ287" s="183"/>
      <c r="BA287" s="182"/>
      <c r="BB287" s="182"/>
      <c r="BK287" s="183"/>
      <c r="BL287" s="183"/>
      <c r="BM287" s="182"/>
      <c r="BN287" s="182"/>
      <c r="BO287" s="183"/>
      <c r="BP287" s="183"/>
      <c r="BQ287" s="182"/>
      <c r="BR287" s="182"/>
      <c r="BS287" s="184" t="n">
        <v>53.5</v>
      </c>
      <c r="BT287" s="185" t="n">
        <v>40725</v>
      </c>
      <c r="BU287" s="184" t="n">
        <v>16.3</v>
      </c>
      <c r="BV287" s="185" t="n">
        <v>40725</v>
      </c>
      <c r="CL287" s="182"/>
      <c r="CM287" s="182"/>
    </row>
    <row r="288" customFormat="false" ht="12.75" hidden="false" customHeight="false" outlineLevel="0" collapsed="false">
      <c r="A288" s="204" t="s">
        <v>567</v>
      </c>
      <c r="B288" s="193" t="s">
        <v>782</v>
      </c>
      <c r="C288" s="193" t="s">
        <v>877</v>
      </c>
      <c r="D288" s="193"/>
      <c r="E288" s="119" t="n">
        <v>19</v>
      </c>
      <c r="F288" s="195" t="n">
        <v>67</v>
      </c>
      <c r="G288" s="119"/>
      <c r="H288" s="119"/>
      <c r="J288" s="118"/>
      <c r="K288" s="118"/>
      <c r="L288" s="181"/>
      <c r="N288" s="182"/>
      <c r="O288" s="182"/>
      <c r="S288" s="184" t="n">
        <v>1338</v>
      </c>
      <c r="T288" s="185" t="n">
        <v>40725</v>
      </c>
      <c r="U288" s="182"/>
      <c r="V288" s="182"/>
      <c r="W288" s="183"/>
      <c r="X288" s="183"/>
      <c r="Y288" s="184" t="n">
        <v>458</v>
      </c>
      <c r="Z288" s="185" t="n">
        <v>40725</v>
      </c>
      <c r="AA288" s="184" t="n">
        <v>60725</v>
      </c>
      <c r="AB288" s="185" t="n">
        <v>40725</v>
      </c>
      <c r="AC288" s="184" t="n">
        <v>25.7</v>
      </c>
      <c r="AD288" s="185" t="n">
        <v>40725</v>
      </c>
      <c r="AE288" s="196"/>
      <c r="AF288" s="185"/>
      <c r="AG288" s="184" t="n">
        <v>4.24</v>
      </c>
      <c r="AH288" s="185" t="n">
        <v>40725</v>
      </c>
      <c r="AI288" s="183"/>
      <c r="AJ288" s="183"/>
      <c r="AK288" s="182"/>
      <c r="AL288" s="182"/>
      <c r="AM288" s="184" t="n">
        <v>81</v>
      </c>
      <c r="AN288" s="183" t="n">
        <v>40630</v>
      </c>
      <c r="AO288" s="182"/>
      <c r="AP288" s="182"/>
      <c r="AQ288" s="183"/>
      <c r="AR288" s="183"/>
      <c r="AS288" s="182"/>
      <c r="AT288" s="182"/>
      <c r="AU288" s="183"/>
      <c r="AV288" s="183"/>
      <c r="AW288" s="182"/>
      <c r="AX288" s="182"/>
      <c r="AY288" s="183"/>
      <c r="AZ288" s="183"/>
      <c r="BA288" s="182"/>
      <c r="BB288" s="182"/>
      <c r="BK288" s="183"/>
      <c r="BL288" s="183"/>
      <c r="BM288" s="182"/>
      <c r="BN288" s="182"/>
      <c r="BO288" s="183"/>
      <c r="BP288" s="183"/>
      <c r="BQ288" s="182"/>
      <c r="BR288" s="182"/>
      <c r="BS288" s="184" t="n">
        <v>52</v>
      </c>
      <c r="BT288" s="185" t="n">
        <v>40725</v>
      </c>
      <c r="BU288" s="184" t="n">
        <v>17.8</v>
      </c>
      <c r="BV288" s="185" t="n">
        <v>40725</v>
      </c>
      <c r="CL288" s="182"/>
      <c r="CM288" s="182"/>
    </row>
    <row r="289" customFormat="false" ht="12.75" hidden="false" customHeight="false" outlineLevel="0" collapsed="false">
      <c r="A289" s="204" t="s">
        <v>567</v>
      </c>
      <c r="B289" s="193" t="s">
        <v>785</v>
      </c>
      <c r="C289" s="193" t="s">
        <v>875</v>
      </c>
      <c r="D289" s="193"/>
      <c r="E289" s="194" t="n">
        <v>7</v>
      </c>
      <c r="F289" s="195" t="n">
        <v>13</v>
      </c>
      <c r="G289" s="119"/>
      <c r="H289" s="119"/>
      <c r="J289" s="118"/>
      <c r="K289" s="118"/>
      <c r="L289" s="181"/>
      <c r="N289" s="182"/>
      <c r="O289" s="182"/>
      <c r="S289" s="184" t="n">
        <v>2316</v>
      </c>
      <c r="T289" s="185" t="n">
        <v>40725</v>
      </c>
      <c r="U289" s="182"/>
      <c r="V289" s="182"/>
      <c r="W289" s="183"/>
      <c r="X289" s="183"/>
      <c r="Y289" s="184" t="n">
        <v>727</v>
      </c>
      <c r="Z289" s="185" t="n">
        <v>40725</v>
      </c>
      <c r="AA289" s="184" t="n">
        <v>107479</v>
      </c>
      <c r="AB289" s="185" t="n">
        <v>40725</v>
      </c>
      <c r="AC289" s="184" t="n">
        <v>43.9</v>
      </c>
      <c r="AD289" s="185" t="n">
        <v>40725</v>
      </c>
      <c r="AE289" s="196"/>
      <c r="AF289" s="185"/>
      <c r="AG289" s="184" t="n">
        <v>4.09</v>
      </c>
      <c r="AH289" s="185" t="n">
        <v>40725</v>
      </c>
      <c r="AI289" s="183"/>
      <c r="AJ289" s="183"/>
      <c r="AK289" s="182"/>
      <c r="AL289" s="182"/>
      <c r="AM289" s="184" t="n">
        <v>82</v>
      </c>
      <c r="AN289" s="183" t="n">
        <v>40630</v>
      </c>
      <c r="AO289" s="182"/>
      <c r="AP289" s="182"/>
      <c r="AQ289" s="183"/>
      <c r="AR289" s="183"/>
      <c r="AS289" s="182"/>
      <c r="AT289" s="182"/>
      <c r="AU289" s="183"/>
      <c r="AV289" s="183"/>
      <c r="AW289" s="182"/>
      <c r="AX289" s="182"/>
      <c r="AY289" s="183"/>
      <c r="AZ289" s="183"/>
      <c r="BA289" s="182"/>
      <c r="BB289" s="182"/>
      <c r="BK289" s="183"/>
      <c r="BL289" s="183"/>
      <c r="BM289" s="182"/>
      <c r="BN289" s="182"/>
      <c r="BO289" s="183"/>
      <c r="BP289" s="183"/>
      <c r="BQ289" s="182"/>
      <c r="BR289" s="182"/>
      <c r="BS289" s="184" t="n">
        <v>52.7</v>
      </c>
      <c r="BT289" s="185" t="n">
        <v>40725</v>
      </c>
      <c r="BU289" s="184" t="n">
        <v>16.6</v>
      </c>
      <c r="BV289" s="185" t="n">
        <v>40725</v>
      </c>
      <c r="CL289" s="182"/>
      <c r="CM289" s="182"/>
    </row>
    <row r="290" customFormat="false" ht="12.75" hidden="false" customHeight="false" outlineLevel="0" collapsed="false">
      <c r="A290" s="204" t="s">
        <v>567</v>
      </c>
      <c r="B290" s="193" t="s">
        <v>785</v>
      </c>
      <c r="C290" s="193" t="s">
        <v>876</v>
      </c>
      <c r="D290" s="193"/>
      <c r="E290" s="194" t="n">
        <v>4</v>
      </c>
      <c r="F290" s="195" t="n">
        <v>44</v>
      </c>
      <c r="G290" s="119"/>
      <c r="H290" s="119"/>
      <c r="J290" s="118"/>
      <c r="K290" s="118"/>
      <c r="L290" s="181"/>
      <c r="N290" s="182"/>
      <c r="O290" s="182"/>
      <c r="S290" s="184" t="n">
        <v>2135</v>
      </c>
      <c r="T290" s="185" t="n">
        <v>40725</v>
      </c>
      <c r="U290" s="182"/>
      <c r="V290" s="182"/>
      <c r="W290" s="183"/>
      <c r="X290" s="183"/>
      <c r="Y290" s="184" t="n">
        <v>762</v>
      </c>
      <c r="Z290" s="185" t="n">
        <v>40725</v>
      </c>
      <c r="AA290" s="184" t="n">
        <v>95159</v>
      </c>
      <c r="AB290" s="185" t="n">
        <v>40725</v>
      </c>
      <c r="AC290" s="184" t="n">
        <v>41.1</v>
      </c>
      <c r="AD290" s="185" t="n">
        <v>40725</v>
      </c>
      <c r="AE290" s="196"/>
      <c r="AF290" s="185"/>
      <c r="AG290" s="184" t="n">
        <v>4.32</v>
      </c>
      <c r="AH290" s="185" t="n">
        <v>40725</v>
      </c>
      <c r="AI290" s="183"/>
      <c r="AJ290" s="183"/>
      <c r="AK290" s="182"/>
      <c r="AL290" s="182"/>
      <c r="AM290" s="184" t="n">
        <v>82</v>
      </c>
      <c r="AN290" s="183" t="n">
        <v>40630</v>
      </c>
      <c r="AO290" s="182"/>
      <c r="AP290" s="182"/>
      <c r="AQ290" s="183"/>
      <c r="AR290" s="183"/>
      <c r="AS290" s="182"/>
      <c r="AT290" s="182"/>
      <c r="AU290" s="183"/>
      <c r="AV290" s="183"/>
      <c r="AW290" s="182"/>
      <c r="AX290" s="182"/>
      <c r="AY290" s="183"/>
      <c r="AZ290" s="183"/>
      <c r="BA290" s="182"/>
      <c r="BB290" s="182"/>
      <c r="BK290" s="183"/>
      <c r="BL290" s="183"/>
      <c r="BM290" s="182"/>
      <c r="BN290" s="182"/>
      <c r="BO290" s="183"/>
      <c r="BP290" s="183"/>
      <c r="BQ290" s="182"/>
      <c r="BR290" s="182"/>
      <c r="BS290" s="184" t="n">
        <v>51.9</v>
      </c>
      <c r="BT290" s="185" t="n">
        <v>40725</v>
      </c>
      <c r="BU290" s="184" t="n">
        <v>18.5</v>
      </c>
      <c r="BV290" s="185" t="n">
        <v>40725</v>
      </c>
      <c r="CL290" s="182"/>
      <c r="CM290" s="182"/>
    </row>
    <row r="291" customFormat="false" ht="12.75" hidden="false" customHeight="false" outlineLevel="0" collapsed="false">
      <c r="A291" s="204" t="s">
        <v>567</v>
      </c>
      <c r="B291" s="193" t="s">
        <v>785</v>
      </c>
      <c r="C291" s="193" t="s">
        <v>877</v>
      </c>
      <c r="D291" s="193"/>
      <c r="E291" s="119" t="n">
        <v>21</v>
      </c>
      <c r="F291" s="195" t="n">
        <v>86</v>
      </c>
      <c r="G291" s="119"/>
      <c r="H291" s="119"/>
      <c r="J291" s="118"/>
      <c r="K291" s="118"/>
      <c r="L291" s="181"/>
      <c r="N291" s="182"/>
      <c r="O291" s="182"/>
      <c r="S291" s="184" t="n">
        <v>2177</v>
      </c>
      <c r="T291" s="185" t="n">
        <v>40725</v>
      </c>
      <c r="U291" s="182"/>
      <c r="V291" s="182"/>
      <c r="W291" s="183"/>
      <c r="X291" s="183"/>
      <c r="Y291" s="184" t="n">
        <v>747</v>
      </c>
      <c r="Z291" s="185" t="n">
        <v>40725</v>
      </c>
      <c r="AA291" s="184" t="n">
        <v>100618</v>
      </c>
      <c r="AB291" s="185" t="n">
        <v>40725</v>
      </c>
      <c r="AC291" s="184" t="n">
        <v>41.9</v>
      </c>
      <c r="AD291" s="185" t="n">
        <v>40725</v>
      </c>
      <c r="AE291" s="196"/>
      <c r="AF291" s="185"/>
      <c r="AG291" s="184" t="n">
        <v>4.16</v>
      </c>
      <c r="AH291" s="185" t="n">
        <v>40725</v>
      </c>
      <c r="AI291" s="183"/>
      <c r="AJ291" s="183"/>
      <c r="AK291" s="182"/>
      <c r="AL291" s="182"/>
      <c r="AM291" s="184" t="n">
        <v>82</v>
      </c>
      <c r="AN291" s="183" t="n">
        <v>40630</v>
      </c>
      <c r="AO291" s="182"/>
      <c r="AP291" s="182"/>
      <c r="AQ291" s="183"/>
      <c r="AR291" s="183"/>
      <c r="AS291" s="182"/>
      <c r="AT291" s="182"/>
      <c r="AU291" s="183"/>
      <c r="AV291" s="183"/>
      <c r="AW291" s="182"/>
      <c r="AX291" s="182"/>
      <c r="AY291" s="183"/>
      <c r="AZ291" s="183"/>
      <c r="BA291" s="182"/>
      <c r="BB291" s="182"/>
      <c r="BK291" s="183"/>
      <c r="BL291" s="183"/>
      <c r="BM291" s="182"/>
      <c r="BN291" s="182"/>
      <c r="BO291" s="183"/>
      <c r="BP291" s="183"/>
      <c r="BQ291" s="182"/>
      <c r="BR291" s="182"/>
      <c r="BS291" s="184" t="n">
        <v>52</v>
      </c>
      <c r="BT291" s="185" t="n">
        <v>40725</v>
      </c>
      <c r="BU291" s="184" t="n">
        <v>17.8</v>
      </c>
      <c r="BV291" s="185" t="n">
        <v>40725</v>
      </c>
      <c r="CL291" s="182"/>
      <c r="CM291" s="182"/>
    </row>
    <row r="292" customFormat="false" ht="12.75" hidden="false" customHeight="false" outlineLevel="0" collapsed="false">
      <c r="A292" s="204" t="s">
        <v>570</v>
      </c>
      <c r="B292" s="193" t="s">
        <v>782</v>
      </c>
      <c r="C292" s="193" t="s">
        <v>875</v>
      </c>
      <c r="D292" s="193"/>
      <c r="E292" s="194" t="n">
        <v>3</v>
      </c>
      <c r="F292" s="195" t="n">
        <v>18</v>
      </c>
      <c r="G292" s="119"/>
      <c r="H292" s="119"/>
      <c r="J292" s="118"/>
      <c r="K292" s="118"/>
      <c r="L292" s="181"/>
      <c r="N292" s="182"/>
      <c r="O292" s="182"/>
      <c r="S292" s="184" t="n">
        <v>1477</v>
      </c>
      <c r="T292" s="185" t="n">
        <v>40725</v>
      </c>
      <c r="U292" s="182"/>
      <c r="V292" s="182"/>
      <c r="W292" s="183"/>
      <c r="X292" s="183"/>
      <c r="Y292" s="184" t="n">
        <v>425</v>
      </c>
      <c r="Z292" s="185" t="n">
        <v>40725</v>
      </c>
      <c r="AA292" s="184" t="n">
        <v>66137</v>
      </c>
      <c r="AB292" s="185" t="n">
        <v>40725</v>
      </c>
      <c r="AC292" s="184" t="n">
        <v>27.6</v>
      </c>
      <c r="AD292" s="185" t="n">
        <v>40725</v>
      </c>
      <c r="AE292" s="196"/>
      <c r="AF292" s="185"/>
      <c r="AG292" s="184" t="n">
        <v>4.17</v>
      </c>
      <c r="AH292" s="185" t="n">
        <v>40725</v>
      </c>
      <c r="AI292" s="183"/>
      <c r="AJ292" s="183"/>
      <c r="AK292" s="182"/>
      <c r="AL292" s="182"/>
      <c r="AM292" s="184" t="n">
        <v>82</v>
      </c>
      <c r="AN292" s="183" t="n">
        <v>40630</v>
      </c>
      <c r="AO292" s="182"/>
      <c r="AP292" s="182"/>
      <c r="AQ292" s="183"/>
      <c r="AR292" s="183"/>
      <c r="AS292" s="182"/>
      <c r="AT292" s="182"/>
      <c r="AU292" s="183"/>
      <c r="AV292" s="183"/>
      <c r="AW292" s="182"/>
      <c r="AX292" s="182"/>
      <c r="AY292" s="183"/>
      <c r="AZ292" s="183"/>
      <c r="BA292" s="182"/>
      <c r="BB292" s="182"/>
      <c r="BK292" s="183"/>
      <c r="BL292" s="183"/>
      <c r="BM292" s="182"/>
      <c r="BN292" s="182"/>
      <c r="BO292" s="183"/>
      <c r="BP292" s="183"/>
      <c r="BQ292" s="182"/>
      <c r="BR292" s="182"/>
      <c r="BS292" s="184" t="n">
        <v>53.5</v>
      </c>
      <c r="BT292" s="185" t="n">
        <v>40725</v>
      </c>
      <c r="BU292" s="184" t="n">
        <v>15.4</v>
      </c>
      <c r="BV292" s="185" t="n">
        <v>40725</v>
      </c>
      <c r="CL292" s="182"/>
      <c r="CM292" s="182"/>
    </row>
    <row r="293" customFormat="false" ht="12.75" hidden="false" customHeight="false" outlineLevel="0" collapsed="false">
      <c r="A293" s="204" t="s">
        <v>570</v>
      </c>
      <c r="B293" s="193" t="s">
        <v>782</v>
      </c>
      <c r="C293" s="193" t="s">
        <v>876</v>
      </c>
      <c r="D293" s="193"/>
      <c r="E293" s="194" t="n">
        <v>8</v>
      </c>
      <c r="F293" s="195" t="n">
        <v>54</v>
      </c>
      <c r="G293" s="119"/>
      <c r="H293" s="119"/>
      <c r="J293" s="118"/>
      <c r="K293" s="118"/>
      <c r="L293" s="181"/>
      <c r="N293" s="182"/>
      <c r="O293" s="182"/>
      <c r="S293" s="184" t="n">
        <v>1809</v>
      </c>
      <c r="T293" s="185" t="n">
        <v>40725</v>
      </c>
      <c r="U293" s="182"/>
      <c r="V293" s="182"/>
      <c r="W293" s="183"/>
      <c r="X293" s="183"/>
      <c r="Y293" s="184" t="n">
        <v>555</v>
      </c>
      <c r="Z293" s="185" t="n">
        <v>40725</v>
      </c>
      <c r="AA293" s="184" t="n">
        <v>76627</v>
      </c>
      <c r="AB293" s="185" t="n">
        <v>40725</v>
      </c>
      <c r="AC293" s="184" t="n">
        <v>34.2</v>
      </c>
      <c r="AD293" s="185" t="n">
        <v>40725</v>
      </c>
      <c r="AE293" s="196"/>
      <c r="AF293" s="185"/>
      <c r="AG293" s="184" t="n">
        <v>4.47</v>
      </c>
      <c r="AH293" s="185" t="n">
        <v>40725</v>
      </c>
      <c r="AI293" s="183"/>
      <c r="AJ293" s="183"/>
      <c r="AK293" s="182"/>
      <c r="AL293" s="182"/>
      <c r="AM293" s="184" t="n">
        <v>80</v>
      </c>
      <c r="AN293" s="183" t="n">
        <v>40630</v>
      </c>
      <c r="AO293" s="182"/>
      <c r="AP293" s="182"/>
      <c r="AQ293" s="183"/>
      <c r="AR293" s="183"/>
      <c r="AS293" s="182"/>
      <c r="AT293" s="182"/>
      <c r="AU293" s="183"/>
      <c r="AV293" s="183"/>
      <c r="AW293" s="182"/>
      <c r="AX293" s="182"/>
      <c r="AY293" s="183"/>
      <c r="AZ293" s="183"/>
      <c r="BA293" s="182"/>
      <c r="BB293" s="182"/>
      <c r="BK293" s="183"/>
      <c r="BL293" s="183"/>
      <c r="BM293" s="182"/>
      <c r="BN293" s="182"/>
      <c r="BO293" s="183"/>
      <c r="BP293" s="183"/>
      <c r="BQ293" s="182"/>
      <c r="BR293" s="182"/>
      <c r="BS293" s="184" t="n">
        <v>52.8</v>
      </c>
      <c r="BT293" s="185" t="n">
        <v>40725</v>
      </c>
      <c r="BU293" s="184" t="n">
        <v>16.2</v>
      </c>
      <c r="BV293" s="185" t="n">
        <v>40725</v>
      </c>
      <c r="CL293" s="182"/>
      <c r="CM293" s="182"/>
    </row>
    <row r="294" customFormat="false" ht="12.75" hidden="false" customHeight="false" outlineLevel="0" collapsed="false">
      <c r="A294" s="204" t="s">
        <v>570</v>
      </c>
      <c r="B294" s="193" t="s">
        <v>782</v>
      </c>
      <c r="C294" s="193" t="s">
        <v>877</v>
      </c>
      <c r="D294" s="193"/>
      <c r="E294" s="119" t="n">
        <v>18</v>
      </c>
      <c r="F294" s="195" t="n">
        <v>71</v>
      </c>
      <c r="G294" s="119"/>
      <c r="H294" s="119"/>
      <c r="J294" s="118"/>
      <c r="K294" s="118"/>
      <c r="L294" s="181"/>
      <c r="N294" s="182"/>
      <c r="O294" s="182"/>
      <c r="S294" s="184" t="n">
        <v>1481</v>
      </c>
      <c r="T294" s="185" t="n">
        <v>40725</v>
      </c>
      <c r="U294" s="182"/>
      <c r="V294" s="182"/>
      <c r="W294" s="183"/>
      <c r="X294" s="183"/>
      <c r="Y294" s="184" t="n">
        <v>436</v>
      </c>
      <c r="Z294" s="185" t="n">
        <v>40725</v>
      </c>
      <c r="AA294" s="184" t="n">
        <v>60847</v>
      </c>
      <c r="AB294" s="185" t="n">
        <v>40725</v>
      </c>
      <c r="AC294" s="184" t="n">
        <v>27.6</v>
      </c>
      <c r="AD294" s="185" t="n">
        <v>40725</v>
      </c>
      <c r="AE294" s="196"/>
      <c r="AF294" s="185"/>
      <c r="AG294" s="184" t="n">
        <v>4.54</v>
      </c>
      <c r="AH294" s="185" t="n">
        <v>40725</v>
      </c>
      <c r="AI294" s="183"/>
      <c r="AJ294" s="183"/>
      <c r="AK294" s="182"/>
      <c r="AL294" s="182"/>
      <c r="AM294" s="184" t="n">
        <v>82</v>
      </c>
      <c r="AN294" s="183" t="n">
        <v>40630</v>
      </c>
      <c r="AO294" s="182"/>
      <c r="AP294" s="182"/>
      <c r="AQ294" s="183"/>
      <c r="AR294" s="183"/>
      <c r="AS294" s="182"/>
      <c r="AT294" s="182"/>
      <c r="AU294" s="183"/>
      <c r="AV294" s="183"/>
      <c r="AW294" s="182"/>
      <c r="AX294" s="182"/>
      <c r="AY294" s="183"/>
      <c r="AZ294" s="183"/>
      <c r="BA294" s="182"/>
      <c r="BB294" s="182"/>
      <c r="BK294" s="183"/>
      <c r="BL294" s="183"/>
      <c r="BM294" s="182"/>
      <c r="BN294" s="182"/>
      <c r="BO294" s="183"/>
      <c r="BP294" s="183"/>
      <c r="BQ294" s="182"/>
      <c r="BR294" s="182"/>
      <c r="BS294" s="184" t="n">
        <v>53.6</v>
      </c>
      <c r="BT294" s="185" t="n">
        <v>40725</v>
      </c>
      <c r="BU294" s="184" t="n">
        <v>15.8</v>
      </c>
      <c r="BV294" s="185" t="n">
        <v>40725</v>
      </c>
      <c r="CL294" s="182"/>
      <c r="CM294" s="182"/>
    </row>
    <row r="295" customFormat="false" ht="12.75" hidden="false" customHeight="false" outlineLevel="0" collapsed="false">
      <c r="A295" s="204" t="s">
        <v>570</v>
      </c>
      <c r="B295" s="193" t="s">
        <v>785</v>
      </c>
      <c r="C295" s="193" t="s">
        <v>875</v>
      </c>
      <c r="D295" s="193"/>
      <c r="E295" s="194" t="n">
        <v>5</v>
      </c>
      <c r="F295" s="195" t="n">
        <v>17</v>
      </c>
      <c r="G295" s="119"/>
      <c r="H295" s="119"/>
      <c r="J295" s="118"/>
      <c r="K295" s="118"/>
      <c r="L295" s="181"/>
      <c r="N295" s="182"/>
      <c r="O295" s="182"/>
      <c r="S295" s="184" t="n">
        <v>1917</v>
      </c>
      <c r="T295" s="185" t="n">
        <v>40725</v>
      </c>
      <c r="U295" s="182"/>
      <c r="V295" s="182"/>
      <c r="W295" s="183"/>
      <c r="X295" s="183"/>
      <c r="Y295" s="184" t="n">
        <v>577</v>
      </c>
      <c r="Z295" s="185" t="n">
        <v>40725</v>
      </c>
      <c r="AA295" s="184" t="n">
        <v>82569</v>
      </c>
      <c r="AB295" s="185" t="n">
        <v>40725</v>
      </c>
      <c r="AC295" s="184" t="n">
        <v>35.9</v>
      </c>
      <c r="AD295" s="185" t="n">
        <v>40725</v>
      </c>
      <c r="AE295" s="196"/>
      <c r="AF295" s="185"/>
      <c r="AG295" s="184" t="n">
        <v>4.35</v>
      </c>
      <c r="AH295" s="185" t="n">
        <v>40725</v>
      </c>
      <c r="AI295" s="183"/>
      <c r="AJ295" s="183"/>
      <c r="AK295" s="182"/>
      <c r="AL295" s="182"/>
      <c r="AM295" s="184" t="n">
        <v>81</v>
      </c>
      <c r="AN295" s="183" t="n">
        <v>40630</v>
      </c>
      <c r="AO295" s="182"/>
      <c r="AP295" s="182"/>
      <c r="AQ295" s="183"/>
      <c r="AR295" s="183"/>
      <c r="AS295" s="182"/>
      <c r="AT295" s="182"/>
      <c r="AU295" s="183"/>
      <c r="AV295" s="183"/>
      <c r="AW295" s="182"/>
      <c r="AX295" s="182"/>
      <c r="AY295" s="183"/>
      <c r="AZ295" s="183"/>
      <c r="BA295" s="182"/>
      <c r="BB295" s="182"/>
      <c r="BK295" s="183"/>
      <c r="BL295" s="183"/>
      <c r="BM295" s="182"/>
      <c r="BN295" s="182"/>
      <c r="BO295" s="183"/>
      <c r="BP295" s="183"/>
      <c r="BQ295" s="182"/>
      <c r="BR295" s="182"/>
      <c r="BS295" s="184" t="n">
        <v>53.4</v>
      </c>
      <c r="BT295" s="185" t="n">
        <v>40725</v>
      </c>
      <c r="BU295" s="184" t="n">
        <v>16.1</v>
      </c>
      <c r="BV295" s="185" t="n">
        <v>40725</v>
      </c>
      <c r="CL295" s="182"/>
      <c r="CM295" s="182"/>
    </row>
    <row r="296" customFormat="false" ht="12.75" hidden="false" customHeight="false" outlineLevel="0" collapsed="false">
      <c r="A296" s="204" t="s">
        <v>570</v>
      </c>
      <c r="B296" s="193" t="s">
        <v>785</v>
      </c>
      <c r="C296" s="193" t="s">
        <v>876</v>
      </c>
      <c r="D296" s="193"/>
      <c r="E296" s="194" t="n">
        <v>4</v>
      </c>
      <c r="F296" s="195" t="n">
        <v>45</v>
      </c>
      <c r="G296" s="119"/>
      <c r="H296" s="119"/>
      <c r="J296" s="118"/>
      <c r="K296" s="118"/>
      <c r="L296" s="181"/>
      <c r="N296" s="182"/>
      <c r="O296" s="182"/>
      <c r="S296" s="184" t="n">
        <v>1750</v>
      </c>
      <c r="T296" s="185" t="n">
        <v>40725</v>
      </c>
      <c r="U296" s="182"/>
      <c r="V296" s="182"/>
      <c r="W296" s="183"/>
      <c r="X296" s="183"/>
      <c r="Y296" s="184" t="n">
        <v>656</v>
      </c>
      <c r="Z296" s="185" t="n">
        <v>40725</v>
      </c>
      <c r="AA296" s="184" t="n">
        <v>74564</v>
      </c>
      <c r="AB296" s="185" t="n">
        <v>40725</v>
      </c>
      <c r="AC296" s="184" t="n">
        <v>34.3</v>
      </c>
      <c r="AD296" s="185" t="n">
        <v>40725</v>
      </c>
      <c r="AE296" s="196"/>
      <c r="AF296" s="185"/>
      <c r="AG296" s="184" t="n">
        <v>4.61</v>
      </c>
      <c r="AH296" s="185" t="n">
        <v>40725</v>
      </c>
      <c r="AI296" s="183"/>
      <c r="AJ296" s="183"/>
      <c r="AK296" s="182"/>
      <c r="AL296" s="182"/>
      <c r="AM296" s="184" t="n">
        <v>81</v>
      </c>
      <c r="AN296" s="183" t="n">
        <v>40630</v>
      </c>
      <c r="AO296" s="182"/>
      <c r="AP296" s="182"/>
      <c r="AQ296" s="183"/>
      <c r="AR296" s="183"/>
      <c r="AS296" s="182"/>
      <c r="AT296" s="182"/>
      <c r="AU296" s="183"/>
      <c r="AV296" s="183"/>
      <c r="AW296" s="182"/>
      <c r="AX296" s="182"/>
      <c r="AY296" s="183"/>
      <c r="AZ296" s="183"/>
      <c r="BA296" s="182"/>
      <c r="BB296" s="182"/>
      <c r="BK296" s="183"/>
      <c r="BL296" s="183"/>
      <c r="BM296" s="182"/>
      <c r="BN296" s="182"/>
      <c r="BO296" s="183"/>
      <c r="BP296" s="183"/>
      <c r="BQ296" s="182"/>
      <c r="BR296" s="182"/>
      <c r="BS296" s="184" t="n">
        <v>51</v>
      </c>
      <c r="BT296" s="185" t="n">
        <v>40725</v>
      </c>
      <c r="BU296" s="184" t="n">
        <v>19.1</v>
      </c>
      <c r="BV296" s="185" t="n">
        <v>40725</v>
      </c>
      <c r="CL296" s="182"/>
      <c r="CM296" s="182"/>
    </row>
    <row r="297" customFormat="false" ht="12.75" hidden="false" customHeight="false" outlineLevel="0" collapsed="false">
      <c r="A297" s="204" t="s">
        <v>570</v>
      </c>
      <c r="B297" s="193" t="s">
        <v>785</v>
      </c>
      <c r="C297" s="193" t="s">
        <v>877</v>
      </c>
      <c r="D297" s="193"/>
      <c r="E297" s="119" t="n">
        <v>22</v>
      </c>
      <c r="F297" s="195" t="n">
        <v>69</v>
      </c>
      <c r="G297" s="119"/>
      <c r="H297" s="119"/>
      <c r="J297" s="118"/>
      <c r="K297" s="118"/>
      <c r="L297" s="181"/>
      <c r="N297" s="182"/>
      <c r="O297" s="182"/>
      <c r="S297" s="184" t="n">
        <v>1929</v>
      </c>
      <c r="T297" s="185" t="n">
        <v>40725</v>
      </c>
      <c r="U297" s="182"/>
      <c r="V297" s="182"/>
      <c r="W297" s="183"/>
      <c r="X297" s="183"/>
      <c r="Y297" s="184" t="n">
        <v>591</v>
      </c>
      <c r="Z297" s="185" t="n">
        <v>40725</v>
      </c>
      <c r="AA297" s="184" t="n">
        <v>75012</v>
      </c>
      <c r="AB297" s="185" t="n">
        <v>40725</v>
      </c>
      <c r="AC297" s="184" t="n">
        <v>35.5</v>
      </c>
      <c r="AD297" s="185" t="n">
        <v>40725</v>
      </c>
      <c r="AE297" s="196"/>
      <c r="AF297" s="185"/>
      <c r="AG297" s="184" t="n">
        <v>4.74</v>
      </c>
      <c r="AH297" s="185" t="n">
        <v>40725</v>
      </c>
      <c r="AI297" s="183"/>
      <c r="AJ297" s="183"/>
      <c r="AK297" s="182"/>
      <c r="AL297" s="182"/>
      <c r="AM297" s="184" t="n">
        <v>83</v>
      </c>
      <c r="AN297" s="183" t="n">
        <v>40630</v>
      </c>
      <c r="AO297" s="182"/>
      <c r="AP297" s="182"/>
      <c r="AQ297" s="183"/>
      <c r="AR297" s="183"/>
      <c r="AS297" s="182"/>
      <c r="AT297" s="182"/>
      <c r="AU297" s="183"/>
      <c r="AV297" s="183"/>
      <c r="AW297" s="182"/>
      <c r="AX297" s="182"/>
      <c r="AY297" s="183"/>
      <c r="AZ297" s="183"/>
      <c r="BA297" s="182"/>
      <c r="BB297" s="182"/>
      <c r="BK297" s="183"/>
      <c r="BL297" s="183"/>
      <c r="BM297" s="182"/>
      <c r="BN297" s="182"/>
      <c r="BO297" s="183"/>
      <c r="BP297" s="183"/>
      <c r="BQ297" s="182"/>
      <c r="BR297" s="182"/>
      <c r="BS297" s="184" t="n">
        <v>54.3</v>
      </c>
      <c r="BT297" s="185" t="n">
        <v>40725</v>
      </c>
      <c r="BU297" s="184" t="n">
        <v>16.6</v>
      </c>
      <c r="BV297" s="185" t="n">
        <v>40725</v>
      </c>
      <c r="CL297" s="182"/>
      <c r="CM297" s="182"/>
    </row>
    <row r="298" customFormat="false" ht="12.75" hidden="false" customHeight="false" outlineLevel="0" collapsed="false">
      <c r="A298" s="204" t="s">
        <v>573</v>
      </c>
      <c r="B298" s="193" t="s">
        <v>782</v>
      </c>
      <c r="C298" s="193" t="s">
        <v>875</v>
      </c>
      <c r="D298" s="193"/>
      <c r="E298" s="194" t="n">
        <v>2</v>
      </c>
      <c r="F298" s="195" t="n">
        <v>28</v>
      </c>
      <c r="G298" s="119"/>
      <c r="H298" s="119"/>
      <c r="J298" s="118"/>
      <c r="K298" s="118"/>
      <c r="L298" s="181"/>
      <c r="N298" s="182"/>
      <c r="O298" s="182"/>
      <c r="S298" s="184" t="n">
        <v>1698</v>
      </c>
      <c r="T298" s="185" t="n">
        <v>40725</v>
      </c>
      <c r="U298" s="182"/>
      <c r="V298" s="182"/>
      <c r="W298" s="183"/>
      <c r="X298" s="183"/>
      <c r="Y298" s="184" t="n">
        <v>633</v>
      </c>
      <c r="Z298" s="185" t="n">
        <v>40725</v>
      </c>
      <c r="AA298" s="184" t="n">
        <v>72589</v>
      </c>
      <c r="AB298" s="185" t="n">
        <v>40725</v>
      </c>
      <c r="AC298" s="184" t="n">
        <v>33.7</v>
      </c>
      <c r="AD298" s="185" t="n">
        <v>40725</v>
      </c>
      <c r="AE298" s="196"/>
      <c r="AF298" s="185"/>
      <c r="AG298" s="184" t="n">
        <v>4.64</v>
      </c>
      <c r="AH298" s="185" t="n">
        <v>40725</v>
      </c>
      <c r="AI298" s="183"/>
      <c r="AJ298" s="183"/>
      <c r="AK298" s="182"/>
      <c r="AL298" s="182"/>
      <c r="AM298" s="184" t="n">
        <v>86</v>
      </c>
      <c r="AN298" s="183" t="n">
        <v>40630</v>
      </c>
      <c r="AO298" s="182"/>
      <c r="AP298" s="182"/>
      <c r="AQ298" s="183"/>
      <c r="AR298" s="183"/>
      <c r="AS298" s="182"/>
      <c r="AT298" s="182"/>
      <c r="AU298" s="183"/>
      <c r="AV298" s="183"/>
      <c r="AW298" s="182"/>
      <c r="AX298" s="182"/>
      <c r="AY298" s="183"/>
      <c r="AZ298" s="183"/>
      <c r="BA298" s="182"/>
      <c r="BB298" s="182"/>
      <c r="BK298" s="183"/>
      <c r="BL298" s="183"/>
      <c r="BM298" s="182"/>
      <c r="BN298" s="182"/>
      <c r="BO298" s="183"/>
      <c r="BP298" s="183"/>
      <c r="BQ298" s="182"/>
      <c r="BR298" s="182"/>
      <c r="BS298" s="184" t="n">
        <v>50.5</v>
      </c>
      <c r="BT298" s="185" t="n">
        <v>40725</v>
      </c>
      <c r="BU298" s="184" t="n">
        <v>18.8</v>
      </c>
      <c r="BV298" s="185" t="n">
        <v>40725</v>
      </c>
      <c r="CL298" s="182"/>
      <c r="CM298" s="182"/>
    </row>
    <row r="299" customFormat="false" ht="12.75" hidden="false" customHeight="false" outlineLevel="0" collapsed="false">
      <c r="A299" s="204" t="s">
        <v>573</v>
      </c>
      <c r="B299" s="193" t="s">
        <v>782</v>
      </c>
      <c r="C299" s="193" t="s">
        <v>876</v>
      </c>
      <c r="D299" s="193"/>
      <c r="E299" s="194" t="n">
        <v>5</v>
      </c>
      <c r="F299" s="195" t="n">
        <v>50</v>
      </c>
      <c r="G299" s="119"/>
      <c r="H299" s="119"/>
      <c r="J299" s="118"/>
      <c r="K299" s="118"/>
      <c r="L299" s="181"/>
      <c r="N299" s="182"/>
      <c r="O299" s="182"/>
      <c r="S299" s="184" t="n">
        <v>1329</v>
      </c>
      <c r="T299" s="185" t="n">
        <v>40725</v>
      </c>
      <c r="U299" s="182"/>
      <c r="V299" s="182"/>
      <c r="W299" s="183"/>
      <c r="X299" s="183"/>
      <c r="Y299" s="184" t="n">
        <v>424</v>
      </c>
      <c r="Z299" s="185" t="n">
        <v>40725</v>
      </c>
      <c r="AA299" s="184" t="n">
        <v>57486</v>
      </c>
      <c r="AB299" s="185" t="n">
        <v>40725</v>
      </c>
      <c r="AC299" s="184" t="n">
        <v>25.6</v>
      </c>
      <c r="AD299" s="185" t="n">
        <v>40725</v>
      </c>
      <c r="AE299" s="196"/>
      <c r="AF299" s="185"/>
      <c r="AG299" s="184" t="n">
        <v>4.46</v>
      </c>
      <c r="AH299" s="185" t="n">
        <v>40725</v>
      </c>
      <c r="AI299" s="183"/>
      <c r="AJ299" s="183"/>
      <c r="AK299" s="182"/>
      <c r="AL299" s="182"/>
      <c r="AM299" s="184" t="n">
        <v>85</v>
      </c>
      <c r="AN299" s="183" t="n">
        <v>40630</v>
      </c>
      <c r="AO299" s="182"/>
      <c r="AP299" s="182"/>
      <c r="AQ299" s="183"/>
      <c r="AR299" s="183"/>
      <c r="AS299" s="182"/>
      <c r="AT299" s="182"/>
      <c r="AU299" s="183"/>
      <c r="AV299" s="183"/>
      <c r="AW299" s="182"/>
      <c r="AX299" s="182"/>
      <c r="AY299" s="183"/>
      <c r="AZ299" s="183"/>
      <c r="BA299" s="182"/>
      <c r="BB299" s="182"/>
      <c r="BK299" s="183"/>
      <c r="BL299" s="183"/>
      <c r="BM299" s="182"/>
      <c r="BN299" s="182"/>
      <c r="BO299" s="183"/>
      <c r="BP299" s="183"/>
      <c r="BQ299" s="182"/>
      <c r="BR299" s="182"/>
      <c r="BS299" s="184" t="n">
        <v>51.8</v>
      </c>
      <c r="BT299" s="185" t="n">
        <v>40725</v>
      </c>
      <c r="BU299" s="184" t="n">
        <v>16.5</v>
      </c>
      <c r="BV299" s="185" t="n">
        <v>40725</v>
      </c>
      <c r="CL299" s="182"/>
      <c r="CM299" s="182"/>
    </row>
    <row r="300" customFormat="false" ht="12.75" hidden="false" customHeight="false" outlineLevel="0" collapsed="false">
      <c r="A300" s="204" t="s">
        <v>573</v>
      </c>
      <c r="B300" s="193" t="s">
        <v>782</v>
      </c>
      <c r="C300" s="193" t="s">
        <v>877</v>
      </c>
      <c r="D300" s="193"/>
      <c r="E300" s="119" t="n">
        <v>19</v>
      </c>
      <c r="F300" s="195" t="n">
        <v>68</v>
      </c>
      <c r="G300" s="119"/>
      <c r="H300" s="119"/>
      <c r="J300" s="118"/>
      <c r="K300" s="118"/>
      <c r="L300" s="181"/>
      <c r="N300" s="182"/>
      <c r="O300" s="182"/>
      <c r="S300" s="184" t="n">
        <v>860</v>
      </c>
      <c r="T300" s="185" t="n">
        <v>40725</v>
      </c>
      <c r="U300" s="182"/>
      <c r="V300" s="182"/>
      <c r="W300" s="183"/>
      <c r="X300" s="183"/>
      <c r="Y300" s="184" t="n">
        <v>277</v>
      </c>
      <c r="Z300" s="185" t="n">
        <v>40725</v>
      </c>
      <c r="AA300" s="184" t="n">
        <v>38251</v>
      </c>
      <c r="AB300" s="185" t="n">
        <v>40725</v>
      </c>
      <c r="AC300" s="184" t="n">
        <v>16.6</v>
      </c>
      <c r="AD300" s="185" t="n">
        <v>40725</v>
      </c>
      <c r="AE300" s="196"/>
      <c r="AF300" s="185"/>
      <c r="AG300" s="184" t="n">
        <v>4.34</v>
      </c>
      <c r="AH300" s="185" t="n">
        <v>40725</v>
      </c>
      <c r="AI300" s="183"/>
      <c r="AJ300" s="183"/>
      <c r="AK300" s="182"/>
      <c r="AL300" s="182"/>
      <c r="AM300" s="184" t="n">
        <v>85</v>
      </c>
      <c r="AN300" s="183" t="n">
        <v>40630</v>
      </c>
      <c r="AO300" s="182"/>
      <c r="AP300" s="182"/>
      <c r="AQ300" s="183"/>
      <c r="AR300" s="183"/>
      <c r="AS300" s="182"/>
      <c r="AT300" s="182"/>
      <c r="AU300" s="183"/>
      <c r="AV300" s="183"/>
      <c r="AW300" s="182"/>
      <c r="AX300" s="182"/>
      <c r="AY300" s="183"/>
      <c r="AZ300" s="183"/>
      <c r="BA300" s="182"/>
      <c r="BB300" s="182"/>
      <c r="BK300" s="183"/>
      <c r="BL300" s="183"/>
      <c r="BM300" s="182"/>
      <c r="BN300" s="182"/>
      <c r="BO300" s="183"/>
      <c r="BP300" s="183"/>
      <c r="BQ300" s="182"/>
      <c r="BR300" s="182"/>
      <c r="BS300" s="184" t="n">
        <v>51.7</v>
      </c>
      <c r="BT300" s="185" t="n">
        <v>40725</v>
      </c>
      <c r="BU300" s="184" t="n">
        <v>16.7</v>
      </c>
      <c r="BV300" s="185" t="n">
        <v>40725</v>
      </c>
      <c r="CL300" s="182"/>
      <c r="CM300" s="182"/>
    </row>
    <row r="301" customFormat="false" ht="12.75" hidden="false" customHeight="false" outlineLevel="0" collapsed="false">
      <c r="A301" s="204" t="s">
        <v>573</v>
      </c>
      <c r="B301" s="193" t="s">
        <v>785</v>
      </c>
      <c r="C301" s="193" t="s">
        <v>875</v>
      </c>
      <c r="D301" s="193"/>
      <c r="E301" s="194" t="n">
        <v>6</v>
      </c>
      <c r="F301" s="195" t="n">
        <v>29</v>
      </c>
      <c r="G301" s="119"/>
      <c r="H301" s="119"/>
      <c r="J301" s="118"/>
      <c r="K301" s="118"/>
      <c r="L301" s="181"/>
      <c r="N301" s="182"/>
      <c r="O301" s="182"/>
      <c r="S301" s="184" t="n">
        <v>1865</v>
      </c>
      <c r="T301" s="185" t="n">
        <v>40725</v>
      </c>
      <c r="U301" s="182"/>
      <c r="V301" s="182"/>
      <c r="W301" s="183"/>
      <c r="X301" s="183"/>
      <c r="Y301" s="184" t="n">
        <v>645</v>
      </c>
      <c r="Z301" s="185" t="n">
        <v>40725</v>
      </c>
      <c r="AA301" s="184" t="n">
        <v>80299</v>
      </c>
      <c r="AB301" s="185" t="n">
        <v>40725</v>
      </c>
      <c r="AC301" s="184" t="n">
        <v>36.4</v>
      </c>
      <c r="AD301" s="185" t="n">
        <v>40725</v>
      </c>
      <c r="AE301" s="196"/>
      <c r="AF301" s="185"/>
      <c r="AG301" s="184" t="n">
        <v>4.53</v>
      </c>
      <c r="AH301" s="185" t="n">
        <v>40725</v>
      </c>
      <c r="AI301" s="183"/>
      <c r="AJ301" s="183"/>
      <c r="AK301" s="182"/>
      <c r="AL301" s="182"/>
      <c r="AM301" s="184" t="n">
        <v>88</v>
      </c>
      <c r="AN301" s="183" t="n">
        <v>40630</v>
      </c>
      <c r="AO301" s="182"/>
      <c r="AP301" s="182"/>
      <c r="AQ301" s="183"/>
      <c r="AR301" s="183"/>
      <c r="AS301" s="182"/>
      <c r="AT301" s="182"/>
      <c r="AU301" s="183"/>
      <c r="AV301" s="183"/>
      <c r="AW301" s="182"/>
      <c r="AX301" s="182"/>
      <c r="AY301" s="183"/>
      <c r="AZ301" s="183"/>
      <c r="BA301" s="182"/>
      <c r="BB301" s="182"/>
      <c r="BK301" s="183"/>
      <c r="BL301" s="183"/>
      <c r="BM301" s="182"/>
      <c r="BN301" s="182"/>
      <c r="BO301" s="183"/>
      <c r="BP301" s="183"/>
      <c r="BQ301" s="182"/>
      <c r="BR301" s="182"/>
      <c r="BS301" s="184" t="n">
        <v>51.3</v>
      </c>
      <c r="BT301" s="185" t="n">
        <v>40725</v>
      </c>
      <c r="BU301" s="184" t="n">
        <v>17.7</v>
      </c>
      <c r="BV301" s="185" t="n">
        <v>40725</v>
      </c>
      <c r="CL301" s="182"/>
      <c r="CM301" s="182"/>
    </row>
    <row r="302" customFormat="false" ht="12.75" hidden="false" customHeight="false" outlineLevel="0" collapsed="false">
      <c r="A302" s="204" t="s">
        <v>573</v>
      </c>
      <c r="B302" s="193" t="s">
        <v>785</v>
      </c>
      <c r="C302" s="193" t="s">
        <v>876</v>
      </c>
      <c r="D302" s="193"/>
      <c r="E302" s="194" t="n">
        <v>4</v>
      </c>
      <c r="F302" s="195" t="n">
        <v>43</v>
      </c>
      <c r="G302" s="119"/>
      <c r="H302" s="119"/>
      <c r="J302" s="118"/>
      <c r="K302" s="118"/>
      <c r="L302" s="181"/>
      <c r="N302" s="182"/>
      <c r="O302" s="182"/>
      <c r="S302" s="184" t="n">
        <v>1804</v>
      </c>
      <c r="T302" s="185" t="n">
        <v>40725</v>
      </c>
      <c r="U302" s="182"/>
      <c r="V302" s="182"/>
      <c r="W302" s="183"/>
      <c r="X302" s="183"/>
      <c r="Y302" s="184" t="n">
        <v>637</v>
      </c>
      <c r="Z302" s="185" t="n">
        <v>40725</v>
      </c>
      <c r="AA302" s="184" t="n">
        <v>78171</v>
      </c>
      <c r="AB302" s="185" t="n">
        <v>40725</v>
      </c>
      <c r="AC302" s="184" t="n">
        <v>35.7</v>
      </c>
      <c r="AD302" s="185" t="n">
        <v>40725</v>
      </c>
      <c r="AE302" s="196"/>
      <c r="AF302" s="185"/>
      <c r="AG302" s="184" t="n">
        <v>4.57</v>
      </c>
      <c r="AH302" s="185" t="n">
        <v>40725</v>
      </c>
      <c r="AI302" s="183"/>
      <c r="AJ302" s="183"/>
      <c r="AK302" s="182"/>
      <c r="AL302" s="182"/>
      <c r="AM302" s="184" t="n">
        <v>85</v>
      </c>
      <c r="AN302" s="183" t="n">
        <v>40630</v>
      </c>
      <c r="AO302" s="182"/>
      <c r="AP302" s="182"/>
      <c r="AQ302" s="183"/>
      <c r="AR302" s="183"/>
      <c r="AS302" s="182"/>
      <c r="AT302" s="182"/>
      <c r="AU302" s="183"/>
      <c r="AV302" s="183"/>
      <c r="AW302" s="182"/>
      <c r="AX302" s="182"/>
      <c r="AY302" s="183"/>
      <c r="AZ302" s="183"/>
      <c r="BA302" s="182"/>
      <c r="BB302" s="182"/>
      <c r="BK302" s="183"/>
      <c r="BL302" s="183"/>
      <c r="BM302" s="182"/>
      <c r="BN302" s="182"/>
      <c r="BO302" s="183"/>
      <c r="BP302" s="183"/>
      <c r="BQ302" s="182"/>
      <c r="BR302" s="182"/>
      <c r="BS302" s="184" t="n">
        <v>50.5</v>
      </c>
      <c r="BT302" s="185" t="n">
        <v>40725</v>
      </c>
      <c r="BU302" s="184" t="n">
        <v>17.8</v>
      </c>
      <c r="BV302" s="185" t="n">
        <v>40725</v>
      </c>
      <c r="CL302" s="182"/>
      <c r="CM302" s="182"/>
    </row>
    <row r="303" customFormat="false" ht="12.75" hidden="false" customHeight="false" outlineLevel="0" collapsed="false">
      <c r="A303" s="204" t="s">
        <v>573</v>
      </c>
      <c r="B303" s="193" t="s">
        <v>785</v>
      </c>
      <c r="C303" s="193" t="s">
        <v>877</v>
      </c>
      <c r="D303" s="193"/>
      <c r="E303" s="119" t="n">
        <v>21</v>
      </c>
      <c r="F303" s="195" t="n">
        <v>76</v>
      </c>
      <c r="G303" s="119"/>
      <c r="H303" s="119"/>
      <c r="J303" s="118"/>
      <c r="K303" s="118"/>
      <c r="L303" s="181"/>
      <c r="N303" s="182"/>
      <c r="O303" s="182"/>
      <c r="S303" s="184" t="n">
        <v>1909</v>
      </c>
      <c r="T303" s="185" t="n">
        <v>40725</v>
      </c>
      <c r="U303" s="182"/>
      <c r="V303" s="182"/>
      <c r="W303" s="183"/>
      <c r="X303" s="183"/>
      <c r="Y303" s="184" t="n">
        <v>666</v>
      </c>
      <c r="Z303" s="185" t="n">
        <v>40725</v>
      </c>
      <c r="AA303" s="184" t="n">
        <v>77549</v>
      </c>
      <c r="AB303" s="185" t="n">
        <v>40725</v>
      </c>
      <c r="AC303" s="184" t="n">
        <v>37.4</v>
      </c>
      <c r="AD303" s="185" t="n">
        <v>40725</v>
      </c>
      <c r="AE303" s="196"/>
      <c r="AF303" s="185"/>
      <c r="AG303" s="184" t="n">
        <v>4.82</v>
      </c>
      <c r="AH303" s="185" t="n">
        <v>40725</v>
      </c>
      <c r="AI303" s="183"/>
      <c r="AJ303" s="183"/>
      <c r="AK303" s="182"/>
      <c r="AL303" s="182"/>
      <c r="AM303" s="184" t="n">
        <v>86</v>
      </c>
      <c r="AN303" s="183" t="n">
        <v>40630</v>
      </c>
      <c r="AO303" s="182"/>
      <c r="AP303" s="182"/>
      <c r="AQ303" s="183"/>
      <c r="AR303" s="183"/>
      <c r="AS303" s="182"/>
      <c r="AT303" s="182"/>
      <c r="AU303" s="183"/>
      <c r="AV303" s="183"/>
      <c r="AW303" s="182"/>
      <c r="AX303" s="182"/>
      <c r="AY303" s="183"/>
      <c r="AZ303" s="183"/>
      <c r="BA303" s="182"/>
      <c r="BB303" s="182"/>
      <c r="BK303" s="183"/>
      <c r="BL303" s="183"/>
      <c r="BM303" s="182"/>
      <c r="BN303" s="182"/>
      <c r="BO303" s="183"/>
      <c r="BP303" s="183"/>
      <c r="BQ303" s="182"/>
      <c r="BR303" s="182"/>
      <c r="BS303" s="184" t="n">
        <v>51.1</v>
      </c>
      <c r="BT303" s="185" t="n">
        <v>40725</v>
      </c>
      <c r="BU303" s="184" t="n">
        <v>17.8</v>
      </c>
      <c r="BV303" s="185" t="n">
        <v>40725</v>
      </c>
      <c r="CL303" s="182"/>
      <c r="CM303" s="182"/>
    </row>
    <row r="304" customFormat="false" ht="12.75" hidden="false" customHeight="false" outlineLevel="0" collapsed="false">
      <c r="A304" s="204" t="s">
        <v>576</v>
      </c>
      <c r="B304" s="193" t="s">
        <v>782</v>
      </c>
      <c r="C304" s="193" t="s">
        <v>875</v>
      </c>
      <c r="D304" s="193"/>
      <c r="E304" s="194" t="n">
        <v>3</v>
      </c>
      <c r="F304" s="195" t="n">
        <v>10</v>
      </c>
      <c r="G304" s="119"/>
      <c r="H304" s="119"/>
      <c r="J304" s="118"/>
      <c r="K304" s="118"/>
      <c r="L304" s="181"/>
      <c r="N304" s="182"/>
      <c r="O304" s="182"/>
      <c r="S304" s="184" t="n">
        <v>1824</v>
      </c>
      <c r="T304" s="185" t="n">
        <v>40725</v>
      </c>
      <c r="U304" s="182"/>
      <c r="V304" s="182"/>
      <c r="W304" s="183"/>
      <c r="X304" s="183"/>
      <c r="Y304" s="184" t="n">
        <v>545</v>
      </c>
      <c r="Z304" s="185" t="n">
        <v>40725</v>
      </c>
      <c r="AA304" s="184" t="n">
        <v>86628</v>
      </c>
      <c r="AB304" s="185" t="n">
        <v>40725</v>
      </c>
      <c r="AC304" s="184" t="n">
        <v>34.2</v>
      </c>
      <c r="AD304" s="185" t="n">
        <v>40725</v>
      </c>
      <c r="AE304" s="196"/>
      <c r="AF304" s="185"/>
      <c r="AG304" s="184" t="n">
        <v>3.95</v>
      </c>
      <c r="AH304" s="185" t="n">
        <v>40725</v>
      </c>
      <c r="AI304" s="183"/>
      <c r="AJ304" s="183"/>
      <c r="AK304" s="182"/>
      <c r="AL304" s="182"/>
      <c r="AM304" s="184" t="n">
        <v>87</v>
      </c>
      <c r="AN304" s="183" t="n">
        <v>40630</v>
      </c>
      <c r="AO304" s="182"/>
      <c r="AP304" s="182"/>
      <c r="AQ304" s="183"/>
      <c r="AR304" s="183"/>
      <c r="AS304" s="182"/>
      <c r="AT304" s="182"/>
      <c r="AU304" s="183"/>
      <c r="AV304" s="183"/>
      <c r="AW304" s="182"/>
      <c r="AX304" s="182"/>
      <c r="AY304" s="183"/>
      <c r="AZ304" s="183"/>
      <c r="BA304" s="182"/>
      <c r="BB304" s="182"/>
      <c r="BK304" s="183"/>
      <c r="BL304" s="183"/>
      <c r="BM304" s="182"/>
      <c r="BN304" s="182"/>
      <c r="BO304" s="183"/>
      <c r="BP304" s="183"/>
      <c r="BQ304" s="182"/>
      <c r="BR304" s="182"/>
      <c r="BS304" s="184" t="n">
        <v>53.3</v>
      </c>
      <c r="BT304" s="185" t="n">
        <v>40725</v>
      </c>
      <c r="BU304" s="184" t="n">
        <v>15.9</v>
      </c>
      <c r="BV304" s="185" t="n">
        <v>40725</v>
      </c>
      <c r="CL304" s="182"/>
      <c r="CM304" s="182"/>
    </row>
    <row r="305" customFormat="false" ht="12.75" hidden="false" customHeight="false" outlineLevel="0" collapsed="false">
      <c r="A305" s="204" t="s">
        <v>576</v>
      </c>
      <c r="B305" s="193" t="s">
        <v>782</v>
      </c>
      <c r="C305" s="193" t="s">
        <v>876</v>
      </c>
      <c r="D305" s="193"/>
      <c r="E305" s="194" t="n">
        <v>5</v>
      </c>
      <c r="F305" s="195" t="n">
        <v>46</v>
      </c>
      <c r="G305" s="119"/>
      <c r="H305" s="119"/>
      <c r="J305" s="118"/>
      <c r="K305" s="118"/>
      <c r="L305" s="181"/>
      <c r="N305" s="182"/>
      <c r="O305" s="182"/>
      <c r="S305" s="184" t="n">
        <v>1610</v>
      </c>
      <c r="T305" s="185" t="n">
        <v>40725</v>
      </c>
      <c r="U305" s="182"/>
      <c r="V305" s="182"/>
      <c r="W305" s="183"/>
      <c r="X305" s="183"/>
      <c r="Y305" s="184" t="n">
        <v>435</v>
      </c>
      <c r="Z305" s="185" t="n">
        <v>40725</v>
      </c>
      <c r="AA305" s="184" t="n">
        <v>72072</v>
      </c>
      <c r="AB305" s="185" t="n">
        <v>40725</v>
      </c>
      <c r="AC305" s="184" t="n">
        <v>29.6</v>
      </c>
      <c r="AD305" s="185" t="n">
        <v>40725</v>
      </c>
      <c r="AE305" s="196"/>
      <c r="AF305" s="185"/>
      <c r="AG305" s="184" t="n">
        <v>4.11</v>
      </c>
      <c r="AH305" s="185" t="n">
        <v>40725</v>
      </c>
      <c r="AI305" s="183"/>
      <c r="AJ305" s="183"/>
      <c r="AK305" s="182"/>
      <c r="AL305" s="182"/>
      <c r="AM305" s="184" t="n">
        <v>86</v>
      </c>
      <c r="AN305" s="183" t="n">
        <v>40630</v>
      </c>
      <c r="AO305" s="182"/>
      <c r="AP305" s="182"/>
      <c r="AQ305" s="183"/>
      <c r="AR305" s="183"/>
      <c r="AS305" s="182"/>
      <c r="AT305" s="182"/>
      <c r="AU305" s="183"/>
      <c r="AV305" s="183"/>
      <c r="AW305" s="182"/>
      <c r="AX305" s="182"/>
      <c r="AY305" s="183"/>
      <c r="AZ305" s="183"/>
      <c r="BA305" s="182"/>
      <c r="BB305" s="182"/>
      <c r="BK305" s="183"/>
      <c r="BL305" s="183"/>
      <c r="BM305" s="182"/>
      <c r="BN305" s="182"/>
      <c r="BO305" s="183"/>
      <c r="BP305" s="183"/>
      <c r="BQ305" s="182"/>
      <c r="BR305" s="182"/>
      <c r="BS305" s="184" t="n">
        <v>54.4</v>
      </c>
      <c r="BT305" s="185" t="n">
        <v>40725</v>
      </c>
      <c r="BU305" s="184" t="n">
        <v>14.7</v>
      </c>
      <c r="BV305" s="185" t="n">
        <v>40725</v>
      </c>
      <c r="CL305" s="182"/>
      <c r="CM305" s="182"/>
    </row>
    <row r="306" customFormat="false" ht="12.75" hidden="false" customHeight="false" outlineLevel="0" collapsed="false">
      <c r="A306" s="204" t="s">
        <v>576</v>
      </c>
      <c r="B306" s="193" t="s">
        <v>782</v>
      </c>
      <c r="C306" s="193" t="s">
        <v>877</v>
      </c>
      <c r="D306" s="193"/>
      <c r="E306" s="119" t="n">
        <v>15</v>
      </c>
      <c r="F306" s="195" t="n">
        <v>68</v>
      </c>
      <c r="G306" s="119"/>
      <c r="H306" s="119"/>
      <c r="J306" s="118"/>
      <c r="K306" s="118"/>
      <c r="L306" s="181"/>
      <c r="N306" s="182"/>
      <c r="O306" s="182"/>
      <c r="S306" s="184" t="n">
        <v>1396</v>
      </c>
      <c r="T306" s="185" t="n">
        <v>40725</v>
      </c>
      <c r="U306" s="182"/>
      <c r="V306" s="182"/>
      <c r="W306" s="183"/>
      <c r="X306" s="183"/>
      <c r="Y306" s="184" t="n">
        <v>465</v>
      </c>
      <c r="Z306" s="185" t="n">
        <v>40725</v>
      </c>
      <c r="AA306" s="184" t="n">
        <v>62604</v>
      </c>
      <c r="AB306" s="185" t="n">
        <v>40725</v>
      </c>
      <c r="AC306" s="184" t="n">
        <v>26.7</v>
      </c>
      <c r="AD306" s="185" t="n">
        <v>40725</v>
      </c>
      <c r="AE306" s="196"/>
      <c r="AF306" s="185"/>
      <c r="AG306" s="184" t="n">
        <v>4.26</v>
      </c>
      <c r="AH306" s="185" t="n">
        <v>40725</v>
      </c>
      <c r="AI306" s="183"/>
      <c r="AJ306" s="183"/>
      <c r="AK306" s="182"/>
      <c r="AL306" s="182"/>
      <c r="AM306" s="184" t="n">
        <v>87</v>
      </c>
      <c r="AN306" s="183" t="n">
        <v>40630</v>
      </c>
      <c r="AO306" s="182"/>
      <c r="AP306" s="182"/>
      <c r="AQ306" s="183"/>
      <c r="AR306" s="183"/>
      <c r="AS306" s="182"/>
      <c r="AT306" s="182"/>
      <c r="AU306" s="183"/>
      <c r="AV306" s="183"/>
      <c r="AW306" s="182"/>
      <c r="AX306" s="182"/>
      <c r="AY306" s="183"/>
      <c r="AZ306" s="183"/>
      <c r="BA306" s="182"/>
      <c r="BB306" s="182"/>
      <c r="BK306" s="183"/>
      <c r="BL306" s="183"/>
      <c r="BM306" s="182"/>
      <c r="BN306" s="182"/>
      <c r="BO306" s="183"/>
      <c r="BP306" s="183"/>
      <c r="BQ306" s="182"/>
      <c r="BR306" s="182"/>
      <c r="BS306" s="184" t="n">
        <v>52.4</v>
      </c>
      <c r="BT306" s="185" t="n">
        <v>40725</v>
      </c>
      <c r="BU306" s="184" t="n">
        <v>17.4</v>
      </c>
      <c r="BV306" s="185" t="n">
        <v>40725</v>
      </c>
      <c r="CL306" s="182"/>
      <c r="CM306" s="182"/>
    </row>
    <row r="307" customFormat="false" ht="12.75" hidden="false" customHeight="false" outlineLevel="0" collapsed="false">
      <c r="A307" s="204" t="s">
        <v>576</v>
      </c>
      <c r="B307" s="193" t="s">
        <v>785</v>
      </c>
      <c r="C307" s="193" t="s">
        <v>875</v>
      </c>
      <c r="D307" s="193"/>
      <c r="E307" s="194" t="n">
        <v>5</v>
      </c>
      <c r="F307" s="195" t="n">
        <v>23</v>
      </c>
      <c r="G307" s="119"/>
      <c r="H307" s="119"/>
      <c r="J307" s="118"/>
      <c r="K307" s="118"/>
      <c r="L307" s="181"/>
      <c r="N307" s="182"/>
      <c r="O307" s="182"/>
      <c r="S307" s="184" t="n">
        <v>2592</v>
      </c>
      <c r="T307" s="185" t="n">
        <v>40725</v>
      </c>
      <c r="U307" s="182"/>
      <c r="V307" s="182"/>
      <c r="W307" s="183"/>
      <c r="X307" s="183"/>
      <c r="Y307" s="184" t="n">
        <v>826</v>
      </c>
      <c r="Z307" s="185" t="n">
        <v>40725</v>
      </c>
      <c r="AA307" s="184" t="n">
        <v>122309</v>
      </c>
      <c r="AB307" s="185" t="n">
        <v>40725</v>
      </c>
      <c r="AC307" s="184" t="n">
        <v>49.1</v>
      </c>
      <c r="AD307" s="185" t="n">
        <v>40725</v>
      </c>
      <c r="AE307" s="196"/>
      <c r="AF307" s="185"/>
      <c r="AG307" s="184" t="n">
        <v>4.02</v>
      </c>
      <c r="AH307" s="185" t="n">
        <v>40725</v>
      </c>
      <c r="AI307" s="183"/>
      <c r="AJ307" s="183"/>
      <c r="AK307" s="182"/>
      <c r="AL307" s="182"/>
      <c r="AM307" s="184" t="n">
        <v>88</v>
      </c>
      <c r="AN307" s="183" t="n">
        <v>40630</v>
      </c>
      <c r="AO307" s="182"/>
      <c r="AP307" s="182"/>
      <c r="AQ307" s="183"/>
      <c r="AR307" s="183"/>
      <c r="AS307" s="182"/>
      <c r="AT307" s="182"/>
      <c r="AU307" s="183"/>
      <c r="AV307" s="183"/>
      <c r="AW307" s="182"/>
      <c r="AX307" s="182"/>
      <c r="AY307" s="183"/>
      <c r="AZ307" s="183"/>
      <c r="BA307" s="182"/>
      <c r="BB307" s="182"/>
      <c r="BK307" s="183"/>
      <c r="BL307" s="183"/>
      <c r="BM307" s="182"/>
      <c r="BN307" s="182"/>
      <c r="BO307" s="183"/>
      <c r="BP307" s="183"/>
      <c r="BQ307" s="182"/>
      <c r="BR307" s="182"/>
      <c r="BS307" s="184" t="n">
        <v>52.8</v>
      </c>
      <c r="BT307" s="185" t="n">
        <v>40725</v>
      </c>
      <c r="BU307" s="184" t="n">
        <v>16.8</v>
      </c>
      <c r="BV307" s="185" t="n">
        <v>40725</v>
      </c>
      <c r="CL307" s="182"/>
      <c r="CM307" s="182"/>
    </row>
    <row r="308" customFormat="false" ht="12.75" hidden="false" customHeight="false" outlineLevel="0" collapsed="false">
      <c r="A308" s="204" t="s">
        <v>576</v>
      </c>
      <c r="B308" s="193" t="s">
        <v>785</v>
      </c>
      <c r="C308" s="193" t="s">
        <v>876</v>
      </c>
      <c r="D308" s="193"/>
      <c r="E308" s="194" t="n">
        <v>3</v>
      </c>
      <c r="F308" s="195" t="n">
        <v>51</v>
      </c>
      <c r="G308" s="119"/>
      <c r="H308" s="119"/>
      <c r="J308" s="118"/>
      <c r="K308" s="118"/>
      <c r="L308" s="181"/>
      <c r="N308" s="182"/>
      <c r="O308" s="182"/>
      <c r="S308" s="184" t="n">
        <v>2072</v>
      </c>
      <c r="T308" s="185" t="n">
        <v>40725</v>
      </c>
      <c r="U308" s="182"/>
      <c r="V308" s="182"/>
      <c r="W308" s="183"/>
      <c r="X308" s="183"/>
      <c r="Y308" s="184" t="n">
        <v>677</v>
      </c>
      <c r="Z308" s="185" t="n">
        <v>40725</v>
      </c>
      <c r="AA308" s="184" t="n">
        <v>99509</v>
      </c>
      <c r="AB308" s="185" t="n">
        <v>40725</v>
      </c>
      <c r="AC308" s="184" t="n">
        <v>39.9</v>
      </c>
      <c r="AD308" s="185" t="n">
        <v>40725</v>
      </c>
      <c r="AE308" s="196"/>
      <c r="AF308" s="185"/>
      <c r="AG308" s="184" t="n">
        <v>4.01</v>
      </c>
      <c r="AH308" s="185" t="n">
        <v>40725</v>
      </c>
      <c r="AI308" s="183"/>
      <c r="AJ308" s="183"/>
      <c r="AK308" s="182"/>
      <c r="AL308" s="182"/>
      <c r="AM308" s="184" t="n">
        <v>88</v>
      </c>
      <c r="AN308" s="183" t="n">
        <v>40630</v>
      </c>
      <c r="AO308" s="182"/>
      <c r="AP308" s="182"/>
      <c r="AQ308" s="183"/>
      <c r="AR308" s="183"/>
      <c r="AS308" s="182"/>
      <c r="AT308" s="182"/>
      <c r="AU308" s="183"/>
      <c r="AV308" s="183"/>
      <c r="AW308" s="182"/>
      <c r="AX308" s="182"/>
      <c r="AY308" s="183"/>
      <c r="AZ308" s="183"/>
      <c r="BA308" s="182"/>
      <c r="BB308" s="182"/>
      <c r="BK308" s="183"/>
      <c r="BL308" s="183"/>
      <c r="BM308" s="182"/>
      <c r="BN308" s="182"/>
      <c r="BO308" s="183"/>
      <c r="BP308" s="183"/>
      <c r="BQ308" s="182"/>
      <c r="BR308" s="182"/>
      <c r="BS308" s="184" t="n">
        <v>52</v>
      </c>
      <c r="BT308" s="185" t="n">
        <v>40725</v>
      </c>
      <c r="BU308" s="184" t="n">
        <v>17</v>
      </c>
      <c r="BV308" s="185" t="n">
        <v>40725</v>
      </c>
      <c r="CL308" s="182"/>
      <c r="CM308" s="182"/>
    </row>
    <row r="309" customFormat="false" ht="12.75" hidden="false" customHeight="false" outlineLevel="0" collapsed="false">
      <c r="A309" s="204" t="s">
        <v>576</v>
      </c>
      <c r="B309" s="193" t="s">
        <v>785</v>
      </c>
      <c r="C309" s="193" t="s">
        <v>877</v>
      </c>
      <c r="D309" s="193"/>
      <c r="E309" s="119" t="n">
        <v>23</v>
      </c>
      <c r="F309" s="195" t="n">
        <v>88</v>
      </c>
      <c r="G309" s="119"/>
      <c r="H309" s="119"/>
      <c r="J309" s="118"/>
      <c r="K309" s="118"/>
      <c r="L309" s="181"/>
      <c r="N309" s="182"/>
      <c r="O309" s="182"/>
      <c r="S309" s="184" t="n">
        <v>1947</v>
      </c>
      <c r="T309" s="185" t="n">
        <v>40725</v>
      </c>
      <c r="U309" s="182"/>
      <c r="V309" s="182"/>
      <c r="W309" s="183"/>
      <c r="X309" s="183"/>
      <c r="Y309" s="184" t="n">
        <v>656</v>
      </c>
      <c r="Z309" s="185" t="n">
        <v>40725</v>
      </c>
      <c r="AA309" s="184" t="n">
        <v>85463</v>
      </c>
      <c r="AB309" s="185" t="n">
        <v>40725</v>
      </c>
      <c r="AC309" s="184" t="n">
        <v>36.9</v>
      </c>
      <c r="AD309" s="185" t="n">
        <v>40725</v>
      </c>
      <c r="AE309" s="196"/>
      <c r="AF309" s="185"/>
      <c r="AG309" s="184" t="n">
        <v>4.32</v>
      </c>
      <c r="AH309" s="185" t="n">
        <v>40725</v>
      </c>
      <c r="AI309" s="183"/>
      <c r="AJ309" s="183"/>
      <c r="AK309" s="182"/>
      <c r="AL309" s="182"/>
      <c r="AM309" s="184" t="n">
        <v>87</v>
      </c>
      <c r="AN309" s="183" t="n">
        <v>40630</v>
      </c>
      <c r="AO309" s="182"/>
      <c r="AP309" s="182"/>
      <c r="AQ309" s="183"/>
      <c r="AR309" s="183"/>
      <c r="AS309" s="182"/>
      <c r="AT309" s="182"/>
      <c r="AU309" s="183"/>
      <c r="AV309" s="183"/>
      <c r="AW309" s="182"/>
      <c r="AX309" s="182"/>
      <c r="AY309" s="183"/>
      <c r="AZ309" s="183"/>
      <c r="BA309" s="182"/>
      <c r="BB309" s="182"/>
      <c r="BK309" s="183"/>
      <c r="BL309" s="183"/>
      <c r="BM309" s="182"/>
      <c r="BN309" s="182"/>
      <c r="BO309" s="183"/>
      <c r="BP309" s="183"/>
      <c r="BQ309" s="182"/>
      <c r="BR309" s="182"/>
      <c r="BS309" s="184" t="n">
        <v>52.7</v>
      </c>
      <c r="BT309" s="185" t="n">
        <v>40725</v>
      </c>
      <c r="BU309" s="184" t="n">
        <v>17.8</v>
      </c>
      <c r="BV309" s="185" t="n">
        <v>40725</v>
      </c>
      <c r="CL309" s="182"/>
      <c r="CM309" s="182"/>
    </row>
    <row r="310" customFormat="false" ht="12.75" hidden="false" customHeight="false" outlineLevel="0" collapsed="false">
      <c r="A310" s="204" t="s">
        <v>579</v>
      </c>
      <c r="B310" s="193" t="s">
        <v>782</v>
      </c>
      <c r="C310" s="193" t="s">
        <v>875</v>
      </c>
      <c r="D310" s="193"/>
      <c r="E310" s="194" t="n">
        <v>4</v>
      </c>
      <c r="F310" s="195" t="n">
        <v>32</v>
      </c>
      <c r="G310" s="119"/>
      <c r="H310" s="119"/>
      <c r="J310" s="118"/>
      <c r="K310" s="118"/>
      <c r="L310" s="181"/>
      <c r="N310" s="182"/>
      <c r="O310" s="182"/>
      <c r="S310" s="184" t="n">
        <v>2103</v>
      </c>
      <c r="T310" s="185" t="n">
        <v>40725</v>
      </c>
      <c r="U310" s="182"/>
      <c r="V310" s="182"/>
      <c r="W310" s="183"/>
      <c r="X310" s="183"/>
      <c r="Y310" s="184" t="n">
        <v>675</v>
      </c>
      <c r="Z310" s="185" t="n">
        <v>40725</v>
      </c>
      <c r="AA310" s="184" t="n">
        <v>91180</v>
      </c>
      <c r="AB310" s="185" t="n">
        <v>40725</v>
      </c>
      <c r="AC310" s="184" t="n">
        <v>39.6</v>
      </c>
      <c r="AD310" s="185" t="n">
        <v>40725</v>
      </c>
      <c r="AE310" s="196"/>
      <c r="AF310" s="185"/>
      <c r="AG310" s="184" t="n">
        <v>4.35</v>
      </c>
      <c r="AH310" s="185" t="n">
        <v>40725</v>
      </c>
      <c r="AI310" s="183"/>
      <c r="AJ310" s="183"/>
      <c r="AK310" s="182"/>
      <c r="AL310" s="182"/>
      <c r="AM310" s="184" t="n">
        <v>84</v>
      </c>
      <c r="AN310" s="183" t="n">
        <v>40630</v>
      </c>
      <c r="AO310" s="182"/>
      <c r="AP310" s="182"/>
      <c r="AQ310" s="183"/>
      <c r="AR310" s="183"/>
      <c r="AS310" s="182"/>
      <c r="AT310" s="182"/>
      <c r="AU310" s="183"/>
      <c r="AV310" s="183"/>
      <c r="AW310" s="182"/>
      <c r="AX310" s="182"/>
      <c r="AY310" s="183"/>
      <c r="AZ310" s="183"/>
      <c r="BA310" s="182"/>
      <c r="BB310" s="182"/>
      <c r="BK310" s="183"/>
      <c r="BL310" s="183"/>
      <c r="BM310" s="182"/>
      <c r="BN310" s="182"/>
      <c r="BO310" s="183"/>
      <c r="BP310" s="183"/>
      <c r="BQ310" s="182"/>
      <c r="BR310" s="182"/>
      <c r="BS310" s="184" t="n">
        <v>53.1</v>
      </c>
      <c r="BT310" s="185" t="n">
        <v>40725</v>
      </c>
      <c r="BU310" s="184" t="n">
        <v>17</v>
      </c>
      <c r="BV310" s="185" t="n">
        <v>40725</v>
      </c>
      <c r="CL310" s="182"/>
      <c r="CM310" s="182"/>
    </row>
    <row r="311" customFormat="false" ht="12.75" hidden="false" customHeight="false" outlineLevel="0" collapsed="false">
      <c r="A311" s="204" t="s">
        <v>579</v>
      </c>
      <c r="B311" s="193" t="s">
        <v>782</v>
      </c>
      <c r="C311" s="193" t="s">
        <v>876</v>
      </c>
      <c r="D311" s="193"/>
      <c r="E311" s="194" t="n">
        <v>8</v>
      </c>
      <c r="F311" s="195" t="n">
        <v>51</v>
      </c>
      <c r="G311" s="119"/>
      <c r="H311" s="119"/>
      <c r="J311" s="118"/>
      <c r="K311" s="118"/>
      <c r="L311" s="181"/>
      <c r="N311" s="182"/>
      <c r="O311" s="182"/>
      <c r="S311" s="184" t="n">
        <v>1925</v>
      </c>
      <c r="T311" s="185" t="n">
        <v>40725</v>
      </c>
      <c r="U311" s="182"/>
      <c r="V311" s="182"/>
      <c r="W311" s="183"/>
      <c r="X311" s="183"/>
      <c r="Y311" s="184" t="n">
        <v>449</v>
      </c>
      <c r="Z311" s="185" t="n">
        <v>40725</v>
      </c>
      <c r="AA311" s="184" t="n">
        <v>77653</v>
      </c>
      <c r="AB311" s="185" t="n">
        <v>40725</v>
      </c>
      <c r="AC311" s="184" t="n">
        <v>34</v>
      </c>
      <c r="AD311" s="185" t="n">
        <v>40725</v>
      </c>
      <c r="AE311" s="196"/>
      <c r="AF311" s="185"/>
      <c r="AG311" s="184" t="n">
        <v>4.38</v>
      </c>
      <c r="AH311" s="185" t="n">
        <v>40725</v>
      </c>
      <c r="AI311" s="183"/>
      <c r="AJ311" s="183"/>
      <c r="AK311" s="182"/>
      <c r="AL311" s="182"/>
      <c r="AM311" s="184" t="n">
        <v>85</v>
      </c>
      <c r="AN311" s="183" t="n">
        <v>40630</v>
      </c>
      <c r="AO311" s="182"/>
      <c r="AP311" s="182"/>
      <c r="AQ311" s="183"/>
      <c r="AR311" s="183"/>
      <c r="AS311" s="182"/>
      <c r="AT311" s="182"/>
      <c r="AU311" s="183"/>
      <c r="AV311" s="183"/>
      <c r="AW311" s="182"/>
      <c r="AX311" s="182"/>
      <c r="AY311" s="183"/>
      <c r="AZ311" s="183"/>
      <c r="BA311" s="182"/>
      <c r="BB311" s="182"/>
      <c r="BK311" s="183"/>
      <c r="BL311" s="183"/>
      <c r="BM311" s="182"/>
      <c r="BN311" s="182"/>
      <c r="BO311" s="183"/>
      <c r="BP311" s="183"/>
      <c r="BQ311" s="182"/>
      <c r="BR311" s="182"/>
      <c r="BS311" s="184" t="n">
        <v>56.6</v>
      </c>
      <c r="BT311" s="185" t="n">
        <v>40725</v>
      </c>
      <c r="BU311" s="184" t="n">
        <v>13.2</v>
      </c>
      <c r="BV311" s="185" t="n">
        <v>40725</v>
      </c>
      <c r="CL311" s="182"/>
      <c r="CM311" s="182"/>
    </row>
    <row r="312" customFormat="false" ht="12.75" hidden="false" customHeight="false" outlineLevel="0" collapsed="false">
      <c r="A312" s="204" t="s">
        <v>579</v>
      </c>
      <c r="B312" s="193" t="s">
        <v>782</v>
      </c>
      <c r="C312" s="193" t="s">
        <v>877</v>
      </c>
      <c r="D312" s="193"/>
      <c r="E312" s="119" t="n">
        <v>18</v>
      </c>
      <c r="F312" s="195" t="n">
        <v>70</v>
      </c>
      <c r="G312" s="119"/>
      <c r="H312" s="119"/>
      <c r="J312" s="118"/>
      <c r="K312" s="118"/>
      <c r="L312" s="181"/>
      <c r="N312" s="182"/>
      <c r="O312" s="182"/>
      <c r="S312" s="184" t="n">
        <v>1953</v>
      </c>
      <c r="T312" s="185" t="n">
        <v>40725</v>
      </c>
      <c r="U312" s="182"/>
      <c r="V312" s="182"/>
      <c r="W312" s="183"/>
      <c r="X312" s="183"/>
      <c r="Y312" s="184" t="n">
        <v>650</v>
      </c>
      <c r="Z312" s="185" t="n">
        <v>40725</v>
      </c>
      <c r="AA312" s="184" t="n">
        <v>86376</v>
      </c>
      <c r="AB312" s="185" t="n">
        <v>40725</v>
      </c>
      <c r="AC312" s="184" t="n">
        <v>37.4</v>
      </c>
      <c r="AD312" s="185" t="n">
        <v>40725</v>
      </c>
      <c r="AE312" s="196"/>
      <c r="AF312" s="185"/>
      <c r="AG312" s="184" t="n">
        <v>4.33</v>
      </c>
      <c r="AH312" s="185" t="n">
        <v>40725</v>
      </c>
      <c r="AI312" s="183"/>
      <c r="AJ312" s="183"/>
      <c r="AK312" s="182"/>
      <c r="AL312" s="182"/>
      <c r="AM312" s="184" t="n">
        <v>82</v>
      </c>
      <c r="AN312" s="183" t="n">
        <v>40630</v>
      </c>
      <c r="AO312" s="182"/>
      <c r="AP312" s="182"/>
      <c r="AQ312" s="183"/>
      <c r="AR312" s="183"/>
      <c r="AS312" s="182"/>
      <c r="AT312" s="182"/>
      <c r="AU312" s="183"/>
      <c r="AV312" s="183"/>
      <c r="AW312" s="182"/>
      <c r="AX312" s="182"/>
      <c r="AY312" s="183"/>
      <c r="AZ312" s="183"/>
      <c r="BA312" s="182"/>
      <c r="BB312" s="182"/>
      <c r="BK312" s="183"/>
      <c r="BL312" s="183"/>
      <c r="BM312" s="182"/>
      <c r="BN312" s="182"/>
      <c r="BO312" s="183"/>
      <c r="BP312" s="183"/>
      <c r="BQ312" s="182"/>
      <c r="BR312" s="182"/>
      <c r="BS312" s="184" t="n">
        <v>52.2</v>
      </c>
      <c r="BT312" s="185" t="n">
        <v>40725</v>
      </c>
      <c r="BU312" s="184" t="n">
        <v>17.4</v>
      </c>
      <c r="BV312" s="185" t="n">
        <v>40725</v>
      </c>
      <c r="CL312" s="182"/>
      <c r="CM312" s="182"/>
    </row>
    <row r="313" customFormat="false" ht="12.75" hidden="false" customHeight="false" outlineLevel="0" collapsed="false">
      <c r="A313" s="204" t="s">
        <v>579</v>
      </c>
      <c r="B313" s="193" t="s">
        <v>785</v>
      </c>
      <c r="C313" s="193" t="s">
        <v>875</v>
      </c>
      <c r="D313" s="193"/>
      <c r="E313" s="194" t="n">
        <v>7</v>
      </c>
      <c r="F313" s="195" t="n">
        <v>5</v>
      </c>
      <c r="G313" s="119"/>
      <c r="H313" s="119"/>
      <c r="J313" s="118"/>
      <c r="K313" s="118"/>
      <c r="L313" s="181"/>
      <c r="N313" s="182"/>
      <c r="O313" s="182"/>
      <c r="S313" s="184" t="n">
        <v>2623</v>
      </c>
      <c r="T313" s="185" t="n">
        <v>40725</v>
      </c>
      <c r="U313" s="182"/>
      <c r="V313" s="182"/>
      <c r="W313" s="183"/>
      <c r="X313" s="183"/>
      <c r="Y313" s="184" t="n">
        <v>870</v>
      </c>
      <c r="Z313" s="185" t="n">
        <v>40725</v>
      </c>
      <c r="AA313" s="184" t="n">
        <v>110775</v>
      </c>
      <c r="AB313" s="185" t="n">
        <v>40725</v>
      </c>
      <c r="AC313" s="184" t="n">
        <v>50.4</v>
      </c>
      <c r="AD313" s="185" t="n">
        <v>40725</v>
      </c>
      <c r="AE313" s="196"/>
      <c r="AF313" s="185"/>
      <c r="AG313" s="184" t="n">
        <v>4.55</v>
      </c>
      <c r="AH313" s="185" t="n">
        <v>40725</v>
      </c>
      <c r="AI313" s="183"/>
      <c r="AJ313" s="183"/>
      <c r="AK313" s="182"/>
      <c r="AL313" s="182"/>
      <c r="AM313" s="184" t="n">
        <v>85</v>
      </c>
      <c r="AN313" s="183" t="n">
        <v>40630</v>
      </c>
      <c r="AO313" s="182"/>
      <c r="AP313" s="182"/>
      <c r="AQ313" s="183"/>
      <c r="AR313" s="183"/>
      <c r="AS313" s="182"/>
      <c r="AT313" s="182"/>
      <c r="AU313" s="183"/>
      <c r="AV313" s="183"/>
      <c r="AW313" s="182"/>
      <c r="AX313" s="182"/>
      <c r="AY313" s="183"/>
      <c r="AZ313" s="183"/>
      <c r="BA313" s="182"/>
      <c r="BB313" s="182"/>
      <c r="BK313" s="183"/>
      <c r="BL313" s="183"/>
      <c r="BM313" s="182"/>
      <c r="BN313" s="182"/>
      <c r="BO313" s="183"/>
      <c r="BP313" s="183"/>
      <c r="BQ313" s="182"/>
      <c r="BR313" s="182"/>
      <c r="BS313" s="184" t="n">
        <v>52.1</v>
      </c>
      <c r="BT313" s="185" t="n">
        <v>40725</v>
      </c>
      <c r="BU313" s="184" t="n">
        <v>17.3</v>
      </c>
      <c r="BV313" s="185" t="n">
        <v>40725</v>
      </c>
      <c r="CL313" s="182"/>
      <c r="CM313" s="182"/>
    </row>
    <row r="314" customFormat="false" ht="12.75" hidden="false" customHeight="false" outlineLevel="0" collapsed="false">
      <c r="A314" s="204" t="s">
        <v>579</v>
      </c>
      <c r="B314" s="193" t="s">
        <v>785</v>
      </c>
      <c r="C314" s="193" t="s">
        <v>876</v>
      </c>
      <c r="D314" s="193"/>
      <c r="E314" s="194" t="n">
        <v>2</v>
      </c>
      <c r="F314" s="195" t="n">
        <v>41</v>
      </c>
      <c r="G314" s="119"/>
      <c r="H314" s="119"/>
      <c r="J314" s="118"/>
      <c r="K314" s="118"/>
      <c r="L314" s="181"/>
      <c r="N314" s="182"/>
      <c r="O314" s="182"/>
      <c r="S314" s="184" t="n">
        <v>2547</v>
      </c>
      <c r="T314" s="185" t="n">
        <v>40725</v>
      </c>
      <c r="U314" s="182"/>
      <c r="V314" s="182"/>
      <c r="W314" s="183"/>
      <c r="X314" s="183"/>
      <c r="Y314" s="184" t="n">
        <v>844</v>
      </c>
      <c r="Z314" s="185" t="n">
        <v>40725</v>
      </c>
      <c r="AA314" s="184" t="n">
        <v>104602</v>
      </c>
      <c r="AB314" s="185" t="n">
        <v>40725</v>
      </c>
      <c r="AC314" s="184" t="n">
        <v>48.7</v>
      </c>
      <c r="AD314" s="185" t="n">
        <v>40725</v>
      </c>
      <c r="AE314" s="196"/>
      <c r="AF314" s="185"/>
      <c r="AG314" s="184" t="n">
        <v>4.65</v>
      </c>
      <c r="AH314" s="185" t="n">
        <v>40725</v>
      </c>
      <c r="AI314" s="183"/>
      <c r="AJ314" s="183"/>
      <c r="AK314" s="182"/>
      <c r="AL314" s="182"/>
      <c r="AM314" s="184" t="n">
        <v>84</v>
      </c>
      <c r="AN314" s="183" t="n">
        <v>40630</v>
      </c>
      <c r="AO314" s="182"/>
      <c r="AP314" s="182"/>
      <c r="AQ314" s="183"/>
      <c r="AR314" s="183"/>
      <c r="AS314" s="182"/>
      <c r="AT314" s="182"/>
      <c r="AU314" s="183"/>
      <c r="AV314" s="183"/>
      <c r="AW314" s="182"/>
      <c r="AX314" s="182"/>
      <c r="AY314" s="183"/>
      <c r="AZ314" s="183"/>
      <c r="BA314" s="182"/>
      <c r="BB314" s="182"/>
      <c r="BK314" s="183"/>
      <c r="BL314" s="183"/>
      <c r="BM314" s="182"/>
      <c r="BN314" s="182"/>
      <c r="BO314" s="183"/>
      <c r="BP314" s="183"/>
      <c r="BQ314" s="182"/>
      <c r="BR314" s="182"/>
      <c r="BS314" s="184" t="n">
        <v>52.3</v>
      </c>
      <c r="BT314" s="185" t="n">
        <v>40725</v>
      </c>
      <c r="BU314" s="184" t="n">
        <v>17.3</v>
      </c>
      <c r="BV314" s="185" t="n">
        <v>40725</v>
      </c>
      <c r="CL314" s="182"/>
      <c r="CM314" s="182"/>
    </row>
    <row r="315" customFormat="false" ht="12.75" hidden="false" customHeight="false" outlineLevel="0" collapsed="false">
      <c r="A315" s="204" t="s">
        <v>579</v>
      </c>
      <c r="B315" s="193" t="s">
        <v>785</v>
      </c>
      <c r="C315" s="193" t="s">
        <v>877</v>
      </c>
      <c r="D315" s="193"/>
      <c r="E315" s="119" t="n">
        <v>23</v>
      </c>
      <c r="F315" s="195" t="n">
        <v>80</v>
      </c>
      <c r="G315" s="119"/>
      <c r="H315" s="119"/>
      <c r="J315" s="118"/>
      <c r="K315" s="118"/>
      <c r="L315" s="181"/>
      <c r="N315" s="182"/>
      <c r="O315" s="182"/>
      <c r="S315" s="184" t="n">
        <v>2200</v>
      </c>
      <c r="T315" s="185" t="n">
        <v>40725</v>
      </c>
      <c r="U315" s="182"/>
      <c r="V315" s="182"/>
      <c r="W315" s="183"/>
      <c r="X315" s="183"/>
      <c r="Y315" s="184" t="n">
        <v>730</v>
      </c>
      <c r="Z315" s="185" t="n">
        <v>40725</v>
      </c>
      <c r="AA315" s="184" t="n">
        <v>94338</v>
      </c>
      <c r="AB315" s="185" t="n">
        <v>40725</v>
      </c>
      <c r="AC315" s="184" t="n">
        <v>42</v>
      </c>
      <c r="AD315" s="185" t="n">
        <v>40725</v>
      </c>
      <c r="AE315" s="196"/>
      <c r="AF315" s="185"/>
      <c r="AG315" s="184" t="n">
        <v>4.45</v>
      </c>
      <c r="AH315" s="185" t="n">
        <v>40725</v>
      </c>
      <c r="AI315" s="183"/>
      <c r="AJ315" s="183"/>
      <c r="AK315" s="182"/>
      <c r="AL315" s="182"/>
      <c r="AM315" s="184" t="n">
        <v>84</v>
      </c>
      <c r="AN315" s="183" t="n">
        <v>40630</v>
      </c>
      <c r="AO315" s="182"/>
      <c r="AP315" s="182"/>
      <c r="AQ315" s="183"/>
      <c r="AR315" s="183"/>
      <c r="AS315" s="182"/>
      <c r="AT315" s="182"/>
      <c r="AU315" s="183"/>
      <c r="AV315" s="183"/>
      <c r="AW315" s="182"/>
      <c r="AX315" s="182"/>
      <c r="AY315" s="183"/>
      <c r="AZ315" s="183"/>
      <c r="BA315" s="182"/>
      <c r="BB315" s="182"/>
      <c r="BK315" s="183"/>
      <c r="BL315" s="183"/>
      <c r="BM315" s="182"/>
      <c r="BN315" s="182"/>
      <c r="BO315" s="183"/>
      <c r="BP315" s="183"/>
      <c r="BQ315" s="182"/>
      <c r="BR315" s="182"/>
      <c r="BS315" s="184" t="n">
        <v>52.4</v>
      </c>
      <c r="BT315" s="185" t="n">
        <v>40725</v>
      </c>
      <c r="BU315" s="184" t="n">
        <v>17.4</v>
      </c>
      <c r="BV315" s="185" t="n">
        <v>40725</v>
      </c>
      <c r="CL315" s="182"/>
      <c r="CM315" s="182"/>
    </row>
    <row r="316" customFormat="false" ht="12.75" hidden="false" customHeight="false" outlineLevel="0" collapsed="false">
      <c r="A316" s="204" t="s">
        <v>582</v>
      </c>
      <c r="B316" s="193" t="s">
        <v>782</v>
      </c>
      <c r="C316" s="193" t="s">
        <v>875</v>
      </c>
      <c r="D316" s="193"/>
      <c r="E316" s="194" t="n">
        <v>1</v>
      </c>
      <c r="F316" s="195" t="n">
        <v>12</v>
      </c>
      <c r="G316" s="119"/>
      <c r="H316" s="119"/>
      <c r="J316" s="118"/>
      <c r="K316" s="118"/>
      <c r="L316" s="181"/>
      <c r="N316" s="182"/>
      <c r="O316" s="182"/>
      <c r="S316" s="184" t="n">
        <v>1603</v>
      </c>
      <c r="T316" s="185" t="n">
        <v>40725</v>
      </c>
      <c r="U316" s="182"/>
      <c r="V316" s="182"/>
      <c r="W316" s="183"/>
      <c r="X316" s="183"/>
      <c r="Y316" s="184" t="n">
        <v>502</v>
      </c>
      <c r="Z316" s="185" t="n">
        <v>40725</v>
      </c>
      <c r="AA316" s="184" t="n">
        <v>78237</v>
      </c>
      <c r="AB316" s="185" t="n">
        <v>40725</v>
      </c>
      <c r="AC316" s="184" t="n">
        <v>31.3</v>
      </c>
      <c r="AD316" s="185" t="n">
        <v>40725</v>
      </c>
      <c r="AE316" s="196"/>
      <c r="AF316" s="185"/>
      <c r="AG316" s="184" t="n">
        <v>4</v>
      </c>
      <c r="AH316" s="185" t="n">
        <v>40725</v>
      </c>
      <c r="AI316" s="183"/>
      <c r="AJ316" s="183"/>
      <c r="AK316" s="182"/>
      <c r="AL316" s="182"/>
      <c r="AM316" s="184" t="n">
        <v>87</v>
      </c>
      <c r="AN316" s="183" t="n">
        <v>40630</v>
      </c>
      <c r="AO316" s="182"/>
      <c r="AP316" s="182"/>
      <c r="AQ316" s="183"/>
      <c r="AR316" s="183"/>
      <c r="AS316" s="182"/>
      <c r="AT316" s="182"/>
      <c r="AU316" s="183"/>
      <c r="AV316" s="183"/>
      <c r="AW316" s="182"/>
      <c r="AX316" s="182"/>
      <c r="AY316" s="183"/>
      <c r="AZ316" s="183"/>
      <c r="BA316" s="182"/>
      <c r="BB316" s="182"/>
      <c r="BK316" s="183"/>
      <c r="BL316" s="183"/>
      <c r="BM316" s="182"/>
      <c r="BN316" s="182"/>
      <c r="BO316" s="183"/>
      <c r="BP316" s="183"/>
      <c r="BQ316" s="182"/>
      <c r="BR316" s="182"/>
      <c r="BS316" s="184" t="n">
        <v>51.2</v>
      </c>
      <c r="BT316" s="185" t="n">
        <v>40725</v>
      </c>
      <c r="BU316" s="184" t="n">
        <v>16.1</v>
      </c>
      <c r="BV316" s="185" t="n">
        <v>40725</v>
      </c>
      <c r="CL316" s="182"/>
      <c r="CM316" s="182"/>
    </row>
    <row r="317" customFormat="false" ht="12.75" hidden="false" customHeight="false" outlineLevel="0" collapsed="false">
      <c r="A317" s="204" t="s">
        <v>582</v>
      </c>
      <c r="B317" s="193" t="s">
        <v>782</v>
      </c>
      <c r="C317" s="193" t="s">
        <v>876</v>
      </c>
      <c r="D317" s="193"/>
      <c r="E317" s="194" t="n">
        <v>6</v>
      </c>
      <c r="F317" s="195" t="n">
        <v>62</v>
      </c>
      <c r="G317" s="119"/>
      <c r="H317" s="119"/>
      <c r="J317" s="118"/>
      <c r="K317" s="118"/>
      <c r="L317" s="181"/>
      <c r="N317" s="182"/>
      <c r="O317" s="182"/>
      <c r="S317" s="184" t="n">
        <v>1578</v>
      </c>
      <c r="T317" s="185" t="n">
        <v>40725</v>
      </c>
      <c r="U317" s="182"/>
      <c r="V317" s="182"/>
      <c r="W317" s="183"/>
      <c r="X317" s="183"/>
      <c r="Y317" s="184" t="n">
        <v>428</v>
      </c>
      <c r="Z317" s="185" t="n">
        <v>40725</v>
      </c>
      <c r="AA317" s="184" t="n">
        <v>76551</v>
      </c>
      <c r="AB317" s="185" t="n">
        <v>40725</v>
      </c>
      <c r="AC317" s="184" t="n">
        <v>29.6</v>
      </c>
      <c r="AD317" s="185" t="n">
        <v>40725</v>
      </c>
      <c r="AE317" s="196"/>
      <c r="AF317" s="185"/>
      <c r="AG317" s="184" t="n">
        <v>3.86</v>
      </c>
      <c r="AH317" s="185" t="n">
        <v>40725</v>
      </c>
      <c r="AI317" s="183"/>
      <c r="AJ317" s="183"/>
      <c r="AK317" s="182"/>
      <c r="AL317" s="182"/>
      <c r="AM317" s="184" t="n">
        <v>87</v>
      </c>
      <c r="AN317" s="183" t="n">
        <v>40630</v>
      </c>
      <c r="AO317" s="182"/>
      <c r="AP317" s="182"/>
      <c r="AQ317" s="183"/>
      <c r="AR317" s="183"/>
      <c r="AS317" s="182"/>
      <c r="AT317" s="182"/>
      <c r="AU317" s="183"/>
      <c r="AV317" s="183"/>
      <c r="AW317" s="182"/>
      <c r="AX317" s="182"/>
      <c r="AY317" s="183"/>
      <c r="AZ317" s="183"/>
      <c r="BA317" s="182"/>
      <c r="BB317" s="182"/>
      <c r="BK317" s="183"/>
      <c r="BL317" s="183"/>
      <c r="BM317" s="182"/>
      <c r="BN317" s="182"/>
      <c r="BO317" s="183"/>
      <c r="BP317" s="183"/>
      <c r="BQ317" s="182"/>
      <c r="BR317" s="182"/>
      <c r="BS317" s="184" t="n">
        <v>53.4</v>
      </c>
      <c r="BT317" s="185" t="n">
        <v>40725</v>
      </c>
      <c r="BU317" s="184" t="n">
        <v>14.5</v>
      </c>
      <c r="BV317" s="185" t="n">
        <v>40725</v>
      </c>
      <c r="CL317" s="182"/>
      <c r="CM317" s="182"/>
    </row>
    <row r="318" customFormat="false" ht="12.75" hidden="false" customHeight="false" outlineLevel="0" collapsed="false">
      <c r="A318" s="204" t="s">
        <v>582</v>
      </c>
      <c r="B318" s="193" t="s">
        <v>782</v>
      </c>
      <c r="C318" s="193" t="s">
        <v>877</v>
      </c>
      <c r="D318" s="193"/>
      <c r="E318" s="119" t="n">
        <v>19</v>
      </c>
      <c r="F318" s="195" t="n">
        <v>88</v>
      </c>
      <c r="G318" s="119"/>
      <c r="H318" s="119"/>
      <c r="J318" s="118"/>
      <c r="K318" s="118"/>
      <c r="L318" s="181"/>
      <c r="N318" s="182"/>
      <c r="O318" s="182"/>
      <c r="S318" s="184" t="n">
        <v>1210</v>
      </c>
      <c r="T318" s="185" t="n">
        <v>40725</v>
      </c>
      <c r="U318" s="182"/>
      <c r="V318" s="182"/>
      <c r="W318" s="183"/>
      <c r="X318" s="183"/>
      <c r="Y318" s="184" t="n">
        <v>374</v>
      </c>
      <c r="Z318" s="185" t="n">
        <v>40725</v>
      </c>
      <c r="AA318" s="184" t="n">
        <v>58218</v>
      </c>
      <c r="AB318" s="185" t="n">
        <v>40725</v>
      </c>
      <c r="AC318" s="184" t="n">
        <v>23.5</v>
      </c>
      <c r="AD318" s="185" t="n">
        <v>40725</v>
      </c>
      <c r="AE318" s="196"/>
      <c r="AF318" s="185"/>
      <c r="AG318" s="184" t="n">
        <v>4.03</v>
      </c>
      <c r="AH318" s="185" t="n">
        <v>40725</v>
      </c>
      <c r="AI318" s="183"/>
      <c r="AJ318" s="183"/>
      <c r="AK318" s="182"/>
      <c r="AL318" s="182"/>
      <c r="AM318" s="184" t="n">
        <v>85</v>
      </c>
      <c r="AN318" s="183" t="n">
        <v>40630</v>
      </c>
      <c r="AO318" s="182"/>
      <c r="AP318" s="182"/>
      <c r="AQ318" s="183"/>
      <c r="AR318" s="183"/>
      <c r="AS318" s="182"/>
      <c r="AT318" s="182"/>
      <c r="AU318" s="183"/>
      <c r="AV318" s="183"/>
      <c r="AW318" s="182"/>
      <c r="AX318" s="182"/>
      <c r="AY318" s="183"/>
      <c r="AZ318" s="183"/>
      <c r="BA318" s="182"/>
      <c r="BB318" s="182"/>
      <c r="BK318" s="183"/>
      <c r="BL318" s="183"/>
      <c r="BM318" s="182"/>
      <c r="BN318" s="182"/>
      <c r="BO318" s="183"/>
      <c r="BP318" s="183"/>
      <c r="BQ318" s="182"/>
      <c r="BR318" s="182"/>
      <c r="BS318" s="184" t="n">
        <v>51.6</v>
      </c>
      <c r="BT318" s="185" t="n">
        <v>40725</v>
      </c>
      <c r="BU318" s="184" t="n">
        <v>15.9</v>
      </c>
      <c r="BV318" s="185" t="n">
        <v>40725</v>
      </c>
      <c r="CL318" s="182"/>
      <c r="CM318" s="182"/>
    </row>
    <row r="319" customFormat="false" ht="12.75" hidden="false" customHeight="false" outlineLevel="0" collapsed="false">
      <c r="A319" s="204" t="s">
        <v>582</v>
      </c>
      <c r="B319" s="193" t="s">
        <v>785</v>
      </c>
      <c r="C319" s="193" t="s">
        <v>875</v>
      </c>
      <c r="D319" s="193"/>
      <c r="E319" s="194" t="n">
        <v>8</v>
      </c>
      <c r="F319" s="195" t="n">
        <v>21</v>
      </c>
      <c r="G319" s="119"/>
      <c r="H319" s="119"/>
      <c r="J319" s="118"/>
      <c r="K319" s="118"/>
      <c r="L319" s="181"/>
      <c r="N319" s="182"/>
      <c r="O319" s="182"/>
      <c r="S319" s="184" t="n">
        <v>2022</v>
      </c>
      <c r="T319" s="185" t="n">
        <v>40725</v>
      </c>
      <c r="U319" s="182"/>
      <c r="V319" s="182"/>
      <c r="W319" s="183"/>
      <c r="X319" s="183"/>
      <c r="Y319" s="184" t="n">
        <v>661</v>
      </c>
      <c r="Z319" s="185" t="n">
        <v>40725</v>
      </c>
      <c r="AA319" s="184" t="n">
        <v>105041</v>
      </c>
      <c r="AB319" s="185" t="n">
        <v>40725</v>
      </c>
      <c r="AC319" s="184" t="n">
        <v>39.9</v>
      </c>
      <c r="AD319" s="185" t="n">
        <v>40725</v>
      </c>
      <c r="AE319" s="196"/>
      <c r="AF319" s="185"/>
      <c r="AG319" s="184" t="n">
        <v>3.8</v>
      </c>
      <c r="AH319" s="185" t="n">
        <v>40725</v>
      </c>
      <c r="AI319" s="183"/>
      <c r="AJ319" s="183"/>
      <c r="AK319" s="182"/>
      <c r="AL319" s="182"/>
      <c r="AM319" s="184" t="n">
        <v>89</v>
      </c>
      <c r="AN319" s="183" t="n">
        <v>40630</v>
      </c>
      <c r="AO319" s="182"/>
      <c r="AP319" s="182"/>
      <c r="AQ319" s="183"/>
      <c r="AR319" s="183"/>
      <c r="AS319" s="182"/>
      <c r="AT319" s="182"/>
      <c r="AU319" s="183"/>
      <c r="AV319" s="183"/>
      <c r="AW319" s="182"/>
      <c r="AX319" s="182"/>
      <c r="AY319" s="183"/>
      <c r="AZ319" s="183"/>
      <c r="BA319" s="182"/>
      <c r="BB319" s="182"/>
      <c r="BK319" s="183"/>
      <c r="BL319" s="183"/>
      <c r="BM319" s="182"/>
      <c r="BN319" s="182"/>
      <c r="BO319" s="183"/>
      <c r="BP319" s="183"/>
      <c r="BQ319" s="182"/>
      <c r="BR319" s="182"/>
      <c r="BS319" s="184" t="n">
        <v>50.6</v>
      </c>
      <c r="BT319" s="185" t="n">
        <v>40725</v>
      </c>
      <c r="BU319" s="184" t="n">
        <v>16.5</v>
      </c>
      <c r="BV319" s="185" t="n">
        <v>40725</v>
      </c>
      <c r="CL319" s="182"/>
      <c r="CM319" s="182"/>
    </row>
    <row r="320" customFormat="false" ht="12.75" hidden="false" customHeight="false" outlineLevel="0" collapsed="false">
      <c r="A320" s="204" t="s">
        <v>582</v>
      </c>
      <c r="B320" s="193" t="s">
        <v>785</v>
      </c>
      <c r="C320" s="193" t="s">
        <v>876</v>
      </c>
      <c r="D320" s="193"/>
      <c r="E320" s="194" t="n">
        <v>4</v>
      </c>
      <c r="F320" s="195" t="n">
        <v>57</v>
      </c>
      <c r="G320" s="119"/>
      <c r="H320" s="119"/>
      <c r="J320" s="118"/>
      <c r="K320" s="118"/>
      <c r="L320" s="181"/>
      <c r="N320" s="182"/>
      <c r="O320" s="182"/>
      <c r="S320" s="184" t="n">
        <v>1747</v>
      </c>
      <c r="T320" s="185" t="n">
        <v>40725</v>
      </c>
      <c r="U320" s="182"/>
      <c r="V320" s="182"/>
      <c r="W320" s="183"/>
      <c r="X320" s="183"/>
      <c r="Y320" s="184" t="n">
        <v>582</v>
      </c>
      <c r="Z320" s="185" t="n">
        <v>40725</v>
      </c>
      <c r="AA320" s="184" t="n">
        <v>83774</v>
      </c>
      <c r="AB320" s="185" t="n">
        <v>40725</v>
      </c>
      <c r="AC320" s="184" t="n">
        <v>34.7</v>
      </c>
      <c r="AD320" s="185" t="n">
        <v>40725</v>
      </c>
      <c r="AE320" s="196"/>
      <c r="AF320" s="185"/>
      <c r="AG320" s="184" t="n">
        <v>4.14</v>
      </c>
      <c r="AH320" s="185" t="n">
        <v>40725</v>
      </c>
      <c r="AI320" s="183"/>
      <c r="AJ320" s="183"/>
      <c r="AK320" s="182"/>
      <c r="AL320" s="182"/>
      <c r="AM320" s="184" t="n">
        <v>87</v>
      </c>
      <c r="AN320" s="183" t="n">
        <v>40630</v>
      </c>
      <c r="AO320" s="182"/>
      <c r="AP320" s="182"/>
      <c r="AQ320" s="183"/>
      <c r="AR320" s="183"/>
      <c r="AS320" s="182"/>
      <c r="AT320" s="182"/>
      <c r="AU320" s="183"/>
      <c r="AV320" s="183"/>
      <c r="AW320" s="182"/>
      <c r="AX320" s="182"/>
      <c r="AY320" s="183"/>
      <c r="AZ320" s="183"/>
      <c r="BA320" s="182"/>
      <c r="BB320" s="182"/>
      <c r="BK320" s="183"/>
      <c r="BL320" s="183"/>
      <c r="BM320" s="182"/>
      <c r="BN320" s="182"/>
      <c r="BO320" s="183"/>
      <c r="BP320" s="183"/>
      <c r="BQ320" s="182"/>
      <c r="BR320" s="182"/>
      <c r="BS320" s="184" t="n">
        <v>50.3</v>
      </c>
      <c r="BT320" s="185" t="n">
        <v>40725</v>
      </c>
      <c r="BU320" s="184" t="n">
        <v>16.8</v>
      </c>
      <c r="BV320" s="185" t="n">
        <v>40725</v>
      </c>
      <c r="CL320" s="182"/>
      <c r="CM320" s="182"/>
    </row>
    <row r="321" customFormat="false" ht="12.75" hidden="false" customHeight="false" outlineLevel="0" collapsed="false">
      <c r="A321" s="204" t="s">
        <v>582</v>
      </c>
      <c r="B321" s="193" t="s">
        <v>785</v>
      </c>
      <c r="C321" s="193" t="s">
        <v>877</v>
      </c>
      <c r="D321" s="193"/>
      <c r="E321" s="119" t="n">
        <v>21</v>
      </c>
      <c r="F321" s="195" t="n">
        <v>81</v>
      </c>
      <c r="G321" s="119"/>
      <c r="H321" s="119"/>
      <c r="J321" s="118"/>
      <c r="K321" s="118"/>
      <c r="L321" s="181"/>
      <c r="N321" s="182"/>
      <c r="O321" s="182"/>
      <c r="S321" s="184" t="n">
        <v>1871</v>
      </c>
      <c r="T321" s="185" t="n">
        <v>40725</v>
      </c>
      <c r="U321" s="182"/>
      <c r="V321" s="182"/>
      <c r="W321" s="183"/>
      <c r="X321" s="183"/>
      <c r="Y321" s="184" t="n">
        <v>666</v>
      </c>
      <c r="Z321" s="185" t="n">
        <v>40725</v>
      </c>
      <c r="AA321" s="184" t="n">
        <v>92408</v>
      </c>
      <c r="AB321" s="185" t="n">
        <v>40725</v>
      </c>
      <c r="AC321" s="184" t="n">
        <v>37.8</v>
      </c>
      <c r="AD321" s="185" t="n">
        <v>40725</v>
      </c>
      <c r="AE321" s="196"/>
      <c r="AF321" s="185"/>
      <c r="AG321" s="184" t="n">
        <v>4.09</v>
      </c>
      <c r="AH321" s="185" t="n">
        <v>40725</v>
      </c>
      <c r="AI321" s="183"/>
      <c r="AJ321" s="183"/>
      <c r="AK321" s="182"/>
      <c r="AL321" s="182"/>
      <c r="AM321" s="184" t="n">
        <v>87</v>
      </c>
      <c r="AN321" s="183" t="n">
        <v>40630</v>
      </c>
      <c r="AO321" s="182"/>
      <c r="AP321" s="182"/>
      <c r="AQ321" s="183"/>
      <c r="AR321" s="183"/>
      <c r="AS321" s="182"/>
      <c r="AT321" s="182"/>
      <c r="AU321" s="183"/>
      <c r="AV321" s="183"/>
      <c r="AW321" s="182"/>
      <c r="AX321" s="182"/>
      <c r="AY321" s="183"/>
      <c r="AZ321" s="183"/>
      <c r="BA321" s="182"/>
      <c r="BB321" s="182"/>
      <c r="BK321" s="183"/>
      <c r="BL321" s="183"/>
      <c r="BM321" s="182"/>
      <c r="BN321" s="182"/>
      <c r="BO321" s="183"/>
      <c r="BP321" s="183"/>
      <c r="BQ321" s="182"/>
      <c r="BR321" s="182"/>
      <c r="BS321" s="184" t="n">
        <v>49.5</v>
      </c>
      <c r="BT321" s="185" t="n">
        <v>40725</v>
      </c>
      <c r="BU321" s="184" t="n">
        <v>17.6</v>
      </c>
      <c r="BV321" s="185" t="n">
        <v>40725</v>
      </c>
      <c r="CL321" s="182"/>
      <c r="CM321" s="182"/>
    </row>
    <row r="322" customFormat="false" ht="12.75" hidden="false" customHeight="false" outlineLevel="0" collapsed="false">
      <c r="A322" s="204" t="s">
        <v>585</v>
      </c>
      <c r="B322" s="193" t="s">
        <v>782</v>
      </c>
      <c r="C322" s="193" t="s">
        <v>875</v>
      </c>
      <c r="D322" s="193"/>
      <c r="E322" s="194" t="n">
        <v>2</v>
      </c>
      <c r="F322" s="195" t="n">
        <v>19</v>
      </c>
      <c r="G322" s="119"/>
      <c r="H322" s="119"/>
      <c r="J322" s="118"/>
      <c r="K322" s="118"/>
      <c r="L322" s="181"/>
      <c r="N322" s="182"/>
      <c r="O322" s="182"/>
      <c r="S322" s="184" t="n">
        <v>1613</v>
      </c>
      <c r="T322" s="185" t="n">
        <v>40725</v>
      </c>
      <c r="U322" s="182"/>
      <c r="V322" s="182"/>
      <c r="W322" s="183"/>
      <c r="X322" s="183"/>
      <c r="Y322" s="184" t="n">
        <v>464</v>
      </c>
      <c r="Z322" s="185" t="n">
        <v>40725</v>
      </c>
      <c r="AA322" s="184" t="n">
        <v>76099</v>
      </c>
      <c r="AB322" s="185" t="n">
        <v>40725</v>
      </c>
      <c r="AC322" s="184" t="n">
        <v>30.5</v>
      </c>
      <c r="AD322" s="185" t="n">
        <v>40725</v>
      </c>
      <c r="AE322" s="196"/>
      <c r="AF322" s="185"/>
      <c r="AG322" s="184" t="n">
        <v>4</v>
      </c>
      <c r="AH322" s="185" t="n">
        <v>40725</v>
      </c>
      <c r="AI322" s="183"/>
      <c r="AJ322" s="183"/>
      <c r="AK322" s="182"/>
      <c r="AL322" s="182"/>
      <c r="AM322" s="184" t="n">
        <v>77</v>
      </c>
      <c r="AN322" s="183" t="n">
        <v>40630</v>
      </c>
      <c r="AO322" s="182"/>
      <c r="AP322" s="182"/>
      <c r="AQ322" s="183"/>
      <c r="AR322" s="183"/>
      <c r="AS322" s="182"/>
      <c r="AT322" s="182"/>
      <c r="AU322" s="183"/>
      <c r="AV322" s="183"/>
      <c r="AW322" s="182"/>
      <c r="AX322" s="182"/>
      <c r="AY322" s="183"/>
      <c r="AZ322" s="183"/>
      <c r="BA322" s="182"/>
      <c r="BB322" s="182"/>
      <c r="BK322" s="183"/>
      <c r="BL322" s="183"/>
      <c r="BM322" s="182"/>
      <c r="BN322" s="182"/>
      <c r="BO322" s="183"/>
      <c r="BP322" s="183"/>
      <c r="BQ322" s="182"/>
      <c r="BR322" s="182"/>
      <c r="BS322" s="184" t="n">
        <v>53</v>
      </c>
      <c r="BT322" s="185" t="n">
        <v>40725</v>
      </c>
      <c r="BU322" s="184" t="n">
        <v>15.2</v>
      </c>
      <c r="BV322" s="185" t="n">
        <v>40725</v>
      </c>
      <c r="CL322" s="182"/>
      <c r="CM322" s="182"/>
    </row>
    <row r="323" customFormat="false" ht="12.75" hidden="false" customHeight="false" outlineLevel="0" collapsed="false">
      <c r="A323" s="204" t="s">
        <v>585</v>
      </c>
      <c r="B323" s="193" t="s">
        <v>782</v>
      </c>
      <c r="C323" s="193" t="s">
        <v>876</v>
      </c>
      <c r="D323" s="193"/>
      <c r="E323" s="194" t="n">
        <v>8</v>
      </c>
      <c r="F323" s="195" t="n">
        <v>56</v>
      </c>
      <c r="G323" s="119"/>
      <c r="H323" s="119"/>
      <c r="J323" s="118"/>
      <c r="K323" s="118"/>
      <c r="L323" s="181"/>
      <c r="N323" s="182"/>
      <c r="O323" s="182"/>
      <c r="S323" s="184" t="n">
        <v>1762</v>
      </c>
      <c r="T323" s="185" t="n">
        <v>40725</v>
      </c>
      <c r="U323" s="182"/>
      <c r="V323" s="182"/>
      <c r="W323" s="183"/>
      <c r="X323" s="183"/>
      <c r="Y323" s="184" t="n">
        <v>522</v>
      </c>
      <c r="Z323" s="185" t="n">
        <v>40725</v>
      </c>
      <c r="AA323" s="184" t="n">
        <v>80057</v>
      </c>
      <c r="AB323" s="185" t="n">
        <v>40725</v>
      </c>
      <c r="AC323" s="184" t="n">
        <v>33.4</v>
      </c>
      <c r="AD323" s="185" t="n">
        <v>40725</v>
      </c>
      <c r="AE323" s="196"/>
      <c r="AF323" s="185"/>
      <c r="AG323" s="184" t="n">
        <v>4.18</v>
      </c>
      <c r="AH323" s="185" t="n">
        <v>40725</v>
      </c>
      <c r="AI323" s="183"/>
      <c r="AJ323" s="183"/>
      <c r="AK323" s="182"/>
      <c r="AL323" s="182"/>
      <c r="AM323" s="184" t="n">
        <v>74</v>
      </c>
      <c r="AN323" s="183" t="n">
        <v>40630</v>
      </c>
      <c r="AO323" s="182"/>
      <c r="AP323" s="182"/>
      <c r="AQ323" s="183"/>
      <c r="AR323" s="183"/>
      <c r="AS323" s="182"/>
      <c r="AT323" s="182"/>
      <c r="AU323" s="183"/>
      <c r="AV323" s="183"/>
      <c r="AW323" s="182"/>
      <c r="AX323" s="182"/>
      <c r="AY323" s="183"/>
      <c r="AZ323" s="183"/>
      <c r="BA323" s="182"/>
      <c r="BB323" s="182"/>
      <c r="BK323" s="183"/>
      <c r="BL323" s="183"/>
      <c r="BM323" s="182"/>
      <c r="BN323" s="182"/>
      <c r="BO323" s="183"/>
      <c r="BP323" s="183"/>
      <c r="BQ323" s="182"/>
      <c r="BR323" s="182"/>
      <c r="BS323" s="184" t="n">
        <v>52.7</v>
      </c>
      <c r="BT323" s="185" t="n">
        <v>40725</v>
      </c>
      <c r="BU323" s="184" t="n">
        <v>15.6</v>
      </c>
      <c r="BV323" s="185" t="n">
        <v>40725</v>
      </c>
      <c r="CL323" s="182"/>
      <c r="CM323" s="182"/>
    </row>
    <row r="324" customFormat="false" ht="12.75" hidden="false" customHeight="false" outlineLevel="0" collapsed="false">
      <c r="A324" s="204" t="s">
        <v>585</v>
      </c>
      <c r="B324" s="193" t="s">
        <v>782</v>
      </c>
      <c r="C324" s="193" t="s">
        <v>877</v>
      </c>
      <c r="D324" s="193"/>
      <c r="E324" s="119" t="n">
        <v>19</v>
      </c>
      <c r="F324" s="195" t="n">
        <v>75</v>
      </c>
      <c r="G324" s="119"/>
      <c r="H324" s="119"/>
      <c r="J324" s="118"/>
      <c r="K324" s="118"/>
      <c r="L324" s="181"/>
      <c r="N324" s="182"/>
      <c r="O324" s="182"/>
      <c r="S324" s="184" t="n">
        <v>1677</v>
      </c>
      <c r="T324" s="185" t="n">
        <v>40725</v>
      </c>
      <c r="U324" s="182"/>
      <c r="V324" s="182"/>
      <c r="W324" s="183"/>
      <c r="X324" s="183"/>
      <c r="Y324" s="184" t="n">
        <v>502</v>
      </c>
      <c r="Z324" s="185" t="n">
        <v>40725</v>
      </c>
      <c r="AA324" s="184" t="n">
        <v>77702</v>
      </c>
      <c r="AB324" s="185" t="n">
        <v>40725</v>
      </c>
      <c r="AC324" s="184" t="n">
        <v>31.9</v>
      </c>
      <c r="AD324" s="185" t="n">
        <v>40725</v>
      </c>
      <c r="AE324" s="196"/>
      <c r="AF324" s="185"/>
      <c r="AG324" s="184" t="n">
        <v>4.1</v>
      </c>
      <c r="AH324" s="185" t="n">
        <v>40725</v>
      </c>
      <c r="AI324" s="183"/>
      <c r="AJ324" s="183"/>
      <c r="AK324" s="182"/>
      <c r="AL324" s="182"/>
      <c r="AM324" s="184" t="n">
        <v>77</v>
      </c>
      <c r="AN324" s="183" t="n">
        <v>40630</v>
      </c>
      <c r="AO324" s="182"/>
      <c r="AP324" s="182"/>
      <c r="AQ324" s="183"/>
      <c r="AR324" s="183"/>
      <c r="AS324" s="182"/>
      <c r="AT324" s="182"/>
      <c r="AU324" s="183"/>
      <c r="AV324" s="183"/>
      <c r="AW324" s="182"/>
      <c r="AX324" s="182"/>
      <c r="AY324" s="183"/>
      <c r="AZ324" s="183"/>
      <c r="BA324" s="182"/>
      <c r="BB324" s="182"/>
      <c r="BK324" s="183"/>
      <c r="BL324" s="183"/>
      <c r="BM324" s="182"/>
      <c r="BN324" s="182"/>
      <c r="BO324" s="183"/>
      <c r="BP324" s="183"/>
      <c r="BQ324" s="182"/>
      <c r="BR324" s="182"/>
      <c r="BS324" s="184" t="n">
        <v>52.7</v>
      </c>
      <c r="BT324" s="185" t="n">
        <v>40725</v>
      </c>
      <c r="BU324" s="184" t="n">
        <v>15.8</v>
      </c>
      <c r="BV324" s="185" t="n">
        <v>40725</v>
      </c>
      <c r="CL324" s="182"/>
      <c r="CM324" s="182"/>
    </row>
    <row r="325" customFormat="false" ht="12.75" hidden="false" customHeight="false" outlineLevel="0" collapsed="false">
      <c r="A325" s="204" t="s">
        <v>585</v>
      </c>
      <c r="B325" s="193" t="s">
        <v>785</v>
      </c>
      <c r="C325" s="193" t="s">
        <v>875</v>
      </c>
      <c r="D325" s="193"/>
      <c r="E325" s="194" t="n">
        <v>5</v>
      </c>
      <c r="F325" s="195" t="n">
        <v>16</v>
      </c>
      <c r="G325" s="119"/>
      <c r="H325" s="119"/>
      <c r="J325" s="118"/>
      <c r="K325" s="118"/>
      <c r="L325" s="181"/>
      <c r="N325" s="182"/>
      <c r="O325" s="182"/>
      <c r="S325" s="184" t="n">
        <v>2309</v>
      </c>
      <c r="T325" s="185" t="n">
        <v>40725</v>
      </c>
      <c r="U325" s="182"/>
      <c r="V325" s="182"/>
      <c r="W325" s="183"/>
      <c r="X325" s="183"/>
      <c r="Y325" s="184" t="n">
        <v>743</v>
      </c>
      <c r="Z325" s="185" t="n">
        <v>40725</v>
      </c>
      <c r="AA325" s="184" t="n">
        <v>109702</v>
      </c>
      <c r="AB325" s="185" t="n">
        <v>40725</v>
      </c>
      <c r="AC325" s="184" t="n">
        <v>44.9</v>
      </c>
      <c r="AD325" s="185" t="n">
        <v>40725</v>
      </c>
      <c r="AE325" s="196"/>
      <c r="AF325" s="185"/>
      <c r="AG325" s="184" t="n">
        <v>4.1</v>
      </c>
      <c r="AH325" s="185" t="n">
        <v>40725</v>
      </c>
      <c r="AI325" s="183"/>
      <c r="AJ325" s="183"/>
      <c r="AK325" s="182"/>
      <c r="AL325" s="182"/>
      <c r="AM325" s="184" t="n">
        <v>77</v>
      </c>
      <c r="AN325" s="183" t="n">
        <v>40630</v>
      </c>
      <c r="AO325" s="182"/>
      <c r="AP325" s="182"/>
      <c r="AQ325" s="183"/>
      <c r="AR325" s="183"/>
      <c r="AS325" s="182"/>
      <c r="AT325" s="182"/>
      <c r="AU325" s="183"/>
      <c r="AV325" s="183"/>
      <c r="AW325" s="182"/>
      <c r="AX325" s="182"/>
      <c r="AY325" s="183"/>
      <c r="AZ325" s="183"/>
      <c r="BA325" s="182"/>
      <c r="BB325" s="182"/>
      <c r="BK325" s="183"/>
      <c r="BL325" s="183"/>
      <c r="BM325" s="182"/>
      <c r="BN325" s="182"/>
      <c r="BO325" s="183"/>
      <c r="BP325" s="183"/>
      <c r="BQ325" s="182"/>
      <c r="BR325" s="182"/>
      <c r="BS325" s="184" t="n">
        <v>51.4</v>
      </c>
      <c r="BT325" s="185" t="n">
        <v>40725</v>
      </c>
      <c r="BU325" s="184" t="n">
        <v>16.5</v>
      </c>
      <c r="BV325" s="185" t="n">
        <v>40725</v>
      </c>
      <c r="CL325" s="182"/>
      <c r="CM325" s="182"/>
    </row>
    <row r="326" customFormat="false" ht="12.75" hidden="false" customHeight="false" outlineLevel="0" collapsed="false">
      <c r="A326" s="204" t="s">
        <v>585</v>
      </c>
      <c r="B326" s="193" t="s">
        <v>785</v>
      </c>
      <c r="C326" s="193" t="s">
        <v>876</v>
      </c>
      <c r="D326" s="193"/>
      <c r="E326" s="194" t="n">
        <v>3</v>
      </c>
      <c r="F326" s="195" t="n">
        <v>55</v>
      </c>
      <c r="G326" s="119"/>
      <c r="H326" s="119"/>
      <c r="J326" s="118"/>
      <c r="K326" s="118"/>
      <c r="L326" s="181"/>
      <c r="N326" s="182"/>
      <c r="O326" s="182"/>
      <c r="S326" s="184" t="n">
        <v>2197</v>
      </c>
      <c r="T326" s="185" t="n">
        <v>40725</v>
      </c>
      <c r="U326" s="182"/>
      <c r="V326" s="182"/>
      <c r="W326" s="183"/>
      <c r="X326" s="183"/>
      <c r="Y326" s="184" t="n">
        <v>696</v>
      </c>
      <c r="Z326" s="185" t="n">
        <v>40725</v>
      </c>
      <c r="AA326" s="184" t="n">
        <v>100719</v>
      </c>
      <c r="AB326" s="185" t="n">
        <v>40725</v>
      </c>
      <c r="AC326" s="184" t="n">
        <v>41.9</v>
      </c>
      <c r="AD326" s="185" t="n">
        <v>40725</v>
      </c>
      <c r="AE326" s="196"/>
      <c r="AF326" s="185"/>
      <c r="AG326" s="184" t="n">
        <v>4.16</v>
      </c>
      <c r="AH326" s="185" t="n">
        <v>40725</v>
      </c>
      <c r="AI326" s="183"/>
      <c r="AJ326" s="183"/>
      <c r="AK326" s="182"/>
      <c r="AL326" s="182"/>
      <c r="AM326" s="184" t="n">
        <v>78</v>
      </c>
      <c r="AN326" s="183" t="n">
        <v>40630</v>
      </c>
      <c r="AO326" s="182"/>
      <c r="AP326" s="182"/>
      <c r="AQ326" s="183"/>
      <c r="AR326" s="183"/>
      <c r="AS326" s="182"/>
      <c r="AT326" s="182"/>
      <c r="AU326" s="183"/>
      <c r="AV326" s="183"/>
      <c r="AW326" s="182"/>
      <c r="AX326" s="182"/>
      <c r="AY326" s="183"/>
      <c r="AZ326" s="183"/>
      <c r="BA326" s="182"/>
      <c r="BB326" s="182"/>
      <c r="BK326" s="183"/>
      <c r="BL326" s="183"/>
      <c r="BM326" s="182"/>
      <c r="BN326" s="182"/>
      <c r="BO326" s="183"/>
      <c r="BP326" s="183"/>
      <c r="BQ326" s="182"/>
      <c r="BR326" s="182"/>
      <c r="BS326" s="184" t="n">
        <v>52.5</v>
      </c>
      <c r="BT326" s="185" t="n">
        <v>40725</v>
      </c>
      <c r="BU326" s="184" t="n">
        <v>16.6</v>
      </c>
      <c r="BV326" s="185" t="n">
        <v>40725</v>
      </c>
      <c r="CL326" s="182"/>
      <c r="CM326" s="182"/>
    </row>
    <row r="327" customFormat="false" ht="12.75" hidden="false" customHeight="false" outlineLevel="0" collapsed="false">
      <c r="A327" s="204" t="s">
        <v>585</v>
      </c>
      <c r="B327" s="193" t="s">
        <v>785</v>
      </c>
      <c r="C327" s="193" t="s">
        <v>877</v>
      </c>
      <c r="D327" s="193"/>
      <c r="E327" s="119" t="n">
        <v>23</v>
      </c>
      <c r="F327" s="195" t="n">
        <v>67</v>
      </c>
      <c r="G327" s="119"/>
      <c r="H327" s="119"/>
      <c r="J327" s="118"/>
      <c r="K327" s="118"/>
      <c r="L327" s="181"/>
      <c r="N327" s="182"/>
      <c r="O327" s="182"/>
      <c r="S327" s="184" t="n">
        <v>1737</v>
      </c>
      <c r="T327" s="185" t="n">
        <v>40725</v>
      </c>
      <c r="U327" s="182"/>
      <c r="V327" s="182"/>
      <c r="W327" s="183"/>
      <c r="X327" s="183"/>
      <c r="Y327" s="184" t="n">
        <v>589</v>
      </c>
      <c r="Z327" s="185" t="n">
        <v>40725</v>
      </c>
      <c r="AA327" s="184" t="n">
        <v>79951</v>
      </c>
      <c r="AB327" s="185" t="n">
        <v>40725</v>
      </c>
      <c r="AC327" s="184" t="n">
        <v>33.7</v>
      </c>
      <c r="AD327" s="185" t="n">
        <v>40725</v>
      </c>
      <c r="AE327" s="196"/>
      <c r="AF327" s="185"/>
      <c r="AG327" s="184" t="n">
        <v>4.22</v>
      </c>
      <c r="AH327" s="185" t="n">
        <v>40725</v>
      </c>
      <c r="AI327" s="183"/>
      <c r="AJ327" s="183"/>
      <c r="AK327" s="182"/>
      <c r="AL327" s="182"/>
      <c r="AM327" s="184" t="n">
        <v>78</v>
      </c>
      <c r="AN327" s="183" t="n">
        <v>40630</v>
      </c>
      <c r="AO327" s="182"/>
      <c r="AP327" s="182"/>
      <c r="AQ327" s="183"/>
      <c r="AR327" s="183"/>
      <c r="AS327" s="182"/>
      <c r="AT327" s="182"/>
      <c r="AU327" s="183"/>
      <c r="AV327" s="183"/>
      <c r="AW327" s="182"/>
      <c r="AX327" s="182"/>
      <c r="AY327" s="183"/>
      <c r="AZ327" s="183"/>
      <c r="BA327" s="182"/>
      <c r="BB327" s="182"/>
      <c r="BK327" s="183"/>
      <c r="BL327" s="183"/>
      <c r="BM327" s="182"/>
      <c r="BN327" s="182"/>
      <c r="BO327" s="183"/>
      <c r="BP327" s="183"/>
      <c r="BQ327" s="182"/>
      <c r="BR327" s="182"/>
      <c r="BS327" s="184" t="n">
        <v>51.5</v>
      </c>
      <c r="BT327" s="185" t="n">
        <v>40725</v>
      </c>
      <c r="BU327" s="184" t="n">
        <v>17.5</v>
      </c>
      <c r="BV327" s="185" t="n">
        <v>40725</v>
      </c>
      <c r="CL327" s="182"/>
      <c r="CM327" s="182"/>
    </row>
    <row r="328" customFormat="false" ht="12.75" hidden="false" customHeight="false" outlineLevel="0" collapsed="false">
      <c r="A328" s="204" t="s">
        <v>588</v>
      </c>
      <c r="B328" s="193" t="s">
        <v>782</v>
      </c>
      <c r="C328" s="193" t="s">
        <v>875</v>
      </c>
      <c r="D328" s="193"/>
      <c r="E328" s="194" t="n">
        <v>2</v>
      </c>
      <c r="F328" s="195" t="n">
        <v>14</v>
      </c>
      <c r="G328" s="119"/>
      <c r="H328" s="119"/>
      <c r="J328" s="118"/>
      <c r="K328" s="118"/>
      <c r="L328" s="181"/>
      <c r="N328" s="182"/>
      <c r="O328" s="182"/>
      <c r="S328" s="184" t="n">
        <v>1773</v>
      </c>
      <c r="T328" s="185" t="n">
        <v>40725</v>
      </c>
      <c r="U328" s="182"/>
      <c r="V328" s="182"/>
      <c r="W328" s="183"/>
      <c r="X328" s="183"/>
      <c r="Y328" s="184" t="n">
        <v>598</v>
      </c>
      <c r="Z328" s="185" t="n">
        <v>40725</v>
      </c>
      <c r="AA328" s="184" t="n">
        <v>82417</v>
      </c>
      <c r="AB328" s="185" t="n">
        <v>40725</v>
      </c>
      <c r="AC328" s="184" t="n">
        <v>34.3</v>
      </c>
      <c r="AD328" s="185" t="n">
        <v>40725</v>
      </c>
      <c r="AE328" s="196"/>
      <c r="AF328" s="185"/>
      <c r="AG328" s="184" t="n">
        <v>4.16</v>
      </c>
      <c r="AH328" s="185" t="n">
        <v>40725</v>
      </c>
      <c r="AI328" s="183"/>
      <c r="AJ328" s="183"/>
      <c r="AK328" s="182"/>
      <c r="AL328" s="182"/>
      <c r="AM328" s="184" t="n">
        <v>87</v>
      </c>
      <c r="AN328" s="183" t="n">
        <v>40630</v>
      </c>
      <c r="AO328" s="182"/>
      <c r="AP328" s="182"/>
      <c r="AQ328" s="183"/>
      <c r="AR328" s="183"/>
      <c r="AS328" s="182"/>
      <c r="AT328" s="182"/>
      <c r="AU328" s="183"/>
      <c r="AV328" s="183"/>
      <c r="AW328" s="182"/>
      <c r="AX328" s="182"/>
      <c r="AY328" s="183"/>
      <c r="AZ328" s="183"/>
      <c r="BA328" s="182"/>
      <c r="BB328" s="182"/>
      <c r="BK328" s="183"/>
      <c r="BL328" s="183"/>
      <c r="BM328" s="182"/>
      <c r="BN328" s="182"/>
      <c r="BO328" s="183"/>
      <c r="BP328" s="183"/>
      <c r="BQ328" s="182"/>
      <c r="BR328" s="182"/>
      <c r="BS328" s="184" t="n">
        <v>51.7</v>
      </c>
      <c r="BT328" s="185" t="n">
        <v>40725</v>
      </c>
      <c r="BU328" s="184" t="n">
        <v>17.4</v>
      </c>
      <c r="BV328" s="185" t="n">
        <v>40725</v>
      </c>
      <c r="CL328" s="182"/>
      <c r="CM328" s="182"/>
    </row>
    <row r="329" customFormat="false" ht="12.75" hidden="false" customHeight="false" outlineLevel="0" collapsed="false">
      <c r="A329" s="204" t="s">
        <v>588</v>
      </c>
      <c r="B329" s="193" t="s">
        <v>782</v>
      </c>
      <c r="C329" s="193" t="s">
        <v>876</v>
      </c>
      <c r="D329" s="193"/>
      <c r="E329" s="194" t="n">
        <v>5</v>
      </c>
      <c r="F329" s="195" t="n">
        <v>42</v>
      </c>
      <c r="G329" s="119"/>
      <c r="H329" s="119"/>
      <c r="J329" s="118"/>
      <c r="K329" s="118"/>
      <c r="L329" s="181"/>
      <c r="N329" s="182"/>
      <c r="O329" s="182"/>
      <c r="S329" s="184" t="n">
        <v>2052</v>
      </c>
      <c r="T329" s="185" t="n">
        <v>40725</v>
      </c>
      <c r="U329" s="182"/>
      <c r="V329" s="182"/>
      <c r="W329" s="183"/>
      <c r="X329" s="183"/>
      <c r="Y329" s="184" t="n">
        <v>647</v>
      </c>
      <c r="Z329" s="185" t="n">
        <v>40725</v>
      </c>
      <c r="AA329" s="184" t="n">
        <v>90593</v>
      </c>
      <c r="AB329" s="185" t="n">
        <v>40725</v>
      </c>
      <c r="AC329" s="184" t="n">
        <v>39</v>
      </c>
      <c r="AD329" s="185" t="n">
        <v>40725</v>
      </c>
      <c r="AE329" s="196"/>
      <c r="AF329" s="185"/>
      <c r="AG329" s="184" t="n">
        <v>4.31</v>
      </c>
      <c r="AH329" s="185" t="n">
        <v>40725</v>
      </c>
      <c r="AI329" s="183"/>
      <c r="AJ329" s="183"/>
      <c r="AK329" s="182"/>
      <c r="AL329" s="182"/>
      <c r="AM329" s="184" t="n">
        <v>87</v>
      </c>
      <c r="AN329" s="183" t="n">
        <v>40630</v>
      </c>
      <c r="AO329" s="182"/>
      <c r="AP329" s="182"/>
      <c r="AQ329" s="183"/>
      <c r="AR329" s="183"/>
      <c r="AS329" s="182"/>
      <c r="AT329" s="182"/>
      <c r="AU329" s="183"/>
      <c r="AV329" s="183"/>
      <c r="AW329" s="182"/>
      <c r="AX329" s="182"/>
      <c r="AY329" s="183"/>
      <c r="AZ329" s="183"/>
      <c r="BA329" s="182"/>
      <c r="BB329" s="182"/>
      <c r="BK329" s="183"/>
      <c r="BL329" s="183"/>
      <c r="BM329" s="182"/>
      <c r="BN329" s="182"/>
      <c r="BO329" s="183"/>
      <c r="BP329" s="183"/>
      <c r="BQ329" s="182"/>
      <c r="BR329" s="182"/>
      <c r="BS329" s="184" t="n">
        <v>52.6</v>
      </c>
      <c r="BT329" s="185" t="n">
        <v>40725</v>
      </c>
      <c r="BU329" s="184" t="n">
        <v>16.6</v>
      </c>
      <c r="BV329" s="185" t="n">
        <v>40725</v>
      </c>
      <c r="CL329" s="182"/>
      <c r="CM329" s="182"/>
    </row>
    <row r="330" customFormat="false" ht="12.75" hidden="false" customHeight="false" outlineLevel="0" collapsed="false">
      <c r="A330" s="204" t="s">
        <v>588</v>
      </c>
      <c r="B330" s="193" t="s">
        <v>782</v>
      </c>
      <c r="C330" s="193" t="s">
        <v>877</v>
      </c>
      <c r="D330" s="193"/>
      <c r="E330" s="194" t="n">
        <v>16</v>
      </c>
      <c r="F330" s="195" t="n">
        <v>79</v>
      </c>
      <c r="G330" s="119"/>
      <c r="H330" s="119"/>
      <c r="J330" s="118"/>
      <c r="K330" s="118"/>
      <c r="L330" s="181"/>
      <c r="N330" s="182"/>
      <c r="O330" s="182"/>
      <c r="S330" s="184" t="n">
        <v>1971</v>
      </c>
      <c r="T330" s="185" t="n">
        <v>40725</v>
      </c>
      <c r="U330" s="182"/>
      <c r="V330" s="182"/>
      <c r="W330" s="183"/>
      <c r="X330" s="183"/>
      <c r="Y330" s="184" t="n">
        <v>664</v>
      </c>
      <c r="Z330" s="185" t="n">
        <v>40725</v>
      </c>
      <c r="AA330" s="184" t="n">
        <v>86886</v>
      </c>
      <c r="AB330" s="185" t="n">
        <v>40725</v>
      </c>
      <c r="AC330" s="184" t="n">
        <v>38.1</v>
      </c>
      <c r="AD330" s="185" t="n">
        <v>40725</v>
      </c>
      <c r="AE330" s="196"/>
      <c r="AF330" s="185"/>
      <c r="AG330" s="184" t="n">
        <v>4.38</v>
      </c>
      <c r="AH330" s="185" t="n">
        <v>40725</v>
      </c>
      <c r="AI330" s="183"/>
      <c r="AJ330" s="183"/>
      <c r="AK330" s="182"/>
      <c r="AL330" s="182"/>
      <c r="AM330" s="184" t="n">
        <v>87</v>
      </c>
      <c r="AN330" s="183" t="n">
        <v>40630</v>
      </c>
      <c r="AO330" s="182"/>
      <c r="AP330" s="182"/>
      <c r="AQ330" s="183"/>
      <c r="AR330" s="183"/>
      <c r="AS330" s="182"/>
      <c r="AT330" s="182"/>
      <c r="AU330" s="183"/>
      <c r="AV330" s="183"/>
      <c r="AW330" s="182"/>
      <c r="AX330" s="182"/>
      <c r="AY330" s="183"/>
      <c r="AZ330" s="183"/>
      <c r="BA330" s="182"/>
      <c r="BB330" s="182"/>
      <c r="BK330" s="183"/>
      <c r="BL330" s="183"/>
      <c r="BM330" s="182"/>
      <c r="BN330" s="182"/>
      <c r="BO330" s="183"/>
      <c r="BP330" s="183"/>
      <c r="BQ330" s="182"/>
      <c r="BR330" s="182"/>
      <c r="BS330" s="184" t="n">
        <v>51.7</v>
      </c>
      <c r="BT330" s="185" t="n">
        <v>40725</v>
      </c>
      <c r="BU330" s="184" t="n">
        <v>17.4</v>
      </c>
      <c r="BV330" s="185" t="n">
        <v>40725</v>
      </c>
      <c r="CL330" s="182"/>
      <c r="CM330" s="182"/>
    </row>
    <row r="331" customFormat="false" ht="12.75" hidden="false" customHeight="false" outlineLevel="0" collapsed="false">
      <c r="A331" s="204" t="s">
        <v>588</v>
      </c>
      <c r="B331" s="193" t="s">
        <v>785</v>
      </c>
      <c r="C331" s="193" t="s">
        <v>875</v>
      </c>
      <c r="D331" s="193"/>
      <c r="E331" s="194" t="n">
        <v>6</v>
      </c>
      <c r="F331" s="195" t="n">
        <v>2</v>
      </c>
      <c r="G331" s="119"/>
      <c r="H331" s="119"/>
      <c r="J331" s="118"/>
      <c r="K331" s="118"/>
      <c r="L331" s="181"/>
      <c r="N331" s="182"/>
      <c r="O331" s="182"/>
      <c r="S331" s="184" t="n">
        <v>2249</v>
      </c>
      <c r="T331" s="185" t="n">
        <v>40725</v>
      </c>
      <c r="U331" s="182"/>
      <c r="V331" s="182"/>
      <c r="W331" s="183"/>
      <c r="X331" s="183"/>
      <c r="Y331" s="184" t="n">
        <v>768</v>
      </c>
      <c r="Z331" s="185" t="n">
        <v>40725</v>
      </c>
      <c r="AA331" s="184" t="n">
        <v>97340</v>
      </c>
      <c r="AB331" s="185" t="n">
        <v>40725</v>
      </c>
      <c r="AC331" s="184" t="n">
        <v>43.7</v>
      </c>
      <c r="AD331" s="185" t="n">
        <v>40725</v>
      </c>
      <c r="AE331" s="196"/>
      <c r="AF331" s="185"/>
      <c r="AG331" s="184" t="n">
        <v>4.49</v>
      </c>
      <c r="AH331" s="185" t="n">
        <v>40725</v>
      </c>
      <c r="AI331" s="183"/>
      <c r="AJ331" s="183"/>
      <c r="AK331" s="182"/>
      <c r="AL331" s="182"/>
      <c r="AM331" s="184" t="n">
        <v>89</v>
      </c>
      <c r="AN331" s="183" t="n">
        <v>40630</v>
      </c>
      <c r="AO331" s="182"/>
      <c r="AP331" s="182"/>
      <c r="AQ331" s="183"/>
      <c r="AR331" s="183"/>
      <c r="AS331" s="182"/>
      <c r="AT331" s="182"/>
      <c r="AU331" s="183"/>
      <c r="AV331" s="183"/>
      <c r="AW331" s="182"/>
      <c r="AX331" s="182"/>
      <c r="AY331" s="183"/>
      <c r="AZ331" s="183"/>
      <c r="BA331" s="182"/>
      <c r="BB331" s="182"/>
      <c r="BK331" s="183"/>
      <c r="BL331" s="183"/>
      <c r="BM331" s="182"/>
      <c r="BN331" s="182"/>
      <c r="BO331" s="183"/>
      <c r="BP331" s="183"/>
      <c r="BQ331" s="182"/>
      <c r="BR331" s="182"/>
      <c r="BS331" s="184" t="n">
        <v>51.4</v>
      </c>
      <c r="BT331" s="185" t="n">
        <v>40725</v>
      </c>
      <c r="BU331" s="184" t="n">
        <v>17.6</v>
      </c>
      <c r="BV331" s="185" t="n">
        <v>40725</v>
      </c>
      <c r="CL331" s="182"/>
      <c r="CM331" s="182"/>
    </row>
    <row r="332" customFormat="false" ht="12.75" hidden="false" customHeight="false" outlineLevel="0" collapsed="false">
      <c r="A332" s="204" t="s">
        <v>588</v>
      </c>
      <c r="B332" s="193" t="s">
        <v>785</v>
      </c>
      <c r="C332" s="193" t="s">
        <v>876</v>
      </c>
      <c r="D332" s="193"/>
      <c r="E332" s="194" t="n">
        <v>2</v>
      </c>
      <c r="F332" s="195" t="n">
        <v>63</v>
      </c>
      <c r="G332" s="119"/>
      <c r="H332" s="119"/>
      <c r="J332" s="118"/>
      <c r="K332" s="118"/>
      <c r="L332" s="181"/>
      <c r="N332" s="182"/>
      <c r="O332" s="182"/>
      <c r="S332" s="184" t="n">
        <v>1462</v>
      </c>
      <c r="T332" s="185" t="n">
        <v>40725</v>
      </c>
      <c r="U332" s="182"/>
      <c r="V332" s="182"/>
      <c r="W332" s="183"/>
      <c r="X332" s="183"/>
      <c r="Y332" s="184" t="n">
        <v>505</v>
      </c>
      <c r="Z332" s="185" t="n">
        <v>40725</v>
      </c>
      <c r="AA332" s="184" t="n">
        <v>62153</v>
      </c>
      <c r="AB332" s="185" t="n">
        <v>40725</v>
      </c>
      <c r="AC332" s="184" t="n">
        <v>28.5</v>
      </c>
      <c r="AD332" s="185" t="n">
        <v>40725</v>
      </c>
      <c r="AE332" s="196"/>
      <c r="AF332" s="185"/>
      <c r="AG332" s="184" t="n">
        <v>4.58</v>
      </c>
      <c r="AH332" s="185" t="n">
        <v>40725</v>
      </c>
      <c r="AI332" s="183"/>
      <c r="AJ332" s="183"/>
      <c r="AK332" s="182"/>
      <c r="AL332" s="182"/>
      <c r="AM332" s="184" t="n">
        <v>87</v>
      </c>
      <c r="AN332" s="183" t="n">
        <v>40630</v>
      </c>
      <c r="AO332" s="182"/>
      <c r="AP332" s="182"/>
      <c r="AQ332" s="183"/>
      <c r="AR332" s="183"/>
      <c r="AS332" s="182"/>
      <c r="AT332" s="182"/>
      <c r="AU332" s="183"/>
      <c r="AV332" s="183"/>
      <c r="AW332" s="182"/>
      <c r="AX332" s="182"/>
      <c r="AY332" s="183"/>
      <c r="AZ332" s="183"/>
      <c r="BA332" s="182"/>
      <c r="BB332" s="182"/>
      <c r="BK332" s="183"/>
      <c r="BL332" s="183"/>
      <c r="BM332" s="182"/>
      <c r="BN332" s="182"/>
      <c r="BO332" s="183"/>
      <c r="BP332" s="183"/>
      <c r="BQ332" s="182"/>
      <c r="BR332" s="182"/>
      <c r="BS332" s="184" t="n">
        <v>51.3</v>
      </c>
      <c r="BT332" s="185" t="n">
        <v>40725</v>
      </c>
      <c r="BU332" s="184" t="n">
        <v>17.7</v>
      </c>
      <c r="BV332" s="185" t="n">
        <v>40725</v>
      </c>
      <c r="CL332" s="182"/>
      <c r="CM332" s="182"/>
    </row>
    <row r="333" customFormat="false" ht="12.75" hidden="false" customHeight="false" outlineLevel="0" collapsed="false">
      <c r="A333" s="204" t="s">
        <v>588</v>
      </c>
      <c r="B333" s="193" t="s">
        <v>785</v>
      </c>
      <c r="C333" s="193" t="s">
        <v>877</v>
      </c>
      <c r="D333" s="193"/>
      <c r="E333" s="119" t="n">
        <v>22</v>
      </c>
      <c r="F333" s="195" t="n">
        <v>66</v>
      </c>
      <c r="G333" s="119"/>
      <c r="H333" s="119"/>
      <c r="J333" s="118"/>
      <c r="K333" s="118"/>
      <c r="L333" s="181"/>
      <c r="N333" s="182"/>
      <c r="O333" s="182"/>
      <c r="S333" s="184" t="n">
        <v>2084</v>
      </c>
      <c r="T333" s="185" t="n">
        <v>40725</v>
      </c>
      <c r="U333" s="182"/>
      <c r="V333" s="182"/>
      <c r="W333" s="183"/>
      <c r="X333" s="183"/>
      <c r="Y333" s="184" t="n">
        <v>675</v>
      </c>
      <c r="Z333" s="185" t="n">
        <v>40725</v>
      </c>
      <c r="AA333" s="184" t="n">
        <v>90034</v>
      </c>
      <c r="AB333" s="185" t="n">
        <v>40725</v>
      </c>
      <c r="AC333" s="184" t="n">
        <v>39.9</v>
      </c>
      <c r="AD333" s="185" t="n">
        <v>40725</v>
      </c>
      <c r="AE333" s="196"/>
      <c r="AF333" s="185"/>
      <c r="AG333" s="184" t="n">
        <v>4.43</v>
      </c>
      <c r="AH333" s="185" t="n">
        <v>40725</v>
      </c>
      <c r="AI333" s="183"/>
      <c r="AJ333" s="183"/>
      <c r="AK333" s="182"/>
      <c r="AL333" s="182"/>
      <c r="AM333" s="184" t="n">
        <v>87</v>
      </c>
      <c r="AN333" s="183" t="n">
        <v>40630</v>
      </c>
      <c r="AO333" s="182"/>
      <c r="AP333" s="182"/>
      <c r="AQ333" s="183"/>
      <c r="AR333" s="183"/>
      <c r="AS333" s="182"/>
      <c r="AT333" s="182"/>
      <c r="AU333" s="183"/>
      <c r="AV333" s="183"/>
      <c r="AW333" s="182"/>
      <c r="AX333" s="182"/>
      <c r="AY333" s="183"/>
      <c r="AZ333" s="183"/>
      <c r="BA333" s="182"/>
      <c r="BB333" s="182"/>
      <c r="BK333" s="183"/>
      <c r="BL333" s="183"/>
      <c r="BM333" s="182"/>
      <c r="BN333" s="182"/>
      <c r="BO333" s="183"/>
      <c r="BP333" s="183"/>
      <c r="BQ333" s="182"/>
      <c r="BR333" s="182"/>
      <c r="BS333" s="184" t="n">
        <v>52.2</v>
      </c>
      <c r="BT333" s="185" t="n">
        <v>40725</v>
      </c>
      <c r="BU333" s="184" t="n">
        <v>16.9</v>
      </c>
      <c r="BV333" s="185" t="n">
        <v>40725</v>
      </c>
      <c r="CL333" s="182"/>
      <c r="CM333" s="182"/>
    </row>
    <row r="334" customFormat="false" ht="12.75" hidden="false" customHeight="false" outlineLevel="0" collapsed="false">
      <c r="A334" s="204" t="s">
        <v>591</v>
      </c>
      <c r="B334" s="193" t="s">
        <v>782</v>
      </c>
      <c r="C334" s="193" t="s">
        <v>875</v>
      </c>
      <c r="D334" s="193"/>
      <c r="E334" s="194" t="n">
        <v>2</v>
      </c>
      <c r="F334" s="195" t="n">
        <v>12</v>
      </c>
      <c r="G334" s="119"/>
      <c r="H334" s="119"/>
      <c r="J334" s="118"/>
      <c r="K334" s="118"/>
      <c r="L334" s="181"/>
      <c r="N334" s="182"/>
      <c r="O334" s="182"/>
      <c r="S334" s="184" t="n">
        <v>1514</v>
      </c>
      <c r="T334" s="185" t="n">
        <v>40725</v>
      </c>
      <c r="U334" s="182"/>
      <c r="V334" s="182"/>
      <c r="W334" s="183"/>
      <c r="X334" s="183"/>
      <c r="Y334" s="184" t="n">
        <v>522</v>
      </c>
      <c r="Z334" s="185" t="n">
        <v>40725</v>
      </c>
      <c r="AA334" s="184" t="n">
        <v>79359</v>
      </c>
      <c r="AB334" s="185" t="n">
        <v>40725</v>
      </c>
      <c r="AC334" s="184" t="n">
        <v>30.4</v>
      </c>
      <c r="AD334" s="185" t="n">
        <v>40725</v>
      </c>
      <c r="AE334" s="196"/>
      <c r="AF334" s="185"/>
      <c r="AG334" s="184" t="n">
        <v>3.83</v>
      </c>
      <c r="AH334" s="185" t="n">
        <v>40725</v>
      </c>
      <c r="AI334" s="183"/>
      <c r="AJ334" s="183"/>
      <c r="AK334" s="182"/>
      <c r="AL334" s="182"/>
      <c r="AM334" s="184" t="n">
        <v>77</v>
      </c>
      <c r="AN334" s="183" t="n">
        <v>40630</v>
      </c>
      <c r="AO334" s="182"/>
      <c r="AP334" s="182"/>
      <c r="AQ334" s="183"/>
      <c r="AR334" s="183"/>
      <c r="AS334" s="182"/>
      <c r="AT334" s="182"/>
      <c r="AU334" s="183"/>
      <c r="AV334" s="183"/>
      <c r="AW334" s="182"/>
      <c r="AX334" s="182"/>
      <c r="AY334" s="183"/>
      <c r="AZ334" s="183"/>
      <c r="BA334" s="182"/>
      <c r="BB334" s="182"/>
      <c r="BK334" s="183"/>
      <c r="BL334" s="183"/>
      <c r="BM334" s="182"/>
      <c r="BN334" s="182"/>
      <c r="BO334" s="183"/>
      <c r="BP334" s="183"/>
      <c r="BQ334" s="182"/>
      <c r="BR334" s="182"/>
      <c r="BS334" s="184" t="n">
        <v>49.8</v>
      </c>
      <c r="BT334" s="185" t="n">
        <v>40725</v>
      </c>
      <c r="BU334" s="184" t="n">
        <v>17.2</v>
      </c>
      <c r="BV334" s="185" t="n">
        <v>40725</v>
      </c>
      <c r="CL334" s="182"/>
      <c r="CM334" s="182"/>
    </row>
    <row r="335" customFormat="false" ht="12.75" hidden="false" customHeight="false" outlineLevel="0" collapsed="false">
      <c r="A335" s="204" t="s">
        <v>591</v>
      </c>
      <c r="B335" s="193" t="s">
        <v>782</v>
      </c>
      <c r="C335" s="193" t="s">
        <v>876</v>
      </c>
      <c r="D335" s="193"/>
      <c r="E335" s="194" t="n">
        <v>7</v>
      </c>
      <c r="F335" s="195" t="n">
        <v>36</v>
      </c>
      <c r="G335" s="119"/>
      <c r="H335" s="119"/>
      <c r="J335" s="118"/>
      <c r="K335" s="118"/>
      <c r="L335" s="181"/>
      <c r="N335" s="182"/>
      <c r="O335" s="182"/>
      <c r="S335" s="184" t="n">
        <v>1507</v>
      </c>
      <c r="T335" s="185" t="n">
        <v>40725</v>
      </c>
      <c r="U335" s="182"/>
      <c r="V335" s="182"/>
      <c r="W335" s="183"/>
      <c r="X335" s="183"/>
      <c r="Y335" s="184" t="n">
        <v>466</v>
      </c>
      <c r="Z335" s="185" t="n">
        <v>40725</v>
      </c>
      <c r="AA335" s="184" t="n">
        <v>74009</v>
      </c>
      <c r="AB335" s="185" t="n">
        <v>40725</v>
      </c>
      <c r="AC335" s="184" t="n">
        <v>29.2</v>
      </c>
      <c r="AD335" s="185" t="n">
        <v>40725</v>
      </c>
      <c r="AE335" s="196"/>
      <c r="AF335" s="185"/>
      <c r="AG335" s="184" t="n">
        <v>3.94</v>
      </c>
      <c r="AH335" s="185" t="n">
        <v>40725</v>
      </c>
      <c r="AI335" s="183"/>
      <c r="AJ335" s="183"/>
      <c r="AK335" s="182"/>
      <c r="AL335" s="182"/>
      <c r="AM335" s="184" t="n">
        <v>77</v>
      </c>
      <c r="AN335" s="183" t="n">
        <v>40630</v>
      </c>
      <c r="AO335" s="182"/>
      <c r="AP335" s="182"/>
      <c r="AQ335" s="183"/>
      <c r="AR335" s="183"/>
      <c r="AS335" s="182"/>
      <c r="AT335" s="182"/>
      <c r="AU335" s="183"/>
      <c r="AV335" s="183"/>
      <c r="AW335" s="182"/>
      <c r="AX335" s="182"/>
      <c r="AY335" s="183"/>
      <c r="AZ335" s="183"/>
      <c r="BA335" s="182"/>
      <c r="BB335" s="182"/>
      <c r="BK335" s="183"/>
      <c r="BL335" s="183"/>
      <c r="BM335" s="182"/>
      <c r="BN335" s="182"/>
      <c r="BO335" s="183"/>
      <c r="BP335" s="183"/>
      <c r="BQ335" s="182"/>
      <c r="BR335" s="182"/>
      <c r="BS335" s="184" t="n">
        <v>51.7</v>
      </c>
      <c r="BT335" s="185" t="n">
        <v>40725</v>
      </c>
      <c r="BU335" s="184" t="n">
        <v>16</v>
      </c>
      <c r="BV335" s="185" t="n">
        <v>40725</v>
      </c>
      <c r="CL335" s="182"/>
      <c r="CM335" s="182"/>
    </row>
    <row r="336" customFormat="false" ht="12.75" hidden="false" customHeight="false" outlineLevel="0" collapsed="false">
      <c r="A336" s="204" t="s">
        <v>591</v>
      </c>
      <c r="B336" s="193" t="s">
        <v>782</v>
      </c>
      <c r="C336" s="193" t="s">
        <v>877</v>
      </c>
      <c r="D336" s="193"/>
      <c r="E336" s="119" t="n">
        <v>15</v>
      </c>
      <c r="F336" s="195" t="n">
        <v>89</v>
      </c>
      <c r="G336" s="119"/>
      <c r="H336" s="119"/>
      <c r="J336" s="118"/>
      <c r="K336" s="118"/>
      <c r="L336" s="181"/>
      <c r="N336" s="182"/>
      <c r="O336" s="182"/>
      <c r="S336" s="184" t="n">
        <v>1509</v>
      </c>
      <c r="T336" s="185" t="n">
        <v>40725</v>
      </c>
      <c r="U336" s="182"/>
      <c r="V336" s="182"/>
      <c r="W336" s="183"/>
      <c r="X336" s="183"/>
      <c r="Y336" s="184" t="n">
        <v>503</v>
      </c>
      <c r="Z336" s="185" t="n">
        <v>40725</v>
      </c>
      <c r="AA336" s="184" t="n">
        <v>74723</v>
      </c>
      <c r="AB336" s="185" t="n">
        <v>40725</v>
      </c>
      <c r="AC336" s="184" t="n">
        <v>29.7</v>
      </c>
      <c r="AD336" s="185" t="n">
        <v>40725</v>
      </c>
      <c r="AE336" s="196"/>
      <c r="AF336" s="185"/>
      <c r="AG336" s="184" t="n">
        <v>3.97</v>
      </c>
      <c r="AH336" s="185" t="n">
        <v>40725</v>
      </c>
      <c r="AI336" s="183"/>
      <c r="AJ336" s="183"/>
      <c r="AK336" s="182"/>
      <c r="AL336" s="182"/>
      <c r="AM336" s="184" t="n">
        <v>76</v>
      </c>
      <c r="AN336" s="183" t="n">
        <v>40630</v>
      </c>
      <c r="AO336" s="182"/>
      <c r="AP336" s="182"/>
      <c r="AQ336" s="183"/>
      <c r="AR336" s="183"/>
      <c r="AS336" s="182"/>
      <c r="AT336" s="182"/>
      <c r="AU336" s="183"/>
      <c r="AV336" s="183"/>
      <c r="AW336" s="182"/>
      <c r="AX336" s="182"/>
      <c r="AY336" s="183"/>
      <c r="AZ336" s="183"/>
      <c r="BA336" s="182"/>
      <c r="BB336" s="182"/>
      <c r="BK336" s="183"/>
      <c r="BL336" s="183"/>
      <c r="BM336" s="182"/>
      <c r="BN336" s="182"/>
      <c r="BO336" s="183"/>
      <c r="BP336" s="183"/>
      <c r="BQ336" s="182"/>
      <c r="BR336" s="182"/>
      <c r="BS336" s="184" t="n">
        <v>50.9</v>
      </c>
      <c r="BT336" s="185" t="n">
        <v>40725</v>
      </c>
      <c r="BU336" s="184" t="n">
        <v>17</v>
      </c>
      <c r="BV336" s="185" t="n">
        <v>40725</v>
      </c>
      <c r="CL336" s="182"/>
      <c r="CM336" s="182"/>
    </row>
    <row r="337" customFormat="false" ht="12.75" hidden="false" customHeight="false" outlineLevel="0" collapsed="false">
      <c r="A337" s="204" t="s">
        <v>591</v>
      </c>
      <c r="B337" s="193" t="s">
        <v>785</v>
      </c>
      <c r="C337" s="193" t="s">
        <v>875</v>
      </c>
      <c r="D337" s="193"/>
      <c r="E337" s="194" t="n">
        <v>6</v>
      </c>
      <c r="F337" s="195" t="n">
        <v>28</v>
      </c>
      <c r="G337" s="119"/>
      <c r="H337" s="119"/>
      <c r="J337" s="118"/>
      <c r="K337" s="118"/>
      <c r="L337" s="181"/>
      <c r="N337" s="182"/>
      <c r="O337" s="182"/>
      <c r="S337" s="184" t="n">
        <v>1745</v>
      </c>
      <c r="T337" s="185" t="n">
        <v>40725</v>
      </c>
      <c r="U337" s="182"/>
      <c r="V337" s="182"/>
      <c r="W337" s="183"/>
      <c r="X337" s="183"/>
      <c r="Y337" s="184" t="n">
        <v>610</v>
      </c>
      <c r="Z337" s="185" t="n">
        <v>40725</v>
      </c>
      <c r="AA337" s="184" t="n">
        <v>87259</v>
      </c>
      <c r="AB337" s="185" t="n">
        <v>40725</v>
      </c>
      <c r="AC337" s="184" t="n">
        <v>34.7</v>
      </c>
      <c r="AD337" s="185" t="n">
        <v>40725</v>
      </c>
      <c r="AE337" s="196"/>
      <c r="AF337" s="185"/>
      <c r="AG337" s="184" t="n">
        <v>3.97</v>
      </c>
      <c r="AH337" s="185" t="n">
        <v>40725</v>
      </c>
      <c r="AI337" s="183"/>
      <c r="AJ337" s="183"/>
      <c r="AK337" s="182"/>
      <c r="AL337" s="182"/>
      <c r="AM337" s="184" t="n">
        <v>80</v>
      </c>
      <c r="AN337" s="183" t="n">
        <v>40630</v>
      </c>
      <c r="AO337" s="182"/>
      <c r="AP337" s="182"/>
      <c r="AQ337" s="183"/>
      <c r="AR337" s="183"/>
      <c r="AS337" s="182"/>
      <c r="AT337" s="182"/>
      <c r="AU337" s="183"/>
      <c r="AV337" s="183"/>
      <c r="AW337" s="182"/>
      <c r="AX337" s="182"/>
      <c r="AY337" s="183"/>
      <c r="AZ337" s="183"/>
      <c r="BA337" s="182"/>
      <c r="BB337" s="182"/>
      <c r="BK337" s="183"/>
      <c r="BL337" s="183"/>
      <c r="BM337" s="182"/>
      <c r="BN337" s="182"/>
      <c r="BO337" s="183"/>
      <c r="BP337" s="183"/>
      <c r="BQ337" s="182"/>
      <c r="BR337" s="182"/>
      <c r="BS337" s="184" t="n">
        <v>50.3</v>
      </c>
      <c r="BT337" s="185" t="n">
        <v>40725</v>
      </c>
      <c r="BU337" s="184" t="n">
        <v>17.6</v>
      </c>
      <c r="BV337" s="185" t="n">
        <v>40725</v>
      </c>
      <c r="CL337" s="182"/>
      <c r="CM337" s="182"/>
    </row>
    <row r="338" customFormat="false" ht="12.75" hidden="false" customHeight="false" outlineLevel="0" collapsed="false">
      <c r="A338" s="204" t="s">
        <v>591</v>
      </c>
      <c r="B338" s="193" t="s">
        <v>785</v>
      </c>
      <c r="C338" s="193" t="s">
        <v>876</v>
      </c>
      <c r="D338" s="193"/>
      <c r="E338" s="194" t="n">
        <v>2</v>
      </c>
      <c r="F338" s="195" t="n">
        <v>48</v>
      </c>
      <c r="G338" s="119"/>
      <c r="H338" s="119"/>
      <c r="J338" s="118"/>
      <c r="K338" s="118"/>
      <c r="L338" s="181"/>
      <c r="N338" s="182"/>
      <c r="O338" s="182"/>
      <c r="S338" s="184" t="s">
        <v>879</v>
      </c>
      <c r="T338" s="185" t="n">
        <v>40725</v>
      </c>
      <c r="U338" s="182"/>
      <c r="V338" s="182"/>
      <c r="W338" s="183"/>
      <c r="X338" s="183"/>
      <c r="Y338" s="184" t="s">
        <v>879</v>
      </c>
      <c r="Z338" s="185" t="n">
        <v>40725</v>
      </c>
      <c r="AA338" s="184" t="s">
        <v>879</v>
      </c>
      <c r="AB338" s="185" t="n">
        <v>40725</v>
      </c>
      <c r="AC338" s="184" t="s">
        <v>879</v>
      </c>
      <c r="AD338" s="185" t="n">
        <v>40725</v>
      </c>
      <c r="AE338" s="196"/>
      <c r="AF338" s="185"/>
      <c r="AG338" s="184" t="s">
        <v>879</v>
      </c>
      <c r="AH338" s="185" t="n">
        <v>40725</v>
      </c>
      <c r="AI338" s="183"/>
      <c r="AJ338" s="183"/>
      <c r="AK338" s="182"/>
      <c r="AL338" s="182"/>
      <c r="AM338" s="184" t="n">
        <v>77</v>
      </c>
      <c r="AN338" s="183" t="n">
        <v>40630</v>
      </c>
      <c r="AO338" s="182"/>
      <c r="AP338" s="182"/>
      <c r="AQ338" s="183"/>
      <c r="AR338" s="183"/>
      <c r="AS338" s="182"/>
      <c r="AT338" s="182"/>
      <c r="AU338" s="183"/>
      <c r="AV338" s="183"/>
      <c r="AW338" s="182"/>
      <c r="AX338" s="182"/>
      <c r="AY338" s="183"/>
      <c r="AZ338" s="183"/>
      <c r="BA338" s="182"/>
      <c r="BB338" s="182"/>
      <c r="BK338" s="183"/>
      <c r="BL338" s="183"/>
      <c r="BM338" s="182"/>
      <c r="BN338" s="182"/>
      <c r="BO338" s="183"/>
      <c r="BP338" s="183"/>
      <c r="BQ338" s="182"/>
      <c r="BR338" s="182"/>
      <c r="BS338" s="184" t="s">
        <v>879</v>
      </c>
      <c r="BT338" s="185" t="n">
        <v>40725</v>
      </c>
      <c r="BU338" s="184" t="s">
        <v>879</v>
      </c>
      <c r="BV338" s="185" t="n">
        <v>40725</v>
      </c>
      <c r="CL338" s="182"/>
      <c r="CM338" s="182"/>
    </row>
    <row r="339" customFormat="false" ht="12.75" hidden="false" customHeight="false" outlineLevel="0" collapsed="false">
      <c r="A339" s="204" t="s">
        <v>591</v>
      </c>
      <c r="B339" s="193" t="s">
        <v>785</v>
      </c>
      <c r="C339" s="193" t="s">
        <v>877</v>
      </c>
      <c r="D339" s="193"/>
      <c r="E339" s="119" t="n">
        <v>20</v>
      </c>
      <c r="F339" s="195" t="n">
        <v>88</v>
      </c>
      <c r="G339" s="119"/>
      <c r="H339" s="119"/>
      <c r="J339" s="118"/>
      <c r="K339" s="118"/>
      <c r="L339" s="181"/>
      <c r="N339" s="182"/>
      <c r="O339" s="182"/>
      <c r="S339" s="184" t="n">
        <v>1908</v>
      </c>
      <c r="T339" s="185" t="n">
        <v>40725</v>
      </c>
      <c r="U339" s="182"/>
      <c r="V339" s="182"/>
      <c r="W339" s="183"/>
      <c r="X339" s="183"/>
      <c r="Y339" s="184" t="n">
        <v>684</v>
      </c>
      <c r="Z339" s="185" t="n">
        <v>40725</v>
      </c>
      <c r="AA339" s="184" t="n">
        <v>89195</v>
      </c>
      <c r="AB339" s="185" t="n">
        <v>40725</v>
      </c>
      <c r="AC339" s="184" t="n">
        <v>37.9</v>
      </c>
      <c r="AD339" s="185" t="n">
        <v>40725</v>
      </c>
      <c r="AE339" s="196"/>
      <c r="AF339" s="185"/>
      <c r="AG339" s="184" t="n">
        <v>4.25</v>
      </c>
      <c r="AH339" s="185" t="n">
        <v>40725</v>
      </c>
      <c r="AI339" s="183"/>
      <c r="AJ339" s="183"/>
      <c r="AK339" s="182"/>
      <c r="AL339" s="182"/>
      <c r="AM339" s="184" t="n">
        <v>77</v>
      </c>
      <c r="AN339" s="183" t="n">
        <v>40630</v>
      </c>
      <c r="AO339" s="182"/>
      <c r="AP339" s="182"/>
      <c r="AQ339" s="183"/>
      <c r="AR339" s="183"/>
      <c r="AS339" s="182"/>
      <c r="AT339" s="182"/>
      <c r="AU339" s="183"/>
      <c r="AV339" s="183"/>
      <c r="AW339" s="182"/>
      <c r="AX339" s="182"/>
      <c r="AY339" s="183"/>
      <c r="AZ339" s="183"/>
      <c r="BA339" s="182"/>
      <c r="BB339" s="182"/>
      <c r="BK339" s="183"/>
      <c r="BL339" s="183"/>
      <c r="BM339" s="182"/>
      <c r="BN339" s="182"/>
      <c r="BO339" s="183"/>
      <c r="BP339" s="183"/>
      <c r="BQ339" s="182"/>
      <c r="BR339" s="182"/>
      <c r="BS339" s="184" t="n">
        <v>50.4</v>
      </c>
      <c r="BT339" s="185" t="n">
        <v>40725</v>
      </c>
      <c r="BU339" s="184" t="n">
        <v>18.1</v>
      </c>
      <c r="BV339" s="185" t="n">
        <v>40725</v>
      </c>
      <c r="CL339" s="182"/>
      <c r="CM339" s="182"/>
    </row>
    <row r="340" customFormat="false" ht="12.75" hidden="false" customHeight="false" outlineLevel="0" collapsed="false">
      <c r="A340" s="204" t="s">
        <v>594</v>
      </c>
      <c r="B340" s="193" t="s">
        <v>782</v>
      </c>
      <c r="C340" s="193" t="s">
        <v>875</v>
      </c>
      <c r="D340" s="193"/>
      <c r="E340" s="194" t="n">
        <v>3</v>
      </c>
      <c r="F340" s="195" t="n">
        <v>1</v>
      </c>
      <c r="G340" s="119"/>
      <c r="H340" s="119"/>
      <c r="J340" s="118"/>
      <c r="K340" s="118"/>
      <c r="L340" s="181"/>
      <c r="N340" s="182"/>
      <c r="O340" s="182"/>
      <c r="S340" s="184" t="n">
        <v>1568</v>
      </c>
      <c r="T340" s="185" t="n">
        <v>40725</v>
      </c>
      <c r="U340" s="182"/>
      <c r="V340" s="182"/>
      <c r="W340" s="183"/>
      <c r="X340" s="183"/>
      <c r="Y340" s="184" t="n">
        <v>479</v>
      </c>
      <c r="Z340" s="185" t="n">
        <v>40725</v>
      </c>
      <c r="AA340" s="184" t="n">
        <v>78182</v>
      </c>
      <c r="AB340" s="185" t="n">
        <v>40725</v>
      </c>
      <c r="AC340" s="184" t="n">
        <v>29.8</v>
      </c>
      <c r="AD340" s="185" t="n">
        <v>40725</v>
      </c>
      <c r="AE340" s="196"/>
      <c r="AF340" s="185"/>
      <c r="AG340" s="184" t="n">
        <v>3.82</v>
      </c>
      <c r="AH340" s="185" t="n">
        <v>40725</v>
      </c>
      <c r="AI340" s="183"/>
      <c r="AJ340" s="183"/>
      <c r="AK340" s="182"/>
      <c r="AL340" s="182"/>
      <c r="AM340" s="184" t="n">
        <v>86</v>
      </c>
      <c r="AN340" s="183" t="n">
        <v>40630</v>
      </c>
      <c r="AO340" s="182"/>
      <c r="AP340" s="182"/>
      <c r="AQ340" s="183"/>
      <c r="AR340" s="183"/>
      <c r="AS340" s="182"/>
      <c r="AT340" s="182"/>
      <c r="AU340" s="183"/>
      <c r="AV340" s="183"/>
      <c r="AW340" s="182"/>
      <c r="AX340" s="182"/>
      <c r="AY340" s="183"/>
      <c r="AZ340" s="183"/>
      <c r="BA340" s="182"/>
      <c r="BB340" s="182"/>
      <c r="BK340" s="183"/>
      <c r="BL340" s="183"/>
      <c r="BM340" s="182"/>
      <c r="BN340" s="182"/>
      <c r="BO340" s="183"/>
      <c r="BP340" s="183"/>
      <c r="BQ340" s="182"/>
      <c r="BR340" s="182"/>
      <c r="BS340" s="184" t="n">
        <v>52.5</v>
      </c>
      <c r="BT340" s="185" t="n">
        <v>40725</v>
      </c>
      <c r="BU340" s="184" t="n">
        <v>16</v>
      </c>
      <c r="BV340" s="185" t="n">
        <v>40725</v>
      </c>
      <c r="CL340" s="182"/>
      <c r="CM340" s="182"/>
    </row>
    <row r="341" customFormat="false" ht="12.75" hidden="false" customHeight="false" outlineLevel="0" collapsed="false">
      <c r="A341" s="204" t="s">
        <v>594</v>
      </c>
      <c r="B341" s="193" t="s">
        <v>782</v>
      </c>
      <c r="C341" s="193" t="s">
        <v>876</v>
      </c>
      <c r="D341" s="193"/>
      <c r="E341" s="194" t="n">
        <v>6</v>
      </c>
      <c r="F341" s="195" t="n">
        <v>41</v>
      </c>
      <c r="G341" s="119"/>
      <c r="H341" s="119"/>
      <c r="J341" s="118"/>
      <c r="K341" s="118"/>
      <c r="L341" s="181"/>
      <c r="N341" s="182"/>
      <c r="O341" s="182"/>
      <c r="S341" s="184" t="n">
        <v>1528</v>
      </c>
      <c r="T341" s="185" t="n">
        <v>40725</v>
      </c>
      <c r="U341" s="182"/>
      <c r="V341" s="182"/>
      <c r="W341" s="183"/>
      <c r="X341" s="183"/>
      <c r="Y341" s="184" t="n">
        <v>471</v>
      </c>
      <c r="Z341" s="185" t="n">
        <v>40725</v>
      </c>
      <c r="AA341" s="184" t="n">
        <v>77560</v>
      </c>
      <c r="AB341" s="185" t="n">
        <v>40725</v>
      </c>
      <c r="AC341" s="184" t="n">
        <v>29.2</v>
      </c>
      <c r="AD341" s="185" t="n">
        <v>40725</v>
      </c>
      <c r="AE341" s="196"/>
      <c r="AF341" s="185"/>
      <c r="AG341" s="184" t="n">
        <v>3.76</v>
      </c>
      <c r="AH341" s="185" t="n">
        <v>40725</v>
      </c>
      <c r="AI341" s="183"/>
      <c r="AJ341" s="183"/>
      <c r="AK341" s="182"/>
      <c r="AL341" s="182"/>
      <c r="AM341" s="184" t="n">
        <v>84</v>
      </c>
      <c r="AN341" s="183" t="n">
        <v>40630</v>
      </c>
      <c r="AO341" s="182"/>
      <c r="AP341" s="182"/>
      <c r="AQ341" s="183"/>
      <c r="AR341" s="183"/>
      <c r="AS341" s="182"/>
      <c r="AT341" s="182"/>
      <c r="AU341" s="183"/>
      <c r="AV341" s="183"/>
      <c r="AW341" s="182"/>
      <c r="AX341" s="182"/>
      <c r="AY341" s="183"/>
      <c r="AZ341" s="183"/>
      <c r="BA341" s="182"/>
      <c r="BB341" s="182"/>
      <c r="BK341" s="183"/>
      <c r="BL341" s="183"/>
      <c r="BM341" s="182"/>
      <c r="BN341" s="182"/>
      <c r="BO341" s="183"/>
      <c r="BP341" s="183"/>
      <c r="BQ341" s="182"/>
      <c r="BR341" s="182"/>
      <c r="BS341" s="184" t="n">
        <v>52.4</v>
      </c>
      <c r="BT341" s="185" t="n">
        <v>40725</v>
      </c>
      <c r="BU341" s="184" t="n">
        <v>16.2</v>
      </c>
      <c r="BV341" s="185" t="n">
        <v>40725</v>
      </c>
      <c r="CL341" s="182"/>
      <c r="CM341" s="182"/>
    </row>
    <row r="342" customFormat="false" ht="12.75" hidden="false" customHeight="false" outlineLevel="0" collapsed="false">
      <c r="A342" s="204" t="s">
        <v>594</v>
      </c>
      <c r="B342" s="193" t="s">
        <v>782</v>
      </c>
      <c r="C342" s="193" t="s">
        <v>877</v>
      </c>
      <c r="D342" s="193"/>
      <c r="E342" s="119" t="n">
        <v>19</v>
      </c>
      <c r="F342" s="195" t="n">
        <v>70</v>
      </c>
      <c r="G342" s="119"/>
      <c r="H342" s="119"/>
      <c r="J342" s="118"/>
      <c r="K342" s="118"/>
      <c r="L342" s="181"/>
      <c r="N342" s="182"/>
      <c r="O342" s="182"/>
      <c r="S342" s="184" t="n">
        <v>1412</v>
      </c>
      <c r="T342" s="185" t="n">
        <v>40725</v>
      </c>
      <c r="U342" s="182"/>
      <c r="V342" s="182"/>
      <c r="W342" s="183"/>
      <c r="X342" s="183"/>
      <c r="Y342" s="184" t="n">
        <v>456</v>
      </c>
      <c r="Z342" s="185" t="n">
        <v>40725</v>
      </c>
      <c r="AA342" s="184" t="n">
        <v>70118</v>
      </c>
      <c r="AB342" s="185" t="n">
        <v>40725</v>
      </c>
      <c r="AC342" s="184" t="n">
        <v>27.2</v>
      </c>
      <c r="AD342" s="185" t="n">
        <v>40725</v>
      </c>
      <c r="AE342" s="196"/>
      <c r="AF342" s="185"/>
      <c r="AG342" s="184" t="n">
        <v>3.88</v>
      </c>
      <c r="AH342" s="185" t="n">
        <v>40725</v>
      </c>
      <c r="AI342" s="183"/>
      <c r="AJ342" s="183"/>
      <c r="AK342" s="182"/>
      <c r="AL342" s="182"/>
      <c r="AM342" s="184" t="n">
        <v>85</v>
      </c>
      <c r="AN342" s="183" t="n">
        <v>40630</v>
      </c>
      <c r="AO342" s="182"/>
      <c r="AP342" s="182"/>
      <c r="AQ342" s="183"/>
      <c r="AR342" s="183"/>
      <c r="AS342" s="182"/>
      <c r="AT342" s="182"/>
      <c r="AU342" s="183"/>
      <c r="AV342" s="183"/>
      <c r="AW342" s="182"/>
      <c r="AX342" s="182"/>
      <c r="AY342" s="183"/>
      <c r="AZ342" s="183"/>
      <c r="BA342" s="182"/>
      <c r="BB342" s="182"/>
      <c r="BK342" s="183"/>
      <c r="BL342" s="183"/>
      <c r="BM342" s="182"/>
      <c r="BN342" s="182"/>
      <c r="BO342" s="183"/>
      <c r="BP342" s="183"/>
      <c r="BQ342" s="182"/>
      <c r="BR342" s="182"/>
      <c r="BS342" s="184" t="n">
        <v>51.9</v>
      </c>
      <c r="BT342" s="185" t="n">
        <v>40725</v>
      </c>
      <c r="BU342" s="184" t="n">
        <v>16.8</v>
      </c>
      <c r="BV342" s="185" t="n">
        <v>40725</v>
      </c>
      <c r="CL342" s="182"/>
      <c r="CM342" s="182"/>
    </row>
    <row r="343" customFormat="false" ht="12.75" hidden="false" customHeight="false" outlineLevel="0" collapsed="false">
      <c r="A343" s="204" t="s">
        <v>594</v>
      </c>
      <c r="B343" s="193" t="s">
        <v>785</v>
      </c>
      <c r="C343" s="193" t="s">
        <v>875</v>
      </c>
      <c r="D343" s="193"/>
      <c r="E343" s="194" t="n">
        <v>6</v>
      </c>
      <c r="F343" s="195" t="n">
        <v>22</v>
      </c>
      <c r="G343" s="119"/>
      <c r="H343" s="119"/>
      <c r="J343" s="118"/>
      <c r="K343" s="118"/>
      <c r="L343" s="181"/>
      <c r="N343" s="182"/>
      <c r="O343" s="182"/>
      <c r="S343" s="184" t="n">
        <v>2018</v>
      </c>
      <c r="T343" s="185" t="n">
        <v>40725</v>
      </c>
      <c r="U343" s="182"/>
      <c r="V343" s="182"/>
      <c r="W343" s="183"/>
      <c r="X343" s="183"/>
      <c r="Y343" s="184" t="n">
        <v>616</v>
      </c>
      <c r="Z343" s="185" t="n">
        <v>40725</v>
      </c>
      <c r="AA343" s="184" t="n">
        <v>99928</v>
      </c>
      <c r="AB343" s="185" t="n">
        <v>40725</v>
      </c>
      <c r="AC343" s="184" t="n">
        <v>38.4</v>
      </c>
      <c r="AD343" s="185" t="n">
        <v>40725</v>
      </c>
      <c r="AE343" s="196"/>
      <c r="AF343" s="185"/>
      <c r="AG343" s="184" t="n">
        <v>3.84</v>
      </c>
      <c r="AH343" s="185" t="n">
        <v>40725</v>
      </c>
      <c r="AI343" s="183"/>
      <c r="AJ343" s="183"/>
      <c r="AK343" s="182"/>
      <c r="AL343" s="182"/>
      <c r="AM343" s="184" t="n">
        <v>90</v>
      </c>
      <c r="AN343" s="183" t="n">
        <v>40630</v>
      </c>
      <c r="AO343" s="182"/>
      <c r="AP343" s="182"/>
      <c r="AQ343" s="183"/>
      <c r="AR343" s="183"/>
      <c r="AS343" s="182"/>
      <c r="AT343" s="182"/>
      <c r="AU343" s="183"/>
      <c r="AV343" s="183"/>
      <c r="AW343" s="182"/>
      <c r="AX343" s="182"/>
      <c r="AY343" s="183"/>
      <c r="AZ343" s="183"/>
      <c r="BA343" s="182"/>
      <c r="BB343" s="182"/>
      <c r="BK343" s="183"/>
      <c r="BL343" s="183"/>
      <c r="BM343" s="182"/>
      <c r="BN343" s="182"/>
      <c r="BO343" s="183"/>
      <c r="BP343" s="183"/>
      <c r="BQ343" s="182"/>
      <c r="BR343" s="182"/>
      <c r="BS343" s="184" t="n">
        <v>52.6</v>
      </c>
      <c r="BT343" s="185" t="n">
        <v>40725</v>
      </c>
      <c r="BU343" s="184" t="n">
        <v>16.1</v>
      </c>
      <c r="BV343" s="185" t="n">
        <v>40725</v>
      </c>
      <c r="CL343" s="182"/>
      <c r="CM343" s="182"/>
    </row>
    <row r="344" customFormat="false" ht="12.75" hidden="false" customHeight="false" outlineLevel="0" collapsed="false">
      <c r="A344" s="204" t="s">
        <v>594</v>
      </c>
      <c r="B344" s="193" t="s">
        <v>785</v>
      </c>
      <c r="C344" s="193" t="s">
        <v>876</v>
      </c>
      <c r="D344" s="193"/>
      <c r="E344" s="194" t="n">
        <v>1</v>
      </c>
      <c r="F344" s="195" t="n">
        <v>35</v>
      </c>
      <c r="G344" s="119"/>
      <c r="H344" s="119"/>
      <c r="J344" s="118"/>
      <c r="K344" s="118"/>
      <c r="L344" s="181"/>
      <c r="N344" s="182"/>
      <c r="O344" s="182"/>
      <c r="S344" s="184" t="n">
        <v>2026</v>
      </c>
      <c r="T344" s="185" t="n">
        <v>40725</v>
      </c>
      <c r="U344" s="182"/>
      <c r="V344" s="182"/>
      <c r="W344" s="183"/>
      <c r="X344" s="183"/>
      <c r="Y344" s="184" t="n">
        <v>697</v>
      </c>
      <c r="Z344" s="185" t="n">
        <v>40725</v>
      </c>
      <c r="AA344" s="184" t="n">
        <v>101700</v>
      </c>
      <c r="AB344" s="185" t="n">
        <v>40725</v>
      </c>
      <c r="AC344" s="184" t="n">
        <v>39.2</v>
      </c>
      <c r="AD344" s="185" t="n">
        <v>40725</v>
      </c>
      <c r="AE344" s="196"/>
      <c r="AF344" s="185"/>
      <c r="AG344" s="184" t="n">
        <v>3.86</v>
      </c>
      <c r="AH344" s="185" t="n">
        <v>40725</v>
      </c>
      <c r="AI344" s="183"/>
      <c r="AJ344" s="183"/>
      <c r="AK344" s="182"/>
      <c r="AL344" s="182"/>
      <c r="AM344" s="184" t="n">
        <v>88</v>
      </c>
      <c r="AN344" s="183" t="n">
        <v>40630</v>
      </c>
      <c r="AO344" s="182"/>
      <c r="AP344" s="182"/>
      <c r="AQ344" s="183"/>
      <c r="AR344" s="183"/>
      <c r="AS344" s="182"/>
      <c r="AT344" s="182"/>
      <c r="AU344" s="183"/>
      <c r="AV344" s="183"/>
      <c r="AW344" s="182"/>
      <c r="AX344" s="182"/>
      <c r="AY344" s="183"/>
      <c r="AZ344" s="183"/>
      <c r="BA344" s="182"/>
      <c r="BB344" s="182"/>
      <c r="BK344" s="183"/>
      <c r="BL344" s="183"/>
      <c r="BM344" s="182"/>
      <c r="BN344" s="182"/>
      <c r="BO344" s="183"/>
      <c r="BP344" s="183"/>
      <c r="BQ344" s="182"/>
      <c r="BR344" s="182"/>
      <c r="BS344" s="184" t="n">
        <v>51.7</v>
      </c>
      <c r="BT344" s="185" t="n">
        <v>40725</v>
      </c>
      <c r="BU344" s="184" t="n">
        <v>17.8</v>
      </c>
      <c r="BV344" s="185" t="n">
        <v>40725</v>
      </c>
      <c r="CL344" s="182"/>
      <c r="CM344" s="182"/>
    </row>
    <row r="345" customFormat="false" ht="12.75" hidden="false" customHeight="false" outlineLevel="0" collapsed="false">
      <c r="A345" s="204" t="s">
        <v>594</v>
      </c>
      <c r="B345" s="193" t="s">
        <v>785</v>
      </c>
      <c r="C345" s="193" t="s">
        <v>877</v>
      </c>
      <c r="D345" s="193"/>
      <c r="E345" s="119" t="n">
        <v>22</v>
      </c>
      <c r="F345" s="195" t="n">
        <v>83</v>
      </c>
      <c r="G345" s="119"/>
      <c r="H345" s="119"/>
      <c r="J345" s="118"/>
      <c r="K345" s="118"/>
      <c r="L345" s="181"/>
      <c r="N345" s="182"/>
      <c r="O345" s="182"/>
      <c r="S345" s="184" t="n">
        <v>1972</v>
      </c>
      <c r="T345" s="185" t="n">
        <v>40725</v>
      </c>
      <c r="U345" s="182"/>
      <c r="V345" s="182"/>
      <c r="W345" s="183"/>
      <c r="X345" s="183"/>
      <c r="Y345" s="184" t="n">
        <v>685</v>
      </c>
      <c r="Z345" s="185" t="n">
        <v>40725</v>
      </c>
      <c r="AA345" s="184" t="n">
        <v>96637</v>
      </c>
      <c r="AB345" s="185" t="n">
        <v>40725</v>
      </c>
      <c r="AC345" s="184" t="n">
        <v>38.4</v>
      </c>
      <c r="AD345" s="185" t="n">
        <v>40725</v>
      </c>
      <c r="AE345" s="196"/>
      <c r="AF345" s="185"/>
      <c r="AG345" s="184" t="n">
        <v>3.97</v>
      </c>
      <c r="AH345" s="185" t="n">
        <v>40725</v>
      </c>
      <c r="AI345" s="183"/>
      <c r="AJ345" s="183"/>
      <c r="AK345" s="182"/>
      <c r="AL345" s="182"/>
      <c r="AM345" s="184" t="n">
        <v>87</v>
      </c>
      <c r="AN345" s="183" t="n">
        <v>40630</v>
      </c>
      <c r="AO345" s="182"/>
      <c r="AP345" s="182"/>
      <c r="AQ345" s="183"/>
      <c r="AR345" s="183"/>
      <c r="AS345" s="182"/>
      <c r="AT345" s="182"/>
      <c r="AU345" s="183"/>
      <c r="AV345" s="183"/>
      <c r="AW345" s="182"/>
      <c r="AX345" s="182"/>
      <c r="AY345" s="183"/>
      <c r="AZ345" s="183"/>
      <c r="BA345" s="182"/>
      <c r="BB345" s="182"/>
      <c r="BK345" s="183"/>
      <c r="BL345" s="183"/>
      <c r="BM345" s="182"/>
      <c r="BN345" s="182"/>
      <c r="BO345" s="183"/>
      <c r="BP345" s="183"/>
      <c r="BQ345" s="182"/>
      <c r="BR345" s="182"/>
      <c r="BS345" s="184" t="n">
        <v>51.3</v>
      </c>
      <c r="BT345" s="185" t="n">
        <v>40725</v>
      </c>
      <c r="BU345" s="184" t="n">
        <v>17.8</v>
      </c>
      <c r="BV345" s="185" t="n">
        <v>40725</v>
      </c>
      <c r="CL345" s="182"/>
      <c r="CM345" s="182"/>
    </row>
    <row r="346" customFormat="false" ht="12.75" hidden="false" customHeight="false" outlineLevel="0" collapsed="false">
      <c r="A346" s="204" t="s">
        <v>597</v>
      </c>
      <c r="B346" s="193" t="s">
        <v>782</v>
      </c>
      <c r="C346" s="193" t="s">
        <v>875</v>
      </c>
      <c r="D346" s="193"/>
      <c r="E346" s="194" t="n">
        <v>3</v>
      </c>
      <c r="F346" s="195" t="n">
        <v>24</v>
      </c>
      <c r="G346" s="119"/>
      <c r="H346" s="119"/>
      <c r="J346" s="118"/>
      <c r="K346" s="118"/>
      <c r="L346" s="181"/>
      <c r="N346" s="182"/>
      <c r="O346" s="182"/>
      <c r="S346" s="184" t="n">
        <v>2011</v>
      </c>
      <c r="T346" s="185" t="n">
        <v>40725</v>
      </c>
      <c r="U346" s="182"/>
      <c r="V346" s="182"/>
      <c r="W346" s="183"/>
      <c r="X346" s="183"/>
      <c r="Y346" s="184" t="n">
        <v>554</v>
      </c>
      <c r="Z346" s="185" t="n">
        <v>40725</v>
      </c>
      <c r="AA346" s="184" t="n">
        <v>91212</v>
      </c>
      <c r="AB346" s="185" t="n">
        <v>40725</v>
      </c>
      <c r="AC346" s="184" t="n">
        <v>37.9</v>
      </c>
      <c r="AD346" s="185" t="n">
        <v>40725</v>
      </c>
      <c r="AE346" s="196"/>
      <c r="AF346" s="185"/>
      <c r="AG346" s="184" t="n">
        <v>4.15</v>
      </c>
      <c r="AH346" s="185" t="n">
        <v>40725</v>
      </c>
      <c r="AI346" s="183"/>
      <c r="AJ346" s="183"/>
      <c r="AK346" s="182"/>
      <c r="AL346" s="182"/>
      <c r="AM346" s="184" t="n">
        <v>84</v>
      </c>
      <c r="AN346" s="183" t="n">
        <v>40630</v>
      </c>
      <c r="AO346" s="182"/>
      <c r="AP346" s="182"/>
      <c r="AQ346" s="183"/>
      <c r="AR346" s="183"/>
      <c r="AS346" s="182"/>
      <c r="AT346" s="182"/>
      <c r="AU346" s="183"/>
      <c r="AV346" s="183"/>
      <c r="AW346" s="182"/>
      <c r="AX346" s="182"/>
      <c r="AY346" s="183"/>
      <c r="AZ346" s="183"/>
      <c r="BA346" s="182"/>
      <c r="BB346" s="182"/>
      <c r="BK346" s="183"/>
      <c r="BL346" s="183"/>
      <c r="BM346" s="182"/>
      <c r="BN346" s="182"/>
      <c r="BO346" s="183"/>
      <c r="BP346" s="183"/>
      <c r="BQ346" s="182"/>
      <c r="BR346" s="182"/>
      <c r="BS346" s="184" t="n">
        <v>53.1</v>
      </c>
      <c r="BT346" s="185" t="n">
        <v>40725</v>
      </c>
      <c r="BU346" s="184" t="n">
        <v>14.6</v>
      </c>
      <c r="BV346" s="185" t="n">
        <v>40725</v>
      </c>
      <c r="CL346" s="182"/>
      <c r="CM346" s="182"/>
    </row>
    <row r="347" customFormat="false" ht="12.75" hidden="false" customHeight="false" outlineLevel="0" collapsed="false">
      <c r="A347" s="204" t="s">
        <v>597</v>
      </c>
      <c r="B347" s="193" t="s">
        <v>782</v>
      </c>
      <c r="C347" s="193" t="s">
        <v>876</v>
      </c>
      <c r="D347" s="193"/>
      <c r="E347" s="194" t="n">
        <v>5</v>
      </c>
      <c r="F347" s="195" t="n">
        <v>41</v>
      </c>
      <c r="G347" s="119"/>
      <c r="H347" s="119"/>
      <c r="J347" s="118"/>
      <c r="K347" s="118"/>
      <c r="L347" s="181"/>
      <c r="N347" s="182"/>
      <c r="O347" s="182"/>
      <c r="S347" s="184" t="n">
        <v>1853</v>
      </c>
      <c r="T347" s="185" t="n">
        <v>40725</v>
      </c>
      <c r="U347" s="182"/>
      <c r="V347" s="182"/>
      <c r="W347" s="183"/>
      <c r="X347" s="183"/>
      <c r="Y347" s="184" t="n">
        <v>522</v>
      </c>
      <c r="Z347" s="185" t="n">
        <v>40725</v>
      </c>
      <c r="AA347" s="184" t="n">
        <v>79814</v>
      </c>
      <c r="AB347" s="185" t="n">
        <v>40725</v>
      </c>
      <c r="AC347" s="184" t="n">
        <v>35.2</v>
      </c>
      <c r="AD347" s="185" t="n">
        <v>40725</v>
      </c>
      <c r="AE347" s="196"/>
      <c r="AF347" s="185"/>
      <c r="AG347" s="184" t="n">
        <v>4.4</v>
      </c>
      <c r="AH347" s="185" t="n">
        <v>40725</v>
      </c>
      <c r="AI347" s="183"/>
      <c r="AJ347" s="183"/>
      <c r="AK347" s="182"/>
      <c r="AL347" s="182"/>
      <c r="AM347" s="184" t="n">
        <v>84</v>
      </c>
      <c r="AN347" s="183" t="n">
        <v>40630</v>
      </c>
      <c r="AO347" s="182"/>
      <c r="AP347" s="182"/>
      <c r="AQ347" s="183"/>
      <c r="AR347" s="183"/>
      <c r="AS347" s="182"/>
      <c r="AT347" s="182"/>
      <c r="AU347" s="183"/>
      <c r="AV347" s="183"/>
      <c r="AW347" s="182"/>
      <c r="AX347" s="182"/>
      <c r="AY347" s="183"/>
      <c r="AZ347" s="183"/>
      <c r="BA347" s="182"/>
      <c r="BB347" s="182"/>
      <c r="BK347" s="183"/>
      <c r="BL347" s="183"/>
      <c r="BM347" s="182"/>
      <c r="BN347" s="182"/>
      <c r="BO347" s="183"/>
      <c r="BP347" s="183"/>
      <c r="BQ347" s="182"/>
      <c r="BR347" s="182"/>
      <c r="BS347" s="184" t="n">
        <v>52.7</v>
      </c>
      <c r="BT347" s="185" t="n">
        <v>40725</v>
      </c>
      <c r="BU347" s="184" t="n">
        <v>14.9</v>
      </c>
      <c r="BV347" s="185" t="n">
        <v>40725</v>
      </c>
      <c r="CL347" s="182"/>
      <c r="CM347" s="182"/>
    </row>
    <row r="348" customFormat="false" ht="12.75" hidden="false" customHeight="false" outlineLevel="0" collapsed="false">
      <c r="A348" s="204" t="s">
        <v>597</v>
      </c>
      <c r="B348" s="193" t="s">
        <v>782</v>
      </c>
      <c r="C348" s="193" t="s">
        <v>877</v>
      </c>
      <c r="D348" s="193"/>
      <c r="E348" s="194" t="n">
        <v>16</v>
      </c>
      <c r="F348" s="195" t="n">
        <v>75</v>
      </c>
      <c r="G348" s="119"/>
      <c r="H348" s="119"/>
      <c r="J348" s="118"/>
      <c r="K348" s="118"/>
      <c r="L348" s="181"/>
      <c r="N348" s="182"/>
      <c r="O348" s="182"/>
      <c r="S348" s="184" t="n">
        <v>1801</v>
      </c>
      <c r="T348" s="185" t="n">
        <v>40725</v>
      </c>
      <c r="U348" s="182"/>
      <c r="V348" s="182"/>
      <c r="W348" s="183"/>
      <c r="X348" s="183"/>
      <c r="Y348" s="184" t="n">
        <v>532</v>
      </c>
      <c r="Z348" s="185" t="n">
        <v>40725</v>
      </c>
      <c r="AA348" s="184" t="n">
        <v>76525</v>
      </c>
      <c r="AB348" s="185" t="n">
        <v>40725</v>
      </c>
      <c r="AC348" s="184" t="n">
        <v>34.4</v>
      </c>
      <c r="AD348" s="185" t="n">
        <v>40725</v>
      </c>
      <c r="AE348" s="196"/>
      <c r="AF348" s="185"/>
      <c r="AG348" s="184" t="n">
        <v>4.5</v>
      </c>
      <c r="AH348" s="185" t="n">
        <v>40725</v>
      </c>
      <c r="AI348" s="183"/>
      <c r="AJ348" s="183"/>
      <c r="AK348" s="182"/>
      <c r="AL348" s="182"/>
      <c r="AM348" s="184" t="n">
        <v>84</v>
      </c>
      <c r="AN348" s="183" t="n">
        <v>40630</v>
      </c>
      <c r="AO348" s="182"/>
      <c r="AP348" s="182"/>
      <c r="AQ348" s="183"/>
      <c r="AR348" s="183"/>
      <c r="AS348" s="182"/>
      <c r="AT348" s="182"/>
      <c r="AU348" s="183"/>
      <c r="AV348" s="183"/>
      <c r="AW348" s="182"/>
      <c r="AX348" s="182"/>
      <c r="AY348" s="183"/>
      <c r="AZ348" s="183"/>
      <c r="BA348" s="182"/>
      <c r="BB348" s="182"/>
      <c r="BK348" s="183"/>
      <c r="BL348" s="183"/>
      <c r="BM348" s="182"/>
      <c r="BN348" s="182"/>
      <c r="BO348" s="183"/>
      <c r="BP348" s="183"/>
      <c r="BQ348" s="182"/>
      <c r="BR348" s="182"/>
      <c r="BS348" s="184" t="n">
        <v>52.4</v>
      </c>
      <c r="BT348" s="185" t="n">
        <v>40725</v>
      </c>
      <c r="BU348" s="184" t="n">
        <v>15.5</v>
      </c>
      <c r="BV348" s="185" t="n">
        <v>40725</v>
      </c>
      <c r="CL348" s="182"/>
      <c r="CM348" s="182"/>
    </row>
    <row r="349" customFormat="false" ht="12.75" hidden="false" customHeight="false" outlineLevel="0" collapsed="false">
      <c r="A349" s="204" t="s">
        <v>597</v>
      </c>
      <c r="B349" s="193" t="s">
        <v>785</v>
      </c>
      <c r="C349" s="193" t="s">
        <v>875</v>
      </c>
      <c r="D349" s="193"/>
      <c r="E349" s="194" t="n">
        <v>7</v>
      </c>
      <c r="F349" s="195" t="n">
        <v>1</v>
      </c>
      <c r="G349" s="119"/>
      <c r="H349" s="119"/>
      <c r="J349" s="118"/>
      <c r="K349" s="118"/>
      <c r="L349" s="181"/>
      <c r="N349" s="182"/>
      <c r="O349" s="182"/>
      <c r="S349" s="184" t="n">
        <v>2440</v>
      </c>
      <c r="T349" s="185" t="n">
        <v>40725</v>
      </c>
      <c r="U349" s="182"/>
      <c r="V349" s="182"/>
      <c r="W349" s="183"/>
      <c r="X349" s="183"/>
      <c r="Y349" s="184" t="n">
        <v>779</v>
      </c>
      <c r="Z349" s="185" t="n">
        <v>40725</v>
      </c>
      <c r="AA349" s="184" t="n">
        <v>100434</v>
      </c>
      <c r="AB349" s="185" t="n">
        <v>40725</v>
      </c>
      <c r="AC349" s="184" t="n">
        <v>47</v>
      </c>
      <c r="AD349" s="185" t="n">
        <v>40725</v>
      </c>
      <c r="AE349" s="196"/>
      <c r="AF349" s="185"/>
      <c r="AG349" s="184" t="n">
        <v>4.68</v>
      </c>
      <c r="AH349" s="185" t="n">
        <v>40725</v>
      </c>
      <c r="AI349" s="183"/>
      <c r="AJ349" s="183"/>
      <c r="AK349" s="182"/>
      <c r="AL349" s="182"/>
      <c r="AM349" s="184" t="n">
        <v>85</v>
      </c>
      <c r="AN349" s="183" t="n">
        <v>40630</v>
      </c>
      <c r="AO349" s="182"/>
      <c r="AP349" s="182"/>
      <c r="AQ349" s="183"/>
      <c r="AR349" s="183"/>
      <c r="AS349" s="182"/>
      <c r="AT349" s="182"/>
      <c r="AU349" s="183"/>
      <c r="AV349" s="183"/>
      <c r="AW349" s="182"/>
      <c r="AX349" s="182"/>
      <c r="AY349" s="183"/>
      <c r="AZ349" s="183"/>
      <c r="BA349" s="182"/>
      <c r="BB349" s="182"/>
      <c r="BK349" s="183"/>
      <c r="BL349" s="183"/>
      <c r="BM349" s="182"/>
      <c r="BN349" s="182"/>
      <c r="BO349" s="183"/>
      <c r="BP349" s="183"/>
      <c r="BQ349" s="182"/>
      <c r="BR349" s="182"/>
      <c r="BS349" s="184" t="n">
        <v>51.9</v>
      </c>
      <c r="BT349" s="185" t="n">
        <v>40725</v>
      </c>
      <c r="BU349" s="184" t="n">
        <v>16.6</v>
      </c>
      <c r="BV349" s="185" t="n">
        <v>40725</v>
      </c>
      <c r="CL349" s="182"/>
      <c r="CM349" s="182"/>
    </row>
    <row r="350" customFormat="false" ht="12.75" hidden="false" customHeight="false" outlineLevel="0" collapsed="false">
      <c r="A350" s="204" t="s">
        <v>597</v>
      </c>
      <c r="B350" s="193" t="s">
        <v>785</v>
      </c>
      <c r="C350" s="193" t="s">
        <v>876</v>
      </c>
      <c r="D350" s="193"/>
      <c r="E350" s="194" t="n">
        <v>2</v>
      </c>
      <c r="F350" s="195" t="n">
        <v>60</v>
      </c>
      <c r="G350" s="119"/>
      <c r="H350" s="119"/>
      <c r="J350" s="118"/>
      <c r="K350" s="118"/>
      <c r="L350" s="181"/>
      <c r="N350" s="182"/>
      <c r="O350" s="182"/>
      <c r="S350" s="184" t="n">
        <v>2283</v>
      </c>
      <c r="T350" s="185" t="n">
        <v>40725</v>
      </c>
      <c r="U350" s="182"/>
      <c r="V350" s="182"/>
      <c r="W350" s="183"/>
      <c r="X350" s="183"/>
      <c r="Y350" s="184" t="n">
        <v>724</v>
      </c>
      <c r="Z350" s="185" t="n">
        <v>40725</v>
      </c>
      <c r="AA350" s="184" t="n">
        <v>95851</v>
      </c>
      <c r="AB350" s="185" t="n">
        <v>40725</v>
      </c>
      <c r="AC350" s="184" t="n">
        <v>43.9</v>
      </c>
      <c r="AD350" s="185" t="n">
        <v>40725</v>
      </c>
      <c r="AE350" s="196"/>
      <c r="AF350" s="185"/>
      <c r="AG350" s="184" t="n">
        <v>4.58</v>
      </c>
      <c r="AH350" s="185" t="n">
        <v>40725</v>
      </c>
      <c r="AI350" s="183"/>
      <c r="AJ350" s="183"/>
      <c r="AK350" s="182"/>
      <c r="AL350" s="182"/>
      <c r="AM350" s="184" t="n">
        <v>84</v>
      </c>
      <c r="AN350" s="183" t="n">
        <v>40630</v>
      </c>
      <c r="AO350" s="182"/>
      <c r="AP350" s="182"/>
      <c r="AQ350" s="183"/>
      <c r="AR350" s="183"/>
      <c r="AS350" s="182"/>
      <c r="AT350" s="182"/>
      <c r="AU350" s="183"/>
      <c r="AV350" s="183"/>
      <c r="AW350" s="182"/>
      <c r="AX350" s="182"/>
      <c r="AY350" s="183"/>
      <c r="AZ350" s="183"/>
      <c r="BA350" s="182"/>
      <c r="BB350" s="182"/>
      <c r="BK350" s="183"/>
      <c r="BL350" s="183"/>
      <c r="BM350" s="182"/>
      <c r="BN350" s="182"/>
      <c r="BO350" s="183"/>
      <c r="BP350" s="183"/>
      <c r="BQ350" s="182"/>
      <c r="BR350" s="182"/>
      <c r="BS350" s="184" t="n">
        <v>52</v>
      </c>
      <c r="BT350" s="185" t="n">
        <v>40725</v>
      </c>
      <c r="BU350" s="184" t="n">
        <v>16.5</v>
      </c>
      <c r="BV350" s="185" t="n">
        <v>40725</v>
      </c>
      <c r="CL350" s="182"/>
      <c r="CM350" s="182"/>
    </row>
    <row r="351" customFormat="false" ht="12.75" hidden="false" customHeight="false" outlineLevel="0" collapsed="false">
      <c r="A351" s="204" t="s">
        <v>597</v>
      </c>
      <c r="B351" s="193" t="s">
        <v>785</v>
      </c>
      <c r="C351" s="193" t="s">
        <v>877</v>
      </c>
      <c r="D351" s="193"/>
      <c r="E351" s="119" t="n">
        <v>20</v>
      </c>
      <c r="F351" s="195" t="n">
        <v>72</v>
      </c>
      <c r="G351" s="119"/>
      <c r="H351" s="119"/>
      <c r="J351" s="118"/>
      <c r="K351" s="118"/>
      <c r="L351" s="181"/>
      <c r="N351" s="182"/>
      <c r="O351" s="182"/>
      <c r="S351" s="184" t="n">
        <v>1888</v>
      </c>
      <c r="T351" s="185" t="n">
        <v>40725</v>
      </c>
      <c r="U351" s="182"/>
      <c r="V351" s="182"/>
      <c r="W351" s="183"/>
      <c r="X351" s="183"/>
      <c r="Y351" s="184" t="n">
        <v>657</v>
      </c>
      <c r="Z351" s="185" t="n">
        <v>40725</v>
      </c>
      <c r="AA351" s="184" t="n">
        <v>76144</v>
      </c>
      <c r="AB351" s="185" t="n">
        <v>40725</v>
      </c>
      <c r="AC351" s="184" t="n">
        <v>37.3</v>
      </c>
      <c r="AD351" s="185" t="n">
        <v>40725</v>
      </c>
      <c r="AE351" s="196"/>
      <c r="AF351" s="185"/>
      <c r="AG351" s="184" t="n">
        <v>4.89</v>
      </c>
      <c r="AH351" s="185" t="n">
        <v>40725</v>
      </c>
      <c r="AI351" s="183"/>
      <c r="AJ351" s="183"/>
      <c r="AK351" s="182"/>
      <c r="AL351" s="182"/>
      <c r="AM351" s="184" t="n">
        <v>84</v>
      </c>
      <c r="AN351" s="183" t="n">
        <v>40630</v>
      </c>
      <c r="AO351" s="182"/>
      <c r="AP351" s="182"/>
      <c r="AQ351" s="183"/>
      <c r="AR351" s="183"/>
      <c r="AS351" s="182"/>
      <c r="AT351" s="182"/>
      <c r="AU351" s="183"/>
      <c r="AV351" s="183"/>
      <c r="AW351" s="182"/>
      <c r="AX351" s="182"/>
      <c r="AY351" s="183"/>
      <c r="AZ351" s="183"/>
      <c r="BA351" s="182"/>
      <c r="BB351" s="182"/>
      <c r="BK351" s="183"/>
      <c r="BL351" s="183"/>
      <c r="BM351" s="182"/>
      <c r="BN351" s="182"/>
      <c r="BO351" s="183"/>
      <c r="BP351" s="183"/>
      <c r="BQ351" s="182"/>
      <c r="BR351" s="182"/>
      <c r="BS351" s="184" t="n">
        <v>50.7</v>
      </c>
      <c r="BT351" s="185" t="n">
        <v>40725</v>
      </c>
      <c r="BU351" s="184" t="n">
        <v>17.6</v>
      </c>
      <c r="BV351" s="185" t="n">
        <v>40725</v>
      </c>
      <c r="CL351" s="182"/>
      <c r="CM351" s="182"/>
    </row>
    <row r="352" customFormat="false" ht="12.75" hidden="false" customHeight="false" outlineLevel="0" collapsed="false">
      <c r="A352" s="204" t="s">
        <v>600</v>
      </c>
      <c r="B352" s="193" t="s">
        <v>782</v>
      </c>
      <c r="C352" s="193" t="s">
        <v>875</v>
      </c>
      <c r="D352" s="193"/>
      <c r="E352" s="194" t="n">
        <v>4</v>
      </c>
      <c r="F352" s="195" t="n">
        <v>6</v>
      </c>
      <c r="G352" s="119"/>
      <c r="H352" s="119"/>
      <c r="J352" s="118"/>
      <c r="K352" s="118"/>
      <c r="L352" s="181"/>
      <c r="N352" s="182"/>
      <c r="O352" s="182"/>
      <c r="S352" s="184" t="n">
        <v>1533</v>
      </c>
      <c r="T352" s="185" t="n">
        <v>40725</v>
      </c>
      <c r="U352" s="182"/>
      <c r="V352" s="182"/>
      <c r="W352" s="183"/>
      <c r="X352" s="183"/>
      <c r="Y352" s="184" t="n">
        <v>437</v>
      </c>
      <c r="Z352" s="185" t="n">
        <v>40725</v>
      </c>
      <c r="AA352" s="184" t="n">
        <v>80481</v>
      </c>
      <c r="AB352" s="185" t="n">
        <v>40725</v>
      </c>
      <c r="AC352" s="184" t="n">
        <v>28.6</v>
      </c>
      <c r="AD352" s="185" t="n">
        <v>40725</v>
      </c>
      <c r="AE352" s="196"/>
      <c r="AF352" s="185"/>
      <c r="AG352" s="184" t="n">
        <v>3.55</v>
      </c>
      <c r="AH352" s="185" t="n">
        <v>40725</v>
      </c>
      <c r="AI352" s="183"/>
      <c r="AJ352" s="183"/>
      <c r="AK352" s="182"/>
      <c r="AL352" s="182"/>
      <c r="AM352" s="184" t="n">
        <v>90</v>
      </c>
      <c r="AN352" s="183" t="n">
        <v>40630</v>
      </c>
      <c r="AO352" s="182"/>
      <c r="AP352" s="182"/>
      <c r="AQ352" s="183"/>
      <c r="AR352" s="183"/>
      <c r="AS352" s="182"/>
      <c r="AT352" s="182"/>
      <c r="AU352" s="183"/>
      <c r="AV352" s="183"/>
      <c r="AW352" s="182"/>
      <c r="AX352" s="182"/>
      <c r="AY352" s="183"/>
      <c r="AZ352" s="183"/>
      <c r="BA352" s="182"/>
      <c r="BB352" s="182"/>
      <c r="BK352" s="183"/>
      <c r="BL352" s="183"/>
      <c r="BM352" s="182"/>
      <c r="BN352" s="182"/>
      <c r="BO352" s="183"/>
      <c r="BP352" s="183"/>
      <c r="BQ352" s="182"/>
      <c r="BR352" s="182"/>
      <c r="BS352" s="184" t="n">
        <v>53.6</v>
      </c>
      <c r="BT352" s="185" t="n">
        <v>40725</v>
      </c>
      <c r="BU352" s="184" t="n">
        <v>15.3</v>
      </c>
      <c r="BV352" s="185" t="n">
        <v>40725</v>
      </c>
      <c r="CL352" s="182"/>
      <c r="CM352" s="182"/>
    </row>
    <row r="353" customFormat="false" ht="12.75" hidden="false" customHeight="false" outlineLevel="0" collapsed="false">
      <c r="A353" s="204" t="s">
        <v>600</v>
      </c>
      <c r="B353" s="193" t="s">
        <v>782</v>
      </c>
      <c r="C353" s="193" t="s">
        <v>876</v>
      </c>
      <c r="D353" s="193"/>
      <c r="E353" s="194" t="n">
        <v>8</v>
      </c>
      <c r="F353" s="195" t="n">
        <v>48</v>
      </c>
      <c r="G353" s="119"/>
      <c r="H353" s="119"/>
      <c r="J353" s="118"/>
      <c r="K353" s="118"/>
      <c r="L353" s="181"/>
      <c r="N353" s="182"/>
      <c r="O353" s="182"/>
      <c r="S353" s="184" t="n">
        <v>1529</v>
      </c>
      <c r="T353" s="185" t="n">
        <v>40725</v>
      </c>
      <c r="U353" s="182"/>
      <c r="V353" s="182"/>
      <c r="W353" s="183"/>
      <c r="X353" s="183"/>
      <c r="Y353" s="184" t="n">
        <v>438</v>
      </c>
      <c r="Z353" s="185" t="n">
        <v>40725</v>
      </c>
      <c r="AA353" s="184" t="n">
        <v>78926</v>
      </c>
      <c r="AB353" s="185" t="n">
        <v>40725</v>
      </c>
      <c r="AC353" s="184" t="n">
        <v>28.6</v>
      </c>
      <c r="AD353" s="185" t="n">
        <v>40725</v>
      </c>
      <c r="AE353" s="196"/>
      <c r="AF353" s="185"/>
      <c r="AG353" s="184" t="n">
        <v>3.62</v>
      </c>
      <c r="AH353" s="185" t="n">
        <v>40725</v>
      </c>
      <c r="AI353" s="183"/>
      <c r="AJ353" s="183"/>
      <c r="AK353" s="182"/>
      <c r="AL353" s="182"/>
      <c r="AM353" s="184" t="n">
        <v>87</v>
      </c>
      <c r="AN353" s="183" t="n">
        <v>40630</v>
      </c>
      <c r="AO353" s="182"/>
      <c r="AP353" s="182"/>
      <c r="AQ353" s="183"/>
      <c r="AR353" s="183"/>
      <c r="AS353" s="182"/>
      <c r="AT353" s="182"/>
      <c r="AU353" s="183"/>
      <c r="AV353" s="183"/>
      <c r="AW353" s="182"/>
      <c r="AX353" s="182"/>
      <c r="AY353" s="183"/>
      <c r="AZ353" s="183"/>
      <c r="BA353" s="182"/>
      <c r="BB353" s="182"/>
      <c r="BK353" s="183"/>
      <c r="BL353" s="183"/>
      <c r="BM353" s="182"/>
      <c r="BN353" s="182"/>
      <c r="BO353" s="183"/>
      <c r="BP353" s="183"/>
      <c r="BQ353" s="182"/>
      <c r="BR353" s="182"/>
      <c r="BS353" s="184" t="n">
        <v>53.5</v>
      </c>
      <c r="BT353" s="185" t="n">
        <v>40725</v>
      </c>
      <c r="BU353" s="184" t="n">
        <v>15.3</v>
      </c>
      <c r="BV353" s="185" t="n">
        <v>40725</v>
      </c>
      <c r="CL353" s="182"/>
      <c r="CM353" s="182"/>
    </row>
    <row r="354" customFormat="false" ht="12.75" hidden="false" customHeight="false" outlineLevel="0" collapsed="false">
      <c r="A354" s="204" t="s">
        <v>600</v>
      </c>
      <c r="B354" s="193" t="s">
        <v>782</v>
      </c>
      <c r="C354" s="193" t="s">
        <v>877</v>
      </c>
      <c r="D354" s="193"/>
      <c r="E354" s="119" t="n">
        <v>18</v>
      </c>
      <c r="F354" s="195" t="n">
        <v>81</v>
      </c>
      <c r="G354" s="119"/>
      <c r="H354" s="119"/>
      <c r="J354" s="118"/>
      <c r="K354" s="118"/>
      <c r="L354" s="181"/>
      <c r="N354" s="182"/>
      <c r="O354" s="182"/>
      <c r="S354" s="184" t="n">
        <v>1430</v>
      </c>
      <c r="T354" s="185" t="n">
        <v>40725</v>
      </c>
      <c r="U354" s="182"/>
      <c r="V354" s="182"/>
      <c r="W354" s="183"/>
      <c r="X354" s="183"/>
      <c r="Y354" s="184" t="n">
        <v>455</v>
      </c>
      <c r="Z354" s="185" t="n">
        <v>40725</v>
      </c>
      <c r="AA354" s="184" t="n">
        <v>73510</v>
      </c>
      <c r="AB354" s="185" t="n">
        <v>40725</v>
      </c>
      <c r="AC354" s="184" t="n">
        <v>27.2</v>
      </c>
      <c r="AD354" s="185" t="n">
        <v>40725</v>
      </c>
      <c r="AE354" s="196"/>
      <c r="AF354" s="185"/>
      <c r="AG354" s="184" t="n">
        <v>3.7</v>
      </c>
      <c r="AH354" s="185" t="n">
        <v>40725</v>
      </c>
      <c r="AI354" s="183"/>
      <c r="AJ354" s="183"/>
      <c r="AK354" s="182"/>
      <c r="AL354" s="182"/>
      <c r="AM354" s="184" t="n">
        <v>87</v>
      </c>
      <c r="AN354" s="183" t="n">
        <v>40630</v>
      </c>
      <c r="AO354" s="182"/>
      <c r="AP354" s="182"/>
      <c r="AQ354" s="183"/>
      <c r="AR354" s="183"/>
      <c r="AS354" s="182"/>
      <c r="AT354" s="182"/>
      <c r="AU354" s="183"/>
      <c r="AV354" s="183"/>
      <c r="AW354" s="182"/>
      <c r="AX354" s="182"/>
      <c r="AY354" s="183"/>
      <c r="AZ354" s="183"/>
      <c r="BA354" s="182"/>
      <c r="BB354" s="182"/>
      <c r="BK354" s="183"/>
      <c r="BL354" s="183"/>
      <c r="BM354" s="182"/>
      <c r="BN354" s="182"/>
      <c r="BO354" s="183"/>
      <c r="BP354" s="183"/>
      <c r="BQ354" s="182"/>
      <c r="BR354" s="182"/>
      <c r="BS354" s="184" t="n">
        <v>52.6</v>
      </c>
      <c r="BT354" s="185" t="n">
        <v>40725</v>
      </c>
      <c r="BU354" s="184" t="n">
        <v>16.7</v>
      </c>
      <c r="BV354" s="185" t="n">
        <v>40725</v>
      </c>
      <c r="CL354" s="182"/>
      <c r="CM354" s="182"/>
    </row>
    <row r="355" customFormat="false" ht="12.75" hidden="false" customHeight="false" outlineLevel="0" collapsed="false">
      <c r="A355" s="204" t="s">
        <v>600</v>
      </c>
      <c r="B355" s="193" t="s">
        <v>785</v>
      </c>
      <c r="C355" s="193" t="s">
        <v>875</v>
      </c>
      <c r="D355" s="193"/>
      <c r="E355" s="194" t="n">
        <v>6</v>
      </c>
      <c r="F355" s="195" t="n">
        <v>17</v>
      </c>
      <c r="G355" s="119"/>
      <c r="H355" s="119"/>
      <c r="J355" s="118"/>
      <c r="K355" s="118"/>
      <c r="L355" s="181"/>
      <c r="N355" s="182"/>
      <c r="O355" s="182"/>
      <c r="S355" s="184" t="n">
        <v>2041</v>
      </c>
      <c r="T355" s="185" t="n">
        <v>40725</v>
      </c>
      <c r="U355" s="182"/>
      <c r="V355" s="182"/>
      <c r="W355" s="183"/>
      <c r="X355" s="183"/>
      <c r="Y355" s="184" t="n">
        <v>658</v>
      </c>
      <c r="Z355" s="185" t="n">
        <v>40725</v>
      </c>
      <c r="AA355" s="184" t="n">
        <v>108949</v>
      </c>
      <c r="AB355" s="185" t="n">
        <v>40725</v>
      </c>
      <c r="AC355" s="184" t="n">
        <v>38.9</v>
      </c>
      <c r="AD355" s="185" t="n">
        <v>40725</v>
      </c>
      <c r="AE355" s="196"/>
      <c r="AF355" s="185"/>
      <c r="AG355" s="184" t="n">
        <v>3.57</v>
      </c>
      <c r="AH355" s="185" t="n">
        <v>40725</v>
      </c>
      <c r="AI355" s="183"/>
      <c r="AJ355" s="183"/>
      <c r="AK355" s="182"/>
      <c r="AL355" s="182"/>
      <c r="AM355" s="184" t="n">
        <v>91</v>
      </c>
      <c r="AN355" s="183" t="n">
        <v>40630</v>
      </c>
      <c r="AO355" s="182"/>
      <c r="AP355" s="182"/>
      <c r="AQ355" s="183"/>
      <c r="AR355" s="183"/>
      <c r="AS355" s="182"/>
      <c r="AT355" s="182"/>
      <c r="AU355" s="183"/>
      <c r="AV355" s="183"/>
      <c r="AW355" s="182"/>
      <c r="AX355" s="182"/>
      <c r="AY355" s="183"/>
      <c r="AZ355" s="183"/>
      <c r="BA355" s="182"/>
      <c r="BB355" s="182"/>
      <c r="BK355" s="183"/>
      <c r="BL355" s="183"/>
      <c r="BM355" s="182"/>
      <c r="BN355" s="182"/>
      <c r="BO355" s="183"/>
      <c r="BP355" s="183"/>
      <c r="BQ355" s="182"/>
      <c r="BR355" s="182"/>
      <c r="BS355" s="184" t="n">
        <v>52.5</v>
      </c>
      <c r="BT355" s="185" t="n">
        <v>40725</v>
      </c>
      <c r="BU355" s="184" t="n">
        <v>16.9</v>
      </c>
      <c r="BV355" s="185" t="n">
        <v>40725</v>
      </c>
      <c r="CL355" s="182"/>
      <c r="CM355" s="182"/>
    </row>
    <row r="356" customFormat="false" ht="12.75" hidden="false" customHeight="false" outlineLevel="0" collapsed="false">
      <c r="A356" s="204" t="s">
        <v>600</v>
      </c>
      <c r="B356" s="193" t="s">
        <v>785</v>
      </c>
      <c r="C356" s="193" t="s">
        <v>876</v>
      </c>
      <c r="D356" s="193"/>
      <c r="E356" s="194" t="n">
        <v>3</v>
      </c>
      <c r="F356" s="195" t="n">
        <v>39</v>
      </c>
      <c r="G356" s="119"/>
      <c r="H356" s="119"/>
      <c r="J356" s="118"/>
      <c r="K356" s="118"/>
      <c r="L356" s="181"/>
      <c r="N356" s="182"/>
      <c r="O356" s="182"/>
      <c r="S356" s="184" t="n">
        <v>1903</v>
      </c>
      <c r="T356" s="185" t="n">
        <v>40725</v>
      </c>
      <c r="U356" s="182"/>
      <c r="V356" s="182"/>
      <c r="W356" s="183"/>
      <c r="X356" s="183"/>
      <c r="Y356" s="184" t="n">
        <v>626</v>
      </c>
      <c r="Z356" s="185" t="n">
        <v>40725</v>
      </c>
      <c r="AA356" s="184" t="n">
        <v>93258</v>
      </c>
      <c r="AB356" s="185" t="n">
        <v>40725</v>
      </c>
      <c r="AC356" s="184" t="n">
        <v>36.7</v>
      </c>
      <c r="AD356" s="185" t="n">
        <v>40725</v>
      </c>
      <c r="AE356" s="196"/>
      <c r="AF356" s="185"/>
      <c r="AG356" s="184" t="n">
        <v>3.93</v>
      </c>
      <c r="AH356" s="185" t="n">
        <v>40725</v>
      </c>
      <c r="AI356" s="183"/>
      <c r="AJ356" s="183"/>
      <c r="AK356" s="182"/>
      <c r="AL356" s="182"/>
      <c r="AM356" s="184" t="n">
        <v>90</v>
      </c>
      <c r="AN356" s="183" t="n">
        <v>40630</v>
      </c>
      <c r="AO356" s="182"/>
      <c r="AP356" s="182"/>
      <c r="AQ356" s="183"/>
      <c r="AR356" s="183"/>
      <c r="AS356" s="182"/>
      <c r="AT356" s="182"/>
      <c r="AU356" s="183"/>
      <c r="AV356" s="183"/>
      <c r="AW356" s="182"/>
      <c r="AX356" s="182"/>
      <c r="AY356" s="183"/>
      <c r="AZ356" s="183"/>
      <c r="BA356" s="182"/>
      <c r="BB356" s="182"/>
      <c r="BK356" s="183"/>
      <c r="BL356" s="183"/>
      <c r="BM356" s="182"/>
      <c r="BN356" s="182"/>
      <c r="BO356" s="183"/>
      <c r="BP356" s="183"/>
      <c r="BQ356" s="182"/>
      <c r="BR356" s="182"/>
      <c r="BS356" s="184" t="n">
        <v>51.9</v>
      </c>
      <c r="BT356" s="185" t="n">
        <v>40725</v>
      </c>
      <c r="BU356" s="184" t="n">
        <v>17.1</v>
      </c>
      <c r="BV356" s="185" t="n">
        <v>40725</v>
      </c>
      <c r="CL356" s="182"/>
      <c r="CM356" s="182"/>
    </row>
    <row r="357" customFormat="false" ht="12.75" hidden="false" customHeight="false" outlineLevel="0" collapsed="false">
      <c r="A357" s="204" t="s">
        <v>600</v>
      </c>
      <c r="B357" s="193" t="s">
        <v>785</v>
      </c>
      <c r="C357" s="193" t="s">
        <v>877</v>
      </c>
      <c r="D357" s="193"/>
      <c r="E357" s="119" t="n">
        <v>23</v>
      </c>
      <c r="F357" s="195" t="n">
        <v>70</v>
      </c>
      <c r="G357" s="119"/>
      <c r="H357" s="119"/>
      <c r="J357" s="118"/>
      <c r="K357" s="118"/>
      <c r="L357" s="181"/>
      <c r="N357" s="182"/>
      <c r="O357" s="182"/>
      <c r="S357" s="184" t="n">
        <v>1811</v>
      </c>
      <c r="T357" s="185" t="n">
        <v>40725</v>
      </c>
      <c r="U357" s="182"/>
      <c r="V357" s="182"/>
      <c r="W357" s="183"/>
      <c r="X357" s="183"/>
      <c r="Y357" s="184" t="n">
        <v>594</v>
      </c>
      <c r="Z357" s="185" t="n">
        <v>40725</v>
      </c>
      <c r="AA357" s="184" t="n">
        <v>87730</v>
      </c>
      <c r="AB357" s="185" t="n">
        <v>40725</v>
      </c>
      <c r="AC357" s="184" t="n">
        <v>34.7</v>
      </c>
      <c r="AD357" s="185" t="n">
        <v>40725</v>
      </c>
      <c r="AE357" s="196"/>
      <c r="AF357" s="185"/>
      <c r="AG357" s="184" t="n">
        <v>3.96</v>
      </c>
      <c r="AH357" s="185" t="n">
        <v>40725</v>
      </c>
      <c r="AI357" s="183"/>
      <c r="AJ357" s="183"/>
      <c r="AK357" s="182"/>
      <c r="AL357" s="182"/>
      <c r="AM357" s="184" t="n">
        <v>87</v>
      </c>
      <c r="AN357" s="183" t="n">
        <v>40630</v>
      </c>
      <c r="AO357" s="182"/>
      <c r="AP357" s="182"/>
      <c r="AQ357" s="183"/>
      <c r="AR357" s="183"/>
      <c r="AS357" s="182"/>
      <c r="AT357" s="182"/>
      <c r="AU357" s="183"/>
      <c r="AV357" s="183"/>
      <c r="AW357" s="182"/>
      <c r="AX357" s="182"/>
      <c r="AY357" s="183"/>
      <c r="AZ357" s="183"/>
      <c r="BA357" s="182"/>
      <c r="BB357" s="182"/>
      <c r="BK357" s="183"/>
      <c r="BL357" s="183"/>
      <c r="BM357" s="182"/>
      <c r="BN357" s="182"/>
      <c r="BO357" s="183"/>
      <c r="BP357" s="183"/>
      <c r="BQ357" s="182"/>
      <c r="BR357" s="182"/>
      <c r="BS357" s="184" t="n">
        <v>52.2</v>
      </c>
      <c r="BT357" s="185" t="n">
        <v>40725</v>
      </c>
      <c r="BU357" s="184" t="n">
        <v>17.1</v>
      </c>
      <c r="BV357" s="185" t="n">
        <v>40725</v>
      </c>
      <c r="CL357" s="182"/>
      <c r="CM357" s="182"/>
    </row>
    <row r="358" customFormat="false" ht="12.75" hidden="false" customHeight="false" outlineLevel="0" collapsed="false">
      <c r="A358" s="204" t="s">
        <v>603</v>
      </c>
      <c r="B358" s="193" t="s">
        <v>782</v>
      </c>
      <c r="C358" s="193" t="s">
        <v>875</v>
      </c>
      <c r="D358" s="193"/>
      <c r="E358" s="194" t="n">
        <v>3</v>
      </c>
      <c r="F358" s="195" t="n">
        <v>23</v>
      </c>
      <c r="G358" s="119"/>
      <c r="H358" s="119"/>
      <c r="J358" s="118"/>
      <c r="K358" s="118"/>
      <c r="L358" s="181"/>
      <c r="N358" s="182"/>
      <c r="O358" s="182"/>
      <c r="S358" s="184" t="n">
        <v>1585</v>
      </c>
      <c r="T358" s="185" t="n">
        <v>40725</v>
      </c>
      <c r="U358" s="182"/>
      <c r="V358" s="182"/>
      <c r="W358" s="183"/>
      <c r="X358" s="183"/>
      <c r="Y358" s="184" t="n">
        <v>507</v>
      </c>
      <c r="Z358" s="185" t="n">
        <v>40725</v>
      </c>
      <c r="AA358" s="184" t="n">
        <v>75986</v>
      </c>
      <c r="AB358" s="185" t="n">
        <v>40725</v>
      </c>
      <c r="AC358" s="184" t="n">
        <v>30.3</v>
      </c>
      <c r="AD358" s="185" t="n">
        <v>40725</v>
      </c>
      <c r="AE358" s="196"/>
      <c r="AF358" s="185"/>
      <c r="AG358" s="184" t="n">
        <v>3.99</v>
      </c>
      <c r="AH358" s="185" t="n">
        <v>40725</v>
      </c>
      <c r="AI358" s="183"/>
      <c r="AJ358" s="183"/>
      <c r="AK358" s="182"/>
      <c r="AL358" s="182"/>
      <c r="AM358" s="184" t="n">
        <v>81</v>
      </c>
      <c r="AN358" s="183" t="n">
        <v>40630</v>
      </c>
      <c r="AO358" s="182"/>
      <c r="AP358" s="182"/>
      <c r="AQ358" s="183"/>
      <c r="AR358" s="183"/>
      <c r="AS358" s="182"/>
      <c r="AT358" s="182"/>
      <c r="AU358" s="183"/>
      <c r="AV358" s="183"/>
      <c r="AW358" s="182"/>
      <c r="AX358" s="182"/>
      <c r="AY358" s="183"/>
      <c r="AZ358" s="183"/>
      <c r="BA358" s="182"/>
      <c r="BB358" s="182"/>
      <c r="BK358" s="183"/>
      <c r="BL358" s="183"/>
      <c r="BM358" s="182"/>
      <c r="BN358" s="182"/>
      <c r="BO358" s="183"/>
      <c r="BP358" s="183"/>
      <c r="BQ358" s="182"/>
      <c r="BR358" s="182"/>
      <c r="BS358" s="184" t="n">
        <v>52.3</v>
      </c>
      <c r="BT358" s="185" t="n">
        <v>40725</v>
      </c>
      <c r="BU358" s="184" t="n">
        <v>16.7</v>
      </c>
      <c r="BV358" s="185" t="n">
        <v>40725</v>
      </c>
      <c r="CL358" s="182"/>
      <c r="CM358" s="182"/>
    </row>
    <row r="359" customFormat="false" ht="12.75" hidden="false" customHeight="false" outlineLevel="0" collapsed="false">
      <c r="A359" s="204" t="s">
        <v>603</v>
      </c>
      <c r="B359" s="193" t="s">
        <v>782</v>
      </c>
      <c r="C359" s="193" t="s">
        <v>876</v>
      </c>
      <c r="D359" s="193"/>
      <c r="E359" s="194" t="n">
        <v>5</v>
      </c>
      <c r="F359" s="195" t="n">
        <v>44</v>
      </c>
      <c r="G359" s="119"/>
      <c r="H359" s="119"/>
      <c r="J359" s="118"/>
      <c r="K359" s="118"/>
      <c r="L359" s="181"/>
      <c r="N359" s="182"/>
      <c r="O359" s="182"/>
      <c r="S359" s="184" t="s">
        <v>879</v>
      </c>
      <c r="T359" s="185" t="n">
        <v>40725</v>
      </c>
      <c r="U359" s="182"/>
      <c r="V359" s="182"/>
      <c r="W359" s="183"/>
      <c r="X359" s="183"/>
      <c r="Y359" s="184" t="s">
        <v>879</v>
      </c>
      <c r="Z359" s="185" t="n">
        <v>40725</v>
      </c>
      <c r="AA359" s="184" t="n">
        <v>69464</v>
      </c>
      <c r="AB359" s="185" t="n">
        <v>40725</v>
      </c>
      <c r="AC359" s="184" t="n">
        <v>29</v>
      </c>
      <c r="AD359" s="185" t="n">
        <v>40725</v>
      </c>
      <c r="AE359" s="196"/>
      <c r="AF359" s="185"/>
      <c r="AG359" s="184" t="n">
        <v>4.18</v>
      </c>
      <c r="AH359" s="185" t="n">
        <v>40725</v>
      </c>
      <c r="AI359" s="183"/>
      <c r="AJ359" s="183"/>
      <c r="AK359" s="182"/>
      <c r="AL359" s="182"/>
      <c r="AM359" s="184" t="n">
        <v>80</v>
      </c>
      <c r="AN359" s="183" t="n">
        <v>40630</v>
      </c>
      <c r="AO359" s="182"/>
      <c r="AP359" s="182"/>
      <c r="AQ359" s="183"/>
      <c r="AR359" s="183"/>
      <c r="AS359" s="182"/>
      <c r="AT359" s="182"/>
      <c r="AU359" s="183"/>
      <c r="AV359" s="183"/>
      <c r="AW359" s="182"/>
      <c r="AX359" s="182"/>
      <c r="AY359" s="183"/>
      <c r="AZ359" s="183"/>
      <c r="BA359" s="182"/>
      <c r="BB359" s="182"/>
      <c r="BK359" s="183"/>
      <c r="BL359" s="183"/>
      <c r="BM359" s="182"/>
      <c r="BN359" s="182"/>
      <c r="BO359" s="183"/>
      <c r="BP359" s="183"/>
      <c r="BQ359" s="182"/>
      <c r="BR359" s="182"/>
      <c r="BS359" s="184" t="s">
        <v>879</v>
      </c>
      <c r="BT359" s="185" t="n">
        <v>40725</v>
      </c>
      <c r="BU359" s="184" t="s">
        <v>879</v>
      </c>
      <c r="BV359" s="185" t="n">
        <v>40725</v>
      </c>
      <c r="CL359" s="182"/>
      <c r="CM359" s="182"/>
    </row>
    <row r="360" customFormat="false" ht="12.75" hidden="false" customHeight="false" outlineLevel="0" collapsed="false">
      <c r="A360" s="204" t="s">
        <v>603</v>
      </c>
      <c r="B360" s="193" t="s">
        <v>782</v>
      </c>
      <c r="C360" s="193" t="s">
        <v>877</v>
      </c>
      <c r="D360" s="193"/>
      <c r="E360" s="119" t="n">
        <v>15</v>
      </c>
      <c r="F360" s="195" t="n">
        <v>76</v>
      </c>
      <c r="G360" s="119"/>
      <c r="H360" s="119"/>
      <c r="J360" s="118"/>
      <c r="K360" s="118"/>
      <c r="L360" s="181"/>
      <c r="N360" s="182"/>
      <c r="O360" s="182"/>
      <c r="S360" s="184" t="n">
        <v>1351</v>
      </c>
      <c r="T360" s="185" t="n">
        <v>40725</v>
      </c>
      <c r="U360" s="182"/>
      <c r="V360" s="182"/>
      <c r="W360" s="183"/>
      <c r="X360" s="183"/>
      <c r="Y360" s="184" t="n">
        <v>432</v>
      </c>
      <c r="Z360" s="185" t="n">
        <v>40725</v>
      </c>
      <c r="AA360" s="184" t="n">
        <v>62072</v>
      </c>
      <c r="AB360" s="185" t="n">
        <v>40725</v>
      </c>
      <c r="AC360" s="184" t="n">
        <v>25.9</v>
      </c>
      <c r="AD360" s="185" t="n">
        <v>40725</v>
      </c>
      <c r="AE360" s="196"/>
      <c r="AF360" s="185"/>
      <c r="AG360" s="184" t="n">
        <v>4.18</v>
      </c>
      <c r="AH360" s="185" t="n">
        <v>40725</v>
      </c>
      <c r="AI360" s="183"/>
      <c r="AJ360" s="183"/>
      <c r="AK360" s="182"/>
      <c r="AL360" s="182"/>
      <c r="AM360" s="184" t="n">
        <v>81</v>
      </c>
      <c r="AN360" s="183" t="n">
        <v>40630</v>
      </c>
      <c r="AO360" s="182"/>
      <c r="AP360" s="182"/>
      <c r="AQ360" s="183"/>
      <c r="AR360" s="183"/>
      <c r="AS360" s="182"/>
      <c r="AT360" s="182"/>
      <c r="AU360" s="183"/>
      <c r="AV360" s="183"/>
      <c r="AW360" s="182"/>
      <c r="AX360" s="182"/>
      <c r="AY360" s="183"/>
      <c r="AZ360" s="183"/>
      <c r="BA360" s="182"/>
      <c r="BB360" s="182"/>
      <c r="BK360" s="183"/>
      <c r="BL360" s="183"/>
      <c r="BM360" s="182"/>
      <c r="BN360" s="182"/>
      <c r="BO360" s="183"/>
      <c r="BP360" s="183"/>
      <c r="BQ360" s="182"/>
      <c r="BR360" s="182"/>
      <c r="BS360" s="184" t="n">
        <v>52.1</v>
      </c>
      <c r="BT360" s="185" t="n">
        <v>40725</v>
      </c>
      <c r="BU360" s="184" t="n">
        <v>16.7</v>
      </c>
      <c r="BV360" s="185" t="n">
        <v>40725</v>
      </c>
      <c r="CL360" s="182"/>
      <c r="CM360" s="182"/>
    </row>
    <row r="361" customFormat="false" ht="12.75" hidden="false" customHeight="false" outlineLevel="0" collapsed="false">
      <c r="A361" s="204" t="s">
        <v>603</v>
      </c>
      <c r="B361" s="193" t="s">
        <v>785</v>
      </c>
      <c r="C361" s="193" t="s">
        <v>875</v>
      </c>
      <c r="D361" s="193"/>
      <c r="E361" s="194" t="n">
        <v>7</v>
      </c>
      <c r="F361" s="195" t="n">
        <v>12</v>
      </c>
      <c r="G361" s="119"/>
      <c r="H361" s="119"/>
      <c r="J361" s="118"/>
      <c r="K361" s="118"/>
      <c r="L361" s="181"/>
      <c r="N361" s="182"/>
      <c r="O361" s="182"/>
      <c r="S361" s="184" t="n">
        <v>1788</v>
      </c>
      <c r="T361" s="185" t="n">
        <v>40725</v>
      </c>
      <c r="U361" s="182"/>
      <c r="V361" s="182"/>
      <c r="W361" s="183"/>
      <c r="X361" s="183"/>
      <c r="Y361" s="184" t="n">
        <v>636</v>
      </c>
      <c r="Z361" s="185" t="n">
        <v>40725</v>
      </c>
      <c r="AA361" s="184" t="n">
        <v>88216</v>
      </c>
      <c r="AB361" s="185" t="n">
        <v>40725</v>
      </c>
      <c r="AC361" s="184" t="n">
        <v>35.5</v>
      </c>
      <c r="AD361" s="185" t="n">
        <v>40725</v>
      </c>
      <c r="AE361" s="196"/>
      <c r="AF361" s="185"/>
      <c r="AG361" s="184" t="n">
        <v>4.02</v>
      </c>
      <c r="AH361" s="185" t="n">
        <v>40725</v>
      </c>
      <c r="AI361" s="183"/>
      <c r="AJ361" s="183"/>
      <c r="AK361" s="182"/>
      <c r="AL361" s="182"/>
      <c r="AM361" s="184" t="n">
        <v>82</v>
      </c>
      <c r="AN361" s="183" t="n">
        <v>40630</v>
      </c>
      <c r="AO361" s="182"/>
      <c r="AP361" s="182"/>
      <c r="AQ361" s="183"/>
      <c r="AR361" s="183"/>
      <c r="AS361" s="182"/>
      <c r="AT361" s="182"/>
      <c r="AU361" s="183"/>
      <c r="AV361" s="183"/>
      <c r="AW361" s="182"/>
      <c r="AX361" s="182"/>
      <c r="AY361" s="183"/>
      <c r="AZ361" s="183"/>
      <c r="BA361" s="182"/>
      <c r="BB361" s="182"/>
      <c r="BK361" s="183"/>
      <c r="BL361" s="183"/>
      <c r="BM361" s="182"/>
      <c r="BN361" s="182"/>
      <c r="BO361" s="183"/>
      <c r="BP361" s="183"/>
      <c r="BQ361" s="182"/>
      <c r="BR361" s="182"/>
      <c r="BS361" s="184" t="n">
        <v>50.4</v>
      </c>
      <c r="BT361" s="185" t="n">
        <v>40725</v>
      </c>
      <c r="BU361" s="184" t="n">
        <v>17.9</v>
      </c>
      <c r="BV361" s="185" t="n">
        <v>40725</v>
      </c>
      <c r="CL361" s="182"/>
      <c r="CM361" s="182"/>
    </row>
    <row r="362" customFormat="false" ht="12.75" hidden="false" customHeight="false" outlineLevel="0" collapsed="false">
      <c r="A362" s="204" t="s">
        <v>603</v>
      </c>
      <c r="B362" s="193" t="s">
        <v>785</v>
      </c>
      <c r="C362" s="193" t="s">
        <v>876</v>
      </c>
      <c r="D362" s="193"/>
      <c r="E362" s="194" t="n">
        <v>3</v>
      </c>
      <c r="F362" s="195" t="n">
        <v>50</v>
      </c>
      <c r="G362" s="119"/>
      <c r="H362" s="119"/>
      <c r="J362" s="118"/>
      <c r="K362" s="118"/>
      <c r="L362" s="181"/>
      <c r="N362" s="182"/>
      <c r="O362" s="182"/>
      <c r="S362" s="184" t="n">
        <v>1890</v>
      </c>
      <c r="T362" s="185" t="n">
        <v>40725</v>
      </c>
      <c r="U362" s="182"/>
      <c r="V362" s="182"/>
      <c r="W362" s="183"/>
      <c r="X362" s="183"/>
      <c r="Y362" s="184" t="n">
        <v>675</v>
      </c>
      <c r="Z362" s="185" t="n">
        <v>40725</v>
      </c>
      <c r="AA362" s="184" t="n">
        <v>91249</v>
      </c>
      <c r="AB362" s="185" t="n">
        <v>40725</v>
      </c>
      <c r="AC362" s="184" t="n">
        <v>37.1</v>
      </c>
      <c r="AD362" s="185" t="n">
        <v>40725</v>
      </c>
      <c r="AE362" s="196"/>
      <c r="AF362" s="185"/>
      <c r="AG362" s="184" t="n">
        <v>4.07</v>
      </c>
      <c r="AH362" s="185" t="n">
        <v>40725</v>
      </c>
      <c r="AI362" s="183"/>
      <c r="AJ362" s="183"/>
      <c r="AK362" s="182"/>
      <c r="AL362" s="182"/>
      <c r="AM362" s="184" t="n">
        <v>81</v>
      </c>
      <c r="AN362" s="183" t="n">
        <v>40630</v>
      </c>
      <c r="AO362" s="182"/>
      <c r="AP362" s="182"/>
      <c r="AQ362" s="183"/>
      <c r="AR362" s="183"/>
      <c r="AS362" s="182"/>
      <c r="AT362" s="182"/>
      <c r="AU362" s="183"/>
      <c r="AV362" s="183"/>
      <c r="AW362" s="182"/>
      <c r="AX362" s="182"/>
      <c r="AY362" s="183"/>
      <c r="AZ362" s="183"/>
      <c r="BA362" s="182"/>
      <c r="BB362" s="182"/>
      <c r="BK362" s="183"/>
      <c r="BL362" s="183"/>
      <c r="BM362" s="182"/>
      <c r="BN362" s="182"/>
      <c r="BO362" s="183"/>
      <c r="BP362" s="183"/>
      <c r="BQ362" s="182"/>
      <c r="BR362" s="182"/>
      <c r="BS362" s="184" t="n">
        <v>50.9</v>
      </c>
      <c r="BT362" s="185" t="n">
        <v>40725</v>
      </c>
      <c r="BU362" s="184" t="n">
        <v>18.2</v>
      </c>
      <c r="BV362" s="185" t="n">
        <v>40725</v>
      </c>
      <c r="CL362" s="182"/>
      <c r="CM362" s="182"/>
    </row>
    <row r="363" customFormat="false" ht="12.75" hidden="false" customHeight="false" outlineLevel="0" collapsed="false">
      <c r="A363" s="204" t="s">
        <v>603</v>
      </c>
      <c r="B363" s="193" t="s">
        <v>785</v>
      </c>
      <c r="C363" s="193" t="s">
        <v>877</v>
      </c>
      <c r="D363" s="193"/>
      <c r="E363" s="119" t="n">
        <v>22</v>
      </c>
      <c r="F363" s="195" t="n">
        <v>79</v>
      </c>
      <c r="G363" s="119"/>
      <c r="H363" s="119"/>
      <c r="J363" s="118"/>
      <c r="K363" s="118"/>
      <c r="L363" s="181"/>
      <c r="N363" s="182"/>
      <c r="O363" s="182"/>
      <c r="S363" s="184" t="n">
        <v>1741</v>
      </c>
      <c r="T363" s="185" t="n">
        <v>40725</v>
      </c>
      <c r="U363" s="182"/>
      <c r="V363" s="182"/>
      <c r="W363" s="183"/>
      <c r="X363" s="183"/>
      <c r="Y363" s="184" t="n">
        <v>698</v>
      </c>
      <c r="Z363" s="185" t="n">
        <v>40725</v>
      </c>
      <c r="AA363" s="184" t="n">
        <v>81502</v>
      </c>
      <c r="AB363" s="185" t="n">
        <v>40725</v>
      </c>
      <c r="AC363" s="184" t="n">
        <v>35.1</v>
      </c>
      <c r="AD363" s="185" t="n">
        <v>40725</v>
      </c>
      <c r="AE363" s="196"/>
      <c r="AF363" s="185"/>
      <c r="AG363" s="184" t="n">
        <v>4.31</v>
      </c>
      <c r="AH363" s="185" t="n">
        <v>40725</v>
      </c>
      <c r="AI363" s="183"/>
      <c r="AJ363" s="183"/>
      <c r="AK363" s="182"/>
      <c r="AL363" s="182"/>
      <c r="AM363" s="184" t="n">
        <v>81</v>
      </c>
      <c r="AN363" s="183" t="n">
        <v>40630</v>
      </c>
      <c r="AO363" s="182"/>
      <c r="AP363" s="182"/>
      <c r="AQ363" s="183"/>
      <c r="AR363" s="183"/>
      <c r="AS363" s="182"/>
      <c r="AT363" s="182"/>
      <c r="AU363" s="183"/>
      <c r="AV363" s="183"/>
      <c r="AW363" s="182"/>
      <c r="AX363" s="182"/>
      <c r="AY363" s="183"/>
      <c r="AZ363" s="183"/>
      <c r="BA363" s="182"/>
      <c r="BB363" s="182"/>
      <c r="BK363" s="183"/>
      <c r="BL363" s="183"/>
      <c r="BM363" s="182"/>
      <c r="BN363" s="182"/>
      <c r="BO363" s="183"/>
      <c r="BP363" s="183"/>
      <c r="BQ363" s="182"/>
      <c r="BR363" s="182"/>
      <c r="BS363" s="184" t="n">
        <v>49.6</v>
      </c>
      <c r="BT363" s="185" t="n">
        <v>40725</v>
      </c>
      <c r="BU363" s="184" t="n">
        <v>19.9</v>
      </c>
      <c r="BV363" s="185" t="n">
        <v>40725</v>
      </c>
      <c r="CL363" s="182"/>
      <c r="CM363" s="182"/>
    </row>
    <row r="364" customFormat="false" ht="12.75" hidden="false" customHeight="false" outlineLevel="0" collapsed="false">
      <c r="A364" s="204" t="s">
        <v>606</v>
      </c>
      <c r="B364" s="193" t="s">
        <v>782</v>
      </c>
      <c r="C364" s="193" t="s">
        <v>875</v>
      </c>
      <c r="D364" s="193"/>
      <c r="E364" s="194" t="n">
        <v>3</v>
      </c>
      <c r="F364" s="195" t="n">
        <v>13</v>
      </c>
      <c r="G364" s="119"/>
      <c r="H364" s="119"/>
      <c r="J364" s="118"/>
      <c r="K364" s="118"/>
      <c r="L364" s="181"/>
      <c r="N364" s="182"/>
      <c r="O364" s="182"/>
      <c r="S364" s="184" t="n">
        <v>1814</v>
      </c>
      <c r="T364" s="185" t="n">
        <v>40725</v>
      </c>
      <c r="U364" s="182"/>
      <c r="V364" s="182"/>
      <c r="W364" s="183"/>
      <c r="X364" s="183"/>
      <c r="Y364" s="184" t="n">
        <v>591</v>
      </c>
      <c r="Z364" s="185" t="n">
        <v>40725</v>
      </c>
      <c r="AA364" s="184" t="n">
        <v>89372</v>
      </c>
      <c r="AB364" s="185" t="n">
        <v>40725</v>
      </c>
      <c r="AC364" s="184" t="n">
        <v>35.4</v>
      </c>
      <c r="AD364" s="185" t="n">
        <v>40725</v>
      </c>
      <c r="AE364" s="196"/>
      <c r="AF364" s="185"/>
      <c r="AG364" s="184" t="n">
        <v>3.96</v>
      </c>
      <c r="AH364" s="185" t="n">
        <v>40725</v>
      </c>
      <c r="AI364" s="183"/>
      <c r="AJ364" s="183"/>
      <c r="AK364" s="182"/>
      <c r="AL364" s="182"/>
      <c r="AM364" s="184" t="n">
        <v>89</v>
      </c>
      <c r="AN364" s="183" t="n">
        <v>40630</v>
      </c>
      <c r="AO364" s="182"/>
      <c r="AP364" s="182"/>
      <c r="AQ364" s="183"/>
      <c r="AR364" s="183"/>
      <c r="AS364" s="182"/>
      <c r="AT364" s="182"/>
      <c r="AU364" s="183"/>
      <c r="AV364" s="183"/>
      <c r="AW364" s="182"/>
      <c r="AX364" s="182"/>
      <c r="AY364" s="183"/>
      <c r="AZ364" s="183"/>
      <c r="BA364" s="182"/>
      <c r="BB364" s="182"/>
      <c r="BK364" s="183"/>
      <c r="BL364" s="183"/>
      <c r="BM364" s="182"/>
      <c r="BN364" s="182"/>
      <c r="BO364" s="183"/>
      <c r="BP364" s="183"/>
      <c r="BQ364" s="182"/>
      <c r="BR364" s="182"/>
      <c r="BS364" s="184" t="n">
        <v>51.2</v>
      </c>
      <c r="BT364" s="185" t="n">
        <v>40725</v>
      </c>
      <c r="BU364" s="184" t="n">
        <v>16.7</v>
      </c>
      <c r="BV364" s="185" t="n">
        <v>40725</v>
      </c>
      <c r="CL364" s="182"/>
      <c r="CM364" s="182"/>
    </row>
    <row r="365" customFormat="false" ht="12.75" hidden="false" customHeight="false" outlineLevel="0" collapsed="false">
      <c r="A365" s="204" t="s">
        <v>606</v>
      </c>
      <c r="B365" s="193" t="s">
        <v>782</v>
      </c>
      <c r="C365" s="193" t="s">
        <v>876</v>
      </c>
      <c r="D365" s="193"/>
      <c r="E365" s="194" t="n">
        <v>5</v>
      </c>
      <c r="F365" s="195" t="n">
        <v>56</v>
      </c>
      <c r="G365" s="119"/>
      <c r="H365" s="119"/>
      <c r="J365" s="118"/>
      <c r="K365" s="118"/>
      <c r="L365" s="181"/>
      <c r="N365" s="182"/>
      <c r="O365" s="182"/>
      <c r="S365" s="184" t="n">
        <v>1423</v>
      </c>
      <c r="T365" s="185" t="n">
        <v>40725</v>
      </c>
      <c r="U365" s="182"/>
      <c r="V365" s="182"/>
      <c r="W365" s="183"/>
      <c r="X365" s="183"/>
      <c r="Y365" s="184" t="n">
        <v>425</v>
      </c>
      <c r="Z365" s="185" t="n">
        <v>40725</v>
      </c>
      <c r="AA365" s="184" t="n">
        <v>67579</v>
      </c>
      <c r="AB365" s="185" t="n">
        <v>40725</v>
      </c>
      <c r="AC365" s="184" t="n">
        <v>27.2</v>
      </c>
      <c r="AD365" s="185" t="n">
        <v>40725</v>
      </c>
      <c r="AE365" s="196"/>
      <c r="AF365" s="185"/>
      <c r="AG365" s="184" t="n">
        <v>4.03</v>
      </c>
      <c r="AH365" s="185" t="n">
        <v>40725</v>
      </c>
      <c r="AI365" s="183"/>
      <c r="AJ365" s="183"/>
      <c r="AK365" s="182"/>
      <c r="AL365" s="182"/>
      <c r="AM365" s="184" t="n">
        <v>88</v>
      </c>
      <c r="AN365" s="183" t="n">
        <v>40630</v>
      </c>
      <c r="AO365" s="182"/>
      <c r="AP365" s="182"/>
      <c r="AQ365" s="183"/>
      <c r="AR365" s="183"/>
      <c r="AS365" s="182"/>
      <c r="AT365" s="182"/>
      <c r="AU365" s="183"/>
      <c r="AV365" s="183"/>
      <c r="AW365" s="182"/>
      <c r="AX365" s="182"/>
      <c r="AY365" s="183"/>
      <c r="AZ365" s="183"/>
      <c r="BA365" s="182"/>
      <c r="BB365" s="182"/>
      <c r="BK365" s="183"/>
      <c r="BL365" s="183"/>
      <c r="BM365" s="182"/>
      <c r="BN365" s="182"/>
      <c r="BO365" s="183"/>
      <c r="BP365" s="183"/>
      <c r="BQ365" s="182"/>
      <c r="BR365" s="182"/>
      <c r="BS365" s="184" t="n">
        <v>52.3</v>
      </c>
      <c r="BT365" s="185" t="n">
        <v>40725</v>
      </c>
      <c r="BU365" s="184" t="n">
        <v>15.6</v>
      </c>
      <c r="BV365" s="185" t="n">
        <v>40725</v>
      </c>
      <c r="CL365" s="182"/>
      <c r="CM365" s="182"/>
    </row>
    <row r="366" customFormat="false" ht="12.75" hidden="false" customHeight="false" outlineLevel="0" collapsed="false">
      <c r="A366" s="204" t="s">
        <v>606</v>
      </c>
      <c r="B366" s="193" t="s">
        <v>782</v>
      </c>
      <c r="C366" s="193" t="s">
        <v>877</v>
      </c>
      <c r="D366" s="193"/>
      <c r="E366" s="119" t="n">
        <v>19</v>
      </c>
      <c r="F366" s="195" t="n">
        <v>81</v>
      </c>
      <c r="G366" s="119"/>
      <c r="H366" s="119"/>
      <c r="J366" s="118"/>
      <c r="K366" s="118"/>
      <c r="L366" s="181"/>
      <c r="N366" s="182"/>
      <c r="O366" s="182"/>
      <c r="S366" s="184" t="n">
        <v>1430</v>
      </c>
      <c r="T366" s="185" t="n">
        <v>40725</v>
      </c>
      <c r="U366" s="182"/>
      <c r="V366" s="182"/>
      <c r="W366" s="183"/>
      <c r="X366" s="183"/>
      <c r="Y366" s="184" t="n">
        <v>479</v>
      </c>
      <c r="Z366" s="185" t="n">
        <v>40725</v>
      </c>
      <c r="AA366" s="184" t="n">
        <v>65898</v>
      </c>
      <c r="AB366" s="185" t="n">
        <v>40725</v>
      </c>
      <c r="AC366" s="184" t="n">
        <v>27.7</v>
      </c>
      <c r="AD366" s="185" t="n">
        <v>40725</v>
      </c>
      <c r="AE366" s="196"/>
      <c r="AF366" s="185"/>
      <c r="AG366" s="184" t="n">
        <v>4.21</v>
      </c>
      <c r="AH366" s="185" t="n">
        <v>40725</v>
      </c>
      <c r="AI366" s="183"/>
      <c r="AJ366" s="183"/>
      <c r="AK366" s="182"/>
      <c r="AL366" s="182"/>
      <c r="AM366" s="184" t="n">
        <v>87</v>
      </c>
      <c r="AN366" s="183" t="n">
        <v>40630</v>
      </c>
      <c r="AO366" s="182"/>
      <c r="AP366" s="182"/>
      <c r="AQ366" s="183"/>
      <c r="AR366" s="183"/>
      <c r="AS366" s="182"/>
      <c r="AT366" s="182"/>
      <c r="AU366" s="183"/>
      <c r="AV366" s="183"/>
      <c r="AW366" s="182"/>
      <c r="AX366" s="182"/>
      <c r="AY366" s="183"/>
      <c r="AZ366" s="183"/>
      <c r="BA366" s="182"/>
      <c r="BB366" s="182"/>
      <c r="BK366" s="183"/>
      <c r="BL366" s="183"/>
      <c r="BM366" s="182"/>
      <c r="BN366" s="182"/>
      <c r="BO366" s="183"/>
      <c r="BP366" s="183"/>
      <c r="BQ366" s="182"/>
      <c r="BR366" s="182"/>
      <c r="BS366" s="184" t="n">
        <v>51.6</v>
      </c>
      <c r="BT366" s="185" t="n">
        <v>40725</v>
      </c>
      <c r="BU366" s="184" t="n">
        <v>17.3</v>
      </c>
      <c r="BV366" s="185" t="n">
        <v>40725</v>
      </c>
      <c r="CL366" s="182"/>
      <c r="CM366" s="182"/>
    </row>
    <row r="367" customFormat="false" ht="12.75" hidden="false" customHeight="false" outlineLevel="0" collapsed="false">
      <c r="A367" s="204" t="s">
        <v>606</v>
      </c>
      <c r="B367" s="193" t="s">
        <v>785</v>
      </c>
      <c r="C367" s="193" t="s">
        <v>875</v>
      </c>
      <c r="D367" s="193"/>
      <c r="E367" s="194" t="n">
        <v>5</v>
      </c>
      <c r="F367" s="195" t="n">
        <v>18</v>
      </c>
      <c r="G367" s="119"/>
      <c r="H367" s="119"/>
      <c r="J367" s="118"/>
      <c r="K367" s="118"/>
      <c r="L367" s="181"/>
      <c r="N367" s="182"/>
      <c r="O367" s="182"/>
      <c r="S367" s="184" t="n">
        <v>2055</v>
      </c>
      <c r="T367" s="185" t="n">
        <v>40725</v>
      </c>
      <c r="U367" s="182"/>
      <c r="V367" s="182"/>
      <c r="W367" s="183"/>
      <c r="X367" s="183"/>
      <c r="Y367" s="184" t="n">
        <v>658</v>
      </c>
      <c r="Z367" s="185" t="n">
        <v>40725</v>
      </c>
      <c r="AA367" s="184" t="n">
        <v>98828</v>
      </c>
      <c r="AB367" s="185" t="n">
        <v>40725</v>
      </c>
      <c r="AC367" s="184" t="n">
        <v>39.7</v>
      </c>
      <c r="AD367" s="185" t="n">
        <v>40725</v>
      </c>
      <c r="AE367" s="196"/>
      <c r="AF367" s="185"/>
      <c r="AG367" s="184" t="n">
        <v>4.02</v>
      </c>
      <c r="AH367" s="185" t="n">
        <v>40725</v>
      </c>
      <c r="AI367" s="183"/>
      <c r="AJ367" s="183"/>
      <c r="AK367" s="182"/>
      <c r="AL367" s="182"/>
      <c r="AM367" s="184" t="n">
        <v>90</v>
      </c>
      <c r="AN367" s="183" t="n">
        <v>40630</v>
      </c>
      <c r="AO367" s="182"/>
      <c r="AP367" s="182"/>
      <c r="AQ367" s="183"/>
      <c r="AR367" s="183"/>
      <c r="AS367" s="182"/>
      <c r="AT367" s="182"/>
      <c r="AU367" s="183"/>
      <c r="AV367" s="183"/>
      <c r="AW367" s="182"/>
      <c r="AX367" s="182"/>
      <c r="AY367" s="183"/>
      <c r="AZ367" s="183"/>
      <c r="BA367" s="182"/>
      <c r="BB367" s="182"/>
      <c r="BK367" s="183"/>
      <c r="BL367" s="183"/>
      <c r="BM367" s="182"/>
      <c r="BN367" s="182"/>
      <c r="BO367" s="183"/>
      <c r="BP367" s="183"/>
      <c r="BQ367" s="182"/>
      <c r="BR367" s="182"/>
      <c r="BS367" s="184" t="n">
        <v>51.8</v>
      </c>
      <c r="BT367" s="185" t="n">
        <v>40725</v>
      </c>
      <c r="BU367" s="184" t="n">
        <v>16.6</v>
      </c>
      <c r="BV367" s="185" t="n">
        <v>40725</v>
      </c>
      <c r="CL367" s="182"/>
      <c r="CM367" s="182"/>
    </row>
    <row r="368" customFormat="false" ht="12.75" hidden="false" customHeight="false" outlineLevel="0" collapsed="false">
      <c r="A368" s="204" t="s">
        <v>606</v>
      </c>
      <c r="B368" s="193" t="s">
        <v>785</v>
      </c>
      <c r="C368" s="193" t="s">
        <v>876</v>
      </c>
      <c r="D368" s="193"/>
      <c r="E368" s="194" t="n">
        <v>1</v>
      </c>
      <c r="F368" s="195" t="n">
        <v>46</v>
      </c>
      <c r="G368" s="119"/>
      <c r="H368" s="119"/>
      <c r="J368" s="118"/>
      <c r="K368" s="118"/>
      <c r="L368" s="181"/>
      <c r="N368" s="182"/>
      <c r="O368" s="182"/>
      <c r="S368" s="184" t="n">
        <v>1900</v>
      </c>
      <c r="T368" s="185" t="n">
        <v>40725</v>
      </c>
      <c r="U368" s="182"/>
      <c r="V368" s="182"/>
      <c r="W368" s="183"/>
      <c r="X368" s="183"/>
      <c r="Y368" s="184" t="n">
        <v>666</v>
      </c>
      <c r="Z368" s="185" t="n">
        <v>40725</v>
      </c>
      <c r="AA368" s="184" t="n">
        <v>89570</v>
      </c>
      <c r="AB368" s="185" t="n">
        <v>40725</v>
      </c>
      <c r="AC368" s="184" t="n">
        <v>37.5</v>
      </c>
      <c r="AD368" s="185" t="n">
        <v>40725</v>
      </c>
      <c r="AE368" s="196"/>
      <c r="AF368" s="185"/>
      <c r="AG368" s="184" t="n">
        <v>4.18</v>
      </c>
      <c r="AH368" s="185" t="n">
        <v>40725</v>
      </c>
      <c r="AI368" s="183"/>
      <c r="AJ368" s="183"/>
      <c r="AK368" s="182"/>
      <c r="AL368" s="182"/>
      <c r="AM368" s="184" t="n">
        <v>90</v>
      </c>
      <c r="AN368" s="183" t="n">
        <v>40630</v>
      </c>
      <c r="AO368" s="182"/>
      <c r="AP368" s="182"/>
      <c r="AQ368" s="183"/>
      <c r="AR368" s="183"/>
      <c r="AS368" s="182"/>
      <c r="AT368" s="182"/>
      <c r="AU368" s="183"/>
      <c r="AV368" s="183"/>
      <c r="AW368" s="182"/>
      <c r="AX368" s="182"/>
      <c r="AY368" s="183"/>
      <c r="AZ368" s="183"/>
      <c r="BA368" s="182"/>
      <c r="BB368" s="182"/>
      <c r="BK368" s="183"/>
      <c r="BL368" s="183"/>
      <c r="BM368" s="182"/>
      <c r="BN368" s="182"/>
      <c r="BO368" s="183"/>
      <c r="BP368" s="183"/>
      <c r="BQ368" s="182"/>
      <c r="BR368" s="182"/>
      <c r="BS368" s="184" t="n">
        <v>50.7</v>
      </c>
      <c r="BT368" s="185" t="n">
        <v>40725</v>
      </c>
      <c r="BU368" s="184" t="n">
        <v>17.8</v>
      </c>
      <c r="BV368" s="185" t="n">
        <v>40725</v>
      </c>
      <c r="CL368" s="182"/>
      <c r="CM368" s="182"/>
    </row>
    <row r="369" customFormat="false" ht="12.75" hidden="false" customHeight="false" outlineLevel="0" collapsed="false">
      <c r="A369" s="204" t="s">
        <v>606</v>
      </c>
      <c r="B369" s="193" t="s">
        <v>785</v>
      </c>
      <c r="C369" s="193" t="s">
        <v>877</v>
      </c>
      <c r="D369" s="193"/>
      <c r="E369" s="119" t="n">
        <v>22</v>
      </c>
      <c r="F369" s="195" t="n">
        <v>82</v>
      </c>
      <c r="G369" s="119"/>
      <c r="H369" s="119"/>
      <c r="J369" s="118"/>
      <c r="K369" s="118"/>
      <c r="L369" s="181"/>
      <c r="N369" s="182"/>
      <c r="O369" s="182"/>
      <c r="S369" s="184" t="n">
        <v>1810</v>
      </c>
      <c r="T369" s="185" t="n">
        <v>40725</v>
      </c>
      <c r="U369" s="182"/>
      <c r="V369" s="182"/>
      <c r="W369" s="183"/>
      <c r="X369" s="183"/>
      <c r="Y369" s="184" t="n">
        <v>645</v>
      </c>
      <c r="Z369" s="185" t="n">
        <v>40725</v>
      </c>
      <c r="AA369" s="184" t="n">
        <v>83372</v>
      </c>
      <c r="AB369" s="185" t="n">
        <v>40725</v>
      </c>
      <c r="AC369" s="184" t="n">
        <v>35.9</v>
      </c>
      <c r="AD369" s="185" t="n">
        <v>40725</v>
      </c>
      <c r="AE369" s="196"/>
      <c r="AF369" s="185"/>
      <c r="AG369" s="184" t="n">
        <v>4.31</v>
      </c>
      <c r="AH369" s="185" t="n">
        <v>40725</v>
      </c>
      <c r="AI369" s="183"/>
      <c r="AJ369" s="183"/>
      <c r="AK369" s="182"/>
      <c r="AL369" s="182"/>
      <c r="AM369" s="184" t="n">
        <v>90</v>
      </c>
      <c r="AN369" s="183" t="n">
        <v>40630</v>
      </c>
      <c r="AO369" s="182"/>
      <c r="AP369" s="182"/>
      <c r="AQ369" s="183"/>
      <c r="AR369" s="183"/>
      <c r="AS369" s="182"/>
      <c r="AT369" s="182"/>
      <c r="AU369" s="183"/>
      <c r="AV369" s="183"/>
      <c r="AW369" s="182"/>
      <c r="AX369" s="182"/>
      <c r="AY369" s="183"/>
      <c r="AZ369" s="183"/>
      <c r="BA369" s="182"/>
      <c r="BB369" s="182"/>
      <c r="BK369" s="183"/>
      <c r="BL369" s="183"/>
      <c r="BM369" s="182"/>
      <c r="BN369" s="182"/>
      <c r="BO369" s="183"/>
      <c r="BP369" s="183"/>
      <c r="BQ369" s="182"/>
      <c r="BR369" s="182"/>
      <c r="BS369" s="184" t="n">
        <v>50.4</v>
      </c>
      <c r="BT369" s="185" t="n">
        <v>40725</v>
      </c>
      <c r="BU369" s="184" t="n">
        <v>18</v>
      </c>
      <c r="BV369" s="185" t="n">
        <v>40725</v>
      </c>
      <c r="CL369" s="182"/>
      <c r="CM369" s="182"/>
    </row>
    <row r="370" customFormat="false" ht="12.75" hidden="false" customHeight="false" outlineLevel="0" collapsed="false">
      <c r="A370" s="204" t="s">
        <v>609</v>
      </c>
      <c r="B370" s="193" t="s">
        <v>782</v>
      </c>
      <c r="C370" s="193" t="s">
        <v>875</v>
      </c>
      <c r="D370" s="193"/>
      <c r="E370" s="194" t="n">
        <v>1</v>
      </c>
      <c r="F370" s="195" t="n">
        <v>17</v>
      </c>
      <c r="G370" s="119"/>
      <c r="H370" s="119"/>
      <c r="J370" s="118"/>
      <c r="K370" s="118"/>
      <c r="L370" s="181"/>
      <c r="N370" s="182"/>
      <c r="O370" s="182"/>
      <c r="S370" s="184" t="n">
        <v>1661</v>
      </c>
      <c r="T370" s="185" t="n">
        <v>40725</v>
      </c>
      <c r="U370" s="182"/>
      <c r="V370" s="182"/>
      <c r="W370" s="183"/>
      <c r="X370" s="183"/>
      <c r="Y370" s="184" t="n">
        <v>439</v>
      </c>
      <c r="Z370" s="185" t="n">
        <v>40725</v>
      </c>
      <c r="AA370" s="184" t="n">
        <v>77164</v>
      </c>
      <c r="AB370" s="185" t="n">
        <v>40725</v>
      </c>
      <c r="AC370" s="184" t="n">
        <v>31</v>
      </c>
      <c r="AD370" s="185" t="n">
        <v>40725</v>
      </c>
      <c r="AE370" s="196"/>
      <c r="AF370" s="185"/>
      <c r="AG370" s="184" t="n">
        <v>4.02</v>
      </c>
      <c r="AH370" s="185" t="n">
        <v>40725</v>
      </c>
      <c r="AI370" s="183"/>
      <c r="AJ370" s="183"/>
      <c r="AK370" s="182"/>
      <c r="AL370" s="182"/>
      <c r="AM370" s="184" t="n">
        <v>77</v>
      </c>
      <c r="AN370" s="183" t="n">
        <v>40630</v>
      </c>
      <c r="AO370" s="182"/>
      <c r="AP370" s="182"/>
      <c r="AQ370" s="183"/>
      <c r="AR370" s="183"/>
      <c r="AS370" s="182"/>
      <c r="AT370" s="182"/>
      <c r="AU370" s="183"/>
      <c r="AV370" s="183"/>
      <c r="AW370" s="182"/>
      <c r="AX370" s="182"/>
      <c r="AY370" s="183"/>
      <c r="AZ370" s="183"/>
      <c r="BA370" s="182"/>
      <c r="BB370" s="182"/>
      <c r="BK370" s="183"/>
      <c r="BL370" s="183"/>
      <c r="BM370" s="182"/>
      <c r="BN370" s="182"/>
      <c r="BO370" s="183"/>
      <c r="BP370" s="183"/>
      <c r="BQ370" s="182"/>
      <c r="BR370" s="182"/>
      <c r="BS370" s="184" t="n">
        <v>53.5</v>
      </c>
      <c r="BT370" s="185" t="n">
        <v>40725</v>
      </c>
      <c r="BU370" s="184" t="n">
        <v>14.2</v>
      </c>
      <c r="BV370" s="185" t="n">
        <v>40725</v>
      </c>
      <c r="CL370" s="182"/>
      <c r="CM370" s="182"/>
    </row>
    <row r="371" customFormat="false" ht="12.75" hidden="false" customHeight="false" outlineLevel="0" collapsed="false">
      <c r="A371" s="204" t="s">
        <v>609</v>
      </c>
      <c r="B371" s="193" t="s">
        <v>782</v>
      </c>
      <c r="C371" s="193" t="s">
        <v>876</v>
      </c>
      <c r="D371" s="193"/>
      <c r="E371" s="194" t="n">
        <v>7</v>
      </c>
      <c r="F371" s="195" t="n">
        <v>54</v>
      </c>
      <c r="G371" s="119"/>
      <c r="H371" s="119"/>
      <c r="J371" s="118"/>
      <c r="K371" s="118"/>
      <c r="L371" s="181"/>
      <c r="N371" s="182"/>
      <c r="O371" s="182"/>
      <c r="S371" s="184" t="n">
        <v>1486</v>
      </c>
      <c r="T371" s="185" t="n">
        <v>40725</v>
      </c>
      <c r="U371" s="182"/>
      <c r="V371" s="182"/>
      <c r="W371" s="183"/>
      <c r="X371" s="183"/>
      <c r="Y371" s="184" t="n">
        <v>660</v>
      </c>
      <c r="Z371" s="185" t="n">
        <v>40725</v>
      </c>
      <c r="AA371" s="184" t="n">
        <v>78863</v>
      </c>
      <c r="AB371" s="185" t="n">
        <v>40725</v>
      </c>
      <c r="AC371" s="184" t="n">
        <v>33.1</v>
      </c>
      <c r="AD371" s="185" t="n">
        <v>40725</v>
      </c>
      <c r="AE371" s="196"/>
      <c r="AF371" s="185"/>
      <c r="AG371" s="184" t="n">
        <v>4.2</v>
      </c>
      <c r="AH371" s="185" t="n">
        <v>40725</v>
      </c>
      <c r="AI371" s="183"/>
      <c r="AJ371" s="183"/>
      <c r="AK371" s="182"/>
      <c r="AL371" s="182"/>
      <c r="AM371" s="184" t="n">
        <v>77</v>
      </c>
      <c r="AN371" s="183" t="n">
        <v>40630</v>
      </c>
      <c r="AO371" s="182"/>
      <c r="AP371" s="182"/>
      <c r="AQ371" s="183"/>
      <c r="AR371" s="183"/>
      <c r="AS371" s="182"/>
      <c r="AT371" s="182"/>
      <c r="AU371" s="183"/>
      <c r="AV371" s="183"/>
      <c r="AW371" s="182"/>
      <c r="AX371" s="182"/>
      <c r="AY371" s="183"/>
      <c r="AZ371" s="183"/>
      <c r="BA371" s="182"/>
      <c r="BB371" s="182"/>
      <c r="BK371" s="183"/>
      <c r="BL371" s="183"/>
      <c r="BM371" s="182"/>
      <c r="BN371" s="182"/>
      <c r="BO371" s="183"/>
      <c r="BP371" s="183"/>
      <c r="BQ371" s="182"/>
      <c r="BR371" s="182"/>
      <c r="BS371" s="184" t="n">
        <v>44.9</v>
      </c>
      <c r="BT371" s="185" t="n">
        <v>40725</v>
      </c>
      <c r="BU371" s="184" t="n">
        <v>19.9</v>
      </c>
      <c r="BV371" s="185" t="n">
        <v>40725</v>
      </c>
      <c r="CL371" s="182"/>
      <c r="CM371" s="182"/>
    </row>
    <row r="372" customFormat="false" ht="12.75" hidden="false" customHeight="false" outlineLevel="0" collapsed="false">
      <c r="A372" s="204" t="s">
        <v>609</v>
      </c>
      <c r="B372" s="193" t="s">
        <v>782</v>
      </c>
      <c r="C372" s="193" t="s">
        <v>877</v>
      </c>
      <c r="D372" s="193"/>
      <c r="E372" s="119" t="n">
        <v>18</v>
      </c>
      <c r="F372" s="195" t="n">
        <v>90</v>
      </c>
      <c r="G372" s="119"/>
      <c r="H372" s="119"/>
      <c r="J372" s="118"/>
      <c r="K372" s="118"/>
      <c r="L372" s="181"/>
      <c r="N372" s="182"/>
      <c r="O372" s="182"/>
      <c r="S372" s="184" t="n">
        <v>1503</v>
      </c>
      <c r="T372" s="185" t="n">
        <v>40725</v>
      </c>
      <c r="U372" s="182"/>
      <c r="V372" s="182"/>
      <c r="W372" s="183"/>
      <c r="X372" s="183"/>
      <c r="Y372" s="184" t="n">
        <v>482</v>
      </c>
      <c r="Z372" s="185" t="n">
        <v>40725</v>
      </c>
      <c r="AA372" s="184" t="n">
        <v>70796</v>
      </c>
      <c r="AB372" s="185" t="n">
        <v>40725</v>
      </c>
      <c r="AC372" s="184" t="n">
        <v>29.5</v>
      </c>
      <c r="AD372" s="185" t="n">
        <v>40725</v>
      </c>
      <c r="AE372" s="196"/>
      <c r="AF372" s="185"/>
      <c r="AG372" s="184" t="n">
        <v>4.17</v>
      </c>
      <c r="AH372" s="185" t="n">
        <v>40725</v>
      </c>
      <c r="AI372" s="183"/>
      <c r="AJ372" s="183"/>
      <c r="AK372" s="182"/>
      <c r="AL372" s="182"/>
      <c r="AM372" s="184" t="n">
        <v>76</v>
      </c>
      <c r="AN372" s="183" t="n">
        <v>40630</v>
      </c>
      <c r="AO372" s="182"/>
      <c r="AP372" s="182"/>
      <c r="AQ372" s="183"/>
      <c r="AR372" s="183"/>
      <c r="AS372" s="182"/>
      <c r="AT372" s="182"/>
      <c r="AU372" s="183"/>
      <c r="AV372" s="183"/>
      <c r="AW372" s="182"/>
      <c r="AX372" s="182"/>
      <c r="AY372" s="183"/>
      <c r="AZ372" s="183"/>
      <c r="BA372" s="182"/>
      <c r="BB372" s="182"/>
      <c r="BK372" s="183"/>
      <c r="BL372" s="183"/>
      <c r="BM372" s="182"/>
      <c r="BN372" s="182"/>
      <c r="BO372" s="183"/>
      <c r="BP372" s="183"/>
      <c r="BQ372" s="182"/>
      <c r="BR372" s="182"/>
      <c r="BS372" s="184" t="n">
        <v>50.9</v>
      </c>
      <c r="BT372" s="185" t="n">
        <v>40725</v>
      </c>
      <c r="BU372" s="184" t="n">
        <v>16.3</v>
      </c>
      <c r="BV372" s="185" t="n">
        <v>40725</v>
      </c>
      <c r="CL372" s="182"/>
      <c r="CM372" s="182"/>
    </row>
    <row r="373" customFormat="false" ht="12.75" hidden="false" customHeight="false" outlineLevel="0" collapsed="false">
      <c r="A373" s="204" t="s">
        <v>609</v>
      </c>
      <c r="B373" s="193" t="s">
        <v>785</v>
      </c>
      <c r="C373" s="193" t="s">
        <v>875</v>
      </c>
      <c r="D373" s="193"/>
      <c r="E373" s="194" t="n">
        <v>6</v>
      </c>
      <c r="F373" s="195" t="n">
        <v>21</v>
      </c>
      <c r="G373" s="119"/>
      <c r="H373" s="119"/>
      <c r="J373" s="118"/>
      <c r="K373" s="118"/>
      <c r="L373" s="181"/>
      <c r="N373" s="182"/>
      <c r="O373" s="182"/>
      <c r="S373" s="184" t="n">
        <v>1904</v>
      </c>
      <c r="T373" s="185" t="n">
        <v>40725</v>
      </c>
      <c r="U373" s="182"/>
      <c r="V373" s="182"/>
      <c r="W373" s="183"/>
      <c r="X373" s="183"/>
      <c r="Y373" s="184" t="n">
        <v>658</v>
      </c>
      <c r="Z373" s="185" t="n">
        <v>40725</v>
      </c>
      <c r="AA373" s="184" t="n">
        <v>90270</v>
      </c>
      <c r="AB373" s="185" t="n">
        <v>40725</v>
      </c>
      <c r="AC373" s="184" t="n">
        <v>38.1</v>
      </c>
      <c r="AD373" s="185" t="n">
        <v>40725</v>
      </c>
      <c r="AE373" s="196"/>
      <c r="AF373" s="185"/>
      <c r="AG373" s="184" t="n">
        <v>4.22</v>
      </c>
      <c r="AH373" s="185" t="n">
        <v>40725</v>
      </c>
      <c r="AI373" s="183"/>
      <c r="AJ373" s="183"/>
      <c r="AK373" s="182"/>
      <c r="AL373" s="182"/>
      <c r="AM373" s="184" t="n">
        <v>81</v>
      </c>
      <c r="AN373" s="183" t="n">
        <v>40630</v>
      </c>
      <c r="AO373" s="182"/>
      <c r="AP373" s="182"/>
      <c r="AQ373" s="183"/>
      <c r="AR373" s="183"/>
      <c r="AS373" s="182"/>
      <c r="AT373" s="182"/>
      <c r="AU373" s="183"/>
      <c r="AV373" s="183"/>
      <c r="AW373" s="182"/>
      <c r="AX373" s="182"/>
      <c r="AY373" s="183"/>
      <c r="AZ373" s="183"/>
      <c r="BA373" s="182"/>
      <c r="BB373" s="182"/>
      <c r="BK373" s="183"/>
      <c r="BL373" s="183"/>
      <c r="BM373" s="182"/>
      <c r="BN373" s="182"/>
      <c r="BO373" s="183"/>
      <c r="BP373" s="183"/>
      <c r="BQ373" s="182"/>
      <c r="BR373" s="182"/>
      <c r="BS373" s="184" t="n">
        <v>49.9</v>
      </c>
      <c r="BT373" s="185" t="n">
        <v>40725</v>
      </c>
      <c r="BU373" s="184" t="n">
        <v>17.3</v>
      </c>
      <c r="BV373" s="185" t="n">
        <v>40725</v>
      </c>
      <c r="CL373" s="182"/>
      <c r="CM373" s="182"/>
    </row>
    <row r="374" customFormat="false" ht="12.75" hidden="false" customHeight="false" outlineLevel="0" collapsed="false">
      <c r="A374" s="204" t="s">
        <v>609</v>
      </c>
      <c r="B374" s="193" t="s">
        <v>785</v>
      </c>
      <c r="C374" s="193" t="s">
        <v>876</v>
      </c>
      <c r="D374" s="193"/>
      <c r="E374" s="194" t="n">
        <v>3</v>
      </c>
      <c r="F374" s="195" t="n">
        <v>62</v>
      </c>
      <c r="G374" s="119"/>
      <c r="H374" s="119"/>
      <c r="J374" s="118"/>
      <c r="K374" s="118"/>
      <c r="L374" s="181"/>
      <c r="N374" s="182"/>
      <c r="O374" s="182"/>
      <c r="S374" s="184" t="n">
        <v>1995</v>
      </c>
      <c r="T374" s="185" t="n">
        <v>40725</v>
      </c>
      <c r="U374" s="182"/>
      <c r="V374" s="182"/>
      <c r="W374" s="183"/>
      <c r="X374" s="183"/>
      <c r="Y374" s="184" t="n">
        <v>674</v>
      </c>
      <c r="Z374" s="185" t="n">
        <v>40725</v>
      </c>
      <c r="AA374" s="184" t="n">
        <v>91828</v>
      </c>
      <c r="AB374" s="185" t="n">
        <v>40725</v>
      </c>
      <c r="AC374" s="184" t="n">
        <v>39.6</v>
      </c>
      <c r="AD374" s="185" t="n">
        <v>40725</v>
      </c>
      <c r="AE374" s="196"/>
      <c r="AF374" s="185"/>
      <c r="AG374" s="184" t="n">
        <v>4.31</v>
      </c>
      <c r="AH374" s="185" t="n">
        <v>40725</v>
      </c>
      <c r="AI374" s="183"/>
      <c r="AJ374" s="183"/>
      <c r="AK374" s="182"/>
      <c r="AL374" s="182"/>
      <c r="AM374" s="184" t="n">
        <v>80</v>
      </c>
      <c r="AN374" s="183" t="n">
        <v>40630</v>
      </c>
      <c r="AO374" s="182"/>
      <c r="AP374" s="182"/>
      <c r="AQ374" s="183"/>
      <c r="AR374" s="183"/>
      <c r="AS374" s="182"/>
      <c r="AT374" s="182"/>
      <c r="AU374" s="183"/>
      <c r="AV374" s="183"/>
      <c r="AW374" s="182"/>
      <c r="AX374" s="182"/>
      <c r="AY374" s="183"/>
      <c r="AZ374" s="183"/>
      <c r="BA374" s="182"/>
      <c r="BB374" s="182"/>
      <c r="BK374" s="183"/>
      <c r="BL374" s="183"/>
      <c r="BM374" s="182"/>
      <c r="BN374" s="182"/>
      <c r="BO374" s="183"/>
      <c r="BP374" s="183"/>
      <c r="BQ374" s="182"/>
      <c r="BR374" s="182"/>
      <c r="BS374" s="184" t="n">
        <v>50.4</v>
      </c>
      <c r="BT374" s="185" t="n">
        <v>40725</v>
      </c>
      <c r="BU374" s="184" t="n">
        <v>17</v>
      </c>
      <c r="BV374" s="185" t="n">
        <v>40725</v>
      </c>
      <c r="CL374" s="182"/>
      <c r="CM374" s="182"/>
    </row>
    <row r="375" customFormat="false" ht="12.75" hidden="false" customHeight="false" outlineLevel="0" collapsed="false">
      <c r="A375" s="204" t="s">
        <v>609</v>
      </c>
      <c r="B375" s="193" t="s">
        <v>785</v>
      </c>
      <c r="C375" s="193" t="s">
        <v>877</v>
      </c>
      <c r="D375" s="193"/>
      <c r="E375" s="119" t="n">
        <v>20</v>
      </c>
      <c r="F375" s="195" t="n">
        <v>79</v>
      </c>
      <c r="G375" s="119"/>
      <c r="H375" s="119"/>
      <c r="J375" s="118"/>
      <c r="K375" s="118"/>
      <c r="L375" s="181"/>
      <c r="N375" s="182"/>
      <c r="O375" s="182"/>
      <c r="S375" s="184" t="n">
        <v>1759</v>
      </c>
      <c r="T375" s="185" t="n">
        <v>40725</v>
      </c>
      <c r="U375" s="182"/>
      <c r="V375" s="182"/>
      <c r="W375" s="183"/>
      <c r="X375" s="183"/>
      <c r="Y375" s="184" t="n">
        <v>648</v>
      </c>
      <c r="Z375" s="185" t="n">
        <v>40725</v>
      </c>
      <c r="AA375" s="184" t="n">
        <v>79825</v>
      </c>
      <c r="AB375" s="185" t="n">
        <v>40725</v>
      </c>
      <c r="AC375" s="184" t="n">
        <v>35.3</v>
      </c>
      <c r="AD375" s="185" t="n">
        <v>40725</v>
      </c>
      <c r="AE375" s="196"/>
      <c r="AF375" s="185"/>
      <c r="AG375" s="184" t="n">
        <v>4.42</v>
      </c>
      <c r="AH375" s="185" t="n">
        <v>40725</v>
      </c>
      <c r="AI375" s="183"/>
      <c r="AJ375" s="183"/>
      <c r="AK375" s="182"/>
      <c r="AL375" s="182"/>
      <c r="AM375" s="184" t="n">
        <v>80</v>
      </c>
      <c r="AN375" s="183" t="n">
        <v>40630</v>
      </c>
      <c r="AO375" s="182"/>
      <c r="AP375" s="182"/>
      <c r="AQ375" s="183"/>
      <c r="AR375" s="183"/>
      <c r="AS375" s="182"/>
      <c r="AT375" s="182"/>
      <c r="AU375" s="183"/>
      <c r="AV375" s="183"/>
      <c r="AW375" s="182"/>
      <c r="AX375" s="182"/>
      <c r="AY375" s="183"/>
      <c r="AZ375" s="183"/>
      <c r="BA375" s="182"/>
      <c r="BB375" s="182"/>
      <c r="BK375" s="183"/>
      <c r="BL375" s="183"/>
      <c r="BM375" s="182"/>
      <c r="BN375" s="182"/>
      <c r="BO375" s="183"/>
      <c r="BP375" s="183"/>
      <c r="BQ375" s="182"/>
      <c r="BR375" s="182"/>
      <c r="BS375" s="184" t="n">
        <v>49.8</v>
      </c>
      <c r="BT375" s="185" t="n">
        <v>40725</v>
      </c>
      <c r="BU375" s="184" t="n">
        <v>18.4</v>
      </c>
      <c r="BV375" s="185" t="n">
        <v>40725</v>
      </c>
      <c r="CL375" s="182"/>
      <c r="CM375" s="182"/>
    </row>
    <row r="376" customFormat="false" ht="12.75" hidden="false" customHeight="false" outlineLevel="0" collapsed="false">
      <c r="A376" s="204" t="s">
        <v>612</v>
      </c>
      <c r="B376" s="193" t="s">
        <v>782</v>
      </c>
      <c r="C376" s="193" t="s">
        <v>875</v>
      </c>
      <c r="D376" s="193"/>
      <c r="E376" s="194" t="n">
        <v>1</v>
      </c>
      <c r="F376" s="195" t="n">
        <v>27</v>
      </c>
      <c r="G376" s="119"/>
      <c r="H376" s="119"/>
      <c r="J376" s="118"/>
      <c r="K376" s="118"/>
      <c r="L376" s="181"/>
      <c r="N376" s="182"/>
      <c r="O376" s="182"/>
      <c r="S376" s="184" t="n">
        <v>1686</v>
      </c>
      <c r="T376" s="185" t="n">
        <v>40725</v>
      </c>
      <c r="U376" s="182"/>
      <c r="V376" s="182"/>
      <c r="W376" s="183"/>
      <c r="X376" s="183"/>
      <c r="Y376" s="184" t="n">
        <v>524</v>
      </c>
      <c r="Z376" s="185" t="n">
        <v>40725</v>
      </c>
      <c r="AA376" s="184" t="n">
        <v>76152</v>
      </c>
      <c r="AB376" s="185" t="n">
        <v>40725</v>
      </c>
      <c r="AC376" s="184" t="n">
        <v>32.3</v>
      </c>
      <c r="AD376" s="185" t="n">
        <v>40725</v>
      </c>
      <c r="AE376" s="196"/>
      <c r="AF376" s="185"/>
      <c r="AG376" s="184" t="n">
        <v>4.25</v>
      </c>
      <c r="AH376" s="185" t="n">
        <v>40725</v>
      </c>
      <c r="AI376" s="183"/>
      <c r="AJ376" s="183"/>
      <c r="AK376" s="182"/>
      <c r="AL376" s="182"/>
      <c r="AM376" s="184" t="n">
        <v>81</v>
      </c>
      <c r="AN376" s="183" t="n">
        <v>40630</v>
      </c>
      <c r="AO376" s="182"/>
      <c r="AP376" s="182"/>
      <c r="AQ376" s="183"/>
      <c r="AR376" s="183"/>
      <c r="AS376" s="182"/>
      <c r="AT376" s="182"/>
      <c r="AU376" s="183"/>
      <c r="AV376" s="183"/>
      <c r="AW376" s="182"/>
      <c r="AX376" s="182"/>
      <c r="AY376" s="183"/>
      <c r="AZ376" s="183"/>
      <c r="BA376" s="182"/>
      <c r="BB376" s="182"/>
      <c r="BK376" s="183"/>
      <c r="BL376" s="183"/>
      <c r="BM376" s="182"/>
      <c r="BN376" s="182"/>
      <c r="BO376" s="183"/>
      <c r="BP376" s="183"/>
      <c r="BQ376" s="182"/>
      <c r="BR376" s="182"/>
      <c r="BS376" s="184" t="n">
        <v>52.1</v>
      </c>
      <c r="BT376" s="185" t="n">
        <v>40725</v>
      </c>
      <c r="BU376" s="184" t="n">
        <v>16.2</v>
      </c>
      <c r="BV376" s="185" t="n">
        <v>40725</v>
      </c>
      <c r="CL376" s="182"/>
      <c r="CM376" s="182"/>
    </row>
    <row r="377" customFormat="false" ht="12.75" hidden="false" customHeight="false" outlineLevel="0" collapsed="false">
      <c r="A377" s="204" t="s">
        <v>612</v>
      </c>
      <c r="B377" s="193" t="s">
        <v>782</v>
      </c>
      <c r="C377" s="193" t="s">
        <v>876</v>
      </c>
      <c r="D377" s="193"/>
      <c r="E377" s="194" t="n">
        <v>8</v>
      </c>
      <c r="F377" s="195" t="n">
        <v>38</v>
      </c>
      <c r="G377" s="119"/>
      <c r="H377" s="119"/>
      <c r="J377" s="118"/>
      <c r="K377" s="118"/>
      <c r="L377" s="181"/>
      <c r="N377" s="182"/>
      <c r="O377" s="182"/>
      <c r="S377" s="184" t="n">
        <v>1463</v>
      </c>
      <c r="T377" s="185" t="n">
        <v>40725</v>
      </c>
      <c r="U377" s="182"/>
      <c r="V377" s="182"/>
      <c r="W377" s="183"/>
      <c r="X377" s="183"/>
      <c r="Y377" s="184" t="n">
        <v>450</v>
      </c>
      <c r="Z377" s="185" t="n">
        <v>40725</v>
      </c>
      <c r="AA377" s="184" t="n">
        <v>64675</v>
      </c>
      <c r="AB377" s="185" t="n">
        <v>40725</v>
      </c>
      <c r="AC377" s="184" t="n">
        <v>28.4</v>
      </c>
      <c r="AD377" s="185" t="n">
        <v>40725</v>
      </c>
      <c r="AE377" s="196"/>
      <c r="AF377" s="185"/>
      <c r="AG377" s="184" t="n">
        <v>4.39</v>
      </c>
      <c r="AH377" s="185" t="n">
        <v>40725</v>
      </c>
      <c r="AI377" s="183"/>
      <c r="AJ377" s="183"/>
      <c r="AK377" s="182"/>
      <c r="AL377" s="182"/>
      <c r="AM377" s="184" t="n">
        <v>81</v>
      </c>
      <c r="AN377" s="183" t="n">
        <v>40630</v>
      </c>
      <c r="AO377" s="182"/>
      <c r="AP377" s="182"/>
      <c r="AQ377" s="183"/>
      <c r="AR377" s="183"/>
      <c r="AS377" s="182"/>
      <c r="AT377" s="182"/>
      <c r="AU377" s="183"/>
      <c r="AV377" s="183"/>
      <c r="AW377" s="182"/>
      <c r="AX377" s="182"/>
      <c r="AY377" s="183"/>
      <c r="AZ377" s="183"/>
      <c r="BA377" s="182"/>
      <c r="BB377" s="182"/>
      <c r="BK377" s="183"/>
      <c r="BL377" s="183"/>
      <c r="BM377" s="182"/>
      <c r="BN377" s="182"/>
      <c r="BO377" s="183"/>
      <c r="BP377" s="183"/>
      <c r="BQ377" s="182"/>
      <c r="BR377" s="182"/>
      <c r="BS377" s="184" t="n">
        <v>51.6</v>
      </c>
      <c r="BT377" s="185" t="n">
        <v>40725</v>
      </c>
      <c r="BU377" s="184" t="n">
        <v>15.8</v>
      </c>
      <c r="BV377" s="185" t="n">
        <v>40725</v>
      </c>
      <c r="CL377" s="182"/>
      <c r="CM377" s="182"/>
    </row>
    <row r="378" customFormat="false" ht="12.75" hidden="false" customHeight="false" outlineLevel="0" collapsed="false">
      <c r="A378" s="204" t="s">
        <v>612</v>
      </c>
      <c r="B378" s="193" t="s">
        <v>782</v>
      </c>
      <c r="C378" s="193" t="s">
        <v>877</v>
      </c>
      <c r="D378" s="193"/>
      <c r="E378" s="119" t="n">
        <v>18</v>
      </c>
      <c r="F378" s="195" t="n">
        <v>66</v>
      </c>
      <c r="G378" s="119"/>
      <c r="H378" s="119"/>
      <c r="J378" s="118"/>
      <c r="K378" s="118"/>
      <c r="L378" s="181"/>
      <c r="N378" s="182"/>
      <c r="O378" s="182"/>
      <c r="S378" s="184" t="n">
        <v>1377</v>
      </c>
      <c r="T378" s="185" t="n">
        <v>40725</v>
      </c>
      <c r="U378" s="182"/>
      <c r="V378" s="182"/>
      <c r="W378" s="183"/>
      <c r="X378" s="183"/>
      <c r="Y378" s="184" t="n">
        <v>470</v>
      </c>
      <c r="Z378" s="185" t="n">
        <v>40725</v>
      </c>
      <c r="AA378" s="184" t="n">
        <v>61923</v>
      </c>
      <c r="AB378" s="185" t="n">
        <v>40725</v>
      </c>
      <c r="AC378" s="184" t="n">
        <v>27.4</v>
      </c>
      <c r="AD378" s="185" t="n">
        <v>40725</v>
      </c>
      <c r="AE378" s="196"/>
      <c r="AF378" s="185"/>
      <c r="AG378" s="184" t="n">
        <v>4.42</v>
      </c>
      <c r="AH378" s="185" t="n">
        <v>40725</v>
      </c>
      <c r="AI378" s="183"/>
      <c r="AJ378" s="183"/>
      <c r="AK378" s="182"/>
      <c r="AL378" s="182"/>
      <c r="AM378" s="184" t="n">
        <v>81</v>
      </c>
      <c r="AN378" s="183" t="n">
        <v>40630</v>
      </c>
      <c r="AO378" s="182"/>
      <c r="AP378" s="182"/>
      <c r="AQ378" s="183"/>
      <c r="AR378" s="183"/>
      <c r="AS378" s="182"/>
      <c r="AT378" s="182"/>
      <c r="AU378" s="183"/>
      <c r="AV378" s="183"/>
      <c r="AW378" s="182"/>
      <c r="AX378" s="182"/>
      <c r="AY378" s="183"/>
      <c r="AZ378" s="183"/>
      <c r="BA378" s="182"/>
      <c r="BB378" s="182"/>
      <c r="BK378" s="183"/>
      <c r="BL378" s="183"/>
      <c r="BM378" s="182"/>
      <c r="BN378" s="182"/>
      <c r="BO378" s="183"/>
      <c r="BP378" s="183"/>
      <c r="BQ378" s="182"/>
      <c r="BR378" s="182"/>
      <c r="BS378" s="184" t="n">
        <v>50.3</v>
      </c>
      <c r="BT378" s="185" t="n">
        <v>40725</v>
      </c>
      <c r="BU378" s="184" t="n">
        <v>17.2</v>
      </c>
      <c r="BV378" s="185" t="n">
        <v>40725</v>
      </c>
      <c r="CL378" s="182"/>
      <c r="CM378" s="182"/>
    </row>
    <row r="379" customFormat="false" ht="12.75" hidden="false" customHeight="false" outlineLevel="0" collapsed="false">
      <c r="A379" s="204" t="s">
        <v>612</v>
      </c>
      <c r="B379" s="193" t="s">
        <v>785</v>
      </c>
      <c r="C379" s="193" t="s">
        <v>875</v>
      </c>
      <c r="D379" s="193"/>
      <c r="E379" s="194" t="n">
        <v>5</v>
      </c>
      <c r="F379" s="195" t="n">
        <v>9</v>
      </c>
      <c r="G379" s="119"/>
      <c r="H379" s="119"/>
      <c r="J379" s="118"/>
      <c r="K379" s="118"/>
      <c r="L379" s="181"/>
      <c r="N379" s="182"/>
      <c r="O379" s="182"/>
      <c r="S379" s="184" t="n">
        <v>2382</v>
      </c>
      <c r="T379" s="185" t="n">
        <v>40725</v>
      </c>
      <c r="U379" s="182"/>
      <c r="V379" s="182"/>
      <c r="W379" s="183"/>
      <c r="X379" s="183"/>
      <c r="Y379" s="184" t="n">
        <v>767</v>
      </c>
      <c r="Z379" s="185" t="n">
        <v>40725</v>
      </c>
      <c r="AA379" s="184" t="n">
        <v>115038</v>
      </c>
      <c r="AB379" s="185" t="n">
        <v>40725</v>
      </c>
      <c r="AC379" s="184" t="n">
        <v>46.1</v>
      </c>
      <c r="AD379" s="185" t="n">
        <v>40725</v>
      </c>
      <c r="AE379" s="196"/>
      <c r="AF379" s="185"/>
      <c r="AG379" s="184" t="n">
        <v>4.01</v>
      </c>
      <c r="AH379" s="185" t="n">
        <v>40725</v>
      </c>
      <c r="AI379" s="183"/>
      <c r="AJ379" s="183"/>
      <c r="AK379" s="182"/>
      <c r="AL379" s="182"/>
      <c r="AM379" s="184" t="n">
        <v>84</v>
      </c>
      <c r="AN379" s="183" t="n">
        <v>40630</v>
      </c>
      <c r="AO379" s="182"/>
      <c r="AP379" s="182"/>
      <c r="AQ379" s="183"/>
      <c r="AR379" s="183"/>
      <c r="AS379" s="182"/>
      <c r="AT379" s="182"/>
      <c r="AU379" s="183"/>
      <c r="AV379" s="183"/>
      <c r="AW379" s="182"/>
      <c r="AX379" s="182"/>
      <c r="AY379" s="183"/>
      <c r="AZ379" s="183"/>
      <c r="BA379" s="182"/>
      <c r="BB379" s="182"/>
      <c r="BK379" s="183"/>
      <c r="BL379" s="183"/>
      <c r="BM379" s="182"/>
      <c r="BN379" s="182"/>
      <c r="BO379" s="183"/>
      <c r="BP379" s="183"/>
      <c r="BQ379" s="182"/>
      <c r="BR379" s="182"/>
      <c r="BS379" s="184" t="n">
        <v>51.7</v>
      </c>
      <c r="BT379" s="185" t="n">
        <v>40725</v>
      </c>
      <c r="BU379" s="184" t="n">
        <v>16.6</v>
      </c>
      <c r="BV379" s="185" t="n">
        <v>40725</v>
      </c>
      <c r="CL379" s="182"/>
      <c r="CM379" s="182"/>
    </row>
    <row r="380" customFormat="false" ht="12.75" hidden="false" customHeight="false" outlineLevel="0" collapsed="false">
      <c r="A380" s="204" t="s">
        <v>612</v>
      </c>
      <c r="B380" s="193" t="s">
        <v>785</v>
      </c>
      <c r="C380" s="193" t="s">
        <v>876</v>
      </c>
      <c r="D380" s="193"/>
      <c r="E380" s="194" t="n">
        <v>2</v>
      </c>
      <c r="F380" s="195" t="n">
        <v>46</v>
      </c>
      <c r="G380" s="119"/>
      <c r="H380" s="119"/>
      <c r="J380" s="118"/>
      <c r="K380" s="118"/>
      <c r="L380" s="181"/>
      <c r="N380" s="182"/>
      <c r="O380" s="182"/>
      <c r="S380" s="184" t="n">
        <v>1961</v>
      </c>
      <c r="T380" s="185" t="n">
        <v>40725</v>
      </c>
      <c r="U380" s="182"/>
      <c r="V380" s="182"/>
      <c r="W380" s="183"/>
      <c r="X380" s="183"/>
      <c r="Y380" s="184" t="n">
        <v>676</v>
      </c>
      <c r="Z380" s="185" t="n">
        <v>40725</v>
      </c>
      <c r="AA380" s="184" t="n">
        <v>88454</v>
      </c>
      <c r="AB380" s="185" t="n">
        <v>40725</v>
      </c>
      <c r="AC380" s="184" t="n">
        <v>38.7</v>
      </c>
      <c r="AD380" s="185" t="n">
        <v>40725</v>
      </c>
      <c r="AE380" s="196"/>
      <c r="AF380" s="185"/>
      <c r="AG380" s="184" t="n">
        <v>4.37</v>
      </c>
      <c r="AH380" s="185" t="n">
        <v>40725</v>
      </c>
      <c r="AI380" s="183"/>
      <c r="AJ380" s="183"/>
      <c r="AK380" s="182"/>
      <c r="AL380" s="182"/>
      <c r="AM380" s="184" t="n">
        <v>81</v>
      </c>
      <c r="AN380" s="183" t="n">
        <v>40630</v>
      </c>
      <c r="AO380" s="182"/>
      <c r="AP380" s="182"/>
      <c r="AQ380" s="183"/>
      <c r="AR380" s="183"/>
      <c r="AS380" s="182"/>
      <c r="AT380" s="182"/>
      <c r="AU380" s="183"/>
      <c r="AV380" s="183"/>
      <c r="AW380" s="182"/>
      <c r="AX380" s="182"/>
      <c r="AY380" s="183"/>
      <c r="AZ380" s="183"/>
      <c r="BA380" s="182"/>
      <c r="BB380" s="182"/>
      <c r="BK380" s="183"/>
      <c r="BL380" s="183"/>
      <c r="BM380" s="182"/>
      <c r="BN380" s="182"/>
      <c r="BO380" s="183"/>
      <c r="BP380" s="183"/>
      <c r="BQ380" s="182"/>
      <c r="BR380" s="182"/>
      <c r="BS380" s="184" t="n">
        <v>50.7</v>
      </c>
      <c r="BT380" s="185" t="n">
        <v>40725</v>
      </c>
      <c r="BU380" s="184" t="n">
        <v>17.5</v>
      </c>
      <c r="BV380" s="185" t="n">
        <v>40725</v>
      </c>
      <c r="CL380" s="182"/>
      <c r="CM380" s="182"/>
    </row>
    <row r="381" customFormat="false" ht="12.75" hidden="false" customHeight="false" outlineLevel="0" collapsed="false">
      <c r="A381" s="204" t="s">
        <v>612</v>
      </c>
      <c r="B381" s="193" t="s">
        <v>785</v>
      </c>
      <c r="C381" s="193" t="s">
        <v>877</v>
      </c>
      <c r="D381" s="193"/>
      <c r="E381" s="119" t="n">
        <v>24</v>
      </c>
      <c r="F381" s="195" t="n">
        <v>85</v>
      </c>
      <c r="G381" s="119"/>
      <c r="H381" s="119"/>
      <c r="J381" s="118"/>
      <c r="K381" s="118"/>
      <c r="L381" s="181"/>
      <c r="N381" s="182"/>
      <c r="O381" s="182"/>
      <c r="S381" s="184" t="n">
        <v>1928</v>
      </c>
      <c r="T381" s="185" t="n">
        <v>40725</v>
      </c>
      <c r="U381" s="182"/>
      <c r="V381" s="182"/>
      <c r="W381" s="183"/>
      <c r="X381" s="183"/>
      <c r="Y381" s="184" t="n">
        <v>694</v>
      </c>
      <c r="Z381" s="185" t="n">
        <v>40725</v>
      </c>
      <c r="AA381" s="184" t="n">
        <v>87838</v>
      </c>
      <c r="AB381" s="185" t="n">
        <v>40725</v>
      </c>
      <c r="AC381" s="184" t="n">
        <v>38.4</v>
      </c>
      <c r="AD381" s="185" t="n">
        <v>40725</v>
      </c>
      <c r="AE381" s="196"/>
      <c r="AF381" s="185"/>
      <c r="AG381" s="184" t="n">
        <v>4.37</v>
      </c>
      <c r="AH381" s="185" t="n">
        <v>40725</v>
      </c>
      <c r="AI381" s="183"/>
      <c r="AJ381" s="183"/>
      <c r="AK381" s="182"/>
      <c r="AL381" s="182"/>
      <c r="AM381" s="184" t="n">
        <v>81</v>
      </c>
      <c r="AN381" s="183" t="n">
        <v>40630</v>
      </c>
      <c r="AO381" s="182"/>
      <c r="AP381" s="182"/>
      <c r="AQ381" s="183"/>
      <c r="AR381" s="183"/>
      <c r="AS381" s="182"/>
      <c r="AT381" s="182"/>
      <c r="AU381" s="183"/>
      <c r="AV381" s="183"/>
      <c r="AW381" s="182"/>
      <c r="AX381" s="182"/>
      <c r="AY381" s="183"/>
      <c r="AZ381" s="183"/>
      <c r="BA381" s="182"/>
      <c r="BB381" s="182"/>
      <c r="BK381" s="183"/>
      <c r="BL381" s="183"/>
      <c r="BM381" s="182"/>
      <c r="BN381" s="182"/>
      <c r="BO381" s="183"/>
      <c r="BP381" s="183"/>
      <c r="BQ381" s="182"/>
      <c r="BR381" s="182"/>
      <c r="BS381" s="184" t="n">
        <v>50.2</v>
      </c>
      <c r="BT381" s="185" t="n">
        <v>40725</v>
      </c>
      <c r="BU381" s="184" t="n">
        <v>18.1</v>
      </c>
      <c r="BV381" s="185" t="n">
        <v>40725</v>
      </c>
      <c r="CL381" s="182"/>
      <c r="CM381" s="182"/>
    </row>
    <row r="382" customFormat="false" ht="12.75" hidden="false" customHeight="false" outlineLevel="0" collapsed="false">
      <c r="A382" s="204" t="s">
        <v>615</v>
      </c>
      <c r="B382" s="193" t="s">
        <v>782</v>
      </c>
      <c r="C382" s="193" t="s">
        <v>875</v>
      </c>
      <c r="D382" s="193"/>
      <c r="E382" s="194" t="n">
        <v>2</v>
      </c>
      <c r="F382" s="195" t="n">
        <v>17</v>
      </c>
      <c r="G382" s="119"/>
      <c r="H382" s="119"/>
      <c r="J382" s="118"/>
      <c r="K382" s="118"/>
      <c r="L382" s="181"/>
      <c r="N382" s="182"/>
      <c r="O382" s="182"/>
      <c r="S382" s="184" t="n">
        <v>1243</v>
      </c>
      <c r="T382" s="185" t="n">
        <v>40725</v>
      </c>
      <c r="U382" s="182"/>
      <c r="V382" s="182"/>
      <c r="W382" s="183"/>
      <c r="X382" s="183"/>
      <c r="Y382" s="184" t="n">
        <v>391</v>
      </c>
      <c r="Z382" s="185" t="n">
        <v>40725</v>
      </c>
      <c r="AA382" s="184" t="n">
        <v>53418</v>
      </c>
      <c r="AB382" s="185" t="n">
        <v>40725</v>
      </c>
      <c r="AC382" s="184" t="n">
        <v>24.2</v>
      </c>
      <c r="AD382" s="185" t="n">
        <v>40725</v>
      </c>
      <c r="AE382" s="196"/>
      <c r="AF382" s="185"/>
      <c r="AG382" s="184" t="n">
        <v>4.53</v>
      </c>
      <c r="AH382" s="185" t="n">
        <v>40725</v>
      </c>
      <c r="AI382" s="183"/>
      <c r="AJ382" s="183"/>
      <c r="AK382" s="182"/>
      <c r="AL382" s="182"/>
      <c r="AM382" s="184" t="n">
        <v>82</v>
      </c>
      <c r="AN382" s="183" t="n">
        <v>40630</v>
      </c>
      <c r="AO382" s="182"/>
      <c r="AP382" s="182"/>
      <c r="AQ382" s="183"/>
      <c r="AR382" s="183"/>
      <c r="AS382" s="182"/>
      <c r="AT382" s="182"/>
      <c r="AU382" s="183"/>
      <c r="AV382" s="183"/>
      <c r="AW382" s="182"/>
      <c r="AX382" s="182"/>
      <c r="AY382" s="183"/>
      <c r="AZ382" s="183"/>
      <c r="BA382" s="182"/>
      <c r="BB382" s="182"/>
      <c r="BK382" s="183"/>
      <c r="BL382" s="183"/>
      <c r="BM382" s="182"/>
      <c r="BN382" s="182"/>
      <c r="BO382" s="183"/>
      <c r="BP382" s="183"/>
      <c r="BQ382" s="182"/>
      <c r="BR382" s="182"/>
      <c r="BS382" s="184" t="n">
        <v>51.3</v>
      </c>
      <c r="BT382" s="185" t="n">
        <v>40725</v>
      </c>
      <c r="BU382" s="184" t="n">
        <v>16.1</v>
      </c>
      <c r="BV382" s="185" t="n">
        <v>40725</v>
      </c>
      <c r="CL382" s="182"/>
      <c r="CM382" s="182"/>
    </row>
    <row r="383" customFormat="false" ht="12.75" hidden="false" customHeight="false" outlineLevel="0" collapsed="false">
      <c r="A383" s="204" t="s">
        <v>615</v>
      </c>
      <c r="B383" s="193" t="s">
        <v>782</v>
      </c>
      <c r="C383" s="193" t="s">
        <v>876</v>
      </c>
      <c r="D383" s="193"/>
      <c r="E383" s="194" t="n">
        <v>7</v>
      </c>
      <c r="F383" s="195" t="n">
        <v>33</v>
      </c>
      <c r="G383" s="119"/>
      <c r="H383" s="119"/>
      <c r="J383" s="118"/>
      <c r="K383" s="118"/>
      <c r="L383" s="181"/>
      <c r="N383" s="182"/>
      <c r="O383" s="182"/>
      <c r="S383" s="184" t="n">
        <v>1514</v>
      </c>
      <c r="T383" s="185" t="n">
        <v>40725</v>
      </c>
      <c r="U383" s="182"/>
      <c r="V383" s="182"/>
      <c r="W383" s="183"/>
      <c r="X383" s="183"/>
      <c r="Y383" s="184" t="n">
        <v>478</v>
      </c>
      <c r="Z383" s="185" t="n">
        <v>40725</v>
      </c>
      <c r="AA383" s="184" t="n">
        <v>63587</v>
      </c>
      <c r="AB383" s="185" t="n">
        <v>40725</v>
      </c>
      <c r="AC383" s="184" t="n">
        <v>29.8</v>
      </c>
      <c r="AD383" s="185" t="n">
        <v>40725</v>
      </c>
      <c r="AE383" s="196"/>
      <c r="AF383" s="185"/>
      <c r="AG383" s="184" t="n">
        <v>4.68</v>
      </c>
      <c r="AH383" s="185" t="n">
        <v>40725</v>
      </c>
      <c r="AI383" s="183"/>
      <c r="AJ383" s="183"/>
      <c r="AK383" s="182"/>
      <c r="AL383" s="182"/>
      <c r="AM383" s="184" t="n">
        <v>81</v>
      </c>
      <c r="AN383" s="183" t="n">
        <v>40630</v>
      </c>
      <c r="AO383" s="182"/>
      <c r="AP383" s="182"/>
      <c r="AQ383" s="183"/>
      <c r="AR383" s="183"/>
      <c r="AS383" s="182"/>
      <c r="AT383" s="182"/>
      <c r="AU383" s="183"/>
      <c r="AV383" s="183"/>
      <c r="AW383" s="182"/>
      <c r="AX383" s="182"/>
      <c r="AY383" s="183"/>
      <c r="AZ383" s="183"/>
      <c r="BA383" s="182"/>
      <c r="BB383" s="182"/>
      <c r="BK383" s="183"/>
      <c r="BL383" s="183"/>
      <c r="BM383" s="182"/>
      <c r="BN383" s="182"/>
      <c r="BO383" s="183"/>
      <c r="BP383" s="183"/>
      <c r="BQ383" s="182"/>
      <c r="BR383" s="182"/>
      <c r="BS383" s="184" t="n">
        <v>50.9</v>
      </c>
      <c r="BT383" s="185" t="n">
        <v>40725</v>
      </c>
      <c r="BU383" s="184" t="n">
        <v>16.1</v>
      </c>
      <c r="BV383" s="185" t="n">
        <v>40725</v>
      </c>
      <c r="CL383" s="182"/>
      <c r="CM383" s="182"/>
    </row>
    <row r="384" customFormat="false" ht="12.75" hidden="false" customHeight="false" outlineLevel="0" collapsed="false">
      <c r="A384" s="204" t="s">
        <v>615</v>
      </c>
      <c r="B384" s="193" t="s">
        <v>782</v>
      </c>
      <c r="C384" s="193" t="s">
        <v>877</v>
      </c>
      <c r="D384" s="193"/>
      <c r="E384" s="119" t="n">
        <v>18</v>
      </c>
      <c r="F384" s="195" t="n">
        <v>79</v>
      </c>
      <c r="G384" s="119"/>
      <c r="H384" s="119"/>
      <c r="J384" s="118"/>
      <c r="K384" s="118"/>
      <c r="L384" s="181"/>
      <c r="N384" s="182"/>
      <c r="O384" s="182"/>
      <c r="S384" s="184" t="n">
        <v>1616</v>
      </c>
      <c r="T384" s="185" t="n">
        <v>40725</v>
      </c>
      <c r="U384" s="182"/>
      <c r="V384" s="182"/>
      <c r="W384" s="183"/>
      <c r="X384" s="183"/>
      <c r="Y384" s="184" t="n">
        <v>527</v>
      </c>
      <c r="Z384" s="185" t="n">
        <v>40725</v>
      </c>
      <c r="AA384" s="184" t="n">
        <v>64365</v>
      </c>
      <c r="AB384" s="185" t="n">
        <v>40725</v>
      </c>
      <c r="AC384" s="184" t="n">
        <v>31.6</v>
      </c>
      <c r="AD384" s="185" t="n">
        <v>40725</v>
      </c>
      <c r="AE384" s="196"/>
      <c r="AF384" s="185"/>
      <c r="AG384" s="184" t="n">
        <v>4.92</v>
      </c>
      <c r="AH384" s="185" t="n">
        <v>40725</v>
      </c>
      <c r="AI384" s="183"/>
      <c r="AJ384" s="183"/>
      <c r="AK384" s="182"/>
      <c r="AL384" s="182"/>
      <c r="AM384" s="184" t="n">
        <v>82</v>
      </c>
      <c r="AN384" s="183" t="n">
        <v>40630</v>
      </c>
      <c r="AO384" s="182"/>
      <c r="AP384" s="182"/>
      <c r="AQ384" s="183"/>
      <c r="AR384" s="183"/>
      <c r="AS384" s="182"/>
      <c r="AT384" s="182"/>
      <c r="AU384" s="183"/>
      <c r="AV384" s="183"/>
      <c r="AW384" s="182"/>
      <c r="AX384" s="182"/>
      <c r="AY384" s="183"/>
      <c r="AZ384" s="183"/>
      <c r="BA384" s="182"/>
      <c r="BB384" s="182"/>
      <c r="BK384" s="183"/>
      <c r="BL384" s="183"/>
      <c r="BM384" s="182"/>
      <c r="BN384" s="182"/>
      <c r="BO384" s="183"/>
      <c r="BP384" s="183"/>
      <c r="BQ384" s="182"/>
      <c r="BR384" s="182"/>
      <c r="BS384" s="184" t="n">
        <v>51.1</v>
      </c>
      <c r="BT384" s="185" t="n">
        <v>40725</v>
      </c>
      <c r="BU384" s="184" t="n">
        <v>16.7</v>
      </c>
      <c r="BV384" s="185" t="n">
        <v>40725</v>
      </c>
      <c r="CL384" s="182"/>
      <c r="CM384" s="182"/>
    </row>
    <row r="385" customFormat="false" ht="12.75" hidden="false" customHeight="false" outlineLevel="0" collapsed="false">
      <c r="A385" s="204" t="s">
        <v>615</v>
      </c>
      <c r="B385" s="193" t="s">
        <v>785</v>
      </c>
      <c r="C385" s="193" t="s">
        <v>875</v>
      </c>
      <c r="D385" s="193"/>
      <c r="E385" s="194" t="n">
        <v>5</v>
      </c>
      <c r="F385" s="195" t="n">
        <v>28</v>
      </c>
      <c r="G385" s="119"/>
      <c r="H385" s="119"/>
      <c r="J385" s="118"/>
      <c r="K385" s="118"/>
      <c r="L385" s="181"/>
      <c r="N385" s="182"/>
      <c r="O385" s="182"/>
      <c r="S385" s="184" t="n">
        <v>2060</v>
      </c>
      <c r="T385" s="185" t="n">
        <v>40725</v>
      </c>
      <c r="U385" s="182"/>
      <c r="V385" s="182"/>
      <c r="W385" s="183"/>
      <c r="X385" s="183"/>
      <c r="Y385" s="184" t="n">
        <v>691</v>
      </c>
      <c r="Z385" s="185" t="n">
        <v>40725</v>
      </c>
      <c r="AA385" s="184" t="n">
        <v>82785</v>
      </c>
      <c r="AB385" s="185" t="n">
        <v>40725</v>
      </c>
      <c r="AC385" s="184" t="n">
        <v>40.6</v>
      </c>
      <c r="AD385" s="185" t="n">
        <v>40725</v>
      </c>
      <c r="AE385" s="196"/>
      <c r="AF385" s="185"/>
      <c r="AG385" s="184" t="n">
        <v>4.9</v>
      </c>
      <c r="AH385" s="185" t="n">
        <v>40725</v>
      </c>
      <c r="AI385" s="183"/>
      <c r="AJ385" s="183"/>
      <c r="AK385" s="182"/>
      <c r="AL385" s="182"/>
      <c r="AM385" s="184" t="n">
        <v>84</v>
      </c>
      <c r="AN385" s="183" t="n">
        <v>40630</v>
      </c>
      <c r="AO385" s="182"/>
      <c r="AP385" s="182"/>
      <c r="AQ385" s="183"/>
      <c r="AR385" s="183"/>
      <c r="AS385" s="182"/>
      <c r="AT385" s="182"/>
      <c r="AU385" s="183"/>
      <c r="AV385" s="183"/>
      <c r="AW385" s="182"/>
      <c r="AX385" s="182"/>
      <c r="AY385" s="183"/>
      <c r="AZ385" s="183"/>
      <c r="BA385" s="182"/>
      <c r="BB385" s="182"/>
      <c r="BK385" s="183"/>
      <c r="BL385" s="183"/>
      <c r="BM385" s="182"/>
      <c r="BN385" s="182"/>
      <c r="BO385" s="183"/>
      <c r="BP385" s="183"/>
      <c r="BQ385" s="182"/>
      <c r="BR385" s="182"/>
      <c r="BS385" s="184" t="n">
        <v>50.8</v>
      </c>
      <c r="BT385" s="185" t="n">
        <v>40725</v>
      </c>
      <c r="BU385" s="184" t="n">
        <v>17</v>
      </c>
      <c r="BV385" s="185" t="n">
        <v>40725</v>
      </c>
      <c r="CL385" s="182"/>
      <c r="CM385" s="182"/>
    </row>
    <row r="386" customFormat="false" ht="12.75" hidden="false" customHeight="false" outlineLevel="0" collapsed="false">
      <c r="A386" s="204" t="s">
        <v>615</v>
      </c>
      <c r="B386" s="193" t="s">
        <v>785</v>
      </c>
      <c r="C386" s="193" t="s">
        <v>876</v>
      </c>
      <c r="D386" s="193"/>
      <c r="E386" s="194" t="n">
        <v>4</v>
      </c>
      <c r="F386" s="195" t="n">
        <v>37</v>
      </c>
      <c r="G386" s="119"/>
      <c r="H386" s="119"/>
      <c r="J386" s="118"/>
      <c r="K386" s="118"/>
      <c r="L386" s="181"/>
      <c r="N386" s="182"/>
      <c r="O386" s="182"/>
      <c r="S386" s="184" t="n">
        <v>1822</v>
      </c>
      <c r="T386" s="185" t="n">
        <v>40725</v>
      </c>
      <c r="U386" s="182"/>
      <c r="V386" s="182"/>
      <c r="W386" s="183"/>
      <c r="X386" s="183"/>
      <c r="Y386" s="184" t="n">
        <v>641</v>
      </c>
      <c r="Z386" s="185" t="n">
        <v>40725</v>
      </c>
      <c r="AA386" s="184" t="n">
        <v>73937</v>
      </c>
      <c r="AB386" s="185" t="n">
        <v>40725</v>
      </c>
      <c r="AC386" s="184" t="n">
        <v>36.3</v>
      </c>
      <c r="AD386" s="185" t="n">
        <v>40725</v>
      </c>
      <c r="AE386" s="196"/>
      <c r="AF386" s="185"/>
      <c r="AG386" s="184" t="n">
        <v>4.91</v>
      </c>
      <c r="AH386" s="185" t="n">
        <v>40725</v>
      </c>
      <c r="AI386" s="183"/>
      <c r="AJ386" s="183"/>
      <c r="AK386" s="182"/>
      <c r="AL386" s="182"/>
      <c r="AM386" s="184" t="n">
        <v>82</v>
      </c>
      <c r="AN386" s="183" t="n">
        <v>40630</v>
      </c>
      <c r="AO386" s="182"/>
      <c r="AP386" s="182"/>
      <c r="AQ386" s="183"/>
      <c r="AR386" s="183"/>
      <c r="AS386" s="182"/>
      <c r="AT386" s="182"/>
      <c r="AU386" s="183"/>
      <c r="AV386" s="183"/>
      <c r="AW386" s="182"/>
      <c r="AX386" s="182"/>
      <c r="AY386" s="183"/>
      <c r="AZ386" s="183"/>
      <c r="BA386" s="182"/>
      <c r="BB386" s="182"/>
      <c r="BK386" s="183"/>
      <c r="BL386" s="183"/>
      <c r="BM386" s="182"/>
      <c r="BN386" s="182"/>
      <c r="BO386" s="183"/>
      <c r="BP386" s="183"/>
      <c r="BQ386" s="182"/>
      <c r="BR386" s="182"/>
      <c r="BS386" s="184" t="n">
        <v>50.2</v>
      </c>
      <c r="BT386" s="185" t="n">
        <v>40725</v>
      </c>
      <c r="BU386" s="184" t="n">
        <v>17.7</v>
      </c>
      <c r="BV386" s="185" t="n">
        <v>40725</v>
      </c>
      <c r="CL386" s="182"/>
      <c r="CM386" s="182"/>
    </row>
    <row r="387" customFormat="false" ht="12.75" hidden="false" customHeight="false" outlineLevel="0" collapsed="false">
      <c r="A387" s="204" t="s">
        <v>615</v>
      </c>
      <c r="B387" s="193" t="s">
        <v>785</v>
      </c>
      <c r="C387" s="193" t="s">
        <v>877</v>
      </c>
      <c r="D387" s="193"/>
      <c r="E387" s="119" t="n">
        <v>24</v>
      </c>
      <c r="F387" s="195" t="n">
        <v>74</v>
      </c>
      <c r="G387" s="119"/>
      <c r="H387" s="119"/>
      <c r="J387" s="118"/>
      <c r="K387" s="118"/>
      <c r="L387" s="181"/>
      <c r="N387" s="182"/>
      <c r="O387" s="182"/>
      <c r="S387" s="184" t="n">
        <v>1649</v>
      </c>
      <c r="T387" s="185" t="n">
        <v>40725</v>
      </c>
      <c r="U387" s="182"/>
      <c r="V387" s="182"/>
      <c r="W387" s="183"/>
      <c r="X387" s="183"/>
      <c r="Y387" s="184" t="n">
        <v>627</v>
      </c>
      <c r="Z387" s="185" t="n">
        <v>40725</v>
      </c>
      <c r="AA387" s="184" t="n">
        <v>70711</v>
      </c>
      <c r="AB387" s="185" t="n">
        <v>40725</v>
      </c>
      <c r="AC387" s="184" t="n">
        <v>33.7</v>
      </c>
      <c r="AD387" s="185" t="n">
        <v>40725</v>
      </c>
      <c r="AE387" s="196"/>
      <c r="AF387" s="185"/>
      <c r="AG387" s="184" t="n">
        <v>4.76</v>
      </c>
      <c r="AH387" s="185" t="n">
        <v>40725</v>
      </c>
      <c r="AI387" s="183"/>
      <c r="AJ387" s="183"/>
      <c r="AK387" s="182"/>
      <c r="AL387" s="182"/>
      <c r="AM387" s="184" t="n">
        <v>83</v>
      </c>
      <c r="AN387" s="183" t="n">
        <v>40630</v>
      </c>
      <c r="AO387" s="182"/>
      <c r="AP387" s="182"/>
      <c r="AQ387" s="183"/>
      <c r="AR387" s="183"/>
      <c r="AS387" s="182"/>
      <c r="AT387" s="182"/>
      <c r="AU387" s="183"/>
      <c r="AV387" s="183"/>
      <c r="AW387" s="182"/>
      <c r="AX387" s="182"/>
      <c r="AY387" s="183"/>
      <c r="AZ387" s="183"/>
      <c r="BA387" s="182"/>
      <c r="BB387" s="182"/>
      <c r="BK387" s="183"/>
      <c r="BL387" s="183"/>
      <c r="BM387" s="182"/>
      <c r="BN387" s="182"/>
      <c r="BO387" s="183"/>
      <c r="BP387" s="183"/>
      <c r="BQ387" s="182"/>
      <c r="BR387" s="182"/>
      <c r="BS387" s="184" t="n">
        <v>49</v>
      </c>
      <c r="BT387" s="185" t="n">
        <v>40725</v>
      </c>
      <c r="BU387" s="184" t="n">
        <v>18.6</v>
      </c>
      <c r="BV387" s="185" t="n">
        <v>40725</v>
      </c>
      <c r="CL387" s="182"/>
      <c r="CM387" s="182"/>
    </row>
    <row r="388" customFormat="false" ht="12.75" hidden="false" customHeight="false" outlineLevel="0" collapsed="false">
      <c r="A388" s="204" t="s">
        <v>618</v>
      </c>
      <c r="B388" s="193" t="s">
        <v>782</v>
      </c>
      <c r="C388" s="193" t="s">
        <v>875</v>
      </c>
      <c r="D388" s="193"/>
      <c r="E388" s="194" t="n">
        <v>1</v>
      </c>
      <c r="F388" s="195" t="n">
        <v>31</v>
      </c>
      <c r="G388" s="119"/>
      <c r="H388" s="119"/>
      <c r="J388" s="118"/>
      <c r="K388" s="118"/>
      <c r="L388" s="181"/>
      <c r="N388" s="182"/>
      <c r="O388" s="182"/>
      <c r="S388" s="184" t="n">
        <v>1427</v>
      </c>
      <c r="T388" s="185" t="n">
        <v>40725</v>
      </c>
      <c r="U388" s="182"/>
      <c r="V388" s="182"/>
      <c r="W388" s="183"/>
      <c r="X388" s="183"/>
      <c r="Y388" s="184" t="n">
        <v>462</v>
      </c>
      <c r="Z388" s="185" t="n">
        <v>40725</v>
      </c>
      <c r="AA388" s="184" t="n">
        <v>63081</v>
      </c>
      <c r="AB388" s="185" t="n">
        <v>40725</v>
      </c>
      <c r="AC388" s="184" t="n">
        <v>27.5</v>
      </c>
      <c r="AD388" s="185" t="n">
        <v>40725</v>
      </c>
      <c r="AE388" s="196"/>
      <c r="AF388" s="185"/>
      <c r="AG388" s="184" t="n">
        <v>4.37</v>
      </c>
      <c r="AH388" s="185" t="n">
        <v>40725</v>
      </c>
      <c r="AI388" s="183"/>
      <c r="AJ388" s="183"/>
      <c r="AK388" s="182"/>
      <c r="AL388" s="182"/>
      <c r="AM388" s="184" t="n">
        <v>85</v>
      </c>
      <c r="AN388" s="183" t="n">
        <v>40630</v>
      </c>
      <c r="AO388" s="182"/>
      <c r="AP388" s="182"/>
      <c r="AQ388" s="183"/>
      <c r="AR388" s="183"/>
      <c r="AS388" s="182"/>
      <c r="AT388" s="182"/>
      <c r="AU388" s="183"/>
      <c r="AV388" s="183"/>
      <c r="AW388" s="182"/>
      <c r="AX388" s="182"/>
      <c r="AY388" s="183"/>
      <c r="AZ388" s="183"/>
      <c r="BA388" s="182"/>
      <c r="BB388" s="182"/>
      <c r="BK388" s="183"/>
      <c r="BL388" s="183"/>
      <c r="BM388" s="182"/>
      <c r="BN388" s="182"/>
      <c r="BO388" s="183"/>
      <c r="BP388" s="183"/>
      <c r="BQ388" s="182"/>
      <c r="BR388" s="182"/>
      <c r="BS388" s="184" t="n">
        <v>51.8</v>
      </c>
      <c r="BT388" s="185" t="n">
        <v>40725</v>
      </c>
      <c r="BU388" s="184" t="n">
        <v>16.8</v>
      </c>
      <c r="BV388" s="185" t="n">
        <v>40725</v>
      </c>
      <c r="CL388" s="182"/>
      <c r="CM388" s="182"/>
    </row>
    <row r="389" customFormat="false" ht="12.75" hidden="false" customHeight="false" outlineLevel="0" collapsed="false">
      <c r="A389" s="204" t="s">
        <v>618</v>
      </c>
      <c r="B389" s="193" t="s">
        <v>782</v>
      </c>
      <c r="C389" s="193" t="s">
        <v>876</v>
      </c>
      <c r="D389" s="193"/>
      <c r="E389" s="194" t="n">
        <v>7</v>
      </c>
      <c r="F389" s="195" t="n">
        <v>42</v>
      </c>
      <c r="G389" s="119"/>
      <c r="H389" s="119"/>
      <c r="J389" s="118"/>
      <c r="K389" s="118"/>
      <c r="L389" s="181"/>
      <c r="N389" s="182"/>
      <c r="O389" s="182"/>
      <c r="S389" s="184" t="n">
        <v>1630</v>
      </c>
      <c r="T389" s="185" t="n">
        <v>40725</v>
      </c>
      <c r="U389" s="182"/>
      <c r="V389" s="182"/>
      <c r="W389" s="183"/>
      <c r="X389" s="183"/>
      <c r="Y389" s="184" t="n">
        <v>510</v>
      </c>
      <c r="Z389" s="185" t="n">
        <v>40725</v>
      </c>
      <c r="AA389" s="184" t="n">
        <v>71777</v>
      </c>
      <c r="AB389" s="185" t="n">
        <v>40725</v>
      </c>
      <c r="AC389" s="184" t="n">
        <v>31.1</v>
      </c>
      <c r="AD389" s="185" t="n">
        <v>40725</v>
      </c>
      <c r="AE389" s="196"/>
      <c r="AF389" s="185"/>
      <c r="AG389" s="184" t="n">
        <v>4.34</v>
      </c>
      <c r="AH389" s="185" t="n">
        <v>40725</v>
      </c>
      <c r="AI389" s="183"/>
      <c r="AJ389" s="183"/>
      <c r="AK389" s="182"/>
      <c r="AL389" s="182"/>
      <c r="AM389" s="184" t="n">
        <v>84</v>
      </c>
      <c r="AN389" s="183" t="n">
        <v>40630</v>
      </c>
      <c r="AO389" s="182"/>
      <c r="AP389" s="182"/>
      <c r="AQ389" s="183"/>
      <c r="AR389" s="183"/>
      <c r="AS389" s="182"/>
      <c r="AT389" s="182"/>
      <c r="AU389" s="183"/>
      <c r="AV389" s="183"/>
      <c r="AW389" s="182"/>
      <c r="AX389" s="182"/>
      <c r="AY389" s="183"/>
      <c r="AZ389" s="183"/>
      <c r="BA389" s="182"/>
      <c r="BB389" s="182"/>
      <c r="BK389" s="183"/>
      <c r="BL389" s="183"/>
      <c r="BM389" s="182"/>
      <c r="BN389" s="182"/>
      <c r="BO389" s="183"/>
      <c r="BP389" s="183"/>
      <c r="BQ389" s="182"/>
      <c r="BR389" s="182"/>
      <c r="BS389" s="184" t="n">
        <v>52.3</v>
      </c>
      <c r="BT389" s="185" t="n">
        <v>40725</v>
      </c>
      <c r="BU389" s="184" t="n">
        <v>16.4</v>
      </c>
      <c r="BV389" s="185" t="n">
        <v>40725</v>
      </c>
      <c r="CL389" s="182"/>
      <c r="CM389" s="182"/>
    </row>
    <row r="390" customFormat="false" ht="12.75" hidden="false" customHeight="false" outlineLevel="0" collapsed="false">
      <c r="A390" s="204" t="s">
        <v>618</v>
      </c>
      <c r="B390" s="193" t="s">
        <v>782</v>
      </c>
      <c r="C390" s="193" t="s">
        <v>877</v>
      </c>
      <c r="D390" s="193"/>
      <c r="E390" s="119" t="n">
        <v>19</v>
      </c>
      <c r="F390" s="195" t="n">
        <v>78</v>
      </c>
      <c r="G390" s="119"/>
      <c r="H390" s="119"/>
      <c r="J390" s="118"/>
      <c r="K390" s="118"/>
      <c r="L390" s="181"/>
      <c r="N390" s="182"/>
      <c r="O390" s="182"/>
      <c r="S390" s="184" t="n">
        <v>1579</v>
      </c>
      <c r="T390" s="185" t="n">
        <v>40725</v>
      </c>
      <c r="U390" s="182"/>
      <c r="V390" s="182"/>
      <c r="W390" s="183"/>
      <c r="X390" s="183"/>
      <c r="Y390" s="184" t="n">
        <v>510</v>
      </c>
      <c r="Z390" s="185" t="n">
        <v>40725</v>
      </c>
      <c r="AA390" s="184" t="n">
        <v>71581</v>
      </c>
      <c r="AB390" s="185" t="n">
        <v>40725</v>
      </c>
      <c r="AC390" s="184" t="n">
        <v>30.4</v>
      </c>
      <c r="AD390" s="185" t="n">
        <v>40725</v>
      </c>
      <c r="AE390" s="196"/>
      <c r="AF390" s="185"/>
      <c r="AG390" s="184" t="n">
        <v>4.24</v>
      </c>
      <c r="AH390" s="185" t="n">
        <v>40725</v>
      </c>
      <c r="AI390" s="183"/>
      <c r="AJ390" s="183"/>
      <c r="AK390" s="182"/>
      <c r="AL390" s="182"/>
      <c r="AM390" s="184" t="n">
        <v>84</v>
      </c>
      <c r="AN390" s="183" t="n">
        <v>40630</v>
      </c>
      <c r="AO390" s="182"/>
      <c r="AP390" s="182"/>
      <c r="AQ390" s="183"/>
      <c r="AR390" s="183"/>
      <c r="AS390" s="182"/>
      <c r="AT390" s="182"/>
      <c r="AU390" s="183"/>
      <c r="AV390" s="183"/>
      <c r="AW390" s="182"/>
      <c r="AX390" s="182"/>
      <c r="AY390" s="183"/>
      <c r="AZ390" s="183"/>
      <c r="BA390" s="182"/>
      <c r="BB390" s="182"/>
      <c r="BK390" s="183"/>
      <c r="BL390" s="183"/>
      <c r="BM390" s="182"/>
      <c r="BN390" s="182"/>
      <c r="BO390" s="183"/>
      <c r="BP390" s="183"/>
      <c r="BQ390" s="182"/>
      <c r="BR390" s="182"/>
      <c r="BS390" s="184" t="n">
        <v>52</v>
      </c>
      <c r="BT390" s="185" t="n">
        <v>40725</v>
      </c>
      <c r="BU390" s="184" t="n">
        <v>16.8</v>
      </c>
      <c r="BV390" s="185" t="n">
        <v>40725</v>
      </c>
      <c r="CL390" s="182"/>
      <c r="CM390" s="182"/>
    </row>
    <row r="391" customFormat="false" ht="12.75" hidden="false" customHeight="false" outlineLevel="0" collapsed="false">
      <c r="A391" s="204" t="s">
        <v>618</v>
      </c>
      <c r="B391" s="193" t="s">
        <v>785</v>
      </c>
      <c r="C391" s="193" t="s">
        <v>875</v>
      </c>
      <c r="D391" s="193"/>
      <c r="E391" s="194" t="n">
        <v>7</v>
      </c>
      <c r="F391" s="195" t="n">
        <v>7</v>
      </c>
      <c r="G391" s="119"/>
      <c r="H391" s="119"/>
      <c r="J391" s="118"/>
      <c r="K391" s="118"/>
      <c r="L391" s="181"/>
      <c r="N391" s="182"/>
      <c r="O391" s="182"/>
      <c r="S391" s="184" t="n">
        <v>2156</v>
      </c>
      <c r="T391" s="185" t="n">
        <v>40725</v>
      </c>
      <c r="U391" s="182"/>
      <c r="V391" s="182"/>
      <c r="W391" s="183"/>
      <c r="X391" s="183"/>
      <c r="Y391" s="184" t="n">
        <v>724</v>
      </c>
      <c r="Z391" s="185" t="n">
        <v>40725</v>
      </c>
      <c r="AA391" s="184" t="n">
        <v>99625</v>
      </c>
      <c r="AB391" s="185" t="n">
        <v>40725</v>
      </c>
      <c r="AC391" s="184" t="n">
        <v>41.6</v>
      </c>
      <c r="AD391" s="185" t="n">
        <v>40725</v>
      </c>
      <c r="AE391" s="196"/>
      <c r="AF391" s="185"/>
      <c r="AG391" s="184" t="n">
        <v>4.17</v>
      </c>
      <c r="AH391" s="185" t="n">
        <v>40725</v>
      </c>
      <c r="AI391" s="183"/>
      <c r="AJ391" s="183"/>
      <c r="AK391" s="182"/>
      <c r="AL391" s="182"/>
      <c r="AM391" s="184" t="n">
        <v>87</v>
      </c>
      <c r="AN391" s="183" t="n">
        <v>40630</v>
      </c>
      <c r="AO391" s="182"/>
      <c r="AP391" s="182"/>
      <c r="AQ391" s="183"/>
      <c r="AR391" s="183"/>
      <c r="AS391" s="182"/>
      <c r="AT391" s="182"/>
      <c r="AU391" s="183"/>
      <c r="AV391" s="183"/>
      <c r="AW391" s="182"/>
      <c r="AX391" s="182"/>
      <c r="AY391" s="183"/>
      <c r="AZ391" s="183"/>
      <c r="BA391" s="182"/>
      <c r="BB391" s="182"/>
      <c r="BK391" s="183"/>
      <c r="BL391" s="183"/>
      <c r="BM391" s="182"/>
      <c r="BN391" s="182"/>
      <c r="BO391" s="183"/>
      <c r="BP391" s="183"/>
      <c r="BQ391" s="182"/>
      <c r="BR391" s="182"/>
      <c r="BS391" s="184" t="n">
        <v>51.9</v>
      </c>
      <c r="BT391" s="185" t="n">
        <v>40725</v>
      </c>
      <c r="BU391" s="184" t="n">
        <v>17.4</v>
      </c>
      <c r="BV391" s="185" t="n">
        <v>40725</v>
      </c>
      <c r="CL391" s="182"/>
      <c r="CM391" s="182"/>
    </row>
    <row r="392" customFormat="false" ht="12.75" hidden="false" customHeight="false" outlineLevel="0" collapsed="false">
      <c r="A392" s="204" t="s">
        <v>618</v>
      </c>
      <c r="B392" s="193" t="s">
        <v>785</v>
      </c>
      <c r="C392" s="193" t="s">
        <v>876</v>
      </c>
      <c r="D392" s="193"/>
      <c r="E392" s="194" t="n">
        <v>4</v>
      </c>
      <c r="F392" s="195" t="n">
        <v>62</v>
      </c>
      <c r="G392" s="119"/>
      <c r="H392" s="119"/>
      <c r="J392" s="118"/>
      <c r="K392" s="118"/>
      <c r="L392" s="181"/>
      <c r="N392" s="182"/>
      <c r="O392" s="182"/>
      <c r="S392" s="184" t="n">
        <v>1790</v>
      </c>
      <c r="T392" s="185" t="n">
        <v>40725</v>
      </c>
      <c r="U392" s="182"/>
      <c r="V392" s="182"/>
      <c r="W392" s="183"/>
      <c r="X392" s="183"/>
      <c r="Y392" s="184" t="n">
        <v>593</v>
      </c>
      <c r="Z392" s="185" t="n">
        <v>40725</v>
      </c>
      <c r="AA392" s="184" t="n">
        <v>80336</v>
      </c>
      <c r="AB392" s="185" t="n">
        <v>40725</v>
      </c>
      <c r="AC392" s="184" t="n">
        <v>34.4</v>
      </c>
      <c r="AD392" s="185" t="n">
        <v>40725</v>
      </c>
      <c r="AE392" s="196"/>
      <c r="AF392" s="185"/>
      <c r="AG392" s="184" t="n">
        <v>4.28</v>
      </c>
      <c r="AH392" s="185" t="n">
        <v>40725</v>
      </c>
      <c r="AI392" s="183"/>
      <c r="AJ392" s="183"/>
      <c r="AK392" s="182"/>
      <c r="AL392" s="182"/>
      <c r="AM392" s="184" t="n">
        <v>85</v>
      </c>
      <c r="AN392" s="183" t="n">
        <v>40630</v>
      </c>
      <c r="AO392" s="182"/>
      <c r="AP392" s="182"/>
      <c r="AQ392" s="183"/>
      <c r="AR392" s="183"/>
      <c r="AS392" s="182"/>
      <c r="AT392" s="182"/>
      <c r="AU392" s="183"/>
      <c r="AV392" s="183"/>
      <c r="AW392" s="182"/>
      <c r="AX392" s="182"/>
      <c r="AY392" s="183"/>
      <c r="AZ392" s="183"/>
      <c r="BA392" s="182"/>
      <c r="BB392" s="182"/>
      <c r="BK392" s="183"/>
      <c r="BL392" s="183"/>
      <c r="BM392" s="182"/>
      <c r="BN392" s="182"/>
      <c r="BO392" s="183"/>
      <c r="BP392" s="183"/>
      <c r="BQ392" s="182"/>
      <c r="BR392" s="182"/>
      <c r="BS392" s="184" t="n">
        <v>52.1</v>
      </c>
      <c r="BT392" s="185" t="n">
        <v>40725</v>
      </c>
      <c r="BU392" s="184" t="n">
        <v>17.2</v>
      </c>
      <c r="BV392" s="185" t="n">
        <v>40725</v>
      </c>
      <c r="CL392" s="182"/>
      <c r="CM392" s="182"/>
    </row>
    <row r="393" customFormat="false" ht="12.75" hidden="false" customHeight="false" outlineLevel="0" collapsed="false">
      <c r="A393" s="204" t="s">
        <v>618</v>
      </c>
      <c r="B393" s="193" t="s">
        <v>785</v>
      </c>
      <c r="C393" s="193" t="s">
        <v>877</v>
      </c>
      <c r="D393" s="193"/>
      <c r="E393" s="119" t="n">
        <v>24</v>
      </c>
      <c r="F393" s="195" t="n">
        <v>80</v>
      </c>
      <c r="G393" s="119"/>
      <c r="H393" s="119"/>
      <c r="J393" s="118"/>
      <c r="K393" s="118"/>
      <c r="L393" s="181"/>
      <c r="N393" s="182"/>
      <c r="O393" s="182"/>
      <c r="S393" s="184" t="n">
        <v>1918</v>
      </c>
      <c r="T393" s="185" t="n">
        <v>40725</v>
      </c>
      <c r="U393" s="182"/>
      <c r="V393" s="182"/>
      <c r="W393" s="183"/>
      <c r="X393" s="183"/>
      <c r="Y393" s="184" t="n">
        <v>687</v>
      </c>
      <c r="Z393" s="185" t="n">
        <v>40725</v>
      </c>
      <c r="AA393" s="184" t="n">
        <v>84197</v>
      </c>
      <c r="AB393" s="185" t="n">
        <v>40725</v>
      </c>
      <c r="AC393" s="184" t="n">
        <v>37.6</v>
      </c>
      <c r="AD393" s="185" t="n">
        <v>40725</v>
      </c>
      <c r="AE393" s="196"/>
      <c r="AF393" s="185"/>
      <c r="AG393" s="184" t="n">
        <v>4.46</v>
      </c>
      <c r="AH393" s="185" t="n">
        <v>40725</v>
      </c>
      <c r="AI393" s="183"/>
      <c r="AJ393" s="183"/>
      <c r="AK393" s="182"/>
      <c r="AL393" s="182"/>
      <c r="AM393" s="184" t="n">
        <v>86</v>
      </c>
      <c r="AN393" s="183" t="n">
        <v>40630</v>
      </c>
      <c r="AO393" s="182"/>
      <c r="AP393" s="182"/>
      <c r="AQ393" s="183"/>
      <c r="AR393" s="183"/>
      <c r="AS393" s="182"/>
      <c r="AT393" s="182"/>
      <c r="AU393" s="183"/>
      <c r="AV393" s="183"/>
      <c r="AW393" s="182"/>
      <c r="AX393" s="182"/>
      <c r="AY393" s="183"/>
      <c r="AZ393" s="183"/>
      <c r="BA393" s="182"/>
      <c r="BB393" s="182"/>
      <c r="BK393" s="183"/>
      <c r="BL393" s="183"/>
      <c r="BM393" s="182"/>
      <c r="BN393" s="182"/>
      <c r="BO393" s="183"/>
      <c r="BP393" s="183"/>
      <c r="BQ393" s="182"/>
      <c r="BR393" s="182"/>
      <c r="BS393" s="184" t="n">
        <v>51</v>
      </c>
      <c r="BT393" s="185" t="n">
        <v>40725</v>
      </c>
      <c r="BU393" s="184" t="n">
        <v>18.3</v>
      </c>
      <c r="BV393" s="185" t="n">
        <v>40725</v>
      </c>
      <c r="CL393" s="182"/>
      <c r="CM393" s="182"/>
    </row>
    <row r="394" customFormat="false" ht="12.75" hidden="false" customHeight="false" outlineLevel="0" collapsed="false">
      <c r="A394" s="204" t="s">
        <v>621</v>
      </c>
      <c r="B394" s="193" t="s">
        <v>782</v>
      </c>
      <c r="C394" s="193" t="s">
        <v>875</v>
      </c>
      <c r="D394" s="193"/>
      <c r="E394" s="194" t="n">
        <v>3</v>
      </c>
      <c r="F394" s="195" t="n">
        <v>15</v>
      </c>
      <c r="G394" s="119"/>
      <c r="H394" s="119"/>
      <c r="J394" s="118"/>
      <c r="K394" s="118"/>
      <c r="L394" s="181"/>
      <c r="N394" s="182"/>
      <c r="O394" s="182"/>
      <c r="S394" s="184" t="n">
        <v>1708</v>
      </c>
      <c r="T394" s="185" t="n">
        <v>40725</v>
      </c>
      <c r="U394" s="182"/>
      <c r="V394" s="182"/>
      <c r="W394" s="183"/>
      <c r="X394" s="183"/>
      <c r="Y394" s="184" t="n">
        <v>502</v>
      </c>
      <c r="Z394" s="185" t="n">
        <v>40725</v>
      </c>
      <c r="AA394" s="184" t="n">
        <v>87338</v>
      </c>
      <c r="AB394" s="185" t="n">
        <v>40725</v>
      </c>
      <c r="AC394" s="184" t="n">
        <v>32.1</v>
      </c>
      <c r="AD394" s="185" t="n">
        <v>40725</v>
      </c>
      <c r="AE394" s="196"/>
      <c r="AF394" s="185"/>
      <c r="AG394" s="184" t="n">
        <v>3.68</v>
      </c>
      <c r="AH394" s="185" t="n">
        <v>40725</v>
      </c>
      <c r="AI394" s="183"/>
      <c r="AJ394" s="183"/>
      <c r="AK394" s="182"/>
      <c r="AL394" s="182"/>
      <c r="AM394" s="184" t="n">
        <v>88</v>
      </c>
      <c r="AN394" s="183" t="n">
        <v>40630</v>
      </c>
      <c r="AO394" s="182"/>
      <c r="AP394" s="182"/>
      <c r="AQ394" s="183"/>
      <c r="AR394" s="183"/>
      <c r="AS394" s="182"/>
      <c r="AT394" s="182"/>
      <c r="AU394" s="183"/>
      <c r="AV394" s="183"/>
      <c r="AW394" s="182"/>
      <c r="AX394" s="182"/>
      <c r="AY394" s="183"/>
      <c r="AZ394" s="183"/>
      <c r="BA394" s="182"/>
      <c r="BB394" s="182"/>
      <c r="BK394" s="183"/>
      <c r="BL394" s="183"/>
      <c r="BM394" s="182"/>
      <c r="BN394" s="182"/>
      <c r="BO394" s="183"/>
      <c r="BP394" s="183"/>
      <c r="BQ394" s="182"/>
      <c r="BR394" s="182"/>
      <c r="BS394" s="184" t="n">
        <v>53.2</v>
      </c>
      <c r="BT394" s="185" t="n">
        <v>40725</v>
      </c>
      <c r="BU394" s="184" t="n">
        <v>15.6</v>
      </c>
      <c r="BV394" s="185" t="n">
        <v>40725</v>
      </c>
      <c r="CL394" s="182"/>
      <c r="CM394" s="182"/>
    </row>
    <row r="395" customFormat="false" ht="12.75" hidden="false" customHeight="false" outlineLevel="0" collapsed="false">
      <c r="A395" s="204" t="s">
        <v>621</v>
      </c>
      <c r="B395" s="193" t="s">
        <v>782</v>
      </c>
      <c r="C395" s="193" t="s">
        <v>876</v>
      </c>
      <c r="D395" s="193"/>
      <c r="E395" s="194" t="n">
        <v>6</v>
      </c>
      <c r="F395" s="195" t="n">
        <v>46</v>
      </c>
      <c r="G395" s="119"/>
      <c r="H395" s="119"/>
      <c r="J395" s="118"/>
      <c r="K395" s="118"/>
      <c r="L395" s="181"/>
      <c r="N395" s="182"/>
      <c r="O395" s="182"/>
      <c r="S395" s="184" t="n">
        <v>1589</v>
      </c>
      <c r="T395" s="185" t="n">
        <v>40725</v>
      </c>
      <c r="U395" s="182"/>
      <c r="V395" s="182"/>
      <c r="W395" s="183"/>
      <c r="X395" s="183"/>
      <c r="Y395" s="184" t="n">
        <v>465</v>
      </c>
      <c r="Z395" s="185" t="n">
        <v>40725</v>
      </c>
      <c r="AA395" s="184" t="n">
        <v>76261</v>
      </c>
      <c r="AB395" s="185" t="n">
        <v>40725</v>
      </c>
      <c r="AC395" s="184" t="n">
        <v>29.7</v>
      </c>
      <c r="AD395" s="185" t="n">
        <v>40725</v>
      </c>
      <c r="AE395" s="196"/>
      <c r="AF395" s="185"/>
      <c r="AG395" s="184" t="n">
        <v>3.89</v>
      </c>
      <c r="AH395" s="185" t="n">
        <v>40725</v>
      </c>
      <c r="AI395" s="183"/>
      <c r="AJ395" s="183"/>
      <c r="AK395" s="182"/>
      <c r="AL395" s="182"/>
      <c r="AM395" s="184" t="n">
        <v>88</v>
      </c>
      <c r="AN395" s="183" t="n">
        <v>40630</v>
      </c>
      <c r="AO395" s="182"/>
      <c r="AP395" s="182"/>
      <c r="AQ395" s="183"/>
      <c r="AR395" s="183"/>
      <c r="AS395" s="182"/>
      <c r="AT395" s="182"/>
      <c r="AU395" s="183"/>
      <c r="AV395" s="183"/>
      <c r="AW395" s="182"/>
      <c r="AX395" s="182"/>
      <c r="AY395" s="183"/>
      <c r="AZ395" s="183"/>
      <c r="BA395" s="182"/>
      <c r="BB395" s="182"/>
      <c r="BK395" s="183"/>
      <c r="BL395" s="183"/>
      <c r="BM395" s="182"/>
      <c r="BN395" s="182"/>
      <c r="BO395" s="183"/>
      <c r="BP395" s="183"/>
      <c r="BQ395" s="182"/>
      <c r="BR395" s="182"/>
      <c r="BS395" s="184" t="n">
        <v>53.5</v>
      </c>
      <c r="BT395" s="185" t="n">
        <v>40725</v>
      </c>
      <c r="BU395" s="184" t="n">
        <v>15.6</v>
      </c>
      <c r="BV395" s="185" t="n">
        <v>40725</v>
      </c>
      <c r="CL395" s="182"/>
      <c r="CM395" s="182"/>
    </row>
    <row r="396" customFormat="false" ht="12.75" hidden="false" customHeight="false" outlineLevel="0" collapsed="false">
      <c r="A396" s="204" t="s">
        <v>621</v>
      </c>
      <c r="B396" s="193" t="s">
        <v>782</v>
      </c>
      <c r="C396" s="193" t="s">
        <v>877</v>
      </c>
      <c r="D396" s="193"/>
      <c r="E396" s="119" t="n">
        <v>18</v>
      </c>
      <c r="F396" s="195" t="n">
        <v>87</v>
      </c>
      <c r="G396" s="119"/>
      <c r="H396" s="119"/>
      <c r="J396" s="118"/>
      <c r="K396" s="118"/>
      <c r="L396" s="181"/>
      <c r="N396" s="182"/>
      <c r="O396" s="182"/>
      <c r="S396" s="184" t="n">
        <v>1381</v>
      </c>
      <c r="T396" s="185" t="n">
        <v>40725</v>
      </c>
      <c r="U396" s="182"/>
      <c r="V396" s="182"/>
      <c r="W396" s="183"/>
      <c r="X396" s="183"/>
      <c r="Y396" s="184" t="n">
        <v>426</v>
      </c>
      <c r="Z396" s="185" t="n">
        <v>40725</v>
      </c>
      <c r="AA396" s="184" t="n">
        <v>69063</v>
      </c>
      <c r="AB396" s="185" t="n">
        <v>40725</v>
      </c>
      <c r="AC396" s="184" t="n">
        <v>26.1</v>
      </c>
      <c r="AD396" s="185" t="n">
        <v>40725</v>
      </c>
      <c r="AE396" s="196"/>
      <c r="AF396" s="185"/>
      <c r="AG396" s="184" t="n">
        <v>3.77</v>
      </c>
      <c r="AH396" s="185" t="n">
        <v>40725</v>
      </c>
      <c r="AI396" s="183"/>
      <c r="AJ396" s="183"/>
      <c r="AK396" s="182"/>
      <c r="AL396" s="182"/>
      <c r="AM396" s="184" t="n">
        <v>88</v>
      </c>
      <c r="AN396" s="183" t="n">
        <v>40630</v>
      </c>
      <c r="AO396" s="182"/>
      <c r="AP396" s="182"/>
      <c r="AQ396" s="183"/>
      <c r="AR396" s="183"/>
      <c r="AS396" s="182"/>
      <c r="AT396" s="182"/>
      <c r="AU396" s="183"/>
      <c r="AV396" s="183"/>
      <c r="AW396" s="182"/>
      <c r="AX396" s="182"/>
      <c r="AY396" s="183"/>
      <c r="AZ396" s="183"/>
      <c r="BA396" s="182"/>
      <c r="BB396" s="182"/>
      <c r="BK396" s="183"/>
      <c r="BL396" s="183"/>
      <c r="BM396" s="182"/>
      <c r="BN396" s="182"/>
      <c r="BO396" s="183"/>
      <c r="BP396" s="183"/>
      <c r="BQ396" s="182"/>
      <c r="BR396" s="182"/>
      <c r="BS396" s="184" t="n">
        <v>53</v>
      </c>
      <c r="BT396" s="185" t="n">
        <v>40725</v>
      </c>
      <c r="BU396" s="184" t="n">
        <v>16.3</v>
      </c>
      <c r="BV396" s="185" t="n">
        <v>40725</v>
      </c>
      <c r="CL396" s="182"/>
      <c r="CM396" s="182"/>
    </row>
    <row r="397" customFormat="false" ht="12.75" hidden="false" customHeight="false" outlineLevel="0" collapsed="false">
      <c r="A397" s="204" t="s">
        <v>621</v>
      </c>
      <c r="B397" s="193" t="s">
        <v>785</v>
      </c>
      <c r="C397" s="193" t="s">
        <v>875</v>
      </c>
      <c r="D397" s="193"/>
      <c r="E397" s="194" t="n">
        <v>8</v>
      </c>
      <c r="F397" s="195" t="n">
        <v>17</v>
      </c>
      <c r="G397" s="119"/>
      <c r="H397" s="119"/>
      <c r="J397" s="118"/>
      <c r="K397" s="118"/>
      <c r="L397" s="181"/>
      <c r="N397" s="182"/>
      <c r="O397" s="182"/>
      <c r="S397" s="184" t="n">
        <v>2147</v>
      </c>
      <c r="T397" s="185" t="n">
        <v>40725</v>
      </c>
      <c r="U397" s="182"/>
      <c r="V397" s="182"/>
      <c r="W397" s="183"/>
      <c r="X397" s="183"/>
      <c r="Y397" s="184" t="n">
        <v>675</v>
      </c>
      <c r="Z397" s="185" t="n">
        <v>40725</v>
      </c>
      <c r="AA397" s="184" t="n">
        <v>106972</v>
      </c>
      <c r="AB397" s="185" t="n">
        <v>40725</v>
      </c>
      <c r="AC397" s="184" t="n">
        <v>40.7</v>
      </c>
      <c r="AD397" s="185" t="n">
        <v>40725</v>
      </c>
      <c r="AE397" s="196"/>
      <c r="AF397" s="185"/>
      <c r="AG397" s="184" t="n">
        <v>3.8</v>
      </c>
      <c r="AH397" s="185" t="n">
        <v>40725</v>
      </c>
      <c r="AI397" s="183"/>
      <c r="AJ397" s="183"/>
      <c r="AK397" s="182"/>
      <c r="AL397" s="182"/>
      <c r="AM397" s="184" t="n">
        <v>89</v>
      </c>
      <c r="AN397" s="183" t="n">
        <v>40630</v>
      </c>
      <c r="AO397" s="182"/>
      <c r="AP397" s="182"/>
      <c r="AQ397" s="183"/>
      <c r="AR397" s="183"/>
      <c r="AS397" s="182"/>
      <c r="AT397" s="182"/>
      <c r="AU397" s="183"/>
      <c r="AV397" s="183"/>
      <c r="AW397" s="182"/>
      <c r="AX397" s="182"/>
      <c r="AY397" s="183"/>
      <c r="AZ397" s="183"/>
      <c r="BA397" s="182"/>
      <c r="BB397" s="182"/>
      <c r="BK397" s="183"/>
      <c r="BL397" s="183"/>
      <c r="BM397" s="182"/>
      <c r="BN397" s="182"/>
      <c r="BO397" s="183"/>
      <c r="BP397" s="183"/>
      <c r="BQ397" s="182"/>
      <c r="BR397" s="182"/>
      <c r="BS397" s="184" t="n">
        <v>52.8</v>
      </c>
      <c r="BT397" s="185" t="n">
        <v>40725</v>
      </c>
      <c r="BU397" s="184" t="n">
        <v>16.6</v>
      </c>
      <c r="BV397" s="185" t="n">
        <v>40725</v>
      </c>
      <c r="CL397" s="182"/>
      <c r="CM397" s="182"/>
    </row>
    <row r="398" customFormat="false" ht="12.75" hidden="false" customHeight="false" outlineLevel="0" collapsed="false">
      <c r="A398" s="204" t="s">
        <v>621</v>
      </c>
      <c r="B398" s="193" t="s">
        <v>785</v>
      </c>
      <c r="C398" s="193" t="s">
        <v>876</v>
      </c>
      <c r="D398" s="193"/>
      <c r="E398" s="194" t="n">
        <v>4</v>
      </c>
      <c r="F398" s="195" t="n">
        <v>61</v>
      </c>
      <c r="G398" s="119"/>
      <c r="H398" s="119"/>
      <c r="J398" s="118"/>
      <c r="K398" s="118"/>
      <c r="L398" s="181"/>
      <c r="N398" s="182"/>
      <c r="O398" s="182"/>
      <c r="S398" s="184" t="n">
        <v>1751</v>
      </c>
      <c r="T398" s="185" t="n">
        <v>40725</v>
      </c>
      <c r="U398" s="182"/>
      <c r="V398" s="182"/>
      <c r="W398" s="183"/>
      <c r="X398" s="183"/>
      <c r="Y398" s="184" t="n">
        <v>548</v>
      </c>
      <c r="Z398" s="185" t="n">
        <v>40725</v>
      </c>
      <c r="AA398" s="184" t="n">
        <v>87256</v>
      </c>
      <c r="AB398" s="185" t="n">
        <v>40725</v>
      </c>
      <c r="AC398" s="184" t="n">
        <v>33.1</v>
      </c>
      <c r="AD398" s="185" t="n">
        <v>40725</v>
      </c>
      <c r="AE398" s="196"/>
      <c r="AF398" s="185"/>
      <c r="AG398" s="184" t="n">
        <v>3.79</v>
      </c>
      <c r="AH398" s="185" t="n">
        <v>40725</v>
      </c>
      <c r="AI398" s="183"/>
      <c r="AJ398" s="183"/>
      <c r="AK398" s="182"/>
      <c r="AL398" s="182"/>
      <c r="AM398" s="184" t="n">
        <v>88</v>
      </c>
      <c r="AN398" s="183" t="n">
        <v>40630</v>
      </c>
      <c r="AO398" s="182"/>
      <c r="AP398" s="182"/>
      <c r="AQ398" s="183"/>
      <c r="AR398" s="183"/>
      <c r="AS398" s="182"/>
      <c r="AT398" s="182"/>
      <c r="AU398" s="183"/>
      <c r="AV398" s="183"/>
      <c r="AW398" s="182"/>
      <c r="AX398" s="182"/>
      <c r="AY398" s="183"/>
      <c r="AZ398" s="183"/>
      <c r="BA398" s="182"/>
      <c r="BB398" s="182"/>
      <c r="BK398" s="183"/>
      <c r="BL398" s="183"/>
      <c r="BM398" s="182"/>
      <c r="BN398" s="182"/>
      <c r="BO398" s="183"/>
      <c r="BP398" s="183"/>
      <c r="BQ398" s="182"/>
      <c r="BR398" s="182"/>
      <c r="BS398" s="184" t="n">
        <v>52.9</v>
      </c>
      <c r="BT398" s="185" t="n">
        <v>40725</v>
      </c>
      <c r="BU398" s="184" t="n">
        <v>16.6</v>
      </c>
      <c r="BV398" s="185" t="n">
        <v>40725</v>
      </c>
      <c r="CL398" s="182"/>
      <c r="CM398" s="182"/>
    </row>
    <row r="399" customFormat="false" ht="12.75" hidden="false" customHeight="false" outlineLevel="0" collapsed="false">
      <c r="A399" s="204" t="s">
        <v>621</v>
      </c>
      <c r="B399" s="193" t="s">
        <v>785</v>
      </c>
      <c r="C399" s="193" t="s">
        <v>877</v>
      </c>
      <c r="D399" s="193"/>
      <c r="E399" s="119" t="n">
        <v>21</v>
      </c>
      <c r="F399" s="195" t="n">
        <v>84</v>
      </c>
      <c r="G399" s="119"/>
      <c r="H399" s="119"/>
      <c r="J399" s="118"/>
      <c r="K399" s="118"/>
      <c r="L399" s="181"/>
      <c r="N399" s="182"/>
      <c r="O399" s="182"/>
      <c r="S399" s="184" t="n">
        <v>1946</v>
      </c>
      <c r="T399" s="185" t="n">
        <v>40725</v>
      </c>
      <c r="U399" s="182"/>
      <c r="V399" s="182"/>
      <c r="W399" s="183"/>
      <c r="X399" s="183"/>
      <c r="Y399" s="184" t="n">
        <v>682</v>
      </c>
      <c r="Z399" s="185" t="n">
        <v>40725</v>
      </c>
      <c r="AA399" s="184" t="n">
        <v>98145</v>
      </c>
      <c r="AB399" s="185" t="n">
        <v>40725</v>
      </c>
      <c r="AC399" s="184" t="n">
        <v>38.1</v>
      </c>
      <c r="AD399" s="185" t="n">
        <v>40725</v>
      </c>
      <c r="AE399" s="196"/>
      <c r="AF399" s="185"/>
      <c r="AG399" s="184" t="n">
        <v>3.88</v>
      </c>
      <c r="AH399" s="185" t="n">
        <v>40725</v>
      </c>
      <c r="AI399" s="183"/>
      <c r="AJ399" s="183"/>
      <c r="AK399" s="182"/>
      <c r="AL399" s="182"/>
      <c r="AM399" s="184" t="n">
        <v>88</v>
      </c>
      <c r="AN399" s="183" t="n">
        <v>40630</v>
      </c>
      <c r="AO399" s="182"/>
      <c r="AP399" s="182"/>
      <c r="AQ399" s="183"/>
      <c r="AR399" s="183"/>
      <c r="AS399" s="182"/>
      <c r="AT399" s="182"/>
      <c r="AU399" s="183"/>
      <c r="AV399" s="183"/>
      <c r="AW399" s="182"/>
      <c r="AX399" s="182"/>
      <c r="AY399" s="183"/>
      <c r="AZ399" s="183"/>
      <c r="BA399" s="182"/>
      <c r="BB399" s="182"/>
      <c r="BK399" s="183"/>
      <c r="BL399" s="183"/>
      <c r="BM399" s="182"/>
      <c r="BN399" s="182"/>
      <c r="BO399" s="183"/>
      <c r="BP399" s="183"/>
      <c r="BQ399" s="182"/>
      <c r="BR399" s="182"/>
      <c r="BS399" s="184" t="n">
        <v>51.1</v>
      </c>
      <c r="BT399" s="185" t="n">
        <v>40725</v>
      </c>
      <c r="BU399" s="184" t="n">
        <v>17.9</v>
      </c>
      <c r="BV399" s="185" t="n">
        <v>40725</v>
      </c>
      <c r="CL399" s="182"/>
      <c r="CM399" s="182"/>
    </row>
    <row r="400" customFormat="false" ht="12.75" hidden="false" customHeight="false" outlineLevel="0" collapsed="false">
      <c r="A400" s="204" t="s">
        <v>624</v>
      </c>
      <c r="B400" s="193" t="s">
        <v>782</v>
      </c>
      <c r="C400" s="193" t="s">
        <v>875</v>
      </c>
      <c r="D400" s="193"/>
      <c r="E400" s="194" t="n">
        <v>1</v>
      </c>
      <c r="F400" s="195" t="n">
        <v>19</v>
      </c>
      <c r="G400" s="119"/>
      <c r="H400" s="119"/>
      <c r="J400" s="118"/>
      <c r="K400" s="118"/>
      <c r="L400" s="181"/>
      <c r="N400" s="182"/>
      <c r="O400" s="182"/>
      <c r="S400" s="184" t="n">
        <v>1901</v>
      </c>
      <c r="T400" s="185" t="n">
        <v>40725</v>
      </c>
      <c r="U400" s="182"/>
      <c r="V400" s="182"/>
      <c r="W400" s="183"/>
      <c r="X400" s="183"/>
      <c r="Y400" s="184" t="n">
        <v>593</v>
      </c>
      <c r="Z400" s="185" t="n">
        <v>40725</v>
      </c>
      <c r="AA400" s="184" t="n">
        <v>85253</v>
      </c>
      <c r="AB400" s="185" t="n">
        <v>40725</v>
      </c>
      <c r="AC400" s="184" t="n">
        <v>36.6</v>
      </c>
      <c r="AD400" s="185" t="n">
        <v>40725</v>
      </c>
      <c r="AE400" s="196"/>
      <c r="AF400" s="185"/>
      <c r="AG400" s="184" t="n">
        <v>4.29</v>
      </c>
      <c r="AH400" s="185" t="n">
        <v>40725</v>
      </c>
      <c r="AI400" s="183"/>
      <c r="AJ400" s="183"/>
      <c r="AK400" s="182"/>
      <c r="AL400" s="182"/>
      <c r="AM400" s="184" t="n">
        <v>78</v>
      </c>
      <c r="AN400" s="183" t="n">
        <v>40630</v>
      </c>
      <c r="AO400" s="182"/>
      <c r="AP400" s="182"/>
      <c r="AQ400" s="183"/>
      <c r="AR400" s="183"/>
      <c r="AS400" s="182"/>
      <c r="AT400" s="182"/>
      <c r="AU400" s="183"/>
      <c r="AV400" s="183"/>
      <c r="AW400" s="182"/>
      <c r="AX400" s="182"/>
      <c r="AY400" s="183"/>
      <c r="AZ400" s="183"/>
      <c r="BA400" s="182"/>
      <c r="BB400" s="182"/>
      <c r="BK400" s="183"/>
      <c r="BL400" s="183"/>
      <c r="BM400" s="182"/>
      <c r="BN400" s="182"/>
      <c r="BO400" s="183"/>
      <c r="BP400" s="183"/>
      <c r="BQ400" s="182"/>
      <c r="BR400" s="182"/>
      <c r="BS400" s="184" t="n">
        <v>52</v>
      </c>
      <c r="BT400" s="185" t="n">
        <v>40725</v>
      </c>
      <c r="BU400" s="184" t="n">
        <v>16.2</v>
      </c>
      <c r="BV400" s="185" t="n">
        <v>40725</v>
      </c>
      <c r="CL400" s="182"/>
      <c r="CM400" s="182"/>
    </row>
    <row r="401" customFormat="false" ht="12.75" hidden="false" customHeight="false" outlineLevel="0" collapsed="false">
      <c r="A401" s="204" t="s">
        <v>624</v>
      </c>
      <c r="B401" s="193" t="s">
        <v>782</v>
      </c>
      <c r="C401" s="193" t="s">
        <v>876</v>
      </c>
      <c r="D401" s="193"/>
      <c r="E401" s="194" t="n">
        <v>5</v>
      </c>
      <c r="F401" s="195" t="n">
        <v>63</v>
      </c>
      <c r="G401" s="119"/>
      <c r="H401" s="119"/>
      <c r="J401" s="118"/>
      <c r="K401" s="118"/>
      <c r="L401" s="181"/>
      <c r="N401" s="182"/>
      <c r="O401" s="182"/>
      <c r="S401" s="184" t="n">
        <v>1738</v>
      </c>
      <c r="T401" s="185" t="n">
        <v>40725</v>
      </c>
      <c r="U401" s="182"/>
      <c r="V401" s="182"/>
      <c r="W401" s="183"/>
      <c r="X401" s="183"/>
      <c r="Y401" s="184" t="n">
        <v>539</v>
      </c>
      <c r="Z401" s="185" t="n">
        <v>40725</v>
      </c>
      <c r="AA401" s="184" t="n">
        <v>77150</v>
      </c>
      <c r="AB401" s="185" t="n">
        <v>40725</v>
      </c>
      <c r="AC401" s="184" t="n">
        <v>33.3</v>
      </c>
      <c r="AD401" s="185" t="n">
        <v>40725</v>
      </c>
      <c r="AE401" s="196"/>
      <c r="AF401" s="185"/>
      <c r="AG401" s="184" t="n">
        <v>4.32</v>
      </c>
      <c r="AH401" s="185" t="n">
        <v>40725</v>
      </c>
      <c r="AI401" s="183"/>
      <c r="AJ401" s="183"/>
      <c r="AK401" s="182"/>
      <c r="AL401" s="182"/>
      <c r="AM401" s="184" t="n">
        <v>77</v>
      </c>
      <c r="AN401" s="183" t="n">
        <v>40630</v>
      </c>
      <c r="AO401" s="182"/>
      <c r="AP401" s="182"/>
      <c r="AQ401" s="183"/>
      <c r="AR401" s="183"/>
      <c r="AS401" s="182"/>
      <c r="AT401" s="182"/>
      <c r="AU401" s="183"/>
      <c r="AV401" s="183"/>
      <c r="AW401" s="182"/>
      <c r="AX401" s="182"/>
      <c r="AY401" s="183"/>
      <c r="AZ401" s="183"/>
      <c r="BA401" s="182"/>
      <c r="BB401" s="182"/>
      <c r="BK401" s="183"/>
      <c r="BL401" s="183"/>
      <c r="BM401" s="182"/>
      <c r="BN401" s="182"/>
      <c r="BO401" s="183"/>
      <c r="BP401" s="183"/>
      <c r="BQ401" s="182"/>
      <c r="BR401" s="182"/>
      <c r="BS401" s="184" t="n">
        <v>52.1</v>
      </c>
      <c r="BT401" s="185" t="n">
        <v>40725</v>
      </c>
      <c r="BU401" s="184" t="n">
        <v>16.2</v>
      </c>
      <c r="BV401" s="185" t="n">
        <v>40725</v>
      </c>
      <c r="CL401" s="182"/>
      <c r="CM401" s="182"/>
    </row>
    <row r="402" customFormat="false" ht="12.75" hidden="false" customHeight="false" outlineLevel="0" collapsed="false">
      <c r="A402" s="204" t="s">
        <v>624</v>
      </c>
      <c r="B402" s="193" t="s">
        <v>782</v>
      </c>
      <c r="C402" s="193" t="s">
        <v>877</v>
      </c>
      <c r="D402" s="193"/>
      <c r="E402" s="194" t="n">
        <v>16</v>
      </c>
      <c r="F402" s="195" t="n">
        <v>85</v>
      </c>
      <c r="G402" s="119"/>
      <c r="H402" s="119"/>
      <c r="J402" s="118"/>
      <c r="K402" s="118"/>
      <c r="L402" s="181"/>
      <c r="N402" s="182"/>
      <c r="O402" s="182"/>
      <c r="S402" s="184" t="n">
        <v>1651</v>
      </c>
      <c r="T402" s="185" t="n">
        <v>40725</v>
      </c>
      <c r="U402" s="182"/>
      <c r="V402" s="182"/>
      <c r="W402" s="183"/>
      <c r="X402" s="183"/>
      <c r="Y402" s="184" t="n">
        <v>544</v>
      </c>
      <c r="Z402" s="185" t="n">
        <v>40725</v>
      </c>
      <c r="AA402" s="184" t="n">
        <v>72987</v>
      </c>
      <c r="AB402" s="185" t="n">
        <v>40725</v>
      </c>
      <c r="AC402" s="184" t="n">
        <v>32.2</v>
      </c>
      <c r="AD402" s="185" t="n">
        <v>40725</v>
      </c>
      <c r="AE402" s="196"/>
      <c r="AF402" s="185"/>
      <c r="AG402" s="184" t="n">
        <v>4.41</v>
      </c>
      <c r="AH402" s="185" t="n">
        <v>40725</v>
      </c>
      <c r="AI402" s="183"/>
      <c r="AJ402" s="183"/>
      <c r="AK402" s="182"/>
      <c r="AL402" s="182"/>
      <c r="AM402" s="184" t="n">
        <v>77</v>
      </c>
      <c r="AN402" s="183" t="n">
        <v>40630</v>
      </c>
      <c r="AO402" s="182"/>
      <c r="AP402" s="182"/>
      <c r="AQ402" s="183"/>
      <c r="AR402" s="183"/>
      <c r="AS402" s="182"/>
      <c r="AT402" s="182"/>
      <c r="AU402" s="183"/>
      <c r="AV402" s="183"/>
      <c r="AW402" s="182"/>
      <c r="AX402" s="182"/>
      <c r="AY402" s="183"/>
      <c r="AZ402" s="183"/>
      <c r="BA402" s="182"/>
      <c r="BB402" s="182"/>
      <c r="BK402" s="183"/>
      <c r="BL402" s="183"/>
      <c r="BM402" s="182"/>
      <c r="BN402" s="182"/>
      <c r="BO402" s="183"/>
      <c r="BP402" s="183"/>
      <c r="BQ402" s="182"/>
      <c r="BR402" s="182"/>
      <c r="BS402" s="184" t="n">
        <v>51.3</v>
      </c>
      <c r="BT402" s="185" t="n">
        <v>40725</v>
      </c>
      <c r="BU402" s="184" t="n">
        <v>16.9</v>
      </c>
      <c r="BV402" s="185" t="n">
        <v>40725</v>
      </c>
      <c r="CL402" s="182"/>
      <c r="CM402" s="182"/>
    </row>
    <row r="403" customFormat="false" ht="12.75" hidden="false" customHeight="false" outlineLevel="0" collapsed="false">
      <c r="A403" s="204" t="s">
        <v>624</v>
      </c>
      <c r="B403" s="193" t="s">
        <v>785</v>
      </c>
      <c r="C403" s="193" t="s">
        <v>875</v>
      </c>
      <c r="D403" s="193"/>
      <c r="E403" s="194" t="n">
        <v>8</v>
      </c>
      <c r="F403" s="195" t="n">
        <v>7</v>
      </c>
      <c r="G403" s="119"/>
      <c r="H403" s="119"/>
      <c r="J403" s="118"/>
      <c r="K403" s="118"/>
      <c r="L403" s="181"/>
      <c r="N403" s="182"/>
      <c r="O403" s="182"/>
      <c r="S403" s="184" t="n">
        <v>2568</v>
      </c>
      <c r="T403" s="185" t="n">
        <v>40725</v>
      </c>
      <c r="U403" s="182"/>
      <c r="V403" s="182"/>
      <c r="W403" s="183"/>
      <c r="X403" s="183"/>
      <c r="Y403" s="184" t="n">
        <v>912</v>
      </c>
      <c r="Z403" s="185" t="n">
        <v>40725</v>
      </c>
      <c r="AA403" s="184" t="n">
        <v>110848</v>
      </c>
      <c r="AB403" s="185" t="n">
        <v>40725</v>
      </c>
      <c r="AC403" s="184" t="n">
        <v>50.9</v>
      </c>
      <c r="AD403" s="185" t="n">
        <v>40725</v>
      </c>
      <c r="AE403" s="196"/>
      <c r="AF403" s="185"/>
      <c r="AG403" s="184" t="n">
        <v>4.59</v>
      </c>
      <c r="AH403" s="185" t="n">
        <v>40725</v>
      </c>
      <c r="AI403" s="183"/>
      <c r="AJ403" s="183"/>
      <c r="AK403" s="182"/>
      <c r="AL403" s="182"/>
      <c r="AM403" s="184" t="n">
        <v>81</v>
      </c>
      <c r="AN403" s="183" t="n">
        <v>40630</v>
      </c>
      <c r="AO403" s="182"/>
      <c r="AP403" s="182"/>
      <c r="AQ403" s="183"/>
      <c r="AR403" s="183"/>
      <c r="AS403" s="182"/>
      <c r="AT403" s="182"/>
      <c r="AU403" s="183"/>
      <c r="AV403" s="183"/>
      <c r="AW403" s="182"/>
      <c r="AX403" s="182"/>
      <c r="AY403" s="183"/>
      <c r="AZ403" s="183"/>
      <c r="BA403" s="182"/>
      <c r="BB403" s="182"/>
      <c r="BK403" s="183"/>
      <c r="BL403" s="183"/>
      <c r="BM403" s="182"/>
      <c r="BN403" s="182"/>
      <c r="BO403" s="183"/>
      <c r="BP403" s="183"/>
      <c r="BQ403" s="182"/>
      <c r="BR403" s="182"/>
      <c r="BS403" s="184" t="n">
        <v>50.5</v>
      </c>
      <c r="BT403" s="185" t="n">
        <v>40725</v>
      </c>
      <c r="BU403" s="184" t="n">
        <v>17.9</v>
      </c>
      <c r="BV403" s="185" t="n">
        <v>40725</v>
      </c>
      <c r="CL403" s="182"/>
      <c r="CM403" s="182"/>
    </row>
    <row r="404" customFormat="false" ht="12.75" hidden="false" customHeight="false" outlineLevel="0" collapsed="false">
      <c r="A404" s="204" t="s">
        <v>624</v>
      </c>
      <c r="B404" s="193" t="s">
        <v>785</v>
      </c>
      <c r="C404" s="193" t="s">
        <v>876</v>
      </c>
      <c r="D404" s="193"/>
      <c r="E404" s="194" t="n">
        <v>3</v>
      </c>
      <c r="F404" s="195" t="n">
        <v>49</v>
      </c>
      <c r="G404" s="119"/>
      <c r="H404" s="119"/>
      <c r="J404" s="118"/>
      <c r="K404" s="118"/>
      <c r="L404" s="181"/>
      <c r="N404" s="182"/>
      <c r="O404" s="182"/>
      <c r="S404" s="184" t="n">
        <v>2029</v>
      </c>
      <c r="T404" s="185" t="n">
        <v>40725</v>
      </c>
      <c r="U404" s="182"/>
      <c r="V404" s="182"/>
      <c r="W404" s="183"/>
      <c r="X404" s="183"/>
      <c r="Y404" s="184" t="n">
        <v>711</v>
      </c>
      <c r="Z404" s="185" t="n">
        <v>40725</v>
      </c>
      <c r="AA404" s="184" t="n">
        <v>86293</v>
      </c>
      <c r="AB404" s="185" t="n">
        <v>40725</v>
      </c>
      <c r="AC404" s="184" t="n">
        <v>39.7</v>
      </c>
      <c r="AD404" s="185" t="n">
        <v>40725</v>
      </c>
      <c r="AE404" s="196"/>
      <c r="AF404" s="185"/>
      <c r="AG404" s="184" t="n">
        <v>4.61</v>
      </c>
      <c r="AH404" s="185" t="n">
        <v>40725</v>
      </c>
      <c r="AI404" s="183"/>
      <c r="AJ404" s="183"/>
      <c r="AK404" s="182"/>
      <c r="AL404" s="182"/>
      <c r="AM404" s="184" t="n">
        <v>79</v>
      </c>
      <c r="AN404" s="183" t="n">
        <v>40630</v>
      </c>
      <c r="AO404" s="182"/>
      <c r="AP404" s="182"/>
      <c r="AQ404" s="183"/>
      <c r="AR404" s="183"/>
      <c r="AS404" s="182"/>
      <c r="AT404" s="182"/>
      <c r="AU404" s="183"/>
      <c r="AV404" s="183"/>
      <c r="AW404" s="182"/>
      <c r="AX404" s="182"/>
      <c r="AY404" s="183"/>
      <c r="AZ404" s="183"/>
      <c r="BA404" s="182"/>
      <c r="BB404" s="182"/>
      <c r="BK404" s="183"/>
      <c r="BL404" s="183"/>
      <c r="BM404" s="182"/>
      <c r="BN404" s="182"/>
      <c r="BO404" s="183"/>
      <c r="BP404" s="183"/>
      <c r="BQ404" s="182"/>
      <c r="BR404" s="182"/>
      <c r="BS404" s="184" t="n">
        <v>51</v>
      </c>
      <c r="BT404" s="185" t="n">
        <v>40725</v>
      </c>
      <c r="BU404" s="184" t="n">
        <v>17.9</v>
      </c>
      <c r="BV404" s="185" t="n">
        <v>40725</v>
      </c>
      <c r="CL404" s="182"/>
      <c r="CM404" s="182"/>
    </row>
    <row r="405" customFormat="false" ht="12.75" hidden="false" customHeight="false" outlineLevel="0" collapsed="false">
      <c r="A405" s="204" t="s">
        <v>624</v>
      </c>
      <c r="B405" s="193" t="s">
        <v>785</v>
      </c>
      <c r="C405" s="193" t="s">
        <v>877</v>
      </c>
      <c r="D405" s="193"/>
      <c r="E405" s="119" t="n">
        <v>20</v>
      </c>
      <c r="F405" s="195" t="n">
        <v>65</v>
      </c>
      <c r="G405" s="119"/>
      <c r="H405" s="119"/>
      <c r="J405" s="118"/>
      <c r="K405" s="118"/>
      <c r="L405" s="181"/>
      <c r="N405" s="182"/>
      <c r="O405" s="182"/>
      <c r="S405" s="184" t="n">
        <v>2057</v>
      </c>
      <c r="T405" s="185" t="n">
        <v>40725</v>
      </c>
      <c r="U405" s="182"/>
      <c r="V405" s="182"/>
      <c r="W405" s="183"/>
      <c r="X405" s="183"/>
      <c r="Y405" s="184" t="n">
        <v>722</v>
      </c>
      <c r="Z405" s="185" t="n">
        <v>40725</v>
      </c>
      <c r="AA405" s="184" t="n">
        <v>87127</v>
      </c>
      <c r="AB405" s="185" t="n">
        <v>40725</v>
      </c>
      <c r="AC405" s="184" t="n">
        <v>40.4</v>
      </c>
      <c r="AD405" s="185" t="n">
        <v>40725</v>
      </c>
      <c r="AE405" s="196"/>
      <c r="AF405" s="185"/>
      <c r="AG405" s="184" t="n">
        <v>4.63</v>
      </c>
      <c r="AH405" s="185" t="n">
        <v>40725</v>
      </c>
      <c r="AI405" s="183"/>
      <c r="AJ405" s="183"/>
      <c r="AK405" s="182"/>
      <c r="AL405" s="182"/>
      <c r="AM405" s="184" t="n">
        <v>81</v>
      </c>
      <c r="AN405" s="183" t="n">
        <v>40630</v>
      </c>
      <c r="AO405" s="182"/>
      <c r="AP405" s="182"/>
      <c r="AQ405" s="183"/>
      <c r="AR405" s="183"/>
      <c r="AS405" s="182"/>
      <c r="AT405" s="182"/>
      <c r="AU405" s="183"/>
      <c r="AV405" s="183"/>
      <c r="AW405" s="182"/>
      <c r="AX405" s="182"/>
      <c r="AY405" s="183"/>
      <c r="AZ405" s="183"/>
      <c r="BA405" s="182"/>
      <c r="BB405" s="182"/>
      <c r="BK405" s="183"/>
      <c r="BL405" s="183"/>
      <c r="BM405" s="182"/>
      <c r="BN405" s="182"/>
      <c r="BO405" s="183"/>
      <c r="BP405" s="183"/>
      <c r="BQ405" s="182"/>
      <c r="BR405" s="182"/>
      <c r="BS405" s="184" t="n">
        <v>51</v>
      </c>
      <c r="BT405" s="185" t="n">
        <v>40725</v>
      </c>
      <c r="BU405" s="184" t="n">
        <v>17.9</v>
      </c>
      <c r="BV405" s="185" t="n">
        <v>40725</v>
      </c>
      <c r="CL405" s="182"/>
      <c r="CM405" s="182"/>
    </row>
    <row r="406" customFormat="false" ht="12.75" hidden="false" customHeight="false" outlineLevel="0" collapsed="false">
      <c r="A406" s="204" t="s">
        <v>627</v>
      </c>
      <c r="B406" s="193" t="s">
        <v>782</v>
      </c>
      <c r="C406" s="193" t="s">
        <v>875</v>
      </c>
      <c r="D406" s="193"/>
      <c r="E406" s="194" t="n">
        <v>2</v>
      </c>
      <c r="F406" s="195" t="n">
        <v>9</v>
      </c>
      <c r="G406" s="119"/>
      <c r="H406" s="119"/>
      <c r="J406" s="118"/>
      <c r="K406" s="118"/>
      <c r="L406" s="181"/>
      <c r="N406" s="182"/>
      <c r="O406" s="182"/>
      <c r="S406" s="184" t="n">
        <v>1642</v>
      </c>
      <c r="T406" s="185" t="n">
        <v>40725</v>
      </c>
      <c r="U406" s="182"/>
      <c r="V406" s="182"/>
      <c r="W406" s="183"/>
      <c r="X406" s="183"/>
      <c r="Y406" s="184" t="n">
        <v>529</v>
      </c>
      <c r="Z406" s="185" t="n">
        <v>40725</v>
      </c>
      <c r="AA406" s="184" t="n">
        <v>72297</v>
      </c>
      <c r="AB406" s="185" t="n">
        <v>40725</v>
      </c>
      <c r="AC406" s="184" t="n">
        <v>32.3</v>
      </c>
      <c r="AD406" s="185" t="n">
        <v>40725</v>
      </c>
      <c r="AE406" s="196"/>
      <c r="AF406" s="185"/>
      <c r="AG406" s="184" t="n">
        <v>4.47</v>
      </c>
      <c r="AH406" s="185" t="n">
        <v>40725</v>
      </c>
      <c r="AI406" s="183"/>
      <c r="AJ406" s="183"/>
      <c r="AK406" s="182"/>
      <c r="AL406" s="182"/>
      <c r="AM406" s="184" t="n">
        <v>84</v>
      </c>
      <c r="AN406" s="183" t="n">
        <v>40630</v>
      </c>
      <c r="AO406" s="182"/>
      <c r="AP406" s="182"/>
      <c r="AQ406" s="183"/>
      <c r="AR406" s="183"/>
      <c r="AS406" s="182"/>
      <c r="AT406" s="182"/>
      <c r="AU406" s="183"/>
      <c r="AV406" s="183"/>
      <c r="AW406" s="182"/>
      <c r="AX406" s="182"/>
      <c r="AY406" s="183"/>
      <c r="AZ406" s="183"/>
      <c r="BA406" s="182"/>
      <c r="BB406" s="182"/>
      <c r="BK406" s="183"/>
      <c r="BL406" s="183"/>
      <c r="BM406" s="182"/>
      <c r="BN406" s="182"/>
      <c r="BO406" s="183"/>
      <c r="BP406" s="183"/>
      <c r="BQ406" s="182"/>
      <c r="BR406" s="182"/>
      <c r="BS406" s="184" t="n">
        <v>50.8</v>
      </c>
      <c r="BT406" s="185" t="n">
        <v>40725</v>
      </c>
      <c r="BU406" s="184" t="n">
        <v>16.4</v>
      </c>
      <c r="BV406" s="185" t="n">
        <v>40725</v>
      </c>
      <c r="CL406" s="182"/>
      <c r="CM406" s="182"/>
    </row>
    <row r="407" customFormat="false" ht="12.75" hidden="false" customHeight="false" outlineLevel="0" collapsed="false">
      <c r="A407" s="204" t="s">
        <v>627</v>
      </c>
      <c r="B407" s="193" t="s">
        <v>782</v>
      </c>
      <c r="C407" s="193" t="s">
        <v>876</v>
      </c>
      <c r="D407" s="193"/>
      <c r="E407" s="194" t="n">
        <v>8</v>
      </c>
      <c r="F407" s="195" t="n">
        <v>64</v>
      </c>
      <c r="G407" s="119"/>
      <c r="H407" s="119"/>
      <c r="J407" s="118"/>
      <c r="K407" s="118"/>
      <c r="L407" s="181"/>
      <c r="N407" s="182"/>
      <c r="O407" s="182"/>
      <c r="S407" s="184" t="n">
        <v>1369</v>
      </c>
      <c r="T407" s="185" t="n">
        <v>40725</v>
      </c>
      <c r="U407" s="182"/>
      <c r="V407" s="182"/>
      <c r="W407" s="183"/>
      <c r="X407" s="183"/>
      <c r="Y407" s="184" t="n">
        <v>418</v>
      </c>
      <c r="Z407" s="185" t="n">
        <v>40725</v>
      </c>
      <c r="AA407" s="184" t="n">
        <v>60041</v>
      </c>
      <c r="AB407" s="185" t="n">
        <v>40725</v>
      </c>
      <c r="AC407" s="184" t="n">
        <v>26.4</v>
      </c>
      <c r="AD407" s="185" t="n">
        <v>40725</v>
      </c>
      <c r="AE407" s="196"/>
      <c r="AF407" s="185"/>
      <c r="AG407" s="184" t="n">
        <v>4.4</v>
      </c>
      <c r="AH407" s="185" t="n">
        <v>40725</v>
      </c>
      <c r="AI407" s="183"/>
      <c r="AJ407" s="183"/>
      <c r="AK407" s="182"/>
      <c r="AL407" s="182"/>
      <c r="AM407" s="184" t="n">
        <v>81</v>
      </c>
      <c r="AN407" s="183" t="n">
        <v>40630</v>
      </c>
      <c r="AO407" s="182"/>
      <c r="AP407" s="182"/>
      <c r="AQ407" s="183"/>
      <c r="AR407" s="183"/>
      <c r="AS407" s="182"/>
      <c r="AT407" s="182"/>
      <c r="AU407" s="183"/>
      <c r="AV407" s="183"/>
      <c r="AW407" s="182"/>
      <c r="AX407" s="182"/>
      <c r="AY407" s="183"/>
      <c r="AZ407" s="183"/>
      <c r="BA407" s="182"/>
      <c r="BB407" s="182"/>
      <c r="BK407" s="183"/>
      <c r="BL407" s="183"/>
      <c r="BM407" s="182"/>
      <c r="BN407" s="182"/>
      <c r="BO407" s="183"/>
      <c r="BP407" s="183"/>
      <c r="BQ407" s="182"/>
      <c r="BR407" s="182"/>
      <c r="BS407" s="184" t="n">
        <v>51.8</v>
      </c>
      <c r="BT407" s="185" t="n">
        <v>40725</v>
      </c>
      <c r="BU407" s="184" t="n">
        <v>15.8</v>
      </c>
      <c r="BV407" s="185" t="n">
        <v>40725</v>
      </c>
      <c r="CL407" s="182"/>
      <c r="CM407" s="182"/>
    </row>
    <row r="408" customFormat="false" ht="12.75" hidden="false" customHeight="false" outlineLevel="0" collapsed="false">
      <c r="A408" s="204" t="s">
        <v>627</v>
      </c>
      <c r="B408" s="193" t="s">
        <v>782</v>
      </c>
      <c r="C408" s="193" t="s">
        <v>877</v>
      </c>
      <c r="D408" s="193"/>
      <c r="E408" s="194" t="n">
        <v>16</v>
      </c>
      <c r="F408" s="195" t="n">
        <v>69</v>
      </c>
      <c r="G408" s="119"/>
      <c r="H408" s="119"/>
      <c r="J408" s="118"/>
      <c r="K408" s="118"/>
      <c r="L408" s="181"/>
      <c r="N408" s="182"/>
      <c r="O408" s="182"/>
      <c r="S408" s="184" t="n">
        <v>1648</v>
      </c>
      <c r="T408" s="185" t="n">
        <v>40725</v>
      </c>
      <c r="U408" s="182"/>
      <c r="V408" s="182"/>
      <c r="W408" s="183"/>
      <c r="X408" s="183"/>
      <c r="Y408" s="184" t="n">
        <v>565</v>
      </c>
      <c r="Z408" s="185" t="n">
        <v>40725</v>
      </c>
      <c r="AA408" s="184" t="n">
        <v>73168</v>
      </c>
      <c r="AB408" s="185" t="n">
        <v>40725</v>
      </c>
      <c r="AC408" s="184" t="n">
        <v>32.9</v>
      </c>
      <c r="AD408" s="185" t="n">
        <v>40725</v>
      </c>
      <c r="AE408" s="196"/>
      <c r="AF408" s="185"/>
      <c r="AG408" s="184" t="n">
        <v>4.5</v>
      </c>
      <c r="AH408" s="185" t="n">
        <v>40725</v>
      </c>
      <c r="AI408" s="183"/>
      <c r="AJ408" s="183"/>
      <c r="AK408" s="182"/>
      <c r="AL408" s="182"/>
      <c r="AM408" s="184" t="n">
        <v>82</v>
      </c>
      <c r="AN408" s="183" t="n">
        <v>40630</v>
      </c>
      <c r="AO408" s="182"/>
      <c r="AP408" s="182"/>
      <c r="AQ408" s="183"/>
      <c r="AR408" s="183"/>
      <c r="AS408" s="182"/>
      <c r="AT408" s="182"/>
      <c r="AU408" s="183"/>
      <c r="AV408" s="183"/>
      <c r="AW408" s="182"/>
      <c r="AX408" s="182"/>
      <c r="AY408" s="183"/>
      <c r="AZ408" s="183"/>
      <c r="BA408" s="182"/>
      <c r="BB408" s="182"/>
      <c r="BK408" s="183"/>
      <c r="BL408" s="183"/>
      <c r="BM408" s="182"/>
      <c r="BN408" s="182"/>
      <c r="BO408" s="183"/>
      <c r="BP408" s="183"/>
      <c r="BQ408" s="182"/>
      <c r="BR408" s="182"/>
      <c r="BS408" s="184" t="n">
        <v>50</v>
      </c>
      <c r="BT408" s="185" t="n">
        <v>40725</v>
      </c>
      <c r="BU408" s="184" t="n">
        <v>17.2</v>
      </c>
      <c r="BV408" s="185" t="n">
        <v>40725</v>
      </c>
      <c r="CL408" s="182"/>
      <c r="CM408" s="182"/>
    </row>
    <row r="409" customFormat="false" ht="12.75" hidden="false" customHeight="false" outlineLevel="0" collapsed="false">
      <c r="A409" s="204" t="s">
        <v>627</v>
      </c>
      <c r="B409" s="193" t="s">
        <v>785</v>
      </c>
      <c r="C409" s="193" t="s">
        <v>875</v>
      </c>
      <c r="D409" s="193"/>
      <c r="E409" s="194" t="n">
        <v>5</v>
      </c>
      <c r="F409" s="195" t="n">
        <v>2</v>
      </c>
      <c r="G409" s="119"/>
      <c r="H409" s="119"/>
      <c r="J409" s="118"/>
      <c r="K409" s="118"/>
      <c r="L409" s="181"/>
      <c r="N409" s="182"/>
      <c r="O409" s="182"/>
      <c r="S409" s="184" t="n">
        <v>2269</v>
      </c>
      <c r="T409" s="185" t="n">
        <v>40725</v>
      </c>
      <c r="U409" s="182"/>
      <c r="V409" s="182"/>
      <c r="W409" s="183"/>
      <c r="X409" s="183"/>
      <c r="Y409" s="184" t="n">
        <v>840</v>
      </c>
      <c r="Z409" s="185" t="n">
        <v>40725</v>
      </c>
      <c r="AA409" s="184" t="n">
        <v>103012</v>
      </c>
      <c r="AB409" s="185" t="n">
        <v>40725</v>
      </c>
      <c r="AC409" s="184" t="n">
        <v>46.4</v>
      </c>
      <c r="AD409" s="185" t="n">
        <v>40725</v>
      </c>
      <c r="AE409" s="196"/>
      <c r="AF409" s="185"/>
      <c r="AG409" s="184" t="n">
        <v>4.5</v>
      </c>
      <c r="AH409" s="185" t="n">
        <v>40725</v>
      </c>
      <c r="AI409" s="183"/>
      <c r="AJ409" s="183"/>
      <c r="AK409" s="182"/>
      <c r="AL409" s="182"/>
      <c r="AM409" s="184" t="n">
        <v>83</v>
      </c>
      <c r="AN409" s="183" t="n">
        <v>40630</v>
      </c>
      <c r="AO409" s="182"/>
      <c r="AP409" s="182"/>
      <c r="AQ409" s="183"/>
      <c r="AR409" s="183"/>
      <c r="AS409" s="182"/>
      <c r="AT409" s="182"/>
      <c r="AU409" s="183"/>
      <c r="AV409" s="183"/>
      <c r="AW409" s="182"/>
      <c r="AX409" s="182"/>
      <c r="AY409" s="183"/>
      <c r="AZ409" s="183"/>
      <c r="BA409" s="182"/>
      <c r="BB409" s="182"/>
      <c r="BK409" s="183"/>
      <c r="BL409" s="183"/>
      <c r="BM409" s="182"/>
      <c r="BN409" s="182"/>
      <c r="BO409" s="183"/>
      <c r="BP409" s="183"/>
      <c r="BQ409" s="182"/>
      <c r="BR409" s="182"/>
      <c r="BS409" s="184" t="n">
        <v>48.9</v>
      </c>
      <c r="BT409" s="185" t="n">
        <v>40725</v>
      </c>
      <c r="BU409" s="184" t="n">
        <v>18.1</v>
      </c>
      <c r="BV409" s="185" t="n">
        <v>40725</v>
      </c>
      <c r="CL409" s="182"/>
      <c r="CM409" s="182"/>
    </row>
    <row r="410" customFormat="false" ht="12.75" hidden="false" customHeight="false" outlineLevel="0" collapsed="false">
      <c r="A410" s="204" t="s">
        <v>627</v>
      </c>
      <c r="B410" s="193" t="s">
        <v>785</v>
      </c>
      <c r="C410" s="193" t="s">
        <v>876</v>
      </c>
      <c r="D410" s="193"/>
      <c r="E410" s="194" t="n">
        <v>4</v>
      </c>
      <c r="F410" s="195" t="n">
        <v>60</v>
      </c>
      <c r="G410" s="119"/>
      <c r="H410" s="119"/>
      <c r="J410" s="118"/>
      <c r="K410" s="118"/>
      <c r="L410" s="181"/>
      <c r="N410" s="182"/>
      <c r="O410" s="182"/>
      <c r="S410" s="184" t="n">
        <v>2125</v>
      </c>
      <c r="T410" s="185" t="n">
        <v>40725</v>
      </c>
      <c r="U410" s="182"/>
      <c r="V410" s="182"/>
      <c r="W410" s="183"/>
      <c r="X410" s="183"/>
      <c r="Y410" s="184" t="n">
        <v>788</v>
      </c>
      <c r="Z410" s="185" t="n">
        <v>40725</v>
      </c>
      <c r="AA410" s="184" t="n">
        <v>97706</v>
      </c>
      <c r="AB410" s="185" t="n">
        <v>40725</v>
      </c>
      <c r="AC410" s="184" t="n">
        <v>43.6</v>
      </c>
      <c r="AD410" s="185" t="n">
        <v>40725</v>
      </c>
      <c r="AE410" s="196"/>
      <c r="AF410" s="185"/>
      <c r="AG410" s="184" t="n">
        <v>4.46</v>
      </c>
      <c r="AH410" s="185" t="n">
        <v>40725</v>
      </c>
      <c r="AI410" s="183"/>
      <c r="AJ410" s="183"/>
      <c r="AK410" s="182"/>
      <c r="AL410" s="182"/>
      <c r="AM410" s="184" t="n">
        <v>81</v>
      </c>
      <c r="AN410" s="183" t="n">
        <v>40630</v>
      </c>
      <c r="AO410" s="182"/>
      <c r="AP410" s="182"/>
      <c r="AQ410" s="183"/>
      <c r="AR410" s="183"/>
      <c r="AS410" s="182"/>
      <c r="AT410" s="182"/>
      <c r="AU410" s="183"/>
      <c r="AV410" s="183"/>
      <c r="AW410" s="182"/>
      <c r="AX410" s="182"/>
      <c r="AY410" s="183"/>
      <c r="AZ410" s="183"/>
      <c r="BA410" s="182"/>
      <c r="BB410" s="182"/>
      <c r="BK410" s="183"/>
      <c r="BL410" s="183"/>
      <c r="BM410" s="182"/>
      <c r="BN410" s="182"/>
      <c r="BO410" s="183"/>
      <c r="BP410" s="183"/>
      <c r="BQ410" s="182"/>
      <c r="BR410" s="182"/>
      <c r="BS410" s="184" t="n">
        <v>48.8</v>
      </c>
      <c r="BT410" s="185" t="n">
        <v>40725</v>
      </c>
      <c r="BU410" s="184" t="n">
        <v>18.1</v>
      </c>
      <c r="BV410" s="185" t="n">
        <v>40725</v>
      </c>
      <c r="CL410" s="182"/>
      <c r="CM410" s="182"/>
    </row>
    <row r="411" customFormat="false" ht="12.75" hidden="false" customHeight="false" outlineLevel="0" collapsed="false">
      <c r="A411" s="204" t="s">
        <v>627</v>
      </c>
      <c r="B411" s="193" t="s">
        <v>785</v>
      </c>
      <c r="C411" s="193" t="s">
        <v>877</v>
      </c>
      <c r="D411" s="193"/>
      <c r="E411" s="119" t="n">
        <v>23</v>
      </c>
      <c r="F411" s="195" t="n">
        <v>84</v>
      </c>
      <c r="G411" s="119"/>
      <c r="H411" s="119"/>
      <c r="J411" s="118"/>
      <c r="K411" s="118"/>
      <c r="L411" s="181"/>
      <c r="N411" s="182"/>
      <c r="O411" s="182"/>
      <c r="S411" s="184" t="n">
        <v>1913</v>
      </c>
      <c r="T411" s="185" t="n">
        <v>40725</v>
      </c>
      <c r="U411" s="182"/>
      <c r="V411" s="182"/>
      <c r="W411" s="183"/>
      <c r="X411" s="183"/>
      <c r="Y411" s="184" t="n">
        <v>672</v>
      </c>
      <c r="Z411" s="185" t="n">
        <v>40725</v>
      </c>
      <c r="AA411" s="184" t="n">
        <v>82227</v>
      </c>
      <c r="AB411" s="185" t="n">
        <v>40725</v>
      </c>
      <c r="AC411" s="184" t="n">
        <v>38.2</v>
      </c>
      <c r="AD411" s="185" t="n">
        <v>40725</v>
      </c>
      <c r="AE411" s="196"/>
      <c r="AF411" s="185"/>
      <c r="AG411" s="184" t="n">
        <v>4.65</v>
      </c>
      <c r="AH411" s="185" t="n">
        <v>40725</v>
      </c>
      <c r="AI411" s="183"/>
      <c r="AJ411" s="183"/>
      <c r="AK411" s="182"/>
      <c r="AL411" s="182"/>
      <c r="AM411" s="184" t="n">
        <v>83</v>
      </c>
      <c r="AN411" s="183" t="n">
        <v>40630</v>
      </c>
      <c r="AO411" s="182"/>
      <c r="AP411" s="182"/>
      <c r="AQ411" s="183"/>
      <c r="AR411" s="183"/>
      <c r="AS411" s="182"/>
      <c r="AT411" s="182"/>
      <c r="AU411" s="183"/>
      <c r="AV411" s="183"/>
      <c r="AW411" s="182"/>
      <c r="AX411" s="182"/>
      <c r="AY411" s="183"/>
      <c r="AZ411" s="183"/>
      <c r="BA411" s="182"/>
      <c r="BB411" s="182"/>
      <c r="BK411" s="183"/>
      <c r="BL411" s="183"/>
      <c r="BM411" s="182"/>
      <c r="BN411" s="182"/>
      <c r="BO411" s="183"/>
      <c r="BP411" s="183"/>
      <c r="BQ411" s="182"/>
      <c r="BR411" s="182"/>
      <c r="BS411" s="184" t="n">
        <v>50.1</v>
      </c>
      <c r="BT411" s="185" t="n">
        <v>40725</v>
      </c>
      <c r="BU411" s="184" t="n">
        <v>17.6</v>
      </c>
      <c r="BV411" s="185" t="n">
        <v>40725</v>
      </c>
      <c r="CL411" s="182"/>
      <c r="CM411" s="182"/>
    </row>
    <row r="412" customFormat="false" ht="12.75" hidden="false" customHeight="false" outlineLevel="0" collapsed="false">
      <c r="A412" s="204" t="s">
        <v>630</v>
      </c>
      <c r="B412" s="193" t="s">
        <v>782</v>
      </c>
      <c r="C412" s="193" t="s">
        <v>875</v>
      </c>
      <c r="D412" s="193"/>
      <c r="E412" s="194" t="n">
        <v>4</v>
      </c>
      <c r="F412" s="195" t="n">
        <v>17</v>
      </c>
      <c r="G412" s="119"/>
      <c r="H412" s="119"/>
      <c r="J412" s="118"/>
      <c r="K412" s="118"/>
      <c r="L412" s="181"/>
      <c r="N412" s="182"/>
      <c r="O412" s="182"/>
      <c r="S412" s="184" t="n">
        <v>1587</v>
      </c>
      <c r="T412" s="185" t="n">
        <v>40725</v>
      </c>
      <c r="U412" s="182"/>
      <c r="V412" s="182"/>
      <c r="W412" s="183"/>
      <c r="X412" s="183"/>
      <c r="Y412" s="184" t="n">
        <v>460</v>
      </c>
      <c r="Z412" s="185" t="n">
        <v>40725</v>
      </c>
      <c r="AA412" s="184" t="n">
        <v>77058</v>
      </c>
      <c r="AB412" s="185" t="n">
        <v>40725</v>
      </c>
      <c r="AC412" s="184" t="n">
        <v>30.1</v>
      </c>
      <c r="AD412" s="185" t="n">
        <v>40725</v>
      </c>
      <c r="AE412" s="196"/>
      <c r="AF412" s="185"/>
      <c r="AG412" s="184" t="n">
        <v>3.91</v>
      </c>
      <c r="AH412" s="185" t="n">
        <v>40725</v>
      </c>
      <c r="AI412" s="183"/>
      <c r="AJ412" s="183"/>
      <c r="AK412" s="182"/>
      <c r="AL412" s="182"/>
      <c r="AM412" s="184" t="n">
        <v>85</v>
      </c>
      <c r="AN412" s="183" t="n">
        <v>40630</v>
      </c>
      <c r="AO412" s="182"/>
      <c r="AP412" s="182"/>
      <c r="AQ412" s="183"/>
      <c r="AR412" s="183"/>
      <c r="AS412" s="182"/>
      <c r="AT412" s="182"/>
      <c r="AU412" s="183"/>
      <c r="AV412" s="183"/>
      <c r="AW412" s="182"/>
      <c r="AX412" s="182"/>
      <c r="AY412" s="183"/>
      <c r="AZ412" s="183"/>
      <c r="BA412" s="182"/>
      <c r="BB412" s="182"/>
      <c r="BK412" s="183"/>
      <c r="BL412" s="183"/>
      <c r="BM412" s="182"/>
      <c r="BN412" s="182"/>
      <c r="BO412" s="183"/>
      <c r="BP412" s="183"/>
      <c r="BQ412" s="182"/>
      <c r="BR412" s="182"/>
      <c r="BS412" s="184" t="n">
        <v>52.7</v>
      </c>
      <c r="BT412" s="185" t="n">
        <v>40725</v>
      </c>
      <c r="BU412" s="184" t="n">
        <v>15.3</v>
      </c>
      <c r="BV412" s="185" t="n">
        <v>40725</v>
      </c>
      <c r="CL412" s="182"/>
      <c r="CM412" s="182"/>
    </row>
    <row r="413" customFormat="false" ht="12.75" hidden="false" customHeight="false" outlineLevel="0" collapsed="false">
      <c r="A413" s="204" t="s">
        <v>630</v>
      </c>
      <c r="B413" s="193" t="s">
        <v>782</v>
      </c>
      <c r="C413" s="193" t="s">
        <v>876</v>
      </c>
      <c r="D413" s="193"/>
      <c r="E413" s="194" t="n">
        <v>7</v>
      </c>
      <c r="F413" s="195" t="n">
        <v>37</v>
      </c>
      <c r="G413" s="119"/>
      <c r="H413" s="119"/>
      <c r="J413" s="118"/>
      <c r="K413" s="118"/>
      <c r="L413" s="181"/>
      <c r="N413" s="182"/>
      <c r="O413" s="182"/>
      <c r="S413" s="184" t="n">
        <v>1867</v>
      </c>
      <c r="T413" s="185" t="n">
        <v>40725</v>
      </c>
      <c r="U413" s="182"/>
      <c r="V413" s="182"/>
      <c r="W413" s="183"/>
      <c r="X413" s="183"/>
      <c r="Y413" s="184" t="n">
        <v>556</v>
      </c>
      <c r="Z413" s="185" t="n">
        <v>40725</v>
      </c>
      <c r="AA413" s="184" t="n">
        <v>88925</v>
      </c>
      <c r="AB413" s="185" t="n">
        <v>40725</v>
      </c>
      <c r="AC413" s="184" t="n">
        <v>35.2</v>
      </c>
      <c r="AD413" s="185" t="n">
        <v>40725</v>
      </c>
      <c r="AE413" s="196"/>
      <c r="AF413" s="185"/>
      <c r="AG413" s="184" t="n">
        <v>3.96</v>
      </c>
      <c r="AH413" s="185" t="n">
        <v>40725</v>
      </c>
      <c r="AI413" s="183"/>
      <c r="AJ413" s="183"/>
      <c r="AK413" s="182"/>
      <c r="AL413" s="182"/>
      <c r="AM413" s="184" t="n">
        <v>85</v>
      </c>
      <c r="AN413" s="183" t="n">
        <v>40630</v>
      </c>
      <c r="AO413" s="182"/>
      <c r="AP413" s="182"/>
      <c r="AQ413" s="183"/>
      <c r="AR413" s="183"/>
      <c r="AS413" s="182"/>
      <c r="AT413" s="182"/>
      <c r="AU413" s="183"/>
      <c r="AV413" s="183"/>
      <c r="AW413" s="182"/>
      <c r="AX413" s="182"/>
      <c r="AY413" s="183"/>
      <c r="AZ413" s="183"/>
      <c r="BA413" s="182"/>
      <c r="BB413" s="182"/>
      <c r="BK413" s="183"/>
      <c r="BL413" s="183"/>
      <c r="BM413" s="182"/>
      <c r="BN413" s="182"/>
      <c r="BO413" s="183"/>
      <c r="BP413" s="183"/>
      <c r="BQ413" s="182"/>
      <c r="BR413" s="182"/>
      <c r="BS413" s="184" t="n">
        <v>53</v>
      </c>
      <c r="BT413" s="185" t="n">
        <v>40725</v>
      </c>
      <c r="BU413" s="184" t="n">
        <v>15.8</v>
      </c>
      <c r="BV413" s="185" t="n">
        <v>40725</v>
      </c>
      <c r="CL413" s="182"/>
      <c r="CM413" s="182"/>
    </row>
    <row r="414" customFormat="false" ht="12.75" hidden="false" customHeight="false" outlineLevel="0" collapsed="false">
      <c r="A414" s="204" t="s">
        <v>630</v>
      </c>
      <c r="B414" s="193" t="s">
        <v>782</v>
      </c>
      <c r="C414" s="193" t="s">
        <v>877</v>
      </c>
      <c r="D414" s="193"/>
      <c r="E414" s="119" t="n">
        <v>15</v>
      </c>
      <c r="F414" s="195" t="n">
        <v>84</v>
      </c>
      <c r="G414" s="119"/>
      <c r="H414" s="119"/>
      <c r="J414" s="118"/>
      <c r="K414" s="118"/>
      <c r="L414" s="181"/>
      <c r="N414" s="182"/>
      <c r="O414" s="182"/>
      <c r="S414" s="184" t="n">
        <v>1510</v>
      </c>
      <c r="T414" s="185" t="n">
        <v>40725</v>
      </c>
      <c r="U414" s="182"/>
      <c r="V414" s="182"/>
      <c r="W414" s="183"/>
      <c r="X414" s="183"/>
      <c r="Y414" s="184" t="n">
        <v>481</v>
      </c>
      <c r="Z414" s="185" t="n">
        <v>40725</v>
      </c>
      <c r="AA414" s="184" t="n">
        <v>70373</v>
      </c>
      <c r="AB414" s="185" t="n">
        <v>40725</v>
      </c>
      <c r="AC414" s="184" t="n">
        <v>29.1</v>
      </c>
      <c r="AD414" s="185" t="n">
        <v>40725</v>
      </c>
      <c r="AE414" s="196"/>
      <c r="AF414" s="185"/>
      <c r="AG414" s="184" t="n">
        <v>4.14</v>
      </c>
      <c r="AH414" s="185" t="n">
        <v>40725</v>
      </c>
      <c r="AI414" s="183"/>
      <c r="AJ414" s="183"/>
      <c r="AK414" s="182"/>
      <c r="AL414" s="182"/>
      <c r="AM414" s="184" t="n">
        <v>84</v>
      </c>
      <c r="AN414" s="183" t="n">
        <v>40630</v>
      </c>
      <c r="AO414" s="182"/>
      <c r="AP414" s="182"/>
      <c r="AQ414" s="183"/>
      <c r="AR414" s="183"/>
      <c r="AS414" s="182"/>
      <c r="AT414" s="182"/>
      <c r="AU414" s="183"/>
      <c r="AV414" s="183"/>
      <c r="AW414" s="182"/>
      <c r="AX414" s="182"/>
      <c r="AY414" s="183"/>
      <c r="AZ414" s="183"/>
      <c r="BA414" s="182"/>
      <c r="BB414" s="182"/>
      <c r="BK414" s="183"/>
      <c r="BL414" s="183"/>
      <c r="BM414" s="182"/>
      <c r="BN414" s="182"/>
      <c r="BO414" s="183"/>
      <c r="BP414" s="183"/>
      <c r="BQ414" s="182"/>
      <c r="BR414" s="182"/>
      <c r="BS414" s="184" t="n">
        <v>51.9</v>
      </c>
      <c r="BT414" s="185" t="n">
        <v>40725</v>
      </c>
      <c r="BU414" s="184" t="n">
        <v>16.5</v>
      </c>
      <c r="BV414" s="185" t="n">
        <v>40725</v>
      </c>
      <c r="CL414" s="182"/>
      <c r="CM414" s="182"/>
    </row>
    <row r="415" customFormat="false" ht="12.75" hidden="false" customHeight="false" outlineLevel="0" collapsed="false">
      <c r="A415" s="204" t="s">
        <v>630</v>
      </c>
      <c r="B415" s="193" t="s">
        <v>785</v>
      </c>
      <c r="C415" s="193" t="s">
        <v>875</v>
      </c>
      <c r="D415" s="193"/>
      <c r="E415" s="194" t="n">
        <v>8</v>
      </c>
      <c r="F415" s="195" t="n">
        <v>23</v>
      </c>
      <c r="G415" s="119"/>
      <c r="H415" s="119"/>
      <c r="J415" s="118"/>
      <c r="K415" s="118"/>
      <c r="L415" s="181"/>
      <c r="N415" s="182"/>
      <c r="O415" s="182"/>
      <c r="S415" s="184" t="n">
        <v>2065</v>
      </c>
      <c r="T415" s="185" t="n">
        <v>40725</v>
      </c>
      <c r="U415" s="182"/>
      <c r="V415" s="182"/>
      <c r="W415" s="183"/>
      <c r="X415" s="183"/>
      <c r="Y415" s="184" t="n">
        <v>648</v>
      </c>
      <c r="Z415" s="185" t="n">
        <v>40725</v>
      </c>
      <c r="AA415" s="184" t="n">
        <v>97211</v>
      </c>
      <c r="AB415" s="185" t="n">
        <v>40725</v>
      </c>
      <c r="AC415" s="184" t="n">
        <v>39.5</v>
      </c>
      <c r="AD415" s="185" t="n">
        <v>40725</v>
      </c>
      <c r="AE415" s="196"/>
      <c r="AF415" s="185"/>
      <c r="AG415" s="184" t="n">
        <v>4.06</v>
      </c>
      <c r="AH415" s="185" t="n">
        <v>40725</v>
      </c>
      <c r="AI415" s="183"/>
      <c r="AJ415" s="183"/>
      <c r="AK415" s="182"/>
      <c r="AL415" s="182"/>
      <c r="AM415" s="184" t="n">
        <v>87</v>
      </c>
      <c r="AN415" s="183" t="n">
        <v>40630</v>
      </c>
      <c r="AO415" s="182"/>
      <c r="AP415" s="182"/>
      <c r="AQ415" s="183"/>
      <c r="AR415" s="183"/>
      <c r="AS415" s="182"/>
      <c r="AT415" s="182"/>
      <c r="AU415" s="183"/>
      <c r="AV415" s="183"/>
      <c r="AW415" s="182"/>
      <c r="AX415" s="182"/>
      <c r="AY415" s="183"/>
      <c r="AZ415" s="183"/>
      <c r="BA415" s="182"/>
      <c r="BB415" s="182"/>
      <c r="BK415" s="183"/>
      <c r="BL415" s="183"/>
      <c r="BM415" s="182"/>
      <c r="BN415" s="182"/>
      <c r="BO415" s="183"/>
      <c r="BP415" s="183"/>
      <c r="BQ415" s="182"/>
      <c r="BR415" s="182"/>
      <c r="BS415" s="184" t="n">
        <v>52.3</v>
      </c>
      <c r="BT415" s="185" t="n">
        <v>40725</v>
      </c>
      <c r="BU415" s="184" t="n">
        <v>16.4</v>
      </c>
      <c r="BV415" s="185" t="n">
        <v>40725</v>
      </c>
      <c r="CL415" s="182"/>
      <c r="CM415" s="182"/>
    </row>
    <row r="416" customFormat="false" ht="12.75" hidden="false" customHeight="false" outlineLevel="0" collapsed="false">
      <c r="A416" s="204" t="s">
        <v>630</v>
      </c>
      <c r="B416" s="193" t="s">
        <v>785</v>
      </c>
      <c r="C416" s="193" t="s">
        <v>876</v>
      </c>
      <c r="D416" s="193"/>
      <c r="E416" s="194" t="n">
        <v>4</v>
      </c>
      <c r="F416" s="195" t="n">
        <v>36</v>
      </c>
      <c r="G416" s="119"/>
      <c r="H416" s="119"/>
      <c r="J416" s="118"/>
      <c r="K416" s="118"/>
      <c r="L416" s="181"/>
      <c r="N416" s="182"/>
      <c r="O416" s="182"/>
      <c r="S416" s="184" t="n">
        <v>1974</v>
      </c>
      <c r="T416" s="185" t="n">
        <v>40725</v>
      </c>
      <c r="U416" s="182"/>
      <c r="V416" s="182"/>
      <c r="W416" s="183"/>
      <c r="X416" s="183"/>
      <c r="Y416" s="184" t="n">
        <v>653</v>
      </c>
      <c r="Z416" s="185" t="n">
        <v>40725</v>
      </c>
      <c r="AA416" s="184" t="n">
        <v>93296</v>
      </c>
      <c r="AB416" s="185" t="n">
        <v>40725</v>
      </c>
      <c r="AC416" s="184" t="n">
        <v>38.1</v>
      </c>
      <c r="AD416" s="185" t="n">
        <v>40725</v>
      </c>
      <c r="AE416" s="196"/>
      <c r="AF416" s="185"/>
      <c r="AG416" s="184" t="n">
        <v>4.08</v>
      </c>
      <c r="AH416" s="185" t="n">
        <v>40725</v>
      </c>
      <c r="AI416" s="183"/>
      <c r="AJ416" s="183"/>
      <c r="AK416" s="182"/>
      <c r="AL416" s="182"/>
      <c r="AM416" s="184" t="n">
        <v>85</v>
      </c>
      <c r="AN416" s="183" t="n">
        <v>40630</v>
      </c>
      <c r="AO416" s="182"/>
      <c r="AP416" s="182"/>
      <c r="AQ416" s="183"/>
      <c r="AR416" s="183"/>
      <c r="AS416" s="182"/>
      <c r="AT416" s="182"/>
      <c r="AU416" s="183"/>
      <c r="AV416" s="183"/>
      <c r="AW416" s="182"/>
      <c r="AX416" s="182"/>
      <c r="AY416" s="183"/>
      <c r="AZ416" s="183"/>
      <c r="BA416" s="182"/>
      <c r="BB416" s="182"/>
      <c r="BK416" s="183"/>
      <c r="BL416" s="183"/>
      <c r="BM416" s="182"/>
      <c r="BN416" s="182"/>
      <c r="BO416" s="183"/>
      <c r="BP416" s="183"/>
      <c r="BQ416" s="182"/>
      <c r="BR416" s="182"/>
      <c r="BS416" s="184" t="n">
        <v>51.8</v>
      </c>
      <c r="BT416" s="185" t="n">
        <v>40725</v>
      </c>
      <c r="BU416" s="184" t="n">
        <v>17.1</v>
      </c>
      <c r="BV416" s="185" t="n">
        <v>40725</v>
      </c>
      <c r="CL416" s="182"/>
      <c r="CM416" s="182"/>
    </row>
    <row r="417" customFormat="false" ht="12.75" hidden="false" customHeight="false" outlineLevel="0" collapsed="false">
      <c r="A417" s="204" t="s">
        <v>630</v>
      </c>
      <c r="B417" s="193" t="s">
        <v>785</v>
      </c>
      <c r="C417" s="193" t="s">
        <v>877</v>
      </c>
      <c r="D417" s="193"/>
      <c r="E417" s="119" t="n">
        <v>20</v>
      </c>
      <c r="F417" s="195" t="n">
        <v>67</v>
      </c>
      <c r="G417" s="119"/>
      <c r="H417" s="119"/>
      <c r="J417" s="118"/>
      <c r="K417" s="118"/>
      <c r="L417" s="181"/>
      <c r="N417" s="182"/>
      <c r="O417" s="182"/>
      <c r="S417" s="184" t="n">
        <v>1803</v>
      </c>
      <c r="T417" s="185" t="n">
        <v>40725</v>
      </c>
      <c r="U417" s="182"/>
      <c r="V417" s="182"/>
      <c r="W417" s="183"/>
      <c r="X417" s="183"/>
      <c r="Y417" s="184" t="n">
        <v>641</v>
      </c>
      <c r="Z417" s="185" t="n">
        <v>40725</v>
      </c>
      <c r="AA417" s="184" t="n">
        <v>78778</v>
      </c>
      <c r="AB417" s="185" t="n">
        <v>40725</v>
      </c>
      <c r="AC417" s="184" t="n">
        <v>35.1</v>
      </c>
      <c r="AD417" s="185" t="n">
        <v>40725</v>
      </c>
      <c r="AE417" s="196"/>
      <c r="AF417" s="185"/>
      <c r="AG417" s="184" t="n">
        <v>4.45</v>
      </c>
      <c r="AH417" s="185" t="n">
        <v>40725</v>
      </c>
      <c r="AI417" s="183"/>
      <c r="AJ417" s="183"/>
      <c r="AK417" s="182"/>
      <c r="AL417" s="182"/>
      <c r="AM417" s="184" t="n">
        <v>86</v>
      </c>
      <c r="AN417" s="183" t="n">
        <v>40630</v>
      </c>
      <c r="AO417" s="182"/>
      <c r="AP417" s="182"/>
      <c r="AQ417" s="183"/>
      <c r="AR417" s="183"/>
      <c r="AS417" s="182"/>
      <c r="AT417" s="182"/>
      <c r="AU417" s="183"/>
      <c r="AV417" s="183"/>
      <c r="AW417" s="182"/>
      <c r="AX417" s="182"/>
      <c r="AY417" s="183"/>
      <c r="AZ417" s="183"/>
      <c r="BA417" s="182"/>
      <c r="BB417" s="182"/>
      <c r="BK417" s="183"/>
      <c r="BL417" s="183"/>
      <c r="BM417" s="182"/>
      <c r="BN417" s="182"/>
      <c r="BO417" s="183"/>
      <c r="BP417" s="183"/>
      <c r="BQ417" s="182"/>
      <c r="BR417" s="182"/>
      <c r="BS417" s="184" t="n">
        <v>51.4</v>
      </c>
      <c r="BT417" s="185" t="n">
        <v>40725</v>
      </c>
      <c r="BU417" s="184" t="n">
        <v>18.3</v>
      </c>
      <c r="BV417" s="185" t="n">
        <v>40725</v>
      </c>
      <c r="CL417" s="182"/>
      <c r="CM417" s="182"/>
    </row>
    <row r="418" customFormat="false" ht="12.75" hidden="false" customHeight="false" outlineLevel="0" collapsed="false">
      <c r="A418" s="204" t="s">
        <v>633</v>
      </c>
      <c r="B418" s="193" t="s">
        <v>782</v>
      </c>
      <c r="C418" s="193" t="s">
        <v>875</v>
      </c>
      <c r="D418" s="193"/>
      <c r="E418" s="194" t="n">
        <v>1</v>
      </c>
      <c r="F418" s="195" t="n">
        <v>30</v>
      </c>
      <c r="G418" s="119"/>
      <c r="H418" s="119"/>
      <c r="J418" s="118"/>
      <c r="K418" s="118"/>
      <c r="L418" s="181"/>
      <c r="N418" s="182"/>
      <c r="O418" s="182"/>
      <c r="S418" s="184" t="n">
        <v>1544</v>
      </c>
      <c r="T418" s="185" t="n">
        <v>40725</v>
      </c>
      <c r="U418" s="182"/>
      <c r="V418" s="182"/>
      <c r="W418" s="183"/>
      <c r="X418" s="183"/>
      <c r="Y418" s="184" t="n">
        <v>422</v>
      </c>
      <c r="Z418" s="185" t="n">
        <v>40725</v>
      </c>
      <c r="AA418" s="184" t="n">
        <v>62283</v>
      </c>
      <c r="AB418" s="185" t="n">
        <v>40725</v>
      </c>
      <c r="AC418" s="184" t="n">
        <v>28.9</v>
      </c>
      <c r="AD418" s="185" t="n">
        <v>40725</v>
      </c>
      <c r="AE418" s="196"/>
      <c r="AF418" s="185"/>
      <c r="AG418" s="184" t="n">
        <v>4.64</v>
      </c>
      <c r="AH418" s="185" t="n">
        <v>40725</v>
      </c>
      <c r="AI418" s="183"/>
      <c r="AJ418" s="183"/>
      <c r="AK418" s="182"/>
      <c r="AL418" s="182"/>
      <c r="AM418" s="184" t="n">
        <v>90</v>
      </c>
      <c r="AN418" s="183" t="n">
        <v>40630</v>
      </c>
      <c r="AO418" s="182"/>
      <c r="AP418" s="182"/>
      <c r="AQ418" s="183"/>
      <c r="AR418" s="183"/>
      <c r="AS418" s="182"/>
      <c r="AT418" s="182"/>
      <c r="AU418" s="183"/>
      <c r="AV418" s="183"/>
      <c r="AW418" s="182"/>
      <c r="AX418" s="182"/>
      <c r="AY418" s="183"/>
      <c r="AZ418" s="183"/>
      <c r="BA418" s="182"/>
      <c r="BB418" s="182"/>
      <c r="BK418" s="183"/>
      <c r="BL418" s="183"/>
      <c r="BM418" s="182"/>
      <c r="BN418" s="182"/>
      <c r="BO418" s="183"/>
      <c r="BP418" s="183"/>
      <c r="BQ418" s="182"/>
      <c r="BR418" s="182"/>
      <c r="BS418" s="184" t="n">
        <v>53.5</v>
      </c>
      <c r="BT418" s="185" t="n">
        <v>40725</v>
      </c>
      <c r="BU418" s="184" t="n">
        <v>14.6</v>
      </c>
      <c r="BV418" s="185" t="n">
        <v>40725</v>
      </c>
      <c r="CL418" s="182"/>
      <c r="CM418" s="182"/>
    </row>
    <row r="419" customFormat="false" ht="12.75" hidden="false" customHeight="false" outlineLevel="0" collapsed="false">
      <c r="A419" s="204" t="s">
        <v>633</v>
      </c>
      <c r="B419" s="193" t="s">
        <v>782</v>
      </c>
      <c r="C419" s="193" t="s">
        <v>876</v>
      </c>
      <c r="D419" s="193"/>
      <c r="E419" s="194" t="n">
        <v>6</v>
      </c>
      <c r="F419" s="195" t="n">
        <v>50</v>
      </c>
      <c r="G419" s="119"/>
      <c r="H419" s="119"/>
      <c r="J419" s="118"/>
      <c r="K419" s="118"/>
      <c r="L419" s="181"/>
      <c r="N419" s="182"/>
      <c r="O419" s="182"/>
      <c r="S419" s="184" t="n">
        <v>1407</v>
      </c>
      <c r="T419" s="185" t="n">
        <v>40725</v>
      </c>
      <c r="U419" s="182"/>
      <c r="V419" s="182"/>
      <c r="W419" s="183"/>
      <c r="X419" s="183"/>
      <c r="Y419" s="184" t="n">
        <v>387</v>
      </c>
      <c r="Z419" s="185" t="n">
        <v>40725</v>
      </c>
      <c r="AA419" s="184" t="n">
        <v>56221</v>
      </c>
      <c r="AB419" s="185" t="n">
        <v>40725</v>
      </c>
      <c r="AC419" s="184" t="n">
        <v>26.2</v>
      </c>
      <c r="AD419" s="185" t="n">
        <v>40725</v>
      </c>
      <c r="AE419" s="196"/>
      <c r="AF419" s="185"/>
      <c r="AG419" s="184" t="n">
        <v>4.65</v>
      </c>
      <c r="AH419" s="185" t="n">
        <v>40725</v>
      </c>
      <c r="AI419" s="183"/>
      <c r="AJ419" s="183"/>
      <c r="AK419" s="182"/>
      <c r="AL419" s="182"/>
      <c r="AM419" s="184" t="n">
        <v>90</v>
      </c>
      <c r="AN419" s="183" t="n">
        <v>40630</v>
      </c>
      <c r="AO419" s="182"/>
      <c r="AP419" s="182"/>
      <c r="AQ419" s="183"/>
      <c r="AR419" s="183"/>
      <c r="AS419" s="182"/>
      <c r="AT419" s="182"/>
      <c r="AU419" s="183"/>
      <c r="AV419" s="183"/>
      <c r="AW419" s="182"/>
      <c r="AX419" s="182"/>
      <c r="AY419" s="183"/>
      <c r="AZ419" s="183"/>
      <c r="BA419" s="182"/>
      <c r="BB419" s="182"/>
      <c r="BK419" s="183"/>
      <c r="BL419" s="183"/>
      <c r="BM419" s="182"/>
      <c r="BN419" s="182"/>
      <c r="BO419" s="183"/>
      <c r="BP419" s="183"/>
      <c r="BQ419" s="182"/>
      <c r="BR419" s="182"/>
      <c r="BS419" s="184" t="n">
        <v>53.8</v>
      </c>
      <c r="BT419" s="185" t="n">
        <v>40725</v>
      </c>
      <c r="BU419" s="184" t="n">
        <v>14.8</v>
      </c>
      <c r="BV419" s="185" t="n">
        <v>40725</v>
      </c>
      <c r="CL419" s="182"/>
      <c r="CM419" s="182"/>
    </row>
    <row r="420" customFormat="false" ht="12.75" hidden="false" customHeight="false" outlineLevel="0" collapsed="false">
      <c r="A420" s="204" t="s">
        <v>633</v>
      </c>
      <c r="B420" s="193" t="s">
        <v>782</v>
      </c>
      <c r="C420" s="193" t="s">
        <v>877</v>
      </c>
      <c r="D420" s="193"/>
      <c r="E420" s="119" t="n">
        <v>15</v>
      </c>
      <c r="F420" s="195" t="n">
        <v>86</v>
      </c>
      <c r="G420" s="119"/>
      <c r="H420" s="119"/>
      <c r="J420" s="118"/>
      <c r="K420" s="118"/>
      <c r="L420" s="181"/>
      <c r="N420" s="182"/>
      <c r="O420" s="182"/>
      <c r="S420" s="184" t="n">
        <v>1534</v>
      </c>
      <c r="T420" s="185" t="n">
        <v>40725</v>
      </c>
      <c r="U420" s="182"/>
      <c r="V420" s="182"/>
      <c r="W420" s="183"/>
      <c r="X420" s="183"/>
      <c r="Y420" s="184" t="n">
        <v>422</v>
      </c>
      <c r="Z420" s="185" t="n">
        <v>40725</v>
      </c>
      <c r="AA420" s="184" t="n">
        <v>64076</v>
      </c>
      <c r="AB420" s="185" t="n">
        <v>40725</v>
      </c>
      <c r="AC420" s="184" t="n">
        <v>28.8</v>
      </c>
      <c r="AD420" s="185" t="n">
        <v>40725</v>
      </c>
      <c r="AE420" s="196"/>
      <c r="AF420" s="185"/>
      <c r="AG420" s="184" t="n">
        <v>4.5</v>
      </c>
      <c r="AH420" s="185" t="n">
        <v>40725</v>
      </c>
      <c r="AI420" s="183"/>
      <c r="AJ420" s="183"/>
      <c r="AK420" s="182"/>
      <c r="AL420" s="182"/>
      <c r="AM420" s="184" t="n">
        <v>90</v>
      </c>
      <c r="AN420" s="183" t="n">
        <v>40630</v>
      </c>
      <c r="AO420" s="182"/>
      <c r="AP420" s="182"/>
      <c r="AQ420" s="183"/>
      <c r="AR420" s="183"/>
      <c r="AS420" s="182"/>
      <c r="AT420" s="182"/>
      <c r="AU420" s="183"/>
      <c r="AV420" s="183"/>
      <c r="AW420" s="182"/>
      <c r="AX420" s="182"/>
      <c r="AY420" s="183"/>
      <c r="AZ420" s="183"/>
      <c r="BA420" s="182"/>
      <c r="BB420" s="182"/>
      <c r="BK420" s="183"/>
      <c r="BL420" s="183"/>
      <c r="BM420" s="182"/>
      <c r="BN420" s="182"/>
      <c r="BO420" s="183"/>
      <c r="BP420" s="183"/>
      <c r="BQ420" s="182"/>
      <c r="BR420" s="182"/>
      <c r="BS420" s="184" t="n">
        <v>53.2</v>
      </c>
      <c r="BT420" s="185" t="n">
        <v>40725</v>
      </c>
      <c r="BU420" s="184" t="n">
        <v>14.6</v>
      </c>
      <c r="BV420" s="185" t="n">
        <v>40725</v>
      </c>
      <c r="CL420" s="182"/>
      <c r="CM420" s="182"/>
    </row>
    <row r="421" customFormat="false" ht="12.75" hidden="false" customHeight="false" outlineLevel="0" collapsed="false">
      <c r="A421" s="204" t="s">
        <v>633</v>
      </c>
      <c r="B421" s="193" t="s">
        <v>785</v>
      </c>
      <c r="C421" s="193" t="s">
        <v>875</v>
      </c>
      <c r="D421" s="193"/>
      <c r="E421" s="194" t="n">
        <v>5</v>
      </c>
      <c r="F421" s="195" t="n">
        <v>1</v>
      </c>
      <c r="G421" s="119"/>
      <c r="H421" s="119"/>
      <c r="J421" s="118"/>
      <c r="K421" s="118"/>
      <c r="L421" s="181"/>
      <c r="N421" s="182"/>
      <c r="O421" s="182"/>
      <c r="S421" s="184" t="n">
        <v>2606</v>
      </c>
      <c r="T421" s="185" t="n">
        <v>40725</v>
      </c>
      <c r="U421" s="182"/>
      <c r="V421" s="182"/>
      <c r="W421" s="183"/>
      <c r="X421" s="183"/>
      <c r="Y421" s="184" t="n">
        <v>794</v>
      </c>
      <c r="Z421" s="185" t="n">
        <v>40725</v>
      </c>
      <c r="AA421" s="184" t="n">
        <v>109769</v>
      </c>
      <c r="AB421" s="185" t="n">
        <v>40725</v>
      </c>
      <c r="AC421" s="184" t="n">
        <v>49.8</v>
      </c>
      <c r="AD421" s="185" t="n">
        <v>40725</v>
      </c>
      <c r="AE421" s="196"/>
      <c r="AF421" s="185"/>
      <c r="AG421" s="184" t="n">
        <v>4.53</v>
      </c>
      <c r="AH421" s="185" t="n">
        <v>40725</v>
      </c>
      <c r="AI421" s="183"/>
      <c r="AJ421" s="183"/>
      <c r="AK421" s="182"/>
      <c r="AL421" s="182"/>
      <c r="AM421" s="184" t="n">
        <v>92</v>
      </c>
      <c r="AN421" s="183" t="n">
        <v>40630</v>
      </c>
      <c r="AO421" s="182"/>
      <c r="AP421" s="182"/>
      <c r="AQ421" s="183"/>
      <c r="AR421" s="183"/>
      <c r="AS421" s="182"/>
      <c r="AT421" s="182"/>
      <c r="AU421" s="183"/>
      <c r="AV421" s="183"/>
      <c r="AW421" s="182"/>
      <c r="AX421" s="182"/>
      <c r="AY421" s="183"/>
      <c r="AZ421" s="183"/>
      <c r="BA421" s="182"/>
      <c r="BB421" s="182"/>
      <c r="BK421" s="183"/>
      <c r="BL421" s="183"/>
      <c r="BM421" s="182"/>
      <c r="BN421" s="182"/>
      <c r="BO421" s="183"/>
      <c r="BP421" s="183"/>
      <c r="BQ421" s="182"/>
      <c r="BR421" s="182"/>
      <c r="BS421" s="184" t="n">
        <v>52.4</v>
      </c>
      <c r="BT421" s="185" t="n">
        <v>40725</v>
      </c>
      <c r="BU421" s="184" t="n">
        <v>16</v>
      </c>
      <c r="BV421" s="185" t="n">
        <v>40725</v>
      </c>
      <c r="CL421" s="182"/>
      <c r="CM421" s="182"/>
    </row>
    <row r="422" customFormat="false" ht="12.75" hidden="false" customHeight="false" outlineLevel="0" collapsed="false">
      <c r="A422" s="204" t="s">
        <v>633</v>
      </c>
      <c r="B422" s="193" t="s">
        <v>785</v>
      </c>
      <c r="C422" s="193" t="s">
        <v>876</v>
      </c>
      <c r="D422" s="193"/>
      <c r="E422" s="194" t="n">
        <v>2</v>
      </c>
      <c r="F422" s="195" t="n">
        <v>50</v>
      </c>
      <c r="G422" s="119"/>
      <c r="H422" s="119"/>
      <c r="J422" s="118"/>
      <c r="K422" s="118"/>
      <c r="L422" s="181"/>
      <c r="N422" s="182"/>
      <c r="O422" s="182"/>
      <c r="S422" s="184" t="n">
        <v>1890</v>
      </c>
      <c r="T422" s="185" t="n">
        <v>40725</v>
      </c>
      <c r="U422" s="182"/>
      <c r="V422" s="182"/>
      <c r="W422" s="183"/>
      <c r="X422" s="183"/>
      <c r="Y422" s="184" t="n">
        <v>633</v>
      </c>
      <c r="Z422" s="185" t="n">
        <v>40725</v>
      </c>
      <c r="AA422" s="184" t="n">
        <v>79251</v>
      </c>
      <c r="AB422" s="185" t="n">
        <v>40725</v>
      </c>
      <c r="AC422" s="184" t="n">
        <v>36.9</v>
      </c>
      <c r="AD422" s="185" t="n">
        <v>40725</v>
      </c>
      <c r="AE422" s="196"/>
      <c r="AF422" s="185"/>
      <c r="AG422" s="184" t="n">
        <v>4.66</v>
      </c>
      <c r="AH422" s="185" t="n">
        <v>40725</v>
      </c>
      <c r="AI422" s="183"/>
      <c r="AJ422" s="183"/>
      <c r="AK422" s="182"/>
      <c r="AL422" s="182"/>
      <c r="AM422" s="184" t="n">
        <v>91</v>
      </c>
      <c r="AN422" s="183" t="n">
        <v>40630</v>
      </c>
      <c r="AO422" s="182"/>
      <c r="AP422" s="182"/>
      <c r="AQ422" s="183"/>
      <c r="AR422" s="183"/>
      <c r="AS422" s="182"/>
      <c r="AT422" s="182"/>
      <c r="AU422" s="183"/>
      <c r="AV422" s="183"/>
      <c r="AW422" s="182"/>
      <c r="AX422" s="182"/>
      <c r="AY422" s="183"/>
      <c r="AZ422" s="183"/>
      <c r="BA422" s="182"/>
      <c r="BB422" s="182"/>
      <c r="BK422" s="183"/>
      <c r="BL422" s="183"/>
      <c r="BM422" s="182"/>
      <c r="BN422" s="182"/>
      <c r="BO422" s="183"/>
      <c r="BP422" s="183"/>
      <c r="BQ422" s="182"/>
      <c r="BR422" s="182"/>
      <c r="BS422" s="184" t="n">
        <v>51.2</v>
      </c>
      <c r="BT422" s="185" t="n">
        <v>40725</v>
      </c>
      <c r="BU422" s="184" t="n">
        <v>17.1</v>
      </c>
      <c r="BV422" s="185" t="n">
        <v>40725</v>
      </c>
      <c r="CL422" s="182"/>
      <c r="CM422" s="182"/>
    </row>
    <row r="423" customFormat="false" ht="12.75" hidden="false" customHeight="false" outlineLevel="0" collapsed="false">
      <c r="A423" s="204" t="s">
        <v>633</v>
      </c>
      <c r="B423" s="193" t="s">
        <v>785</v>
      </c>
      <c r="C423" s="193" t="s">
        <v>877</v>
      </c>
      <c r="D423" s="193"/>
      <c r="E423" s="119" t="n">
        <v>20</v>
      </c>
      <c r="F423" s="195" t="n">
        <v>81</v>
      </c>
      <c r="G423" s="119"/>
      <c r="H423" s="119"/>
      <c r="J423" s="118"/>
      <c r="K423" s="118"/>
      <c r="L423" s="181"/>
      <c r="N423" s="182"/>
      <c r="O423" s="182"/>
      <c r="S423" s="184" t="n">
        <v>2121</v>
      </c>
      <c r="T423" s="185" t="n">
        <v>40725</v>
      </c>
      <c r="U423" s="182"/>
      <c r="V423" s="182"/>
      <c r="W423" s="183"/>
      <c r="X423" s="183"/>
      <c r="Y423" s="184" t="n">
        <v>729</v>
      </c>
      <c r="Z423" s="185" t="n">
        <v>40725</v>
      </c>
      <c r="AA423" s="184" t="n">
        <v>87703</v>
      </c>
      <c r="AB423" s="185" t="n">
        <v>40725</v>
      </c>
      <c r="AC423" s="184" t="n">
        <v>41.2</v>
      </c>
      <c r="AD423" s="185" t="n">
        <v>40725</v>
      </c>
      <c r="AE423" s="196"/>
      <c r="AF423" s="185"/>
      <c r="AG423" s="184" t="n">
        <v>4.7</v>
      </c>
      <c r="AH423" s="185" t="n">
        <v>40725</v>
      </c>
      <c r="AI423" s="183"/>
      <c r="AJ423" s="183"/>
      <c r="AK423" s="182"/>
      <c r="AL423" s="182"/>
      <c r="AM423" s="184" t="n">
        <v>91</v>
      </c>
      <c r="AN423" s="183" t="n">
        <v>40630</v>
      </c>
      <c r="AO423" s="182"/>
      <c r="AP423" s="182"/>
      <c r="AQ423" s="183"/>
      <c r="AR423" s="183"/>
      <c r="AS423" s="182"/>
      <c r="AT423" s="182"/>
      <c r="AU423" s="183"/>
      <c r="AV423" s="183"/>
      <c r="AW423" s="182"/>
      <c r="AX423" s="182"/>
      <c r="AY423" s="183"/>
      <c r="AZ423" s="183"/>
      <c r="BA423" s="182"/>
      <c r="BB423" s="182"/>
      <c r="BK423" s="183"/>
      <c r="BL423" s="183"/>
      <c r="BM423" s="182"/>
      <c r="BN423" s="182"/>
      <c r="BO423" s="183"/>
      <c r="BP423" s="183"/>
      <c r="BQ423" s="182"/>
      <c r="BR423" s="182"/>
      <c r="BS423" s="184" t="n">
        <v>51.4</v>
      </c>
      <c r="BT423" s="185" t="n">
        <v>40725</v>
      </c>
      <c r="BU423" s="184" t="n">
        <v>17.7</v>
      </c>
      <c r="BV423" s="185" t="n">
        <v>40725</v>
      </c>
      <c r="CL423" s="182"/>
      <c r="CM423" s="182"/>
    </row>
    <row r="424" customFormat="false" ht="12.75" hidden="false" customHeight="false" outlineLevel="0" collapsed="false">
      <c r="A424" s="204" t="s">
        <v>636</v>
      </c>
      <c r="B424" s="193" t="s">
        <v>782</v>
      </c>
      <c r="C424" s="193" t="s">
        <v>875</v>
      </c>
      <c r="D424" s="193"/>
      <c r="E424" s="194" t="n">
        <v>4</v>
      </c>
      <c r="F424" s="195" t="n">
        <v>23</v>
      </c>
      <c r="G424" s="119"/>
      <c r="H424" s="119"/>
      <c r="J424" s="118"/>
      <c r="K424" s="118"/>
      <c r="L424" s="181"/>
      <c r="N424" s="182"/>
      <c r="O424" s="182"/>
      <c r="S424" s="184" t="n">
        <v>1669</v>
      </c>
      <c r="T424" s="185" t="n">
        <v>40725</v>
      </c>
      <c r="U424" s="182"/>
      <c r="V424" s="182"/>
      <c r="W424" s="183"/>
      <c r="X424" s="183"/>
      <c r="Y424" s="184" t="n">
        <v>491</v>
      </c>
      <c r="Z424" s="185" t="n">
        <v>40725</v>
      </c>
      <c r="AA424" s="184" t="n">
        <v>77637</v>
      </c>
      <c r="AB424" s="185" t="n">
        <v>40725</v>
      </c>
      <c r="AC424" s="184" t="n">
        <v>31.9</v>
      </c>
      <c r="AD424" s="185" t="n">
        <v>40725</v>
      </c>
      <c r="AE424" s="196"/>
      <c r="AF424" s="185"/>
      <c r="AG424" s="184" t="n">
        <v>4.11</v>
      </c>
      <c r="AH424" s="185" t="n">
        <v>40725</v>
      </c>
      <c r="AI424" s="183"/>
      <c r="AJ424" s="183"/>
      <c r="AK424" s="182"/>
      <c r="AL424" s="182"/>
      <c r="AM424" s="184" t="n">
        <v>80</v>
      </c>
      <c r="AN424" s="183" t="n">
        <v>40630</v>
      </c>
      <c r="AO424" s="182"/>
      <c r="AP424" s="182"/>
      <c r="AQ424" s="183"/>
      <c r="AR424" s="183"/>
      <c r="AS424" s="182"/>
      <c r="AT424" s="182"/>
      <c r="AU424" s="183"/>
      <c r="AV424" s="183"/>
      <c r="AW424" s="182"/>
      <c r="AX424" s="182"/>
      <c r="AY424" s="183"/>
      <c r="AZ424" s="183"/>
      <c r="BA424" s="182"/>
      <c r="BB424" s="182"/>
      <c r="BK424" s="183"/>
      <c r="BL424" s="183"/>
      <c r="BM424" s="182"/>
      <c r="BN424" s="182"/>
      <c r="BO424" s="183"/>
      <c r="BP424" s="183"/>
      <c r="BQ424" s="182"/>
      <c r="BR424" s="182"/>
      <c r="BS424" s="184" t="n">
        <v>52.3</v>
      </c>
      <c r="BT424" s="185" t="n">
        <v>40725</v>
      </c>
      <c r="BU424" s="184" t="n">
        <v>15.4</v>
      </c>
      <c r="BV424" s="185" t="n">
        <v>40725</v>
      </c>
      <c r="CL424" s="182"/>
      <c r="CM424" s="182"/>
    </row>
    <row r="425" customFormat="false" ht="12.75" hidden="false" customHeight="false" outlineLevel="0" collapsed="false">
      <c r="A425" s="204" t="s">
        <v>636</v>
      </c>
      <c r="B425" s="193" t="s">
        <v>782</v>
      </c>
      <c r="C425" s="193" t="s">
        <v>876</v>
      </c>
      <c r="D425" s="193"/>
      <c r="E425" s="194" t="n">
        <v>8</v>
      </c>
      <c r="F425" s="195" t="n">
        <v>55</v>
      </c>
      <c r="G425" s="119"/>
      <c r="H425" s="119"/>
      <c r="J425" s="118"/>
      <c r="K425" s="118"/>
      <c r="L425" s="181"/>
      <c r="N425" s="182"/>
      <c r="O425" s="182"/>
      <c r="S425" s="184" t="n">
        <v>1703</v>
      </c>
      <c r="T425" s="185" t="n">
        <v>40725</v>
      </c>
      <c r="U425" s="182"/>
      <c r="V425" s="182"/>
      <c r="W425" s="183"/>
      <c r="X425" s="183"/>
      <c r="Y425" s="184" t="n">
        <v>532</v>
      </c>
      <c r="Z425" s="185" t="n">
        <v>40725</v>
      </c>
      <c r="AA425" s="184" t="n">
        <v>77428</v>
      </c>
      <c r="AB425" s="185" t="n">
        <v>40725</v>
      </c>
      <c r="AC425" s="184" t="n">
        <v>32.6</v>
      </c>
      <c r="AD425" s="185" t="n">
        <v>40725</v>
      </c>
      <c r="AE425" s="196"/>
      <c r="AF425" s="185"/>
      <c r="AG425" s="184" t="n">
        <v>4.21</v>
      </c>
      <c r="AH425" s="185" t="n">
        <v>40725</v>
      </c>
      <c r="AI425" s="183"/>
      <c r="AJ425" s="183"/>
      <c r="AK425" s="182"/>
      <c r="AL425" s="182"/>
      <c r="AM425" s="184" t="n">
        <v>77</v>
      </c>
      <c r="AN425" s="183" t="n">
        <v>40630</v>
      </c>
      <c r="AO425" s="182"/>
      <c r="AP425" s="182"/>
      <c r="AQ425" s="183"/>
      <c r="AR425" s="183"/>
      <c r="AS425" s="182"/>
      <c r="AT425" s="182"/>
      <c r="AU425" s="183"/>
      <c r="AV425" s="183"/>
      <c r="AW425" s="182"/>
      <c r="AX425" s="182"/>
      <c r="AY425" s="183"/>
      <c r="AZ425" s="183"/>
      <c r="BA425" s="182"/>
      <c r="BB425" s="182"/>
      <c r="BK425" s="183"/>
      <c r="BL425" s="183"/>
      <c r="BM425" s="182"/>
      <c r="BN425" s="182"/>
      <c r="BO425" s="183"/>
      <c r="BP425" s="183"/>
      <c r="BQ425" s="182"/>
      <c r="BR425" s="182"/>
      <c r="BS425" s="184" t="n">
        <v>52.2</v>
      </c>
      <c r="BT425" s="185" t="n">
        <v>40725</v>
      </c>
      <c r="BU425" s="184" t="n">
        <v>16.3</v>
      </c>
      <c r="BV425" s="185" t="n">
        <v>40725</v>
      </c>
      <c r="CL425" s="182"/>
      <c r="CM425" s="182"/>
    </row>
    <row r="426" customFormat="false" ht="12.75" hidden="false" customHeight="false" outlineLevel="0" collapsed="false">
      <c r="A426" s="204" t="s">
        <v>636</v>
      </c>
      <c r="B426" s="193" t="s">
        <v>782</v>
      </c>
      <c r="C426" s="193" t="s">
        <v>877</v>
      </c>
      <c r="D426" s="193"/>
      <c r="E426" s="119" t="n">
        <v>18</v>
      </c>
      <c r="F426" s="195" t="n">
        <v>84</v>
      </c>
      <c r="G426" s="119"/>
      <c r="H426" s="119"/>
      <c r="J426" s="118"/>
      <c r="K426" s="118"/>
      <c r="L426" s="181"/>
      <c r="N426" s="182"/>
      <c r="O426" s="182"/>
      <c r="S426" s="184" t="n">
        <v>1534</v>
      </c>
      <c r="T426" s="185" t="n">
        <v>40725</v>
      </c>
      <c r="U426" s="182"/>
      <c r="V426" s="182"/>
      <c r="W426" s="183"/>
      <c r="X426" s="183"/>
      <c r="Y426" s="184" t="n">
        <v>492</v>
      </c>
      <c r="Z426" s="185" t="n">
        <v>40725</v>
      </c>
      <c r="AA426" s="184" t="n">
        <v>70968</v>
      </c>
      <c r="AB426" s="185" t="n">
        <v>40725</v>
      </c>
      <c r="AC426" s="184" t="n">
        <v>29.7</v>
      </c>
      <c r="AD426" s="185" t="n">
        <v>40725</v>
      </c>
      <c r="AE426" s="196"/>
      <c r="AF426" s="185"/>
      <c r="AG426" s="184" t="n">
        <v>4.18</v>
      </c>
      <c r="AH426" s="185" t="n">
        <v>40725</v>
      </c>
      <c r="AI426" s="183"/>
      <c r="AJ426" s="183"/>
      <c r="AK426" s="182"/>
      <c r="AL426" s="182"/>
      <c r="AM426" s="184" t="n">
        <v>77</v>
      </c>
      <c r="AN426" s="183" t="n">
        <v>40630</v>
      </c>
      <c r="AO426" s="182"/>
      <c r="AP426" s="182"/>
      <c r="AQ426" s="183"/>
      <c r="AR426" s="183"/>
      <c r="AS426" s="182"/>
      <c r="AT426" s="182"/>
      <c r="AU426" s="183"/>
      <c r="AV426" s="183"/>
      <c r="AW426" s="182"/>
      <c r="AX426" s="182"/>
      <c r="AY426" s="183"/>
      <c r="AZ426" s="183"/>
      <c r="BA426" s="182"/>
      <c r="BB426" s="182"/>
      <c r="BK426" s="183"/>
      <c r="BL426" s="183"/>
      <c r="BM426" s="182"/>
      <c r="BN426" s="182"/>
      <c r="BO426" s="183"/>
      <c r="BP426" s="183"/>
      <c r="BQ426" s="182"/>
      <c r="BR426" s="182"/>
      <c r="BS426" s="184" t="n">
        <v>51.7</v>
      </c>
      <c r="BT426" s="185" t="n">
        <v>40725</v>
      </c>
      <c r="BU426" s="184" t="n">
        <v>16.6</v>
      </c>
      <c r="BV426" s="185" t="n">
        <v>40725</v>
      </c>
      <c r="CL426" s="182"/>
      <c r="CM426" s="182"/>
    </row>
    <row r="427" customFormat="false" ht="12.75" hidden="false" customHeight="false" outlineLevel="0" collapsed="false">
      <c r="A427" s="204" t="s">
        <v>636</v>
      </c>
      <c r="B427" s="193" t="s">
        <v>785</v>
      </c>
      <c r="C427" s="193" t="s">
        <v>875</v>
      </c>
      <c r="D427" s="193"/>
      <c r="E427" s="194" t="n">
        <v>6</v>
      </c>
      <c r="F427" s="195" t="n">
        <v>27</v>
      </c>
      <c r="G427" s="119"/>
      <c r="H427" s="119"/>
      <c r="J427" s="118"/>
      <c r="K427" s="118"/>
      <c r="L427" s="181"/>
      <c r="N427" s="182"/>
      <c r="O427" s="182"/>
      <c r="S427" s="184" t="n">
        <v>2282</v>
      </c>
      <c r="T427" s="185" t="n">
        <v>40725</v>
      </c>
      <c r="U427" s="182"/>
      <c r="V427" s="182"/>
      <c r="W427" s="183"/>
      <c r="X427" s="183"/>
      <c r="Y427" s="184" t="n">
        <v>704</v>
      </c>
      <c r="Z427" s="185" t="n">
        <v>40725</v>
      </c>
      <c r="AA427" s="184" t="n">
        <v>108631</v>
      </c>
      <c r="AB427" s="185" t="n">
        <v>40725</v>
      </c>
      <c r="AC427" s="184" t="n">
        <v>44.1</v>
      </c>
      <c r="AD427" s="185" t="n">
        <v>40725</v>
      </c>
      <c r="AE427" s="196"/>
      <c r="AF427" s="185"/>
      <c r="AG427" s="184" t="n">
        <v>4.06</v>
      </c>
      <c r="AH427" s="185" t="n">
        <v>40725</v>
      </c>
      <c r="AI427" s="183"/>
      <c r="AJ427" s="183"/>
      <c r="AK427" s="182"/>
      <c r="AL427" s="182"/>
      <c r="AM427" s="184" t="n">
        <v>83</v>
      </c>
      <c r="AN427" s="183" t="n">
        <v>40630</v>
      </c>
      <c r="AO427" s="182"/>
      <c r="AP427" s="182"/>
      <c r="AQ427" s="183"/>
      <c r="AR427" s="183"/>
      <c r="AS427" s="182"/>
      <c r="AT427" s="182"/>
      <c r="AU427" s="183"/>
      <c r="AV427" s="183"/>
      <c r="AW427" s="182"/>
      <c r="AX427" s="182"/>
      <c r="AY427" s="183"/>
      <c r="AZ427" s="183"/>
      <c r="BA427" s="182"/>
      <c r="BB427" s="182"/>
      <c r="BK427" s="183"/>
      <c r="BL427" s="183"/>
      <c r="BM427" s="182"/>
      <c r="BN427" s="182"/>
      <c r="BO427" s="183"/>
      <c r="BP427" s="183"/>
      <c r="BQ427" s="182"/>
      <c r="BR427" s="182"/>
      <c r="BS427" s="184" t="n">
        <v>51.8</v>
      </c>
      <c r="BT427" s="185" t="n">
        <v>40725</v>
      </c>
      <c r="BU427" s="184" t="n">
        <v>16</v>
      </c>
      <c r="BV427" s="185" t="n">
        <v>40725</v>
      </c>
      <c r="CL427" s="182"/>
      <c r="CM427" s="182"/>
    </row>
    <row r="428" customFormat="false" ht="12.75" hidden="false" customHeight="false" outlineLevel="0" collapsed="false">
      <c r="A428" s="204" t="s">
        <v>636</v>
      </c>
      <c r="B428" s="193" t="s">
        <v>785</v>
      </c>
      <c r="C428" s="193" t="s">
        <v>876</v>
      </c>
      <c r="D428" s="193"/>
      <c r="E428" s="194" t="n">
        <v>3</v>
      </c>
      <c r="F428" s="195" t="n">
        <v>61</v>
      </c>
      <c r="G428" s="119"/>
      <c r="H428" s="119"/>
      <c r="J428" s="118"/>
      <c r="K428" s="118"/>
      <c r="L428" s="181"/>
      <c r="N428" s="182"/>
      <c r="O428" s="182"/>
      <c r="S428" s="184" t="n">
        <v>2084</v>
      </c>
      <c r="T428" s="185" t="n">
        <v>40725</v>
      </c>
      <c r="U428" s="182"/>
      <c r="V428" s="182"/>
      <c r="W428" s="183"/>
      <c r="X428" s="183"/>
      <c r="Y428" s="184" t="n">
        <v>626</v>
      </c>
      <c r="Z428" s="185" t="n">
        <v>40725</v>
      </c>
      <c r="AA428" s="184" t="n">
        <v>92760</v>
      </c>
      <c r="AB428" s="185" t="n">
        <v>40725</v>
      </c>
      <c r="AC428" s="184" t="n">
        <v>39.8</v>
      </c>
      <c r="AD428" s="185" t="n">
        <v>40725</v>
      </c>
      <c r="AE428" s="196"/>
      <c r="AF428" s="185"/>
      <c r="AG428" s="184" t="n">
        <v>4.29</v>
      </c>
      <c r="AH428" s="185" t="n">
        <v>40725</v>
      </c>
      <c r="AI428" s="183"/>
      <c r="AJ428" s="183"/>
      <c r="AK428" s="182"/>
      <c r="AL428" s="182"/>
      <c r="AM428" s="184" t="n">
        <v>81</v>
      </c>
      <c r="AN428" s="183" t="n">
        <v>40630</v>
      </c>
      <c r="AO428" s="182"/>
      <c r="AP428" s="182"/>
      <c r="AQ428" s="183"/>
      <c r="AR428" s="183"/>
      <c r="AS428" s="182"/>
      <c r="AT428" s="182"/>
      <c r="AU428" s="183"/>
      <c r="AV428" s="183"/>
      <c r="AW428" s="182"/>
      <c r="AX428" s="182"/>
      <c r="AY428" s="183"/>
      <c r="AZ428" s="183"/>
      <c r="BA428" s="182"/>
      <c r="BB428" s="182"/>
      <c r="BK428" s="183"/>
      <c r="BL428" s="183"/>
      <c r="BM428" s="182"/>
      <c r="BN428" s="182"/>
      <c r="BO428" s="183"/>
      <c r="BP428" s="183"/>
      <c r="BQ428" s="182"/>
      <c r="BR428" s="182"/>
      <c r="BS428" s="184" t="n">
        <v>52.4</v>
      </c>
      <c r="BT428" s="185" t="n">
        <v>40725</v>
      </c>
      <c r="BU428" s="184" t="n">
        <v>15.8</v>
      </c>
      <c r="BV428" s="185" t="n">
        <v>40725</v>
      </c>
      <c r="CL428" s="182"/>
      <c r="CM428" s="182"/>
    </row>
    <row r="429" customFormat="false" ht="12.75" hidden="false" customHeight="false" outlineLevel="0" collapsed="false">
      <c r="A429" s="204" t="s">
        <v>636</v>
      </c>
      <c r="B429" s="193" t="s">
        <v>785</v>
      </c>
      <c r="C429" s="193" t="s">
        <v>877</v>
      </c>
      <c r="D429" s="193"/>
      <c r="E429" s="119" t="n">
        <v>22</v>
      </c>
      <c r="F429" s="195" t="n">
        <v>81</v>
      </c>
      <c r="G429" s="119"/>
      <c r="H429" s="119"/>
      <c r="J429" s="118"/>
      <c r="K429" s="118"/>
      <c r="L429" s="181"/>
      <c r="N429" s="182"/>
      <c r="O429" s="182"/>
      <c r="S429" s="184" t="n">
        <v>2026</v>
      </c>
      <c r="T429" s="185" t="n">
        <v>40725</v>
      </c>
      <c r="U429" s="182"/>
      <c r="V429" s="182"/>
      <c r="W429" s="183"/>
      <c r="X429" s="183"/>
      <c r="Y429" s="184" t="n">
        <v>683</v>
      </c>
      <c r="Z429" s="185" t="n">
        <v>40725</v>
      </c>
      <c r="AA429" s="184" t="n">
        <v>91927</v>
      </c>
      <c r="AB429" s="185" t="n">
        <v>40725</v>
      </c>
      <c r="AC429" s="184" t="n">
        <v>39.6</v>
      </c>
      <c r="AD429" s="185" t="n">
        <v>40725</v>
      </c>
      <c r="AE429" s="196"/>
      <c r="AF429" s="185"/>
      <c r="AG429" s="184" t="n">
        <v>4.31</v>
      </c>
      <c r="AH429" s="185" t="n">
        <v>40725</v>
      </c>
      <c r="AI429" s="183"/>
      <c r="AJ429" s="183"/>
      <c r="AK429" s="182"/>
      <c r="AL429" s="182"/>
      <c r="AM429" s="184" t="n">
        <v>81</v>
      </c>
      <c r="AN429" s="183" t="n">
        <v>40630</v>
      </c>
      <c r="AO429" s="182"/>
      <c r="AP429" s="182"/>
      <c r="AQ429" s="183"/>
      <c r="AR429" s="183"/>
      <c r="AS429" s="182"/>
      <c r="AT429" s="182"/>
      <c r="AU429" s="183"/>
      <c r="AV429" s="183"/>
      <c r="AW429" s="182"/>
      <c r="AX429" s="182"/>
      <c r="AY429" s="183"/>
      <c r="AZ429" s="183"/>
      <c r="BA429" s="182"/>
      <c r="BB429" s="182"/>
      <c r="BK429" s="183"/>
      <c r="BL429" s="183"/>
      <c r="BM429" s="182"/>
      <c r="BN429" s="182"/>
      <c r="BO429" s="183"/>
      <c r="BP429" s="183"/>
      <c r="BQ429" s="182"/>
      <c r="BR429" s="182"/>
      <c r="BS429" s="184" t="n">
        <v>51.1</v>
      </c>
      <c r="BT429" s="185" t="n">
        <v>40725</v>
      </c>
      <c r="BU429" s="184" t="n">
        <v>17.2</v>
      </c>
      <c r="BV429" s="185" t="n">
        <v>40725</v>
      </c>
      <c r="CL429" s="182"/>
      <c r="CM429" s="182"/>
    </row>
    <row r="430" customFormat="false" ht="12.75" hidden="false" customHeight="false" outlineLevel="0" collapsed="false">
      <c r="A430" s="204" t="s">
        <v>639</v>
      </c>
      <c r="B430" s="193" t="s">
        <v>782</v>
      </c>
      <c r="C430" s="193" t="s">
        <v>875</v>
      </c>
      <c r="D430" s="193"/>
      <c r="E430" s="194" t="n">
        <v>1</v>
      </c>
      <c r="F430" s="195" t="n">
        <v>13</v>
      </c>
      <c r="G430" s="119"/>
      <c r="H430" s="119"/>
      <c r="J430" s="118"/>
      <c r="K430" s="118"/>
      <c r="L430" s="181"/>
      <c r="N430" s="182"/>
      <c r="O430" s="182"/>
      <c r="S430" s="184" t="n">
        <v>2128</v>
      </c>
      <c r="T430" s="185" t="n">
        <v>40725</v>
      </c>
      <c r="U430" s="182"/>
      <c r="V430" s="182"/>
      <c r="W430" s="183"/>
      <c r="X430" s="183"/>
      <c r="Y430" s="184" t="n">
        <v>592</v>
      </c>
      <c r="Z430" s="185" t="n">
        <v>40725</v>
      </c>
      <c r="AA430" s="184" t="n">
        <v>88477</v>
      </c>
      <c r="AB430" s="185" t="n">
        <v>40725</v>
      </c>
      <c r="AC430" s="184" t="n">
        <v>39.9</v>
      </c>
      <c r="AD430" s="185" t="n">
        <v>40725</v>
      </c>
      <c r="AE430" s="196"/>
      <c r="AF430" s="185"/>
      <c r="AG430" s="184" t="n">
        <v>4.51</v>
      </c>
      <c r="AH430" s="185" t="n">
        <v>40725</v>
      </c>
      <c r="AI430" s="183"/>
      <c r="AJ430" s="183"/>
      <c r="AK430" s="182"/>
      <c r="AL430" s="182"/>
      <c r="AM430" s="184" t="n">
        <v>85</v>
      </c>
      <c r="AN430" s="183" t="n">
        <v>40630</v>
      </c>
      <c r="AO430" s="182"/>
      <c r="AP430" s="182"/>
      <c r="AQ430" s="183"/>
      <c r="AR430" s="183"/>
      <c r="AS430" s="182"/>
      <c r="AT430" s="182"/>
      <c r="AU430" s="183"/>
      <c r="AV430" s="183"/>
      <c r="AW430" s="182"/>
      <c r="AX430" s="182"/>
      <c r="AY430" s="183"/>
      <c r="AZ430" s="183"/>
      <c r="BA430" s="182"/>
      <c r="BB430" s="182"/>
      <c r="BK430" s="183"/>
      <c r="BL430" s="183"/>
      <c r="BM430" s="182"/>
      <c r="BN430" s="182"/>
      <c r="BO430" s="183"/>
      <c r="BP430" s="183"/>
      <c r="BQ430" s="182"/>
      <c r="BR430" s="182"/>
      <c r="BS430" s="184" t="n">
        <v>53.4</v>
      </c>
      <c r="BT430" s="185" t="n">
        <v>40725</v>
      </c>
      <c r="BU430" s="184" t="n">
        <v>14.8</v>
      </c>
      <c r="BV430" s="185" t="n">
        <v>40725</v>
      </c>
      <c r="CL430" s="182"/>
      <c r="CM430" s="182"/>
    </row>
    <row r="431" customFormat="false" ht="12.75" hidden="false" customHeight="false" outlineLevel="0" collapsed="false">
      <c r="A431" s="204" t="s">
        <v>639</v>
      </c>
      <c r="B431" s="193" t="s">
        <v>782</v>
      </c>
      <c r="C431" s="193" t="s">
        <v>876</v>
      </c>
      <c r="D431" s="193"/>
      <c r="E431" s="194" t="n">
        <v>8</v>
      </c>
      <c r="F431" s="195" t="n">
        <v>34</v>
      </c>
      <c r="G431" s="119"/>
      <c r="H431" s="119"/>
      <c r="J431" s="118"/>
      <c r="K431" s="118"/>
      <c r="L431" s="181"/>
      <c r="N431" s="182"/>
      <c r="O431" s="182"/>
      <c r="S431" s="184" t="n">
        <v>2350</v>
      </c>
      <c r="T431" s="185" t="n">
        <v>40725</v>
      </c>
      <c r="U431" s="182"/>
      <c r="V431" s="182"/>
      <c r="W431" s="183"/>
      <c r="X431" s="183"/>
      <c r="Y431" s="184" t="n">
        <v>661</v>
      </c>
      <c r="Z431" s="185" t="n">
        <v>40725</v>
      </c>
      <c r="AA431" s="184" t="n">
        <v>98692</v>
      </c>
      <c r="AB431" s="185" t="n">
        <v>40725</v>
      </c>
      <c r="AC431" s="184" t="n">
        <v>44.1</v>
      </c>
      <c r="AD431" s="185" t="n">
        <v>40725</v>
      </c>
      <c r="AE431" s="196"/>
      <c r="AF431" s="185"/>
      <c r="AG431" s="184" t="n">
        <v>4.47</v>
      </c>
      <c r="AH431" s="185" t="n">
        <v>40725</v>
      </c>
      <c r="AI431" s="183"/>
      <c r="AJ431" s="183"/>
      <c r="AK431" s="182"/>
      <c r="AL431" s="182"/>
      <c r="AM431" s="184" t="n">
        <v>84</v>
      </c>
      <c r="AN431" s="183" t="n">
        <v>40630</v>
      </c>
      <c r="AO431" s="182"/>
      <c r="AP431" s="182"/>
      <c r="AQ431" s="183"/>
      <c r="AR431" s="183"/>
      <c r="AS431" s="182"/>
      <c r="AT431" s="182"/>
      <c r="AU431" s="183"/>
      <c r="AV431" s="183"/>
      <c r="AW431" s="182"/>
      <c r="AX431" s="182"/>
      <c r="AY431" s="183"/>
      <c r="AZ431" s="183"/>
      <c r="BA431" s="182"/>
      <c r="BB431" s="182"/>
      <c r="BK431" s="183"/>
      <c r="BL431" s="183"/>
      <c r="BM431" s="182"/>
      <c r="BN431" s="182"/>
      <c r="BO431" s="183"/>
      <c r="BP431" s="183"/>
      <c r="BQ431" s="182"/>
      <c r="BR431" s="182"/>
      <c r="BS431" s="184" t="n">
        <v>53.3</v>
      </c>
      <c r="BT431" s="185" t="n">
        <v>40725</v>
      </c>
      <c r="BU431" s="184" t="n">
        <v>15</v>
      </c>
      <c r="BV431" s="185" t="n">
        <v>40725</v>
      </c>
      <c r="CL431" s="182"/>
      <c r="CM431" s="182"/>
    </row>
    <row r="432" customFormat="false" ht="12.75" hidden="false" customHeight="false" outlineLevel="0" collapsed="false">
      <c r="A432" s="204" t="s">
        <v>639</v>
      </c>
      <c r="B432" s="193" t="s">
        <v>782</v>
      </c>
      <c r="C432" s="193" t="s">
        <v>877</v>
      </c>
      <c r="D432" s="193"/>
      <c r="E432" s="194" t="n">
        <v>16</v>
      </c>
      <c r="F432" s="195" t="n">
        <v>83</v>
      </c>
      <c r="G432" s="119"/>
      <c r="H432" s="119"/>
      <c r="J432" s="118"/>
      <c r="K432" s="118"/>
      <c r="L432" s="181"/>
      <c r="N432" s="182"/>
      <c r="O432" s="182"/>
      <c r="S432" s="184" t="n">
        <v>1912</v>
      </c>
      <c r="T432" s="185" t="n">
        <v>40725</v>
      </c>
      <c r="U432" s="182"/>
      <c r="V432" s="182"/>
      <c r="W432" s="183"/>
      <c r="X432" s="183"/>
      <c r="Y432" s="184" t="n">
        <v>589</v>
      </c>
      <c r="Z432" s="185" t="n">
        <v>40725</v>
      </c>
      <c r="AA432" s="184" t="n">
        <v>81321</v>
      </c>
      <c r="AB432" s="185" t="n">
        <v>40725</v>
      </c>
      <c r="AC432" s="184" t="n">
        <v>36.7</v>
      </c>
      <c r="AD432" s="185" t="n">
        <v>40725</v>
      </c>
      <c r="AE432" s="196"/>
      <c r="AF432" s="185"/>
      <c r="AG432" s="184" t="n">
        <v>4.51</v>
      </c>
      <c r="AH432" s="185" t="n">
        <v>40725</v>
      </c>
      <c r="AI432" s="183"/>
      <c r="AJ432" s="183"/>
      <c r="AK432" s="182"/>
      <c r="AL432" s="182"/>
      <c r="AM432" s="184" t="n">
        <v>84</v>
      </c>
      <c r="AN432" s="183" t="n">
        <v>40630</v>
      </c>
      <c r="AO432" s="182"/>
      <c r="AP432" s="182"/>
      <c r="AQ432" s="183"/>
      <c r="AR432" s="183"/>
      <c r="AS432" s="182"/>
      <c r="AT432" s="182"/>
      <c r="AU432" s="183"/>
      <c r="AV432" s="183"/>
      <c r="AW432" s="182"/>
      <c r="AX432" s="182"/>
      <c r="AY432" s="183"/>
      <c r="AZ432" s="183"/>
      <c r="BA432" s="182"/>
      <c r="BB432" s="182"/>
      <c r="BK432" s="183"/>
      <c r="BL432" s="183"/>
      <c r="BM432" s="182"/>
      <c r="BN432" s="182"/>
      <c r="BO432" s="183"/>
      <c r="BP432" s="183"/>
      <c r="BQ432" s="182"/>
      <c r="BR432" s="182"/>
      <c r="BS432" s="184" t="n">
        <v>52.1</v>
      </c>
      <c r="BT432" s="185" t="n">
        <v>40725</v>
      </c>
      <c r="BU432" s="184" t="n">
        <v>16.1</v>
      </c>
      <c r="BV432" s="185" t="n">
        <v>40725</v>
      </c>
      <c r="CL432" s="182"/>
      <c r="CM432" s="182"/>
    </row>
    <row r="433" customFormat="false" ht="12.75" hidden="false" customHeight="false" outlineLevel="0" collapsed="false">
      <c r="A433" s="204" t="s">
        <v>639</v>
      </c>
      <c r="B433" s="193" t="s">
        <v>785</v>
      </c>
      <c r="C433" s="193" t="s">
        <v>875</v>
      </c>
      <c r="D433" s="193"/>
      <c r="E433" s="194" t="n">
        <v>5</v>
      </c>
      <c r="F433" s="195" t="n">
        <v>14</v>
      </c>
      <c r="G433" s="119"/>
      <c r="H433" s="119"/>
      <c r="J433" s="118"/>
      <c r="K433" s="118"/>
      <c r="L433" s="181"/>
      <c r="N433" s="182"/>
      <c r="O433" s="182"/>
      <c r="S433" s="184" t="n">
        <v>2523</v>
      </c>
      <c r="T433" s="185" t="n">
        <v>40725</v>
      </c>
      <c r="U433" s="182"/>
      <c r="V433" s="182"/>
      <c r="W433" s="183"/>
      <c r="X433" s="183"/>
      <c r="Y433" s="184" t="n">
        <v>734</v>
      </c>
      <c r="Z433" s="185" t="n">
        <v>40725</v>
      </c>
      <c r="AA433" s="184" t="n">
        <v>110918</v>
      </c>
      <c r="AB433" s="185" t="n">
        <v>40725</v>
      </c>
      <c r="AC433" s="184" t="n">
        <v>47.7</v>
      </c>
      <c r="AD433" s="185" t="n">
        <v>40725</v>
      </c>
      <c r="AE433" s="196"/>
      <c r="AF433" s="185"/>
      <c r="AG433" s="184" t="n">
        <v>4.3</v>
      </c>
      <c r="AH433" s="185" t="n">
        <v>40725</v>
      </c>
      <c r="AI433" s="183"/>
      <c r="AJ433" s="183"/>
      <c r="AK433" s="182"/>
      <c r="AL433" s="182"/>
      <c r="AM433" s="184" t="n">
        <v>86</v>
      </c>
      <c r="AN433" s="183" t="n">
        <v>40630</v>
      </c>
      <c r="AO433" s="182"/>
      <c r="AP433" s="182"/>
      <c r="AQ433" s="183"/>
      <c r="AR433" s="183"/>
      <c r="AS433" s="182"/>
      <c r="AT433" s="182"/>
      <c r="AU433" s="183"/>
      <c r="AV433" s="183"/>
      <c r="AW433" s="182"/>
      <c r="AX433" s="182"/>
      <c r="AY433" s="183"/>
      <c r="AZ433" s="183"/>
      <c r="BA433" s="182"/>
      <c r="BB433" s="182"/>
      <c r="BK433" s="183"/>
      <c r="BL433" s="183"/>
      <c r="BM433" s="182"/>
      <c r="BN433" s="182"/>
      <c r="BO433" s="183"/>
      <c r="BP433" s="183"/>
      <c r="BQ433" s="182"/>
      <c r="BR433" s="182"/>
      <c r="BS433" s="184" t="n">
        <v>52.9</v>
      </c>
      <c r="BT433" s="185" t="n">
        <v>40725</v>
      </c>
      <c r="BU433" s="184" t="n">
        <v>15.4</v>
      </c>
      <c r="BV433" s="185" t="n">
        <v>40725</v>
      </c>
      <c r="CL433" s="182"/>
      <c r="CM433" s="182"/>
    </row>
    <row r="434" customFormat="false" ht="12.75" hidden="false" customHeight="false" outlineLevel="0" collapsed="false">
      <c r="A434" s="204" t="s">
        <v>639</v>
      </c>
      <c r="B434" s="193" t="s">
        <v>785</v>
      </c>
      <c r="C434" s="193" t="s">
        <v>876</v>
      </c>
      <c r="D434" s="193"/>
      <c r="E434" s="194" t="n">
        <v>3</v>
      </c>
      <c r="F434" s="195" t="n">
        <v>46</v>
      </c>
      <c r="G434" s="119"/>
      <c r="H434" s="119"/>
      <c r="J434" s="118"/>
      <c r="K434" s="118"/>
      <c r="L434" s="181"/>
      <c r="N434" s="182"/>
      <c r="O434" s="182"/>
      <c r="S434" s="184" t="n">
        <v>2109</v>
      </c>
      <c r="T434" s="185" t="n">
        <v>40725</v>
      </c>
      <c r="U434" s="182"/>
      <c r="V434" s="182"/>
      <c r="W434" s="183"/>
      <c r="X434" s="183"/>
      <c r="Y434" s="184" t="n">
        <v>725</v>
      </c>
      <c r="Z434" s="185" t="n">
        <v>40725</v>
      </c>
      <c r="AA434" s="184" t="n">
        <v>92081</v>
      </c>
      <c r="AB434" s="185" t="n">
        <v>40725</v>
      </c>
      <c r="AC434" s="184" t="n">
        <v>41.5</v>
      </c>
      <c r="AD434" s="185" t="n">
        <v>40725</v>
      </c>
      <c r="AE434" s="196"/>
      <c r="AF434" s="185"/>
      <c r="AG434" s="184" t="n">
        <v>4.51</v>
      </c>
      <c r="AH434" s="185" t="n">
        <v>40725</v>
      </c>
      <c r="AI434" s="183"/>
      <c r="AJ434" s="183"/>
      <c r="AK434" s="182"/>
      <c r="AL434" s="182"/>
      <c r="AM434" s="184" t="n">
        <v>85</v>
      </c>
      <c r="AN434" s="183" t="n">
        <v>40630</v>
      </c>
      <c r="AO434" s="182"/>
      <c r="AP434" s="182"/>
      <c r="AQ434" s="183"/>
      <c r="AR434" s="183"/>
      <c r="AS434" s="182"/>
      <c r="AT434" s="182"/>
      <c r="AU434" s="183"/>
      <c r="AV434" s="183"/>
      <c r="AW434" s="182"/>
      <c r="AX434" s="182"/>
      <c r="AY434" s="183"/>
      <c r="AZ434" s="183"/>
      <c r="BA434" s="182"/>
      <c r="BB434" s="182"/>
      <c r="BK434" s="183"/>
      <c r="BL434" s="183"/>
      <c r="BM434" s="182"/>
      <c r="BN434" s="182"/>
      <c r="BO434" s="183"/>
      <c r="BP434" s="183"/>
      <c r="BQ434" s="182"/>
      <c r="BR434" s="182"/>
      <c r="BS434" s="184" t="n">
        <v>50.8</v>
      </c>
      <c r="BT434" s="185" t="n">
        <v>40725</v>
      </c>
      <c r="BU434" s="184" t="n">
        <v>17.5</v>
      </c>
      <c r="BV434" s="185" t="n">
        <v>40725</v>
      </c>
      <c r="CL434" s="182"/>
      <c r="CM434" s="182"/>
    </row>
    <row r="435" customFormat="false" ht="12.75" hidden="false" customHeight="false" outlineLevel="0" collapsed="false">
      <c r="A435" s="204" t="s">
        <v>639</v>
      </c>
      <c r="B435" s="193" t="s">
        <v>785</v>
      </c>
      <c r="C435" s="193" t="s">
        <v>877</v>
      </c>
      <c r="D435" s="193"/>
      <c r="E435" s="119" t="n">
        <v>24</v>
      </c>
      <c r="F435" s="195" t="n">
        <v>81</v>
      </c>
      <c r="G435" s="119"/>
      <c r="H435" s="119"/>
      <c r="J435" s="118"/>
      <c r="K435" s="118"/>
      <c r="L435" s="181"/>
      <c r="N435" s="182"/>
      <c r="O435" s="182"/>
      <c r="S435" s="184" t="n">
        <v>2048</v>
      </c>
      <c r="T435" s="185" t="n">
        <v>40725</v>
      </c>
      <c r="U435" s="182"/>
      <c r="V435" s="182"/>
      <c r="W435" s="183"/>
      <c r="X435" s="183"/>
      <c r="Y435" s="184" t="n">
        <v>684</v>
      </c>
      <c r="Z435" s="185" t="n">
        <v>40725</v>
      </c>
      <c r="AA435" s="184" t="n">
        <v>84354</v>
      </c>
      <c r="AB435" s="185" t="n">
        <v>40725</v>
      </c>
      <c r="AC435" s="184" t="n">
        <v>39.8</v>
      </c>
      <c r="AD435" s="185" t="n">
        <v>40725</v>
      </c>
      <c r="AE435" s="196"/>
      <c r="AF435" s="185"/>
      <c r="AG435" s="184" t="n">
        <v>4.72</v>
      </c>
      <c r="AH435" s="185" t="n">
        <v>40725</v>
      </c>
      <c r="AI435" s="183"/>
      <c r="AJ435" s="183"/>
      <c r="AK435" s="182"/>
      <c r="AL435" s="182"/>
      <c r="AM435" s="184" t="n">
        <v>85</v>
      </c>
      <c r="AN435" s="183" t="n">
        <v>40630</v>
      </c>
      <c r="AO435" s="182"/>
      <c r="AP435" s="182"/>
      <c r="AQ435" s="183"/>
      <c r="AR435" s="183"/>
      <c r="AS435" s="182"/>
      <c r="AT435" s="182"/>
      <c r="AU435" s="183"/>
      <c r="AV435" s="183"/>
      <c r="AW435" s="182"/>
      <c r="AX435" s="182"/>
      <c r="AY435" s="183"/>
      <c r="AZ435" s="183"/>
      <c r="BA435" s="182"/>
      <c r="BB435" s="182"/>
      <c r="BK435" s="183"/>
      <c r="BL435" s="183"/>
      <c r="BM435" s="182"/>
      <c r="BN435" s="182"/>
      <c r="BO435" s="183"/>
      <c r="BP435" s="183"/>
      <c r="BQ435" s="182"/>
      <c r="BR435" s="182"/>
      <c r="BS435" s="184" t="n">
        <v>51.5</v>
      </c>
      <c r="BT435" s="185" t="n">
        <v>40725</v>
      </c>
      <c r="BU435" s="184" t="n">
        <v>17.2</v>
      </c>
      <c r="BV435" s="185" t="n">
        <v>40725</v>
      </c>
      <c r="CL435" s="182"/>
      <c r="CM435" s="182"/>
    </row>
    <row r="436" customFormat="false" ht="12.75" hidden="false" customHeight="false" outlineLevel="0" collapsed="false">
      <c r="A436" s="204" t="s">
        <v>642</v>
      </c>
      <c r="B436" s="193" t="s">
        <v>782</v>
      </c>
      <c r="C436" s="193" t="s">
        <v>875</v>
      </c>
      <c r="D436" s="193"/>
      <c r="E436" s="194" t="n">
        <v>3</v>
      </c>
      <c r="F436" s="195" t="n">
        <v>27</v>
      </c>
      <c r="G436" s="119"/>
      <c r="H436" s="119"/>
      <c r="J436" s="118"/>
      <c r="K436" s="118"/>
      <c r="L436" s="181"/>
      <c r="N436" s="182"/>
      <c r="O436" s="182"/>
      <c r="S436" s="184" t="n">
        <v>2054</v>
      </c>
      <c r="T436" s="185" t="n">
        <v>40725</v>
      </c>
      <c r="U436" s="182"/>
      <c r="V436" s="182"/>
      <c r="W436" s="183"/>
      <c r="X436" s="183"/>
      <c r="Y436" s="184" t="n">
        <v>603</v>
      </c>
      <c r="Z436" s="185" t="n">
        <v>40725</v>
      </c>
      <c r="AA436" s="184" t="n">
        <v>85370</v>
      </c>
      <c r="AB436" s="185" t="n">
        <v>40725</v>
      </c>
      <c r="AC436" s="184" t="n">
        <v>38.4</v>
      </c>
      <c r="AD436" s="185" t="n">
        <v>40725</v>
      </c>
      <c r="AE436" s="196"/>
      <c r="AF436" s="185"/>
      <c r="AG436" s="184" t="n">
        <v>4.5</v>
      </c>
      <c r="AH436" s="185" t="n">
        <v>40725</v>
      </c>
      <c r="AI436" s="183"/>
      <c r="AJ436" s="183"/>
      <c r="AK436" s="182"/>
      <c r="AL436" s="182"/>
      <c r="AM436" s="184" t="n">
        <v>83</v>
      </c>
      <c r="AN436" s="183" t="n">
        <v>40630</v>
      </c>
      <c r="AO436" s="182"/>
      <c r="AP436" s="182"/>
      <c r="AQ436" s="183"/>
      <c r="AR436" s="183"/>
      <c r="AS436" s="182"/>
      <c r="AT436" s="182"/>
      <c r="AU436" s="183"/>
      <c r="AV436" s="183"/>
      <c r="AW436" s="182"/>
      <c r="AX436" s="182"/>
      <c r="AY436" s="183"/>
      <c r="AZ436" s="183"/>
      <c r="BA436" s="182"/>
      <c r="BB436" s="182"/>
      <c r="BK436" s="183"/>
      <c r="BL436" s="183"/>
      <c r="BM436" s="182"/>
      <c r="BN436" s="182"/>
      <c r="BO436" s="183"/>
      <c r="BP436" s="183"/>
      <c r="BQ436" s="182"/>
      <c r="BR436" s="182"/>
      <c r="BS436" s="184" t="n">
        <v>53.5</v>
      </c>
      <c r="BT436" s="185" t="n">
        <v>40725</v>
      </c>
      <c r="BU436" s="184" t="n">
        <v>15.7</v>
      </c>
      <c r="BV436" s="185" t="n">
        <v>40725</v>
      </c>
      <c r="CL436" s="182"/>
      <c r="CM436" s="182"/>
    </row>
    <row r="437" customFormat="false" ht="12.75" hidden="false" customHeight="false" outlineLevel="0" collapsed="false">
      <c r="A437" s="204" t="s">
        <v>642</v>
      </c>
      <c r="B437" s="193" t="s">
        <v>782</v>
      </c>
      <c r="C437" s="193" t="s">
        <v>876</v>
      </c>
      <c r="D437" s="193"/>
      <c r="E437" s="194" t="n">
        <v>6</v>
      </c>
      <c r="F437" s="195" t="n">
        <v>38</v>
      </c>
      <c r="G437" s="119"/>
      <c r="H437" s="119"/>
      <c r="J437" s="118"/>
      <c r="K437" s="118"/>
      <c r="L437" s="181"/>
      <c r="N437" s="182"/>
      <c r="O437" s="182"/>
      <c r="S437" s="184" t="n">
        <v>1911</v>
      </c>
      <c r="T437" s="185" t="n">
        <v>40725</v>
      </c>
      <c r="U437" s="182"/>
      <c r="V437" s="182"/>
      <c r="W437" s="183"/>
      <c r="X437" s="183"/>
      <c r="Y437" s="184" t="n">
        <v>529</v>
      </c>
      <c r="Z437" s="185" t="n">
        <v>40725</v>
      </c>
      <c r="AA437" s="184" t="n">
        <v>77465</v>
      </c>
      <c r="AB437" s="185" t="n">
        <v>40725</v>
      </c>
      <c r="AC437" s="184" t="n">
        <v>35.3</v>
      </c>
      <c r="AD437" s="185" t="n">
        <v>40725</v>
      </c>
      <c r="AE437" s="196"/>
      <c r="AF437" s="185"/>
      <c r="AG437" s="184" t="n">
        <v>4.55</v>
      </c>
      <c r="AH437" s="185" t="n">
        <v>40725</v>
      </c>
      <c r="AI437" s="183"/>
      <c r="AJ437" s="183"/>
      <c r="AK437" s="182"/>
      <c r="AL437" s="182"/>
      <c r="AM437" s="184" t="n">
        <v>82</v>
      </c>
      <c r="AN437" s="183" t="n">
        <v>40630</v>
      </c>
      <c r="AO437" s="182"/>
      <c r="AP437" s="182"/>
      <c r="AQ437" s="183"/>
      <c r="AR437" s="183"/>
      <c r="AS437" s="182"/>
      <c r="AT437" s="182"/>
      <c r="AU437" s="183"/>
      <c r="AV437" s="183"/>
      <c r="AW437" s="182"/>
      <c r="AX437" s="182"/>
      <c r="AY437" s="183"/>
      <c r="AZ437" s="183"/>
      <c r="BA437" s="182"/>
      <c r="BB437" s="182"/>
      <c r="BK437" s="183"/>
      <c r="BL437" s="183"/>
      <c r="BM437" s="182"/>
      <c r="BN437" s="182"/>
      <c r="BO437" s="183"/>
      <c r="BP437" s="183"/>
      <c r="BQ437" s="182"/>
      <c r="BR437" s="182"/>
      <c r="BS437" s="184" t="n">
        <v>54.2</v>
      </c>
      <c r="BT437" s="185" t="n">
        <v>40725</v>
      </c>
      <c r="BU437" s="184" t="n">
        <v>15</v>
      </c>
      <c r="BV437" s="185" t="n">
        <v>40725</v>
      </c>
      <c r="CL437" s="182"/>
      <c r="CM437" s="182"/>
    </row>
    <row r="438" customFormat="false" ht="12.75" hidden="false" customHeight="false" outlineLevel="0" collapsed="false">
      <c r="A438" s="204" t="s">
        <v>642</v>
      </c>
      <c r="B438" s="193" t="s">
        <v>782</v>
      </c>
      <c r="C438" s="193" t="s">
        <v>877</v>
      </c>
      <c r="D438" s="193"/>
      <c r="E438" s="119" t="n">
        <v>19</v>
      </c>
      <c r="F438" s="195" t="n">
        <v>74</v>
      </c>
      <c r="G438" s="119"/>
      <c r="H438" s="119"/>
      <c r="J438" s="118"/>
      <c r="K438" s="118"/>
      <c r="L438" s="181"/>
      <c r="N438" s="182"/>
      <c r="O438" s="182"/>
      <c r="S438" s="184" t="n">
        <v>1812</v>
      </c>
      <c r="T438" s="185" t="n">
        <v>40725</v>
      </c>
      <c r="U438" s="182"/>
      <c r="V438" s="182"/>
      <c r="W438" s="183"/>
      <c r="X438" s="183"/>
      <c r="Y438" s="184" t="n">
        <v>564</v>
      </c>
      <c r="Z438" s="185" t="n">
        <v>40725</v>
      </c>
      <c r="AA438" s="184" t="n">
        <v>71707</v>
      </c>
      <c r="AB438" s="185" t="n">
        <v>40725</v>
      </c>
      <c r="AC438" s="184" t="n">
        <v>34.3</v>
      </c>
      <c r="AD438" s="185" t="n">
        <v>40725</v>
      </c>
      <c r="AE438" s="196"/>
      <c r="AF438" s="185"/>
      <c r="AG438" s="184" t="n">
        <v>4.78</v>
      </c>
      <c r="AH438" s="185" t="n">
        <v>40725</v>
      </c>
      <c r="AI438" s="183"/>
      <c r="AJ438" s="183"/>
      <c r="AK438" s="182"/>
      <c r="AL438" s="182"/>
      <c r="AM438" s="184" t="n">
        <v>82</v>
      </c>
      <c r="AN438" s="183" t="n">
        <v>40630</v>
      </c>
      <c r="AO438" s="182"/>
      <c r="AP438" s="182"/>
      <c r="AQ438" s="183"/>
      <c r="AR438" s="183"/>
      <c r="AS438" s="182"/>
      <c r="AT438" s="182"/>
      <c r="AU438" s="183"/>
      <c r="AV438" s="183"/>
      <c r="AW438" s="182"/>
      <c r="AX438" s="182"/>
      <c r="AY438" s="183"/>
      <c r="AZ438" s="183"/>
      <c r="BA438" s="182"/>
      <c r="BB438" s="182"/>
      <c r="BK438" s="183"/>
      <c r="BL438" s="183"/>
      <c r="BM438" s="182"/>
      <c r="BN438" s="182"/>
      <c r="BO438" s="183"/>
      <c r="BP438" s="183"/>
      <c r="BQ438" s="182"/>
      <c r="BR438" s="182"/>
      <c r="BS438" s="184" t="n">
        <v>52.8</v>
      </c>
      <c r="BT438" s="185" t="n">
        <v>40725</v>
      </c>
      <c r="BU438" s="184" t="n">
        <v>16.5</v>
      </c>
      <c r="BV438" s="185" t="n">
        <v>40725</v>
      </c>
      <c r="CL438" s="182"/>
      <c r="CM438" s="182"/>
    </row>
    <row r="439" customFormat="false" ht="12.75" hidden="false" customHeight="false" outlineLevel="0" collapsed="false">
      <c r="A439" s="204" t="s">
        <v>642</v>
      </c>
      <c r="B439" s="193" t="s">
        <v>785</v>
      </c>
      <c r="C439" s="193" t="s">
        <v>875</v>
      </c>
      <c r="D439" s="193"/>
      <c r="E439" s="194" t="n">
        <v>7</v>
      </c>
      <c r="F439" s="195" t="n">
        <v>25</v>
      </c>
      <c r="G439" s="119"/>
      <c r="H439" s="119"/>
      <c r="J439" s="118"/>
      <c r="K439" s="118"/>
      <c r="L439" s="181"/>
      <c r="N439" s="182"/>
      <c r="O439" s="182"/>
      <c r="S439" s="184" t="n">
        <v>2444</v>
      </c>
      <c r="T439" s="185" t="n">
        <v>40725</v>
      </c>
      <c r="U439" s="182"/>
      <c r="V439" s="182"/>
      <c r="W439" s="183"/>
      <c r="X439" s="183"/>
      <c r="Y439" s="184" t="n">
        <v>768</v>
      </c>
      <c r="Z439" s="185" t="n">
        <v>40725</v>
      </c>
      <c r="AA439" s="184" t="n">
        <v>104007</v>
      </c>
      <c r="AB439" s="185" t="n">
        <v>40725</v>
      </c>
      <c r="AC439" s="184" t="n">
        <v>46.3</v>
      </c>
      <c r="AD439" s="185" t="n">
        <v>40725</v>
      </c>
      <c r="AE439" s="196"/>
      <c r="AF439" s="185"/>
      <c r="AG439" s="184" t="n">
        <v>4.45</v>
      </c>
      <c r="AH439" s="185" t="n">
        <v>40725</v>
      </c>
      <c r="AI439" s="183"/>
      <c r="AJ439" s="183"/>
      <c r="AK439" s="182"/>
      <c r="AL439" s="182"/>
      <c r="AM439" s="184" t="n">
        <v>86</v>
      </c>
      <c r="AN439" s="183" t="n">
        <v>40630</v>
      </c>
      <c r="AO439" s="182"/>
      <c r="AP439" s="182"/>
      <c r="AQ439" s="183"/>
      <c r="AR439" s="183"/>
      <c r="AS439" s="182"/>
      <c r="AT439" s="182"/>
      <c r="AU439" s="183"/>
      <c r="AV439" s="183"/>
      <c r="AW439" s="182"/>
      <c r="AX439" s="182"/>
      <c r="AY439" s="183"/>
      <c r="AZ439" s="183"/>
      <c r="BA439" s="182"/>
      <c r="BB439" s="182"/>
      <c r="BK439" s="183"/>
      <c r="BL439" s="183"/>
      <c r="BM439" s="182"/>
      <c r="BN439" s="182"/>
      <c r="BO439" s="183"/>
      <c r="BP439" s="183"/>
      <c r="BQ439" s="182"/>
      <c r="BR439" s="182"/>
      <c r="BS439" s="184" t="n">
        <v>52.8</v>
      </c>
      <c r="BT439" s="185" t="n">
        <v>40725</v>
      </c>
      <c r="BU439" s="184" t="n">
        <v>16.6</v>
      </c>
      <c r="BV439" s="185" t="n">
        <v>40725</v>
      </c>
      <c r="CL439" s="182"/>
      <c r="CM439" s="182"/>
    </row>
    <row r="440" customFormat="false" ht="12.75" hidden="false" customHeight="false" outlineLevel="0" collapsed="false">
      <c r="A440" s="204" t="s">
        <v>642</v>
      </c>
      <c r="B440" s="193" t="s">
        <v>785</v>
      </c>
      <c r="C440" s="193" t="s">
        <v>876</v>
      </c>
      <c r="D440" s="193"/>
      <c r="E440" s="194" t="n">
        <v>2</v>
      </c>
      <c r="F440" s="195" t="n">
        <v>35</v>
      </c>
      <c r="G440" s="119"/>
      <c r="H440" s="119"/>
      <c r="J440" s="118"/>
      <c r="K440" s="118"/>
      <c r="L440" s="181"/>
      <c r="N440" s="182"/>
      <c r="O440" s="182"/>
      <c r="S440" s="184" t="n">
        <v>2487</v>
      </c>
      <c r="T440" s="185" t="n">
        <v>40725</v>
      </c>
      <c r="U440" s="182"/>
      <c r="V440" s="182"/>
      <c r="W440" s="183"/>
      <c r="X440" s="183"/>
      <c r="Y440" s="184" t="n">
        <v>748</v>
      </c>
      <c r="Z440" s="185" t="n">
        <v>40725</v>
      </c>
      <c r="AA440" s="184" t="n">
        <v>100861</v>
      </c>
      <c r="AB440" s="185" t="n">
        <v>40725</v>
      </c>
      <c r="AC440" s="184" t="n">
        <v>46.6</v>
      </c>
      <c r="AD440" s="185" t="n">
        <v>40725</v>
      </c>
      <c r="AE440" s="196"/>
      <c r="AF440" s="185"/>
      <c r="AG440" s="184" t="n">
        <v>4.62</v>
      </c>
      <c r="AH440" s="185" t="n">
        <v>40725</v>
      </c>
      <c r="AI440" s="183"/>
      <c r="AJ440" s="183"/>
      <c r="AK440" s="182"/>
      <c r="AL440" s="182"/>
      <c r="AM440" s="184" t="n">
        <v>82</v>
      </c>
      <c r="AN440" s="183" t="n">
        <v>40630</v>
      </c>
      <c r="AO440" s="182"/>
      <c r="AP440" s="182"/>
      <c r="AQ440" s="183"/>
      <c r="AR440" s="183"/>
      <c r="AS440" s="182"/>
      <c r="AT440" s="182"/>
      <c r="AU440" s="183"/>
      <c r="AV440" s="183"/>
      <c r="AW440" s="182"/>
      <c r="AX440" s="182"/>
      <c r="AY440" s="183"/>
      <c r="AZ440" s="183"/>
      <c r="BA440" s="182"/>
      <c r="BB440" s="182"/>
      <c r="BK440" s="183"/>
      <c r="BL440" s="183"/>
      <c r="BM440" s="182"/>
      <c r="BN440" s="182"/>
      <c r="BO440" s="183"/>
      <c r="BP440" s="183"/>
      <c r="BQ440" s="182"/>
      <c r="BR440" s="182"/>
      <c r="BS440" s="184" t="n">
        <v>53.4</v>
      </c>
      <c r="BT440" s="185" t="n">
        <v>40725</v>
      </c>
      <c r="BU440" s="184" t="n">
        <v>16</v>
      </c>
      <c r="BV440" s="185" t="n">
        <v>40725</v>
      </c>
      <c r="CL440" s="182"/>
      <c r="CM440" s="182"/>
    </row>
    <row r="441" customFormat="false" ht="12.75" hidden="false" customHeight="false" outlineLevel="0" collapsed="false">
      <c r="A441" s="204" t="s">
        <v>642</v>
      </c>
      <c r="B441" s="193" t="s">
        <v>785</v>
      </c>
      <c r="C441" s="193" t="s">
        <v>877</v>
      </c>
      <c r="D441" s="193"/>
      <c r="E441" s="119" t="n">
        <v>22</v>
      </c>
      <c r="F441" s="195" t="n">
        <v>65</v>
      </c>
      <c r="G441" s="119"/>
      <c r="H441" s="119"/>
      <c r="J441" s="118"/>
      <c r="K441" s="118"/>
      <c r="L441" s="181"/>
      <c r="N441" s="182"/>
      <c r="O441" s="182"/>
      <c r="S441" s="184" t="n">
        <v>1914</v>
      </c>
      <c r="T441" s="185" t="n">
        <v>40725</v>
      </c>
      <c r="U441" s="182"/>
      <c r="V441" s="182"/>
      <c r="W441" s="183"/>
      <c r="X441" s="183"/>
      <c r="Y441" s="184" t="n">
        <v>653</v>
      </c>
      <c r="Z441" s="185" t="n">
        <v>40725</v>
      </c>
      <c r="AA441" s="184" t="n">
        <v>75584</v>
      </c>
      <c r="AB441" s="185" t="n">
        <v>40725</v>
      </c>
      <c r="AC441" s="184" t="n">
        <v>36.7</v>
      </c>
      <c r="AD441" s="185" t="n">
        <v>40725</v>
      </c>
      <c r="AE441" s="196"/>
      <c r="AF441" s="185"/>
      <c r="AG441" s="184" t="n">
        <v>4.85</v>
      </c>
      <c r="AH441" s="185" t="n">
        <v>40725</v>
      </c>
      <c r="AI441" s="183"/>
      <c r="AJ441" s="183"/>
      <c r="AK441" s="182"/>
      <c r="AL441" s="182"/>
      <c r="AM441" s="184" t="n">
        <v>82</v>
      </c>
      <c r="AN441" s="183" t="n">
        <v>40630</v>
      </c>
      <c r="AO441" s="182"/>
      <c r="AP441" s="182"/>
      <c r="AQ441" s="183"/>
      <c r="AR441" s="183"/>
      <c r="AS441" s="182"/>
      <c r="AT441" s="182"/>
      <c r="AU441" s="183"/>
      <c r="AV441" s="183"/>
      <c r="AW441" s="182"/>
      <c r="AX441" s="182"/>
      <c r="AY441" s="183"/>
      <c r="AZ441" s="183"/>
      <c r="BA441" s="182"/>
      <c r="BB441" s="182"/>
      <c r="BK441" s="183"/>
      <c r="BL441" s="183"/>
      <c r="BM441" s="182"/>
      <c r="BN441" s="182"/>
      <c r="BO441" s="183"/>
      <c r="BP441" s="183"/>
      <c r="BQ441" s="182"/>
      <c r="BR441" s="182"/>
      <c r="BS441" s="184" t="n">
        <v>52.2</v>
      </c>
      <c r="BT441" s="185" t="n">
        <v>40725</v>
      </c>
      <c r="BU441" s="184" t="n">
        <v>17.8</v>
      </c>
      <c r="BV441" s="185" t="n">
        <v>40725</v>
      </c>
      <c r="CL441" s="182"/>
      <c r="CM441" s="182"/>
    </row>
    <row r="442" customFormat="false" ht="12.75" hidden="false" customHeight="false" outlineLevel="0" collapsed="false">
      <c r="A442" s="204" t="s">
        <v>645</v>
      </c>
      <c r="B442" s="193" t="s">
        <v>782</v>
      </c>
      <c r="C442" s="193" t="s">
        <v>875</v>
      </c>
      <c r="D442" s="193"/>
      <c r="E442" s="194" t="n">
        <v>3</v>
      </c>
      <c r="F442" s="195" t="n">
        <v>19</v>
      </c>
      <c r="G442" s="119"/>
      <c r="H442" s="119"/>
      <c r="J442" s="118"/>
      <c r="K442" s="118"/>
      <c r="L442" s="181"/>
      <c r="N442" s="182"/>
      <c r="O442" s="182"/>
      <c r="S442" s="184" t="n">
        <v>1775</v>
      </c>
      <c r="T442" s="185" t="n">
        <v>40725</v>
      </c>
      <c r="U442" s="182"/>
      <c r="V442" s="182"/>
      <c r="W442" s="183"/>
      <c r="X442" s="183"/>
      <c r="Y442" s="184" t="n">
        <v>528</v>
      </c>
      <c r="Z442" s="185" t="n">
        <v>40725</v>
      </c>
      <c r="AA442" s="184" t="n">
        <v>85568</v>
      </c>
      <c r="AB442" s="185" t="n">
        <v>40725</v>
      </c>
      <c r="AC442" s="184" t="n">
        <v>33.4</v>
      </c>
      <c r="AD442" s="185" t="n">
        <v>40725</v>
      </c>
      <c r="AE442" s="196"/>
      <c r="AF442" s="185"/>
      <c r="AG442" s="184" t="n">
        <v>3.9</v>
      </c>
      <c r="AH442" s="185" t="n">
        <v>40725</v>
      </c>
      <c r="AI442" s="183"/>
      <c r="AJ442" s="183"/>
      <c r="AK442" s="182"/>
      <c r="AL442" s="182"/>
      <c r="AM442" s="184" t="n">
        <v>89</v>
      </c>
      <c r="AN442" s="183" t="n">
        <v>40630</v>
      </c>
      <c r="AO442" s="182"/>
      <c r="AP442" s="182"/>
      <c r="AQ442" s="183"/>
      <c r="AR442" s="183"/>
      <c r="AS442" s="182"/>
      <c r="AT442" s="182"/>
      <c r="AU442" s="183"/>
      <c r="AV442" s="183"/>
      <c r="AW442" s="182"/>
      <c r="AX442" s="182"/>
      <c r="AY442" s="183"/>
      <c r="AZ442" s="183"/>
      <c r="BA442" s="182"/>
      <c r="BB442" s="182"/>
      <c r="BK442" s="183"/>
      <c r="BL442" s="183"/>
      <c r="BM442" s="182"/>
      <c r="BN442" s="182"/>
      <c r="BO442" s="183"/>
      <c r="BP442" s="183"/>
      <c r="BQ442" s="182"/>
      <c r="BR442" s="182"/>
      <c r="BS442" s="184" t="n">
        <v>53.2</v>
      </c>
      <c r="BT442" s="185" t="n">
        <v>40725</v>
      </c>
      <c r="BU442" s="184" t="n">
        <v>15.8</v>
      </c>
      <c r="BV442" s="185" t="n">
        <v>40725</v>
      </c>
      <c r="CL442" s="182"/>
      <c r="CM442" s="182"/>
    </row>
    <row r="443" customFormat="false" ht="12.75" hidden="false" customHeight="false" outlineLevel="0" collapsed="false">
      <c r="A443" s="204" t="s">
        <v>645</v>
      </c>
      <c r="B443" s="193" t="s">
        <v>782</v>
      </c>
      <c r="C443" s="193" t="s">
        <v>876</v>
      </c>
      <c r="D443" s="193"/>
      <c r="E443" s="194" t="n">
        <v>5</v>
      </c>
      <c r="F443" s="195" t="n">
        <v>52</v>
      </c>
      <c r="G443" s="119"/>
      <c r="H443" s="119"/>
      <c r="J443" s="118"/>
      <c r="K443" s="118"/>
      <c r="L443" s="181"/>
      <c r="N443" s="182"/>
      <c r="O443" s="182"/>
      <c r="S443" s="184" t="n">
        <v>1702</v>
      </c>
      <c r="T443" s="185" t="n">
        <v>40725</v>
      </c>
      <c r="U443" s="182"/>
      <c r="V443" s="182"/>
      <c r="W443" s="183"/>
      <c r="X443" s="183"/>
      <c r="Y443" s="184" t="n">
        <v>491</v>
      </c>
      <c r="Z443" s="185" t="n">
        <v>40725</v>
      </c>
      <c r="AA443" s="184" t="n">
        <v>82118</v>
      </c>
      <c r="AB443" s="185" t="n">
        <v>40725</v>
      </c>
      <c r="AC443" s="184" t="n">
        <v>31.8</v>
      </c>
      <c r="AD443" s="185" t="n">
        <v>40725</v>
      </c>
      <c r="AE443" s="196"/>
      <c r="AF443" s="185"/>
      <c r="AG443" s="184" t="n">
        <v>3.88</v>
      </c>
      <c r="AH443" s="185" t="n">
        <v>40725</v>
      </c>
      <c r="AI443" s="183"/>
      <c r="AJ443" s="183"/>
      <c r="AK443" s="182"/>
      <c r="AL443" s="182"/>
      <c r="AM443" s="184" t="n">
        <v>88</v>
      </c>
      <c r="AN443" s="183" t="n">
        <v>40630</v>
      </c>
      <c r="AO443" s="182"/>
      <c r="AP443" s="182"/>
      <c r="AQ443" s="183"/>
      <c r="AR443" s="183"/>
      <c r="AS443" s="182"/>
      <c r="AT443" s="182"/>
      <c r="AU443" s="183"/>
      <c r="AV443" s="183"/>
      <c r="AW443" s="182"/>
      <c r="AX443" s="182"/>
      <c r="AY443" s="183"/>
      <c r="AZ443" s="183"/>
      <c r="BA443" s="182"/>
      <c r="BB443" s="182"/>
      <c r="BK443" s="183"/>
      <c r="BL443" s="183"/>
      <c r="BM443" s="182"/>
      <c r="BN443" s="182"/>
      <c r="BO443" s="183"/>
      <c r="BP443" s="183"/>
      <c r="BQ443" s="182"/>
      <c r="BR443" s="182"/>
      <c r="BS443" s="184" t="n">
        <v>53.5</v>
      </c>
      <c r="BT443" s="185" t="n">
        <v>40725</v>
      </c>
      <c r="BU443" s="184" t="n">
        <v>15.4</v>
      </c>
      <c r="BV443" s="185" t="n">
        <v>40725</v>
      </c>
      <c r="CL443" s="182"/>
      <c r="CM443" s="182"/>
    </row>
    <row r="444" customFormat="false" ht="12.75" hidden="false" customHeight="false" outlineLevel="0" collapsed="false">
      <c r="A444" s="204" t="s">
        <v>645</v>
      </c>
      <c r="B444" s="193" t="s">
        <v>782</v>
      </c>
      <c r="C444" s="193" t="s">
        <v>877</v>
      </c>
      <c r="D444" s="193"/>
      <c r="E444" s="119" t="n">
        <v>18</v>
      </c>
      <c r="F444" s="195" t="n">
        <v>68</v>
      </c>
      <c r="G444" s="119"/>
      <c r="H444" s="119"/>
      <c r="J444" s="118"/>
      <c r="K444" s="118"/>
      <c r="L444" s="181"/>
      <c r="N444" s="182"/>
      <c r="O444" s="182"/>
      <c r="S444" s="184" t="n">
        <v>1793</v>
      </c>
      <c r="T444" s="185" t="n">
        <v>40725</v>
      </c>
      <c r="U444" s="182"/>
      <c r="V444" s="182"/>
      <c r="W444" s="183"/>
      <c r="X444" s="183"/>
      <c r="Y444" s="184" t="n">
        <v>542</v>
      </c>
      <c r="Z444" s="185" t="n">
        <v>40725</v>
      </c>
      <c r="AA444" s="184" t="n">
        <v>79794</v>
      </c>
      <c r="AB444" s="185" t="n">
        <v>40725</v>
      </c>
      <c r="AC444" s="184" t="n">
        <v>33.7</v>
      </c>
      <c r="AD444" s="185" t="n">
        <v>40725</v>
      </c>
      <c r="AE444" s="196"/>
      <c r="AF444" s="185"/>
      <c r="AG444" s="184" t="n">
        <v>4.23</v>
      </c>
      <c r="AH444" s="185" t="n">
        <v>40725</v>
      </c>
      <c r="AI444" s="183"/>
      <c r="AJ444" s="183"/>
      <c r="AK444" s="182"/>
      <c r="AL444" s="182"/>
      <c r="AM444" s="184" t="n">
        <v>88</v>
      </c>
      <c r="AN444" s="183" t="n">
        <v>40630</v>
      </c>
      <c r="AO444" s="182"/>
      <c r="AP444" s="182"/>
      <c r="AQ444" s="183"/>
      <c r="AR444" s="183"/>
      <c r="AS444" s="182"/>
      <c r="AT444" s="182"/>
      <c r="AU444" s="183"/>
      <c r="AV444" s="183"/>
      <c r="AW444" s="182"/>
      <c r="AX444" s="182"/>
      <c r="AY444" s="183"/>
      <c r="AZ444" s="183"/>
      <c r="BA444" s="182"/>
      <c r="BB444" s="182"/>
      <c r="BK444" s="183"/>
      <c r="BL444" s="183"/>
      <c r="BM444" s="182"/>
      <c r="BN444" s="182"/>
      <c r="BO444" s="183"/>
      <c r="BP444" s="183"/>
      <c r="BQ444" s="182"/>
      <c r="BR444" s="182"/>
      <c r="BS444" s="184" t="n">
        <v>53.2</v>
      </c>
      <c r="BT444" s="185" t="n">
        <v>40725</v>
      </c>
      <c r="BU444" s="184" t="n">
        <v>16.1</v>
      </c>
      <c r="BV444" s="185" t="n">
        <v>40725</v>
      </c>
      <c r="CL444" s="182"/>
      <c r="CM444" s="182"/>
    </row>
    <row r="445" customFormat="false" ht="12.75" hidden="false" customHeight="false" outlineLevel="0" collapsed="false">
      <c r="A445" s="204" t="s">
        <v>645</v>
      </c>
      <c r="B445" s="193" t="s">
        <v>785</v>
      </c>
      <c r="C445" s="193" t="s">
        <v>875</v>
      </c>
      <c r="D445" s="193"/>
      <c r="E445" s="194" t="n">
        <v>7</v>
      </c>
      <c r="F445" s="195" t="n">
        <v>31</v>
      </c>
      <c r="G445" s="119"/>
      <c r="H445" s="119"/>
      <c r="J445" s="118"/>
      <c r="K445" s="118"/>
      <c r="L445" s="181"/>
      <c r="N445" s="182"/>
      <c r="O445" s="182"/>
      <c r="S445" s="184" t="n">
        <v>2044</v>
      </c>
      <c r="T445" s="185" t="n">
        <v>40725</v>
      </c>
      <c r="U445" s="182"/>
      <c r="V445" s="182"/>
      <c r="W445" s="183"/>
      <c r="X445" s="183"/>
      <c r="Y445" s="184" t="n">
        <v>691</v>
      </c>
      <c r="Z445" s="185" t="n">
        <v>40725</v>
      </c>
      <c r="AA445" s="184" t="n">
        <v>108723</v>
      </c>
      <c r="AB445" s="185" t="n">
        <v>40725</v>
      </c>
      <c r="AC445" s="184" t="n">
        <v>39.4</v>
      </c>
      <c r="AD445" s="185" t="n">
        <v>40725</v>
      </c>
      <c r="AE445" s="196"/>
      <c r="AF445" s="185"/>
      <c r="AG445" s="184" t="n">
        <v>3.62</v>
      </c>
      <c r="AH445" s="185" t="n">
        <v>40725</v>
      </c>
      <c r="AI445" s="183"/>
      <c r="AJ445" s="183"/>
      <c r="AK445" s="182"/>
      <c r="AL445" s="182"/>
      <c r="AM445" s="184" t="n">
        <v>90</v>
      </c>
      <c r="AN445" s="183" t="n">
        <v>40630</v>
      </c>
      <c r="AO445" s="182"/>
      <c r="AP445" s="182"/>
      <c r="AQ445" s="183"/>
      <c r="AR445" s="183"/>
      <c r="AS445" s="182"/>
      <c r="AT445" s="182"/>
      <c r="AU445" s="183"/>
      <c r="AV445" s="183"/>
      <c r="AW445" s="182"/>
      <c r="AX445" s="182"/>
      <c r="AY445" s="183"/>
      <c r="AZ445" s="183"/>
      <c r="BA445" s="182"/>
      <c r="BB445" s="182"/>
      <c r="BK445" s="183"/>
      <c r="BL445" s="183"/>
      <c r="BM445" s="182"/>
      <c r="BN445" s="182"/>
      <c r="BO445" s="183"/>
      <c r="BP445" s="183"/>
      <c r="BQ445" s="182"/>
      <c r="BR445" s="182"/>
      <c r="BS445" s="184" t="n">
        <v>52</v>
      </c>
      <c r="BT445" s="185" t="n">
        <v>40725</v>
      </c>
      <c r="BU445" s="184" t="n">
        <v>17.6</v>
      </c>
      <c r="BV445" s="185" t="n">
        <v>40725</v>
      </c>
      <c r="CL445" s="182"/>
      <c r="CM445" s="182"/>
    </row>
    <row r="446" customFormat="false" ht="12.75" hidden="false" customHeight="false" outlineLevel="0" collapsed="false">
      <c r="A446" s="204" t="s">
        <v>645</v>
      </c>
      <c r="B446" s="193" t="s">
        <v>785</v>
      </c>
      <c r="C446" s="193" t="s">
        <v>876</v>
      </c>
      <c r="D446" s="193"/>
      <c r="E446" s="194" t="n">
        <v>2</v>
      </c>
      <c r="F446" s="195" t="n">
        <v>58</v>
      </c>
      <c r="G446" s="119"/>
      <c r="H446" s="119"/>
      <c r="J446" s="118"/>
      <c r="K446" s="118"/>
      <c r="L446" s="181"/>
      <c r="N446" s="182"/>
      <c r="O446" s="182"/>
      <c r="S446" s="184" t="n">
        <v>2069</v>
      </c>
      <c r="T446" s="185" t="n">
        <v>40725</v>
      </c>
      <c r="U446" s="182"/>
      <c r="V446" s="182"/>
      <c r="W446" s="183"/>
      <c r="X446" s="183"/>
      <c r="Y446" s="184" t="n">
        <v>702</v>
      </c>
      <c r="Z446" s="185" t="n">
        <v>40725</v>
      </c>
      <c r="AA446" s="184" t="n">
        <v>100012</v>
      </c>
      <c r="AB446" s="185" t="n">
        <v>40725</v>
      </c>
      <c r="AC446" s="184" t="n">
        <v>39.9</v>
      </c>
      <c r="AD446" s="185" t="n">
        <v>40725</v>
      </c>
      <c r="AE446" s="196"/>
      <c r="AF446" s="185"/>
      <c r="AG446" s="184" t="n">
        <v>3.99</v>
      </c>
      <c r="AH446" s="185" t="n">
        <v>40725</v>
      </c>
      <c r="AI446" s="183"/>
      <c r="AJ446" s="183"/>
      <c r="AK446" s="182"/>
      <c r="AL446" s="182"/>
      <c r="AM446" s="184" t="n">
        <v>89</v>
      </c>
      <c r="AN446" s="183" t="n">
        <v>40630</v>
      </c>
      <c r="AO446" s="182"/>
      <c r="AP446" s="182"/>
      <c r="AQ446" s="183"/>
      <c r="AR446" s="183"/>
      <c r="AS446" s="182"/>
      <c r="AT446" s="182"/>
      <c r="AU446" s="183"/>
      <c r="AV446" s="183"/>
      <c r="AW446" s="182"/>
      <c r="AX446" s="182"/>
      <c r="AY446" s="183"/>
      <c r="AZ446" s="183"/>
      <c r="BA446" s="182"/>
      <c r="BB446" s="182"/>
      <c r="BK446" s="183"/>
      <c r="BL446" s="183"/>
      <c r="BM446" s="182"/>
      <c r="BN446" s="182"/>
      <c r="BO446" s="183"/>
      <c r="BP446" s="183"/>
      <c r="BQ446" s="182"/>
      <c r="BR446" s="182"/>
      <c r="BS446" s="184" t="n">
        <v>51.9</v>
      </c>
      <c r="BT446" s="185" t="n">
        <v>40725</v>
      </c>
      <c r="BU446" s="184" t="n">
        <v>17.6</v>
      </c>
      <c r="BV446" s="185" t="n">
        <v>40725</v>
      </c>
      <c r="CL446" s="182"/>
      <c r="CM446" s="182"/>
    </row>
    <row r="447" customFormat="false" ht="12.75" hidden="false" customHeight="false" outlineLevel="0" collapsed="false">
      <c r="A447" s="204" t="s">
        <v>645</v>
      </c>
      <c r="B447" s="193" t="s">
        <v>785</v>
      </c>
      <c r="C447" s="193" t="s">
        <v>877</v>
      </c>
      <c r="D447" s="193"/>
      <c r="E447" s="119" t="n">
        <v>21</v>
      </c>
      <c r="F447" s="195" t="n">
        <v>75</v>
      </c>
      <c r="G447" s="119"/>
      <c r="H447" s="119"/>
      <c r="J447" s="118"/>
      <c r="K447" s="118"/>
      <c r="L447" s="181"/>
      <c r="N447" s="182"/>
      <c r="O447" s="182"/>
      <c r="S447" s="184" t="n">
        <v>2175</v>
      </c>
      <c r="T447" s="185" t="n">
        <v>40725</v>
      </c>
      <c r="U447" s="182"/>
      <c r="V447" s="182"/>
      <c r="W447" s="183"/>
      <c r="X447" s="183"/>
      <c r="Y447" s="184" t="n">
        <v>772</v>
      </c>
      <c r="Z447" s="185" t="n">
        <v>40725</v>
      </c>
      <c r="AA447" s="184" t="n">
        <v>110041</v>
      </c>
      <c r="AB447" s="185" t="n">
        <v>40725</v>
      </c>
      <c r="AC447" s="184" t="n">
        <v>42.4</v>
      </c>
      <c r="AD447" s="185" t="n">
        <v>40725</v>
      </c>
      <c r="AE447" s="196"/>
      <c r="AF447" s="185"/>
      <c r="AG447" s="184" t="n">
        <v>3.85</v>
      </c>
      <c r="AH447" s="185" t="n">
        <v>40725</v>
      </c>
      <c r="AI447" s="183"/>
      <c r="AJ447" s="183"/>
      <c r="AK447" s="182"/>
      <c r="AL447" s="182"/>
      <c r="AM447" s="184" t="n">
        <v>90</v>
      </c>
      <c r="AN447" s="183" t="n">
        <v>40630</v>
      </c>
      <c r="AO447" s="182"/>
      <c r="AP447" s="182"/>
      <c r="AQ447" s="183"/>
      <c r="AR447" s="183"/>
      <c r="AS447" s="182"/>
      <c r="AT447" s="182"/>
      <c r="AU447" s="183"/>
      <c r="AV447" s="183"/>
      <c r="AW447" s="182"/>
      <c r="AX447" s="182"/>
      <c r="AY447" s="183"/>
      <c r="AZ447" s="183"/>
      <c r="BA447" s="182"/>
      <c r="BB447" s="182"/>
      <c r="BK447" s="183"/>
      <c r="BL447" s="183"/>
      <c r="BM447" s="182"/>
      <c r="BN447" s="182"/>
      <c r="BO447" s="183"/>
      <c r="BP447" s="183"/>
      <c r="BQ447" s="182"/>
      <c r="BR447" s="182"/>
      <c r="BS447" s="184" t="n">
        <v>51.3</v>
      </c>
      <c r="BT447" s="185" t="n">
        <v>40725</v>
      </c>
      <c r="BU447" s="184" t="n">
        <v>18.2</v>
      </c>
      <c r="BV447" s="185" t="n">
        <v>40725</v>
      </c>
      <c r="CL447" s="182"/>
      <c r="CM447" s="182"/>
    </row>
    <row r="448" customFormat="false" ht="12.75" hidden="false" customHeight="false" outlineLevel="0" collapsed="false">
      <c r="A448" s="204" t="s">
        <v>648</v>
      </c>
      <c r="B448" s="193" t="s">
        <v>782</v>
      </c>
      <c r="C448" s="193" t="s">
        <v>875</v>
      </c>
      <c r="D448" s="193"/>
      <c r="E448" s="194" t="n">
        <v>1</v>
      </c>
      <c r="F448" s="195" t="n">
        <v>14</v>
      </c>
      <c r="G448" s="119"/>
      <c r="H448" s="119"/>
      <c r="J448" s="118"/>
      <c r="K448" s="118"/>
      <c r="L448" s="181"/>
      <c r="N448" s="182"/>
      <c r="O448" s="182"/>
      <c r="S448" s="184" t="n">
        <v>1523</v>
      </c>
      <c r="T448" s="185" t="n">
        <v>40725</v>
      </c>
      <c r="U448" s="182"/>
      <c r="V448" s="182"/>
      <c r="W448" s="183"/>
      <c r="X448" s="183"/>
      <c r="Y448" s="184" t="n">
        <v>470</v>
      </c>
      <c r="Z448" s="185" t="n">
        <v>40725</v>
      </c>
      <c r="AA448" s="184" t="n">
        <v>70866</v>
      </c>
      <c r="AB448" s="185" t="n">
        <v>40725</v>
      </c>
      <c r="AC448" s="184" t="n">
        <v>29</v>
      </c>
      <c r="AD448" s="185" t="n">
        <v>40725</v>
      </c>
      <c r="AE448" s="196"/>
      <c r="AF448" s="185"/>
      <c r="AG448" s="184" t="n">
        <v>4.09</v>
      </c>
      <c r="AH448" s="185" t="n">
        <v>40725</v>
      </c>
      <c r="AI448" s="183"/>
      <c r="AJ448" s="183"/>
      <c r="AK448" s="182"/>
      <c r="AL448" s="182"/>
      <c r="AM448" s="184" t="n">
        <v>86</v>
      </c>
      <c r="AN448" s="183" t="n">
        <v>40630</v>
      </c>
      <c r="AO448" s="182"/>
      <c r="AP448" s="182"/>
      <c r="AQ448" s="183"/>
      <c r="AR448" s="183"/>
      <c r="AS448" s="182"/>
      <c r="AT448" s="182"/>
      <c r="AU448" s="183"/>
      <c r="AV448" s="183"/>
      <c r="AW448" s="182"/>
      <c r="AX448" s="182"/>
      <c r="AY448" s="183"/>
      <c r="AZ448" s="183"/>
      <c r="BA448" s="182"/>
      <c r="BB448" s="182"/>
      <c r="BK448" s="183"/>
      <c r="BL448" s="183"/>
      <c r="BM448" s="182"/>
      <c r="BN448" s="182"/>
      <c r="BO448" s="183"/>
      <c r="BP448" s="183"/>
      <c r="BQ448" s="182"/>
      <c r="BR448" s="182"/>
      <c r="BS448" s="184" t="n">
        <v>52.6</v>
      </c>
      <c r="BT448" s="185" t="n">
        <v>40725</v>
      </c>
      <c r="BU448" s="184" t="n">
        <v>16.2</v>
      </c>
      <c r="BV448" s="185" t="n">
        <v>40725</v>
      </c>
      <c r="CL448" s="182"/>
      <c r="CM448" s="182"/>
    </row>
    <row r="449" customFormat="false" ht="12.75" hidden="false" customHeight="false" outlineLevel="0" collapsed="false">
      <c r="A449" s="204" t="s">
        <v>648</v>
      </c>
      <c r="B449" s="193" t="s">
        <v>782</v>
      </c>
      <c r="C449" s="193" t="s">
        <v>876</v>
      </c>
      <c r="D449" s="193"/>
      <c r="E449" s="194" t="n">
        <v>5</v>
      </c>
      <c r="F449" s="195" t="n">
        <v>47</v>
      </c>
      <c r="G449" s="119"/>
      <c r="H449" s="119"/>
      <c r="J449" s="118"/>
      <c r="K449" s="118"/>
      <c r="L449" s="181"/>
      <c r="N449" s="182"/>
      <c r="O449" s="182"/>
      <c r="S449" s="184" t="n">
        <v>1679</v>
      </c>
      <c r="T449" s="185" t="n">
        <v>40725</v>
      </c>
      <c r="U449" s="182"/>
      <c r="V449" s="182"/>
      <c r="W449" s="183"/>
      <c r="X449" s="183"/>
      <c r="Y449" s="184" t="n">
        <v>515</v>
      </c>
      <c r="Z449" s="185" t="n">
        <v>40725</v>
      </c>
      <c r="AA449" s="184" t="n">
        <v>78188</v>
      </c>
      <c r="AB449" s="185" t="n">
        <v>40725</v>
      </c>
      <c r="AC449" s="184" t="n">
        <v>32</v>
      </c>
      <c r="AD449" s="185" t="n">
        <v>40725</v>
      </c>
      <c r="AE449" s="196"/>
      <c r="AF449" s="185"/>
      <c r="AG449" s="184" t="n">
        <v>4.09</v>
      </c>
      <c r="AH449" s="185" t="n">
        <v>40725</v>
      </c>
      <c r="AI449" s="183"/>
      <c r="AJ449" s="183"/>
      <c r="AK449" s="182"/>
      <c r="AL449" s="182"/>
      <c r="AM449" s="184" t="n">
        <v>84</v>
      </c>
      <c r="AN449" s="183" t="n">
        <v>40630</v>
      </c>
      <c r="AO449" s="182"/>
      <c r="AP449" s="182"/>
      <c r="AQ449" s="183"/>
      <c r="AR449" s="183"/>
      <c r="AS449" s="182"/>
      <c r="AT449" s="182"/>
      <c r="AU449" s="183"/>
      <c r="AV449" s="183"/>
      <c r="AW449" s="182"/>
      <c r="AX449" s="182"/>
      <c r="AY449" s="183"/>
      <c r="AZ449" s="183"/>
      <c r="BA449" s="182"/>
      <c r="BB449" s="182"/>
      <c r="BK449" s="183"/>
      <c r="BL449" s="183"/>
      <c r="BM449" s="182"/>
      <c r="BN449" s="182"/>
      <c r="BO449" s="183"/>
      <c r="BP449" s="183"/>
      <c r="BQ449" s="182"/>
      <c r="BR449" s="182"/>
      <c r="BS449" s="184" t="n">
        <v>52.4</v>
      </c>
      <c r="BT449" s="185" t="n">
        <v>40725</v>
      </c>
      <c r="BU449" s="184" t="n">
        <v>16.1</v>
      </c>
      <c r="BV449" s="185" t="n">
        <v>40725</v>
      </c>
      <c r="CL449" s="182"/>
      <c r="CM449" s="182"/>
    </row>
    <row r="450" customFormat="false" ht="12.75" hidden="false" customHeight="false" outlineLevel="0" collapsed="false">
      <c r="A450" s="204" t="s">
        <v>648</v>
      </c>
      <c r="B450" s="193" t="s">
        <v>782</v>
      </c>
      <c r="C450" s="193" t="s">
        <v>877</v>
      </c>
      <c r="D450" s="193"/>
      <c r="E450" s="119" t="n">
        <v>17</v>
      </c>
      <c r="F450" s="195" t="n">
        <v>68</v>
      </c>
      <c r="G450" s="119"/>
      <c r="H450" s="119"/>
      <c r="J450" s="118"/>
      <c r="K450" s="118"/>
      <c r="L450" s="181"/>
      <c r="N450" s="182"/>
      <c r="O450" s="182"/>
      <c r="S450" s="184" t="n">
        <v>1583</v>
      </c>
      <c r="T450" s="185" t="n">
        <v>40725</v>
      </c>
      <c r="U450" s="182"/>
      <c r="V450" s="182"/>
      <c r="W450" s="183"/>
      <c r="X450" s="183"/>
      <c r="Y450" s="184" t="n">
        <v>568</v>
      </c>
      <c r="Z450" s="185" t="n">
        <v>40725</v>
      </c>
      <c r="AA450" s="184" t="n">
        <v>72725</v>
      </c>
      <c r="AB450" s="185" t="n">
        <v>40725</v>
      </c>
      <c r="AC450" s="184" t="n">
        <v>31.3</v>
      </c>
      <c r="AD450" s="185" t="n">
        <v>40725</v>
      </c>
      <c r="AE450" s="196"/>
      <c r="AF450" s="185"/>
      <c r="AG450" s="184" t="n">
        <v>4.3</v>
      </c>
      <c r="AH450" s="185" t="n">
        <v>40725</v>
      </c>
      <c r="AI450" s="183"/>
      <c r="AJ450" s="183"/>
      <c r="AK450" s="182"/>
      <c r="AL450" s="182"/>
      <c r="AM450" s="184" t="n">
        <v>85</v>
      </c>
      <c r="AN450" s="183" t="n">
        <v>40630</v>
      </c>
      <c r="AO450" s="182"/>
      <c r="AP450" s="182"/>
      <c r="AQ450" s="183"/>
      <c r="AR450" s="183"/>
      <c r="AS450" s="182"/>
      <c r="AT450" s="182"/>
      <c r="AU450" s="183"/>
      <c r="AV450" s="183"/>
      <c r="AW450" s="182"/>
      <c r="AX450" s="182"/>
      <c r="AY450" s="183"/>
      <c r="AZ450" s="183"/>
      <c r="BA450" s="182"/>
      <c r="BB450" s="182"/>
      <c r="BK450" s="183"/>
      <c r="BL450" s="183"/>
      <c r="BM450" s="182"/>
      <c r="BN450" s="182"/>
      <c r="BO450" s="183"/>
      <c r="BP450" s="183"/>
      <c r="BQ450" s="182"/>
      <c r="BR450" s="182"/>
      <c r="BS450" s="184" t="n">
        <v>50.6</v>
      </c>
      <c r="BT450" s="185" t="n">
        <v>40725</v>
      </c>
      <c r="BU450" s="184" t="n">
        <v>18.2</v>
      </c>
      <c r="BV450" s="185" t="n">
        <v>40725</v>
      </c>
      <c r="CL450" s="182"/>
      <c r="CM450" s="182"/>
    </row>
    <row r="451" customFormat="false" ht="12.75" hidden="false" customHeight="false" outlineLevel="0" collapsed="false">
      <c r="A451" s="204" t="s">
        <v>648</v>
      </c>
      <c r="B451" s="193" t="s">
        <v>785</v>
      </c>
      <c r="C451" s="193" t="s">
        <v>875</v>
      </c>
      <c r="D451" s="193"/>
      <c r="E451" s="194" t="n">
        <v>7</v>
      </c>
      <c r="F451" s="195" t="n">
        <v>9</v>
      </c>
      <c r="G451" s="119"/>
      <c r="H451" s="119"/>
      <c r="J451" s="118"/>
      <c r="K451" s="118"/>
      <c r="L451" s="181"/>
      <c r="N451" s="182"/>
      <c r="O451" s="182"/>
      <c r="S451" s="184" t="n">
        <v>2142</v>
      </c>
      <c r="T451" s="185" t="n">
        <v>40725</v>
      </c>
      <c r="U451" s="182"/>
      <c r="V451" s="182"/>
      <c r="W451" s="183"/>
      <c r="X451" s="183"/>
      <c r="Y451" s="184" t="n">
        <v>728</v>
      </c>
      <c r="Z451" s="185" t="n">
        <v>40725</v>
      </c>
      <c r="AA451" s="184" t="n">
        <v>98686</v>
      </c>
      <c r="AB451" s="185" t="n">
        <v>40725</v>
      </c>
      <c r="AC451" s="184" t="n">
        <v>41.5</v>
      </c>
      <c r="AD451" s="185" t="n">
        <v>40725</v>
      </c>
      <c r="AE451" s="196"/>
      <c r="AF451" s="185"/>
      <c r="AG451" s="184" t="n">
        <v>4.21</v>
      </c>
      <c r="AH451" s="185" t="n">
        <v>40725</v>
      </c>
      <c r="AI451" s="183"/>
      <c r="AJ451" s="183"/>
      <c r="AK451" s="182"/>
      <c r="AL451" s="182"/>
      <c r="AM451" s="184" t="n">
        <v>88</v>
      </c>
      <c r="AN451" s="183" t="n">
        <v>40630</v>
      </c>
      <c r="AO451" s="182"/>
      <c r="AP451" s="182"/>
      <c r="AQ451" s="183"/>
      <c r="AR451" s="183"/>
      <c r="AS451" s="182"/>
      <c r="AT451" s="182"/>
      <c r="AU451" s="183"/>
      <c r="AV451" s="183"/>
      <c r="AW451" s="182"/>
      <c r="AX451" s="182"/>
      <c r="AY451" s="183"/>
      <c r="AZ451" s="183"/>
      <c r="BA451" s="182"/>
      <c r="BB451" s="182"/>
      <c r="BK451" s="183"/>
      <c r="BL451" s="183"/>
      <c r="BM451" s="182"/>
      <c r="BN451" s="182"/>
      <c r="BO451" s="183"/>
      <c r="BP451" s="183"/>
      <c r="BQ451" s="182"/>
      <c r="BR451" s="182"/>
      <c r="BS451" s="184" t="n">
        <v>51.6</v>
      </c>
      <c r="BT451" s="185" t="n">
        <v>40725</v>
      </c>
      <c r="BU451" s="184" t="n">
        <v>17.5</v>
      </c>
      <c r="BV451" s="185" t="n">
        <v>40725</v>
      </c>
      <c r="CL451" s="182"/>
      <c r="CM451" s="182"/>
    </row>
    <row r="452" customFormat="false" ht="12.75" hidden="false" customHeight="false" outlineLevel="0" collapsed="false">
      <c r="A452" s="204" t="s">
        <v>648</v>
      </c>
      <c r="B452" s="193" t="s">
        <v>785</v>
      </c>
      <c r="C452" s="193" t="s">
        <v>876</v>
      </c>
      <c r="D452" s="193"/>
      <c r="E452" s="194" t="n">
        <v>4</v>
      </c>
      <c r="F452" s="195" t="n">
        <v>52</v>
      </c>
      <c r="G452" s="119"/>
      <c r="H452" s="119"/>
      <c r="J452" s="118"/>
      <c r="K452" s="118"/>
      <c r="L452" s="181"/>
      <c r="N452" s="182"/>
      <c r="O452" s="182"/>
      <c r="S452" s="184" t="n">
        <v>2003</v>
      </c>
      <c r="T452" s="185" t="n">
        <v>40725</v>
      </c>
      <c r="U452" s="182"/>
      <c r="V452" s="182"/>
      <c r="W452" s="183"/>
      <c r="X452" s="183"/>
      <c r="Y452" s="184" t="n">
        <v>663</v>
      </c>
      <c r="Z452" s="185" t="n">
        <v>40725</v>
      </c>
      <c r="AA452" s="184" t="n">
        <v>88818</v>
      </c>
      <c r="AB452" s="185" t="n">
        <v>40725</v>
      </c>
      <c r="AC452" s="184" t="n">
        <v>38.9</v>
      </c>
      <c r="AD452" s="185" t="n">
        <v>40725</v>
      </c>
      <c r="AE452" s="196"/>
      <c r="AF452" s="185"/>
      <c r="AG452" s="184" t="n">
        <v>4.37</v>
      </c>
      <c r="AH452" s="185" t="n">
        <v>40725</v>
      </c>
      <c r="AI452" s="183"/>
      <c r="AJ452" s="183"/>
      <c r="AK452" s="182"/>
      <c r="AL452" s="182"/>
      <c r="AM452" s="184" t="n">
        <v>86</v>
      </c>
      <c r="AN452" s="183" t="n">
        <v>40630</v>
      </c>
      <c r="AO452" s="182"/>
      <c r="AP452" s="182"/>
      <c r="AQ452" s="183"/>
      <c r="AR452" s="183"/>
      <c r="AS452" s="182"/>
      <c r="AT452" s="182"/>
      <c r="AU452" s="183"/>
      <c r="AV452" s="183"/>
      <c r="AW452" s="182"/>
      <c r="AX452" s="182"/>
      <c r="AY452" s="183"/>
      <c r="AZ452" s="183"/>
      <c r="BA452" s="182"/>
      <c r="BB452" s="182"/>
      <c r="BK452" s="183"/>
      <c r="BL452" s="183"/>
      <c r="BM452" s="182"/>
      <c r="BN452" s="182"/>
      <c r="BO452" s="183"/>
      <c r="BP452" s="183"/>
      <c r="BQ452" s="182"/>
      <c r="BR452" s="182"/>
      <c r="BS452" s="184" t="n">
        <v>51.6</v>
      </c>
      <c r="BT452" s="185" t="n">
        <v>40725</v>
      </c>
      <c r="BU452" s="184" t="n">
        <v>17.1</v>
      </c>
      <c r="BV452" s="185" t="n">
        <v>40725</v>
      </c>
      <c r="CL452" s="182"/>
      <c r="CM452" s="182"/>
    </row>
    <row r="453" customFormat="false" ht="12.75" hidden="false" customHeight="false" outlineLevel="0" collapsed="false">
      <c r="A453" s="204" t="s">
        <v>648</v>
      </c>
      <c r="B453" s="193" t="s">
        <v>785</v>
      </c>
      <c r="C453" s="193" t="s">
        <v>877</v>
      </c>
      <c r="D453" s="193"/>
      <c r="E453" s="119" t="n">
        <v>21</v>
      </c>
      <c r="F453" s="195" t="n">
        <v>71</v>
      </c>
      <c r="G453" s="119"/>
      <c r="H453" s="119"/>
      <c r="J453" s="118"/>
      <c r="K453" s="118"/>
      <c r="L453" s="181"/>
      <c r="N453" s="182"/>
      <c r="O453" s="182"/>
      <c r="S453" s="184" t="n">
        <v>2036</v>
      </c>
      <c r="T453" s="185" t="n">
        <v>40725</v>
      </c>
      <c r="U453" s="182"/>
      <c r="V453" s="182"/>
      <c r="W453" s="183"/>
      <c r="X453" s="183"/>
      <c r="Y453" s="184" t="n">
        <v>699</v>
      </c>
      <c r="Z453" s="185" t="n">
        <v>40725</v>
      </c>
      <c r="AA453" s="184" t="n">
        <v>91068</v>
      </c>
      <c r="AB453" s="185" t="n">
        <v>40725</v>
      </c>
      <c r="AC453" s="184" t="n">
        <v>39.4</v>
      </c>
      <c r="AD453" s="185" t="n">
        <v>40725</v>
      </c>
      <c r="AE453" s="196"/>
      <c r="AF453" s="185"/>
      <c r="AG453" s="184" t="n">
        <v>4.33</v>
      </c>
      <c r="AH453" s="185" t="n">
        <v>40725</v>
      </c>
      <c r="AI453" s="183"/>
      <c r="AJ453" s="183"/>
      <c r="AK453" s="182"/>
      <c r="AL453" s="182"/>
      <c r="AM453" s="184" t="n">
        <v>87</v>
      </c>
      <c r="AN453" s="183" t="n">
        <v>40630</v>
      </c>
      <c r="AO453" s="182"/>
      <c r="AP453" s="182"/>
      <c r="AQ453" s="183"/>
      <c r="AR453" s="183"/>
      <c r="AS453" s="182"/>
      <c r="AT453" s="182"/>
      <c r="AU453" s="183"/>
      <c r="AV453" s="183"/>
      <c r="AW453" s="182"/>
      <c r="AX453" s="182"/>
      <c r="AY453" s="183"/>
      <c r="AZ453" s="183"/>
      <c r="BA453" s="182"/>
      <c r="BB453" s="182"/>
      <c r="BK453" s="183"/>
      <c r="BL453" s="183"/>
      <c r="BM453" s="182"/>
      <c r="BN453" s="182"/>
      <c r="BO453" s="183"/>
      <c r="BP453" s="183"/>
      <c r="BQ453" s="182"/>
      <c r="BR453" s="182"/>
      <c r="BS453" s="184" t="n">
        <v>51.7</v>
      </c>
      <c r="BT453" s="185" t="n">
        <v>40725</v>
      </c>
      <c r="BU453" s="184" t="n">
        <v>17.7</v>
      </c>
      <c r="BV453" s="185" t="n">
        <v>40725</v>
      </c>
      <c r="CL453" s="182"/>
      <c r="CM453" s="182"/>
    </row>
    <row r="454" customFormat="false" ht="12.75" hidden="false" customHeight="false" outlineLevel="0" collapsed="false">
      <c r="A454" s="204" t="s">
        <v>651</v>
      </c>
      <c r="B454" s="193" t="s">
        <v>782</v>
      </c>
      <c r="C454" s="193" t="s">
        <v>875</v>
      </c>
      <c r="D454" s="193"/>
      <c r="E454" s="194" t="n">
        <v>2</v>
      </c>
      <c r="F454" s="195" t="n">
        <v>11</v>
      </c>
      <c r="G454" s="119"/>
      <c r="H454" s="119"/>
      <c r="J454" s="118"/>
      <c r="K454" s="118"/>
      <c r="L454" s="181"/>
      <c r="N454" s="182"/>
      <c r="O454" s="182"/>
      <c r="S454" s="184" t="n">
        <v>1653</v>
      </c>
      <c r="T454" s="185" t="n">
        <v>40725</v>
      </c>
      <c r="U454" s="182"/>
      <c r="V454" s="182"/>
      <c r="W454" s="183"/>
      <c r="X454" s="183"/>
      <c r="Y454" s="184" t="n">
        <v>580</v>
      </c>
      <c r="Z454" s="185" t="n">
        <v>40725</v>
      </c>
      <c r="AA454" s="184" t="n">
        <v>87686</v>
      </c>
      <c r="AB454" s="185" t="n">
        <v>40725</v>
      </c>
      <c r="AC454" s="184" t="n">
        <v>33.2</v>
      </c>
      <c r="AD454" s="185" t="n">
        <v>40725</v>
      </c>
      <c r="AE454" s="196"/>
      <c r="AF454" s="185"/>
      <c r="AG454" s="184" t="n">
        <v>3.79</v>
      </c>
      <c r="AH454" s="185" t="n">
        <v>40725</v>
      </c>
      <c r="AI454" s="183"/>
      <c r="AJ454" s="183"/>
      <c r="AK454" s="182"/>
      <c r="AL454" s="182"/>
      <c r="AM454" s="184" t="n">
        <v>81</v>
      </c>
      <c r="AN454" s="183" t="n">
        <v>40630</v>
      </c>
      <c r="AO454" s="182"/>
      <c r="AP454" s="182"/>
      <c r="AQ454" s="183"/>
      <c r="AR454" s="183"/>
      <c r="AS454" s="182"/>
      <c r="AT454" s="182"/>
      <c r="AU454" s="183"/>
      <c r="AV454" s="183"/>
      <c r="AW454" s="182"/>
      <c r="AX454" s="182"/>
      <c r="AY454" s="183"/>
      <c r="AZ454" s="183"/>
      <c r="BA454" s="182"/>
      <c r="BB454" s="182"/>
      <c r="BK454" s="183"/>
      <c r="BL454" s="183"/>
      <c r="BM454" s="182"/>
      <c r="BN454" s="182"/>
      <c r="BO454" s="183"/>
      <c r="BP454" s="183"/>
      <c r="BQ454" s="182"/>
      <c r="BR454" s="182"/>
      <c r="BS454" s="184" t="n">
        <v>49.8</v>
      </c>
      <c r="BT454" s="185" t="n">
        <v>40725</v>
      </c>
      <c r="BU454" s="184" t="n">
        <v>17.5</v>
      </c>
      <c r="BV454" s="185" t="n">
        <v>40725</v>
      </c>
      <c r="CL454" s="182"/>
      <c r="CM454" s="182"/>
    </row>
    <row r="455" customFormat="false" ht="12.75" hidden="false" customHeight="false" outlineLevel="0" collapsed="false">
      <c r="A455" s="204" t="s">
        <v>651</v>
      </c>
      <c r="B455" s="193" t="s">
        <v>782</v>
      </c>
      <c r="C455" s="193" t="s">
        <v>876</v>
      </c>
      <c r="D455" s="193"/>
      <c r="E455" s="194" t="n">
        <v>7</v>
      </c>
      <c r="F455" s="195" t="n">
        <v>43</v>
      </c>
      <c r="G455" s="119"/>
      <c r="H455" s="119"/>
      <c r="J455" s="118"/>
      <c r="K455" s="118"/>
      <c r="L455" s="181"/>
      <c r="N455" s="182"/>
      <c r="O455" s="182"/>
      <c r="S455" s="184" t="n">
        <v>1559</v>
      </c>
      <c r="T455" s="185" t="n">
        <v>40725</v>
      </c>
      <c r="U455" s="182"/>
      <c r="V455" s="182"/>
      <c r="W455" s="183"/>
      <c r="X455" s="183"/>
      <c r="Y455" s="184" t="n">
        <v>510</v>
      </c>
      <c r="Z455" s="185" t="n">
        <v>40725</v>
      </c>
      <c r="AA455" s="184" t="n">
        <v>82280</v>
      </c>
      <c r="AB455" s="185" t="n">
        <v>40725</v>
      </c>
      <c r="AC455" s="184" t="n">
        <v>30.6</v>
      </c>
      <c r="AD455" s="185" t="n">
        <v>40725</v>
      </c>
      <c r="AE455" s="196"/>
      <c r="AF455" s="185"/>
      <c r="AG455" s="184" t="n">
        <v>3.72</v>
      </c>
      <c r="AH455" s="185" t="n">
        <v>40725</v>
      </c>
      <c r="AI455" s="183"/>
      <c r="AJ455" s="183"/>
      <c r="AK455" s="182"/>
      <c r="AL455" s="182"/>
      <c r="AM455" s="184" t="n">
        <v>77</v>
      </c>
      <c r="AN455" s="183" t="n">
        <v>40630</v>
      </c>
      <c r="AO455" s="182"/>
      <c r="AP455" s="182"/>
      <c r="AQ455" s="183"/>
      <c r="AR455" s="183"/>
      <c r="AS455" s="182"/>
      <c r="AT455" s="182"/>
      <c r="AU455" s="183"/>
      <c r="AV455" s="183"/>
      <c r="AW455" s="182"/>
      <c r="AX455" s="182"/>
      <c r="AY455" s="183"/>
      <c r="AZ455" s="183"/>
      <c r="BA455" s="182"/>
      <c r="BB455" s="182"/>
      <c r="BK455" s="183"/>
      <c r="BL455" s="183"/>
      <c r="BM455" s="182"/>
      <c r="BN455" s="182"/>
      <c r="BO455" s="183"/>
      <c r="BP455" s="183"/>
      <c r="BQ455" s="182"/>
      <c r="BR455" s="182"/>
      <c r="BS455" s="184" t="n">
        <v>50.9</v>
      </c>
      <c r="BT455" s="185" t="n">
        <v>40725</v>
      </c>
      <c r="BU455" s="184" t="n">
        <v>16.7</v>
      </c>
      <c r="BV455" s="185" t="n">
        <v>40725</v>
      </c>
      <c r="CL455" s="182"/>
      <c r="CM455" s="182"/>
    </row>
    <row r="456" customFormat="false" ht="12.75" hidden="false" customHeight="false" outlineLevel="0" collapsed="false">
      <c r="A456" s="204" t="s">
        <v>651</v>
      </c>
      <c r="B456" s="193" t="s">
        <v>782</v>
      </c>
      <c r="C456" s="193" t="s">
        <v>877</v>
      </c>
      <c r="D456" s="193"/>
      <c r="E456" s="119" t="n">
        <v>17</v>
      </c>
      <c r="F456" s="195" t="n">
        <v>75</v>
      </c>
      <c r="G456" s="119"/>
      <c r="H456" s="119"/>
      <c r="J456" s="118"/>
      <c r="K456" s="118"/>
      <c r="L456" s="181"/>
      <c r="N456" s="182"/>
      <c r="O456" s="182"/>
      <c r="S456" s="184" t="n">
        <v>1466</v>
      </c>
      <c r="T456" s="185" t="n">
        <v>40725</v>
      </c>
      <c r="U456" s="182"/>
      <c r="V456" s="182"/>
      <c r="W456" s="183"/>
      <c r="X456" s="183"/>
      <c r="Y456" s="184" t="n">
        <v>438</v>
      </c>
      <c r="Z456" s="185" t="n">
        <v>40725</v>
      </c>
      <c r="AA456" s="184" t="n">
        <v>75662</v>
      </c>
      <c r="AB456" s="185" t="n">
        <v>40725</v>
      </c>
      <c r="AC456" s="184" t="n">
        <v>28.3</v>
      </c>
      <c r="AD456" s="185" t="n">
        <v>40725</v>
      </c>
      <c r="AE456" s="196"/>
      <c r="AF456" s="185"/>
      <c r="AG456" s="184" t="n">
        <v>3.74</v>
      </c>
      <c r="AH456" s="185" t="n">
        <v>40725</v>
      </c>
      <c r="AI456" s="183"/>
      <c r="AJ456" s="183"/>
      <c r="AK456" s="182"/>
      <c r="AL456" s="182"/>
      <c r="AM456" s="184" t="n">
        <v>77</v>
      </c>
      <c r="AN456" s="183" t="n">
        <v>40630</v>
      </c>
      <c r="AO456" s="182"/>
      <c r="AP456" s="182"/>
      <c r="AQ456" s="183"/>
      <c r="AR456" s="183"/>
      <c r="AS456" s="182"/>
      <c r="AT456" s="182"/>
      <c r="AU456" s="183"/>
      <c r="AV456" s="183"/>
      <c r="AW456" s="182"/>
      <c r="AX456" s="182"/>
      <c r="AY456" s="183"/>
      <c r="AZ456" s="183"/>
      <c r="BA456" s="182"/>
      <c r="BB456" s="182"/>
      <c r="BK456" s="183"/>
      <c r="BL456" s="183"/>
      <c r="BM456" s="182"/>
      <c r="BN456" s="182"/>
      <c r="BO456" s="183"/>
      <c r="BP456" s="183"/>
      <c r="BQ456" s="182"/>
      <c r="BR456" s="182"/>
      <c r="BS456" s="184" t="n">
        <v>51.9</v>
      </c>
      <c r="BT456" s="185" t="n">
        <v>40725</v>
      </c>
      <c r="BU456" s="184" t="n">
        <v>15.5</v>
      </c>
      <c r="BV456" s="185" t="n">
        <v>40725</v>
      </c>
      <c r="CL456" s="182"/>
      <c r="CM456" s="182"/>
    </row>
    <row r="457" customFormat="false" ht="12.75" hidden="false" customHeight="false" outlineLevel="0" collapsed="false">
      <c r="A457" s="204" t="s">
        <v>651</v>
      </c>
      <c r="B457" s="193" t="s">
        <v>785</v>
      </c>
      <c r="C457" s="193" t="s">
        <v>875</v>
      </c>
      <c r="D457" s="193"/>
      <c r="E457" s="194" t="n">
        <v>7</v>
      </c>
      <c r="F457" s="195" t="n">
        <v>2</v>
      </c>
      <c r="G457" s="119"/>
      <c r="H457" s="119"/>
      <c r="J457" s="118"/>
      <c r="K457" s="118"/>
      <c r="L457" s="181"/>
      <c r="N457" s="182"/>
      <c r="O457" s="182"/>
      <c r="S457" s="184" t="n">
        <v>2251</v>
      </c>
      <c r="T457" s="185" t="n">
        <v>40725</v>
      </c>
      <c r="U457" s="182"/>
      <c r="V457" s="182"/>
      <c r="W457" s="183"/>
      <c r="X457" s="183"/>
      <c r="Y457" s="184" t="n">
        <v>752</v>
      </c>
      <c r="Z457" s="185" t="n">
        <v>40725</v>
      </c>
      <c r="AA457" s="184" t="n">
        <v>109877</v>
      </c>
      <c r="AB457" s="185" t="n">
        <v>40725</v>
      </c>
      <c r="AC457" s="184" t="n">
        <v>44.3</v>
      </c>
      <c r="AD457" s="185" t="n">
        <v>40725</v>
      </c>
      <c r="AE457" s="196"/>
      <c r="AF457" s="185"/>
      <c r="AG457" s="184" t="n">
        <v>4.03</v>
      </c>
      <c r="AH457" s="185" t="n">
        <v>40725</v>
      </c>
      <c r="AI457" s="183"/>
      <c r="AJ457" s="183"/>
      <c r="AK457" s="182"/>
      <c r="AL457" s="182"/>
      <c r="AM457" s="184" t="n">
        <v>82</v>
      </c>
      <c r="AN457" s="183" t="n">
        <v>40630</v>
      </c>
      <c r="AO457" s="182"/>
      <c r="AP457" s="182"/>
      <c r="AQ457" s="183"/>
      <c r="AR457" s="183"/>
      <c r="AS457" s="182"/>
      <c r="AT457" s="182"/>
      <c r="AU457" s="183"/>
      <c r="AV457" s="183"/>
      <c r="AW457" s="182"/>
      <c r="AX457" s="182"/>
      <c r="AY457" s="183"/>
      <c r="AZ457" s="183"/>
      <c r="BA457" s="182"/>
      <c r="BB457" s="182"/>
      <c r="BK457" s="183"/>
      <c r="BL457" s="183"/>
      <c r="BM457" s="182"/>
      <c r="BN457" s="182"/>
      <c r="BO457" s="183"/>
      <c r="BP457" s="183"/>
      <c r="BQ457" s="182"/>
      <c r="BR457" s="182"/>
      <c r="BS457" s="184" t="n">
        <v>50.8</v>
      </c>
      <c r="BT457" s="185" t="n">
        <v>40725</v>
      </c>
      <c r="BU457" s="184" t="n">
        <v>17</v>
      </c>
      <c r="BV457" s="185" t="n">
        <v>40725</v>
      </c>
      <c r="CL457" s="182"/>
      <c r="CM457" s="182"/>
    </row>
    <row r="458" customFormat="false" ht="12.75" hidden="false" customHeight="false" outlineLevel="0" collapsed="false">
      <c r="A458" s="204" t="s">
        <v>651</v>
      </c>
      <c r="B458" s="193" t="s">
        <v>785</v>
      </c>
      <c r="C458" s="193" t="s">
        <v>876</v>
      </c>
      <c r="D458" s="193"/>
      <c r="E458" s="194" t="n">
        <v>3</v>
      </c>
      <c r="F458" s="195" t="n">
        <v>38</v>
      </c>
      <c r="G458" s="119"/>
      <c r="H458" s="119"/>
      <c r="J458" s="118"/>
      <c r="K458" s="118"/>
      <c r="L458" s="181"/>
      <c r="N458" s="182"/>
      <c r="O458" s="182"/>
      <c r="S458" s="184" t="n">
        <v>1883</v>
      </c>
      <c r="T458" s="185" t="n">
        <v>40725</v>
      </c>
      <c r="U458" s="182"/>
      <c r="V458" s="182"/>
      <c r="W458" s="183"/>
      <c r="X458" s="183"/>
      <c r="Y458" s="184" t="n">
        <v>689</v>
      </c>
      <c r="Z458" s="185" t="n">
        <v>40725</v>
      </c>
      <c r="AA458" s="184" t="n">
        <v>93525</v>
      </c>
      <c r="AB458" s="185" t="n">
        <v>40725</v>
      </c>
      <c r="AC458" s="184" t="n">
        <v>37.6</v>
      </c>
      <c r="AD458" s="185" t="n">
        <v>40725</v>
      </c>
      <c r="AE458" s="196"/>
      <c r="AF458" s="185"/>
      <c r="AG458" s="184" t="n">
        <v>4.02</v>
      </c>
      <c r="AH458" s="185" t="n">
        <v>40725</v>
      </c>
      <c r="AI458" s="183"/>
      <c r="AJ458" s="183"/>
      <c r="AK458" s="182"/>
      <c r="AL458" s="182"/>
      <c r="AM458" s="184" t="n">
        <v>80</v>
      </c>
      <c r="AN458" s="183" t="n">
        <v>40630</v>
      </c>
      <c r="AO458" s="182"/>
      <c r="AP458" s="182"/>
      <c r="AQ458" s="183"/>
      <c r="AR458" s="183"/>
      <c r="AS458" s="182"/>
      <c r="AT458" s="182"/>
      <c r="AU458" s="183"/>
      <c r="AV458" s="183"/>
      <c r="AW458" s="182"/>
      <c r="AX458" s="182"/>
      <c r="AY458" s="183"/>
      <c r="AZ458" s="183"/>
      <c r="BA458" s="182"/>
      <c r="BB458" s="182"/>
      <c r="BK458" s="183"/>
      <c r="BL458" s="183"/>
      <c r="BM458" s="182"/>
      <c r="BN458" s="182"/>
      <c r="BO458" s="183"/>
      <c r="BP458" s="183"/>
      <c r="BQ458" s="182"/>
      <c r="BR458" s="182"/>
      <c r="BS458" s="184" t="n">
        <v>50.1</v>
      </c>
      <c r="BT458" s="185" t="n">
        <v>40725</v>
      </c>
      <c r="BU458" s="184" t="n">
        <v>18.3</v>
      </c>
      <c r="BV458" s="185" t="n">
        <v>40725</v>
      </c>
      <c r="CL458" s="182"/>
      <c r="CM458" s="182"/>
    </row>
    <row r="459" customFormat="false" ht="12.75" hidden="false" customHeight="false" outlineLevel="0" collapsed="false">
      <c r="A459" s="204" t="s">
        <v>651</v>
      </c>
      <c r="B459" s="193" t="s">
        <v>785</v>
      </c>
      <c r="C459" s="193" t="s">
        <v>877</v>
      </c>
      <c r="D459" s="193"/>
      <c r="E459" s="119" t="n">
        <v>22</v>
      </c>
      <c r="F459" s="195" t="n">
        <v>85</v>
      </c>
      <c r="G459" s="119"/>
      <c r="H459" s="119"/>
      <c r="J459" s="118"/>
      <c r="K459" s="118"/>
      <c r="L459" s="181"/>
      <c r="N459" s="182"/>
      <c r="O459" s="182"/>
      <c r="S459" s="184" t="n">
        <v>1741</v>
      </c>
      <c r="T459" s="185" t="n">
        <v>40725</v>
      </c>
      <c r="U459" s="182"/>
      <c r="V459" s="182"/>
      <c r="W459" s="183"/>
      <c r="X459" s="183"/>
      <c r="Y459" s="184" t="n">
        <v>622</v>
      </c>
      <c r="Z459" s="185" t="n">
        <v>40725</v>
      </c>
      <c r="AA459" s="184" t="n">
        <v>88992</v>
      </c>
      <c r="AB459" s="185" t="n">
        <v>40725</v>
      </c>
      <c r="AC459" s="184" t="n">
        <v>34.7</v>
      </c>
      <c r="AD459" s="185" t="n">
        <v>40725</v>
      </c>
      <c r="AE459" s="196"/>
      <c r="AF459" s="185"/>
      <c r="AG459" s="184" t="n">
        <v>3.9</v>
      </c>
      <c r="AH459" s="185" t="n">
        <v>40725</v>
      </c>
      <c r="AI459" s="183"/>
      <c r="AJ459" s="183"/>
      <c r="AK459" s="182"/>
      <c r="AL459" s="182"/>
      <c r="AM459" s="184" t="n">
        <v>81</v>
      </c>
      <c r="AN459" s="183" t="n">
        <v>40630</v>
      </c>
      <c r="AO459" s="182"/>
      <c r="AP459" s="182"/>
      <c r="AQ459" s="183"/>
      <c r="AR459" s="183"/>
      <c r="AS459" s="182"/>
      <c r="AT459" s="182"/>
      <c r="AU459" s="183"/>
      <c r="AV459" s="183"/>
      <c r="AW459" s="182"/>
      <c r="AX459" s="182"/>
      <c r="AY459" s="183"/>
      <c r="AZ459" s="183"/>
      <c r="BA459" s="182"/>
      <c r="BB459" s="182"/>
      <c r="BK459" s="183"/>
      <c r="BL459" s="183"/>
      <c r="BM459" s="182"/>
      <c r="BN459" s="182"/>
      <c r="BO459" s="183"/>
      <c r="BP459" s="183"/>
      <c r="BQ459" s="182"/>
      <c r="BR459" s="182"/>
      <c r="BS459" s="184" t="n">
        <v>50.2</v>
      </c>
      <c r="BT459" s="185" t="n">
        <v>40725</v>
      </c>
      <c r="BU459" s="184" t="n">
        <v>17.9</v>
      </c>
      <c r="BV459" s="185" t="n">
        <v>40725</v>
      </c>
      <c r="CL459" s="182"/>
      <c r="CM459" s="182"/>
    </row>
    <row r="460" customFormat="false" ht="12.75" hidden="false" customHeight="false" outlineLevel="0" collapsed="false">
      <c r="A460" s="204" t="s">
        <v>654</v>
      </c>
      <c r="B460" s="193" t="s">
        <v>782</v>
      </c>
      <c r="C460" s="193" t="s">
        <v>875</v>
      </c>
      <c r="D460" s="193"/>
      <c r="E460" s="194" t="n">
        <v>3</v>
      </c>
      <c r="F460" s="195" t="n">
        <v>5</v>
      </c>
      <c r="G460" s="119"/>
      <c r="H460" s="119"/>
      <c r="J460" s="118"/>
      <c r="K460" s="118"/>
      <c r="L460" s="181"/>
      <c r="N460" s="182"/>
      <c r="O460" s="182"/>
      <c r="S460" s="184" t="n">
        <v>1837</v>
      </c>
      <c r="T460" s="185" t="n">
        <v>40725</v>
      </c>
      <c r="U460" s="182"/>
      <c r="V460" s="182"/>
      <c r="W460" s="183"/>
      <c r="X460" s="183"/>
      <c r="Y460" s="184" t="n">
        <v>533</v>
      </c>
      <c r="Z460" s="185" t="n">
        <v>40725</v>
      </c>
      <c r="AA460" s="184" t="n">
        <v>96187</v>
      </c>
      <c r="AB460" s="185" t="n">
        <v>40725</v>
      </c>
      <c r="AC460" s="184" t="n">
        <v>34.4</v>
      </c>
      <c r="AD460" s="185" t="n">
        <v>40725</v>
      </c>
      <c r="AE460" s="196"/>
      <c r="AF460" s="185"/>
      <c r="AG460" s="184" t="n">
        <v>3.58</v>
      </c>
      <c r="AH460" s="185" t="n">
        <v>40725</v>
      </c>
      <c r="AI460" s="183"/>
      <c r="AJ460" s="183"/>
      <c r="AK460" s="182"/>
      <c r="AL460" s="182"/>
      <c r="AM460" s="184" t="n">
        <v>88</v>
      </c>
      <c r="AN460" s="183" t="n">
        <v>40630</v>
      </c>
      <c r="AO460" s="182"/>
      <c r="AP460" s="182"/>
      <c r="AQ460" s="183"/>
      <c r="AR460" s="183"/>
      <c r="AS460" s="182"/>
      <c r="AT460" s="182"/>
      <c r="AU460" s="183"/>
      <c r="AV460" s="183"/>
      <c r="AW460" s="182"/>
      <c r="AX460" s="182"/>
      <c r="AY460" s="183"/>
      <c r="AZ460" s="183"/>
      <c r="BA460" s="182"/>
      <c r="BB460" s="182"/>
      <c r="BK460" s="183"/>
      <c r="BL460" s="183"/>
      <c r="BM460" s="182"/>
      <c r="BN460" s="182"/>
      <c r="BO460" s="183"/>
      <c r="BP460" s="183"/>
      <c r="BQ460" s="182"/>
      <c r="BR460" s="182"/>
      <c r="BS460" s="184" t="n">
        <v>53.4</v>
      </c>
      <c r="BT460" s="185" t="n">
        <v>40725</v>
      </c>
      <c r="BU460" s="184" t="n">
        <v>15.5</v>
      </c>
      <c r="BV460" s="185" t="n">
        <v>40725</v>
      </c>
      <c r="CL460" s="182"/>
      <c r="CM460" s="182"/>
    </row>
    <row r="461" customFormat="false" ht="12.75" hidden="false" customHeight="false" outlineLevel="0" collapsed="false">
      <c r="A461" s="204" t="s">
        <v>654</v>
      </c>
      <c r="B461" s="193" t="s">
        <v>782</v>
      </c>
      <c r="C461" s="193" t="s">
        <v>876</v>
      </c>
      <c r="D461" s="193"/>
      <c r="E461" s="194" t="n">
        <v>6</v>
      </c>
      <c r="F461" s="195" t="n">
        <v>35</v>
      </c>
      <c r="G461" s="119"/>
      <c r="H461" s="119"/>
      <c r="J461" s="118"/>
      <c r="K461" s="118"/>
      <c r="L461" s="181"/>
      <c r="N461" s="182"/>
      <c r="O461" s="182"/>
      <c r="S461" s="184" t="n">
        <v>1692</v>
      </c>
      <c r="T461" s="185" t="n">
        <v>40725</v>
      </c>
      <c r="U461" s="182"/>
      <c r="V461" s="182"/>
      <c r="W461" s="183"/>
      <c r="X461" s="183"/>
      <c r="Y461" s="184" t="n">
        <v>454</v>
      </c>
      <c r="Z461" s="185" t="n">
        <v>40725</v>
      </c>
      <c r="AA461" s="184" t="n">
        <v>86110</v>
      </c>
      <c r="AB461" s="185" t="n">
        <v>40725</v>
      </c>
      <c r="AC461" s="184" t="n">
        <v>31.1</v>
      </c>
      <c r="AD461" s="185" t="n">
        <v>40725</v>
      </c>
      <c r="AE461" s="196"/>
      <c r="AF461" s="185"/>
      <c r="AG461" s="184" t="n">
        <v>3.61</v>
      </c>
      <c r="AH461" s="185" t="n">
        <v>40725</v>
      </c>
      <c r="AI461" s="183"/>
      <c r="AJ461" s="183"/>
      <c r="AK461" s="182"/>
      <c r="AL461" s="182"/>
      <c r="AM461" s="184" t="n">
        <v>87</v>
      </c>
      <c r="AN461" s="183" t="n">
        <v>40630</v>
      </c>
      <c r="AO461" s="182"/>
      <c r="AP461" s="182"/>
      <c r="AQ461" s="183"/>
      <c r="AR461" s="183"/>
      <c r="AS461" s="182"/>
      <c r="AT461" s="182"/>
      <c r="AU461" s="183"/>
      <c r="AV461" s="183"/>
      <c r="AW461" s="182"/>
      <c r="AX461" s="182"/>
      <c r="AY461" s="183"/>
      <c r="AZ461" s="183"/>
      <c r="BA461" s="182"/>
      <c r="BB461" s="182"/>
      <c r="BK461" s="183"/>
      <c r="BL461" s="183"/>
      <c r="BM461" s="182"/>
      <c r="BN461" s="182"/>
      <c r="BO461" s="183"/>
      <c r="BP461" s="183"/>
      <c r="BQ461" s="182"/>
      <c r="BR461" s="182"/>
      <c r="BS461" s="184" t="n">
        <v>54.4</v>
      </c>
      <c r="BT461" s="185" t="n">
        <v>40725</v>
      </c>
      <c r="BU461" s="184" t="n">
        <v>14.6</v>
      </c>
      <c r="BV461" s="185" t="n">
        <v>40725</v>
      </c>
      <c r="CL461" s="182"/>
      <c r="CM461" s="182"/>
    </row>
    <row r="462" customFormat="false" ht="12.75" hidden="false" customHeight="false" outlineLevel="0" collapsed="false">
      <c r="A462" s="204" t="s">
        <v>654</v>
      </c>
      <c r="B462" s="193" t="s">
        <v>782</v>
      </c>
      <c r="C462" s="193" t="s">
        <v>877</v>
      </c>
      <c r="D462" s="193"/>
      <c r="E462" s="119" t="n">
        <v>15</v>
      </c>
      <c r="F462" s="195" t="n">
        <v>78</v>
      </c>
      <c r="G462" s="119"/>
      <c r="H462" s="119"/>
      <c r="J462" s="118"/>
      <c r="K462" s="118"/>
      <c r="L462" s="181"/>
      <c r="N462" s="182"/>
      <c r="O462" s="182"/>
      <c r="S462" s="184" t="n">
        <v>1564</v>
      </c>
      <c r="T462" s="185" t="n">
        <v>40725</v>
      </c>
      <c r="U462" s="182"/>
      <c r="V462" s="182"/>
      <c r="W462" s="183"/>
      <c r="X462" s="183"/>
      <c r="Y462" s="184" t="n">
        <v>476</v>
      </c>
      <c r="Z462" s="185" t="n">
        <v>40725</v>
      </c>
      <c r="AA462" s="184" t="n">
        <v>78583</v>
      </c>
      <c r="AB462" s="185" t="n">
        <v>40725</v>
      </c>
      <c r="AC462" s="184" t="n">
        <v>29.4</v>
      </c>
      <c r="AD462" s="185" t="n">
        <v>40725</v>
      </c>
      <c r="AE462" s="196"/>
      <c r="AF462" s="185"/>
      <c r="AG462" s="184" t="n">
        <v>3.74</v>
      </c>
      <c r="AH462" s="185" t="n">
        <v>40725</v>
      </c>
      <c r="AI462" s="183"/>
      <c r="AJ462" s="183"/>
      <c r="AK462" s="182"/>
      <c r="AL462" s="182"/>
      <c r="AM462" s="184" t="n">
        <v>87</v>
      </c>
      <c r="AN462" s="183" t="n">
        <v>40630</v>
      </c>
      <c r="AO462" s="182"/>
      <c r="AP462" s="182"/>
      <c r="AQ462" s="183"/>
      <c r="AR462" s="183"/>
      <c r="AS462" s="182"/>
      <c r="AT462" s="182"/>
      <c r="AU462" s="183"/>
      <c r="AV462" s="183"/>
      <c r="AW462" s="182"/>
      <c r="AX462" s="182"/>
      <c r="AY462" s="183"/>
      <c r="AZ462" s="183"/>
      <c r="BA462" s="182"/>
      <c r="BB462" s="182"/>
      <c r="BK462" s="183"/>
      <c r="BL462" s="183"/>
      <c r="BM462" s="182"/>
      <c r="BN462" s="182"/>
      <c r="BO462" s="183"/>
      <c r="BP462" s="183"/>
      <c r="BQ462" s="182"/>
      <c r="BR462" s="182"/>
      <c r="BS462" s="184" t="n">
        <v>53.3</v>
      </c>
      <c r="BT462" s="185" t="n">
        <v>40725</v>
      </c>
      <c r="BU462" s="184" t="n">
        <v>16.2</v>
      </c>
      <c r="BV462" s="185" t="n">
        <v>40725</v>
      </c>
      <c r="CL462" s="182"/>
      <c r="CM462" s="182"/>
    </row>
    <row r="463" customFormat="false" ht="12.75" hidden="false" customHeight="false" outlineLevel="0" collapsed="false">
      <c r="A463" s="204" t="s">
        <v>654</v>
      </c>
      <c r="B463" s="193" t="s">
        <v>785</v>
      </c>
      <c r="C463" s="193" t="s">
        <v>875</v>
      </c>
      <c r="D463" s="193"/>
      <c r="E463" s="194" t="n">
        <v>6</v>
      </c>
      <c r="F463" s="195" t="n">
        <v>26</v>
      </c>
      <c r="G463" s="119"/>
      <c r="H463" s="119"/>
      <c r="J463" s="118"/>
      <c r="K463" s="118"/>
      <c r="L463" s="181"/>
      <c r="N463" s="182"/>
      <c r="O463" s="182"/>
      <c r="S463" s="184" t="n">
        <v>2277</v>
      </c>
      <c r="T463" s="185" t="n">
        <v>40725</v>
      </c>
      <c r="U463" s="182"/>
      <c r="V463" s="182"/>
      <c r="W463" s="183"/>
      <c r="X463" s="183"/>
      <c r="Y463" s="184" t="n">
        <v>687</v>
      </c>
      <c r="Z463" s="185" t="n">
        <v>40725</v>
      </c>
      <c r="AA463" s="184" t="n">
        <v>119841</v>
      </c>
      <c r="AB463" s="185" t="n">
        <v>40725</v>
      </c>
      <c r="AC463" s="184" t="n">
        <v>42.8</v>
      </c>
      <c r="AD463" s="185" t="n">
        <v>40725</v>
      </c>
      <c r="AE463" s="196"/>
      <c r="AF463" s="185"/>
      <c r="AG463" s="184" t="n">
        <v>3.57</v>
      </c>
      <c r="AH463" s="185" t="n">
        <v>40725</v>
      </c>
      <c r="AI463" s="183"/>
      <c r="AJ463" s="183"/>
      <c r="AK463" s="182"/>
      <c r="AL463" s="182"/>
      <c r="AM463" s="184" t="n">
        <v>90</v>
      </c>
      <c r="AN463" s="183" t="n">
        <v>40630</v>
      </c>
      <c r="AO463" s="182"/>
      <c r="AP463" s="182"/>
      <c r="AQ463" s="183"/>
      <c r="AR463" s="183"/>
      <c r="AS463" s="182"/>
      <c r="AT463" s="182"/>
      <c r="AU463" s="183"/>
      <c r="AV463" s="183"/>
      <c r="AW463" s="182"/>
      <c r="AX463" s="182"/>
      <c r="AY463" s="183"/>
      <c r="AZ463" s="183"/>
      <c r="BA463" s="182"/>
      <c r="BB463" s="182"/>
      <c r="BK463" s="183"/>
      <c r="BL463" s="183"/>
      <c r="BM463" s="182"/>
      <c r="BN463" s="182"/>
      <c r="BO463" s="183"/>
      <c r="BP463" s="183"/>
      <c r="BQ463" s="182"/>
      <c r="BR463" s="182"/>
      <c r="BS463" s="184" t="n">
        <v>53.2</v>
      </c>
      <c r="BT463" s="185" t="n">
        <v>40725</v>
      </c>
      <c r="BU463" s="184" t="n">
        <v>16.1</v>
      </c>
      <c r="BV463" s="185" t="n">
        <v>40725</v>
      </c>
      <c r="CL463" s="182"/>
      <c r="CM463" s="182"/>
    </row>
    <row r="464" customFormat="false" ht="12.75" hidden="false" customHeight="false" outlineLevel="0" collapsed="false">
      <c r="A464" s="204" t="s">
        <v>654</v>
      </c>
      <c r="B464" s="193" t="s">
        <v>785</v>
      </c>
      <c r="C464" s="193" t="s">
        <v>876</v>
      </c>
      <c r="D464" s="193"/>
      <c r="E464" s="194" t="n">
        <v>1</v>
      </c>
      <c r="F464" s="195" t="n">
        <v>45</v>
      </c>
      <c r="G464" s="119"/>
      <c r="H464" s="119"/>
      <c r="J464" s="118"/>
      <c r="K464" s="118"/>
      <c r="L464" s="181"/>
      <c r="N464" s="182"/>
      <c r="O464" s="182"/>
      <c r="S464" s="184" t="n">
        <v>2045</v>
      </c>
      <c r="T464" s="185" t="n">
        <v>40725</v>
      </c>
      <c r="U464" s="182"/>
      <c r="V464" s="182"/>
      <c r="W464" s="183"/>
      <c r="X464" s="183"/>
      <c r="Y464" s="184" t="n">
        <v>641</v>
      </c>
      <c r="Z464" s="185" t="n">
        <v>40725</v>
      </c>
      <c r="AA464" s="184" t="n">
        <v>102206</v>
      </c>
      <c r="AB464" s="185" t="n">
        <v>40725</v>
      </c>
      <c r="AC464" s="184" t="n">
        <v>38.7</v>
      </c>
      <c r="AD464" s="185" t="n">
        <v>40725</v>
      </c>
      <c r="AE464" s="196"/>
      <c r="AF464" s="185"/>
      <c r="AG464" s="184" t="n">
        <v>3.79</v>
      </c>
      <c r="AH464" s="185" t="n">
        <v>40725</v>
      </c>
      <c r="AI464" s="183"/>
      <c r="AJ464" s="183"/>
      <c r="AK464" s="182"/>
      <c r="AL464" s="182"/>
      <c r="AM464" s="184" t="n">
        <v>89</v>
      </c>
      <c r="AN464" s="183" t="n">
        <v>40630</v>
      </c>
      <c r="AO464" s="182"/>
      <c r="AP464" s="182"/>
      <c r="AQ464" s="183"/>
      <c r="AR464" s="183"/>
      <c r="AS464" s="182"/>
      <c r="AT464" s="182"/>
      <c r="AU464" s="183"/>
      <c r="AV464" s="183"/>
      <c r="AW464" s="182"/>
      <c r="AX464" s="182"/>
      <c r="AY464" s="183"/>
      <c r="AZ464" s="183"/>
      <c r="BA464" s="182"/>
      <c r="BB464" s="182"/>
      <c r="BK464" s="183"/>
      <c r="BL464" s="183"/>
      <c r="BM464" s="182"/>
      <c r="BN464" s="182"/>
      <c r="BO464" s="183"/>
      <c r="BP464" s="183"/>
      <c r="BQ464" s="182"/>
      <c r="BR464" s="182"/>
      <c r="BS464" s="184" t="n">
        <v>52.8</v>
      </c>
      <c r="BT464" s="185" t="n">
        <v>40725</v>
      </c>
      <c r="BU464" s="184" t="n">
        <v>16.6</v>
      </c>
      <c r="BV464" s="185" t="n">
        <v>40725</v>
      </c>
      <c r="CL464" s="182"/>
      <c r="CM464" s="182"/>
    </row>
    <row r="465" customFormat="false" ht="12.75" hidden="false" customHeight="false" outlineLevel="0" collapsed="false">
      <c r="A465" s="204" t="s">
        <v>654</v>
      </c>
      <c r="B465" s="193" t="s">
        <v>785</v>
      </c>
      <c r="C465" s="193" t="s">
        <v>877</v>
      </c>
      <c r="D465" s="193"/>
      <c r="E465" s="119" t="n">
        <v>24</v>
      </c>
      <c r="F465" s="195" t="n">
        <v>73</v>
      </c>
      <c r="G465" s="119"/>
      <c r="H465" s="119"/>
      <c r="J465" s="118"/>
      <c r="K465" s="118"/>
      <c r="L465" s="181"/>
      <c r="N465" s="182"/>
      <c r="O465" s="182"/>
      <c r="S465" s="184" t="n">
        <v>2108</v>
      </c>
      <c r="T465" s="185" t="n">
        <v>40725</v>
      </c>
      <c r="U465" s="182"/>
      <c r="V465" s="182"/>
      <c r="W465" s="183"/>
      <c r="X465" s="183"/>
      <c r="Y465" s="184" t="n">
        <v>664</v>
      </c>
      <c r="Z465" s="185" t="n">
        <v>40725</v>
      </c>
      <c r="AA465" s="184" t="n">
        <v>105233</v>
      </c>
      <c r="AB465" s="185" t="n">
        <v>40725</v>
      </c>
      <c r="AC465" s="184" t="n">
        <v>39.9</v>
      </c>
      <c r="AD465" s="185" t="n">
        <v>40725</v>
      </c>
      <c r="AE465" s="196"/>
      <c r="AF465" s="185"/>
      <c r="AG465" s="184" t="n">
        <v>3.79</v>
      </c>
      <c r="AH465" s="185" t="n">
        <v>40725</v>
      </c>
      <c r="AI465" s="183"/>
      <c r="AJ465" s="183"/>
      <c r="AK465" s="182"/>
      <c r="AL465" s="182"/>
      <c r="AM465" s="184" t="n">
        <v>88</v>
      </c>
      <c r="AN465" s="183" t="n">
        <v>40630</v>
      </c>
      <c r="AO465" s="182"/>
      <c r="AP465" s="182"/>
      <c r="AQ465" s="183"/>
      <c r="AR465" s="183"/>
      <c r="AS465" s="182"/>
      <c r="AT465" s="182"/>
      <c r="AU465" s="183"/>
      <c r="AV465" s="183"/>
      <c r="AW465" s="182"/>
      <c r="AX465" s="182"/>
      <c r="AY465" s="183"/>
      <c r="AZ465" s="183"/>
      <c r="BA465" s="182"/>
      <c r="BB465" s="182"/>
      <c r="BK465" s="183"/>
      <c r="BL465" s="183"/>
      <c r="BM465" s="182"/>
      <c r="BN465" s="182"/>
      <c r="BO465" s="183"/>
      <c r="BP465" s="183"/>
      <c r="BQ465" s="182"/>
      <c r="BR465" s="182"/>
      <c r="BS465" s="184" t="n">
        <v>52.8</v>
      </c>
      <c r="BT465" s="185" t="n">
        <v>40725</v>
      </c>
      <c r="BU465" s="184" t="n">
        <v>16.6</v>
      </c>
      <c r="BV465" s="185" t="n">
        <v>40725</v>
      </c>
      <c r="CL465" s="182"/>
      <c r="CM465" s="182"/>
    </row>
    <row r="466" customFormat="false" ht="12.75" hidden="false" customHeight="false" outlineLevel="0" collapsed="false">
      <c r="A466" s="204" t="s">
        <v>657</v>
      </c>
      <c r="B466" s="193" t="s">
        <v>782</v>
      </c>
      <c r="C466" s="193" t="s">
        <v>875</v>
      </c>
      <c r="D466" s="193"/>
      <c r="E466" s="194" t="n">
        <v>2</v>
      </c>
      <c r="F466" s="195" t="n">
        <v>10</v>
      </c>
      <c r="G466" s="119"/>
      <c r="H466" s="119"/>
      <c r="J466" s="118"/>
      <c r="K466" s="118"/>
      <c r="L466" s="181"/>
      <c r="N466" s="182"/>
      <c r="O466" s="182"/>
      <c r="S466" s="184" t="n">
        <v>1806</v>
      </c>
      <c r="T466" s="185" t="n">
        <v>40725</v>
      </c>
      <c r="U466" s="182"/>
      <c r="V466" s="182"/>
      <c r="W466" s="183"/>
      <c r="X466" s="183"/>
      <c r="Y466" s="184" t="n">
        <v>489</v>
      </c>
      <c r="Z466" s="185" t="n">
        <v>40725</v>
      </c>
      <c r="AA466" s="184" t="n">
        <v>82375</v>
      </c>
      <c r="AB466" s="185" t="n">
        <v>40725</v>
      </c>
      <c r="AC466" s="184" t="n">
        <v>33.5</v>
      </c>
      <c r="AD466" s="185" t="n">
        <v>40725</v>
      </c>
      <c r="AE466" s="196"/>
      <c r="AF466" s="185"/>
      <c r="AG466" s="184" t="n">
        <v>4.06</v>
      </c>
      <c r="AH466" s="185" t="n">
        <v>40725</v>
      </c>
      <c r="AI466" s="183"/>
      <c r="AJ466" s="183"/>
      <c r="AK466" s="182"/>
      <c r="AL466" s="182"/>
      <c r="AM466" s="184" t="n">
        <v>87</v>
      </c>
      <c r="AN466" s="183" t="n">
        <v>40630</v>
      </c>
      <c r="AO466" s="182"/>
      <c r="AP466" s="182"/>
      <c r="AQ466" s="183"/>
      <c r="AR466" s="183"/>
      <c r="AS466" s="182"/>
      <c r="AT466" s="182"/>
      <c r="AU466" s="183"/>
      <c r="AV466" s="183"/>
      <c r="AW466" s="182"/>
      <c r="AX466" s="182"/>
      <c r="AY466" s="183"/>
      <c r="AZ466" s="183"/>
      <c r="BA466" s="182"/>
      <c r="BB466" s="182"/>
      <c r="BK466" s="183"/>
      <c r="BL466" s="183"/>
      <c r="BM466" s="182"/>
      <c r="BN466" s="182"/>
      <c r="BO466" s="183"/>
      <c r="BP466" s="183"/>
      <c r="BQ466" s="182"/>
      <c r="BR466" s="182"/>
      <c r="BS466" s="184" t="n">
        <v>54</v>
      </c>
      <c r="BT466" s="185" t="n">
        <v>40725</v>
      </c>
      <c r="BU466" s="184" t="n">
        <v>14.6</v>
      </c>
      <c r="BV466" s="185" t="n">
        <v>40725</v>
      </c>
      <c r="CL466" s="182"/>
      <c r="CM466" s="182"/>
    </row>
    <row r="467" customFormat="false" ht="12.75" hidden="false" customHeight="false" outlineLevel="0" collapsed="false">
      <c r="A467" s="204" t="s">
        <v>657</v>
      </c>
      <c r="B467" s="193" t="s">
        <v>782</v>
      </c>
      <c r="C467" s="193" t="s">
        <v>876</v>
      </c>
      <c r="D467" s="193"/>
      <c r="E467" s="194" t="n">
        <v>8</v>
      </c>
      <c r="F467" s="195" t="n">
        <v>41</v>
      </c>
      <c r="G467" s="119"/>
      <c r="H467" s="119"/>
      <c r="J467" s="118"/>
      <c r="K467" s="118"/>
      <c r="L467" s="181"/>
      <c r="N467" s="182"/>
      <c r="O467" s="182"/>
      <c r="S467" s="184" t="n">
        <v>2092</v>
      </c>
      <c r="T467" s="185" t="n">
        <v>40725</v>
      </c>
      <c r="U467" s="182"/>
      <c r="V467" s="182"/>
      <c r="W467" s="183"/>
      <c r="X467" s="183"/>
      <c r="Y467" s="184" t="n">
        <v>526</v>
      </c>
      <c r="Z467" s="185" t="n">
        <v>40725</v>
      </c>
      <c r="AA467" s="184" t="n">
        <v>93652</v>
      </c>
      <c r="AB467" s="185" t="n">
        <v>40725</v>
      </c>
      <c r="AC467" s="184" t="n">
        <v>38.2</v>
      </c>
      <c r="AD467" s="185" t="n">
        <v>40725</v>
      </c>
      <c r="AE467" s="196"/>
      <c r="AF467" s="185"/>
      <c r="AG467" s="184" t="n">
        <v>4.07</v>
      </c>
      <c r="AH467" s="185" t="n">
        <v>40725</v>
      </c>
      <c r="AI467" s="183"/>
      <c r="AJ467" s="183"/>
      <c r="AK467" s="182"/>
      <c r="AL467" s="182"/>
      <c r="AM467" s="184" t="n">
        <v>86</v>
      </c>
      <c r="AN467" s="183" t="n">
        <v>40630</v>
      </c>
      <c r="AO467" s="182"/>
      <c r="AP467" s="182"/>
      <c r="AQ467" s="183"/>
      <c r="AR467" s="183"/>
      <c r="AS467" s="182"/>
      <c r="AT467" s="182"/>
      <c r="AU467" s="183"/>
      <c r="AV467" s="183"/>
      <c r="AW467" s="182"/>
      <c r="AX467" s="182"/>
      <c r="AY467" s="183"/>
      <c r="AZ467" s="183"/>
      <c r="BA467" s="182"/>
      <c r="BB467" s="182"/>
      <c r="BK467" s="183"/>
      <c r="BL467" s="183"/>
      <c r="BM467" s="182"/>
      <c r="BN467" s="182"/>
      <c r="BO467" s="183"/>
      <c r="BP467" s="183"/>
      <c r="BQ467" s="182"/>
      <c r="BR467" s="182"/>
      <c r="BS467" s="184" t="n">
        <v>54.8</v>
      </c>
      <c r="BT467" s="185" t="n">
        <v>40725</v>
      </c>
      <c r="BU467" s="184" t="n">
        <v>13.8</v>
      </c>
      <c r="BV467" s="185" t="n">
        <v>40725</v>
      </c>
      <c r="CL467" s="182"/>
      <c r="CM467" s="182"/>
    </row>
    <row r="468" customFormat="false" ht="12.75" hidden="false" customHeight="false" outlineLevel="0" collapsed="false">
      <c r="A468" s="204" t="s">
        <v>657</v>
      </c>
      <c r="B468" s="193" t="s">
        <v>782</v>
      </c>
      <c r="C468" s="193" t="s">
        <v>877</v>
      </c>
      <c r="D468" s="193"/>
      <c r="E468" s="119" t="n">
        <v>19</v>
      </c>
      <c r="F468" s="195" t="n">
        <v>77</v>
      </c>
      <c r="G468" s="119"/>
      <c r="H468" s="119"/>
      <c r="J468" s="118"/>
      <c r="K468" s="118"/>
      <c r="L468" s="181"/>
      <c r="N468" s="182"/>
      <c r="O468" s="182"/>
      <c r="S468" s="184" t="s">
        <v>879</v>
      </c>
      <c r="T468" s="185" t="n">
        <v>40725</v>
      </c>
      <c r="U468" s="182"/>
      <c r="V468" s="182"/>
      <c r="W468" s="183"/>
      <c r="X468" s="183"/>
      <c r="Y468" s="184" t="s">
        <v>879</v>
      </c>
      <c r="Z468" s="185" t="n">
        <v>40725</v>
      </c>
      <c r="AA468" s="184" t="s">
        <v>879</v>
      </c>
      <c r="AB468" s="185" t="n">
        <v>40725</v>
      </c>
      <c r="AC468" s="184" t="s">
        <v>879</v>
      </c>
      <c r="AD468" s="185" t="n">
        <v>40725</v>
      </c>
      <c r="AE468" s="196"/>
      <c r="AF468" s="185"/>
      <c r="AG468" s="184" t="s">
        <v>879</v>
      </c>
      <c r="AH468" s="185" t="n">
        <v>40725</v>
      </c>
      <c r="AI468" s="183"/>
      <c r="AJ468" s="183"/>
      <c r="AK468" s="182"/>
      <c r="AL468" s="182"/>
      <c r="AM468" s="184" t="n">
        <v>86</v>
      </c>
      <c r="AN468" s="183" t="n">
        <v>40630</v>
      </c>
      <c r="AO468" s="182"/>
      <c r="AP468" s="182"/>
      <c r="AQ468" s="183"/>
      <c r="AR468" s="183"/>
      <c r="AS468" s="182"/>
      <c r="AT468" s="182"/>
      <c r="AU468" s="183"/>
      <c r="AV468" s="183"/>
      <c r="AW468" s="182"/>
      <c r="AX468" s="182"/>
      <c r="AY468" s="183"/>
      <c r="AZ468" s="183"/>
      <c r="BA468" s="182"/>
      <c r="BB468" s="182"/>
      <c r="BK468" s="183"/>
      <c r="BL468" s="183"/>
      <c r="BM468" s="182"/>
      <c r="BN468" s="182"/>
      <c r="BO468" s="183"/>
      <c r="BP468" s="183"/>
      <c r="BQ468" s="182"/>
      <c r="BR468" s="182"/>
      <c r="BS468" s="184" t="s">
        <v>879</v>
      </c>
      <c r="BT468" s="185" t="n">
        <v>40725</v>
      </c>
      <c r="BU468" s="184" t="s">
        <v>879</v>
      </c>
      <c r="BV468" s="185" t="n">
        <v>40725</v>
      </c>
      <c r="CL468" s="182"/>
      <c r="CM468" s="182"/>
    </row>
    <row r="469" customFormat="false" ht="12.75" hidden="false" customHeight="false" outlineLevel="0" collapsed="false">
      <c r="A469" s="204" t="s">
        <v>657</v>
      </c>
      <c r="B469" s="193" t="s">
        <v>785</v>
      </c>
      <c r="C469" s="193" t="s">
        <v>875</v>
      </c>
      <c r="D469" s="193"/>
      <c r="E469" s="194" t="n">
        <v>7</v>
      </c>
      <c r="F469" s="195" t="n">
        <v>27</v>
      </c>
      <c r="G469" s="119"/>
      <c r="H469" s="119"/>
      <c r="J469" s="118"/>
      <c r="K469" s="118"/>
      <c r="L469" s="181"/>
      <c r="N469" s="182"/>
      <c r="O469" s="182"/>
      <c r="S469" s="184" t="n">
        <v>2197</v>
      </c>
      <c r="T469" s="185" t="n">
        <v>40725</v>
      </c>
      <c r="U469" s="182"/>
      <c r="V469" s="182"/>
      <c r="W469" s="183"/>
      <c r="X469" s="183"/>
      <c r="Y469" s="184" t="n">
        <v>635</v>
      </c>
      <c r="Z469" s="185" t="n">
        <v>40725</v>
      </c>
      <c r="AA469" s="184" t="n">
        <v>106696</v>
      </c>
      <c r="AB469" s="185" t="n">
        <v>40725</v>
      </c>
      <c r="AC469" s="184" t="n">
        <v>40.9</v>
      </c>
      <c r="AD469" s="185" t="n">
        <v>40725</v>
      </c>
      <c r="AE469" s="196"/>
      <c r="AF469" s="185"/>
      <c r="AG469" s="184" t="n">
        <v>3.84</v>
      </c>
      <c r="AH469" s="185" t="n">
        <v>40725</v>
      </c>
      <c r="AI469" s="183"/>
      <c r="AJ469" s="183"/>
      <c r="AK469" s="182"/>
      <c r="AL469" s="182"/>
      <c r="AM469" s="184" t="n">
        <v>88</v>
      </c>
      <c r="AN469" s="183" t="n">
        <v>40630</v>
      </c>
      <c r="AO469" s="182"/>
      <c r="AP469" s="182"/>
      <c r="AQ469" s="183"/>
      <c r="AR469" s="183"/>
      <c r="AS469" s="182"/>
      <c r="AT469" s="182"/>
      <c r="AU469" s="183"/>
      <c r="AV469" s="183"/>
      <c r="AW469" s="182"/>
      <c r="AX469" s="182"/>
      <c r="AY469" s="183"/>
      <c r="AZ469" s="183"/>
      <c r="BA469" s="182"/>
      <c r="BB469" s="182"/>
      <c r="BK469" s="183"/>
      <c r="BL469" s="183"/>
      <c r="BM469" s="182"/>
      <c r="BN469" s="182"/>
      <c r="BO469" s="183"/>
      <c r="BP469" s="183"/>
      <c r="BQ469" s="182"/>
      <c r="BR469" s="182"/>
      <c r="BS469" s="184" t="n">
        <v>53.7</v>
      </c>
      <c r="BT469" s="185" t="n">
        <v>40725</v>
      </c>
      <c r="BU469" s="184" t="n">
        <v>15.5</v>
      </c>
      <c r="BV469" s="185" t="n">
        <v>40725</v>
      </c>
      <c r="CL469" s="182"/>
      <c r="CM469" s="182"/>
    </row>
    <row r="470" customFormat="false" ht="12.75" hidden="false" customHeight="false" outlineLevel="0" collapsed="false">
      <c r="A470" s="204" t="s">
        <v>657</v>
      </c>
      <c r="B470" s="193" t="s">
        <v>785</v>
      </c>
      <c r="C470" s="193" t="s">
        <v>876</v>
      </c>
      <c r="D470" s="193"/>
      <c r="E470" s="194" t="n">
        <v>2</v>
      </c>
      <c r="F470" s="195" t="n">
        <v>39</v>
      </c>
      <c r="G470" s="119"/>
      <c r="H470" s="119"/>
      <c r="J470" s="118"/>
      <c r="K470" s="118"/>
      <c r="L470" s="181"/>
      <c r="N470" s="182"/>
      <c r="O470" s="182"/>
      <c r="S470" s="184" t="n">
        <v>1866</v>
      </c>
      <c r="T470" s="185" t="n">
        <v>40725</v>
      </c>
      <c r="U470" s="182"/>
      <c r="V470" s="182"/>
      <c r="W470" s="183"/>
      <c r="X470" s="183"/>
      <c r="Y470" s="184" t="n">
        <v>632</v>
      </c>
      <c r="Z470" s="185" t="n">
        <v>40725</v>
      </c>
      <c r="AA470" s="184" t="n">
        <v>89397</v>
      </c>
      <c r="AB470" s="185" t="n">
        <v>40725</v>
      </c>
      <c r="AC470" s="184" t="n">
        <v>36.4</v>
      </c>
      <c r="AD470" s="185" t="n">
        <v>40725</v>
      </c>
      <c r="AE470" s="196"/>
      <c r="AF470" s="185"/>
      <c r="AG470" s="184" t="n">
        <v>4.08</v>
      </c>
      <c r="AH470" s="185" t="n">
        <v>40725</v>
      </c>
      <c r="AI470" s="183"/>
      <c r="AJ470" s="183"/>
      <c r="AK470" s="182"/>
      <c r="AL470" s="182"/>
      <c r="AM470" s="184" t="n">
        <v>86</v>
      </c>
      <c r="AN470" s="183" t="n">
        <v>40630</v>
      </c>
      <c r="AO470" s="182"/>
      <c r="AP470" s="182"/>
      <c r="AQ470" s="183"/>
      <c r="AR470" s="183"/>
      <c r="AS470" s="182"/>
      <c r="AT470" s="182"/>
      <c r="AU470" s="183"/>
      <c r="AV470" s="183"/>
      <c r="AW470" s="182"/>
      <c r="AX470" s="182"/>
      <c r="AY470" s="183"/>
      <c r="AZ470" s="183"/>
      <c r="BA470" s="182"/>
      <c r="BB470" s="182"/>
      <c r="BK470" s="183"/>
      <c r="BL470" s="183"/>
      <c r="BM470" s="182"/>
      <c r="BN470" s="182"/>
      <c r="BO470" s="183"/>
      <c r="BP470" s="183"/>
      <c r="BQ470" s="182"/>
      <c r="BR470" s="182"/>
      <c r="BS470" s="184" t="n">
        <v>51.2</v>
      </c>
      <c r="BT470" s="185" t="n">
        <v>40725</v>
      </c>
      <c r="BU470" s="184" t="n">
        <v>17.4</v>
      </c>
      <c r="BV470" s="185" t="n">
        <v>40725</v>
      </c>
      <c r="CL470" s="182"/>
      <c r="CM470" s="182"/>
    </row>
    <row r="471" customFormat="false" ht="12.75" hidden="false" customHeight="false" outlineLevel="0" collapsed="false">
      <c r="A471" s="204" t="s">
        <v>657</v>
      </c>
      <c r="B471" s="193" t="s">
        <v>785</v>
      </c>
      <c r="C471" s="193" t="s">
        <v>877</v>
      </c>
      <c r="D471" s="193"/>
      <c r="E471" s="119" t="n">
        <v>23</v>
      </c>
      <c r="F471" s="195" t="n">
        <v>83</v>
      </c>
      <c r="G471" s="119"/>
      <c r="H471" s="119"/>
      <c r="J471" s="118"/>
      <c r="K471" s="118"/>
      <c r="L471" s="181"/>
      <c r="N471" s="182"/>
      <c r="O471" s="182"/>
      <c r="S471" s="184" t="n">
        <v>1964</v>
      </c>
      <c r="T471" s="185" t="n">
        <v>40725</v>
      </c>
      <c r="U471" s="182"/>
      <c r="V471" s="182"/>
      <c r="W471" s="183"/>
      <c r="X471" s="183"/>
      <c r="Y471" s="184" t="n">
        <v>623</v>
      </c>
      <c r="Z471" s="185" t="n">
        <v>40725</v>
      </c>
      <c r="AA471" s="184" t="n">
        <v>87823</v>
      </c>
      <c r="AB471" s="185" t="n">
        <v>40725</v>
      </c>
      <c r="AC471" s="184" t="n">
        <v>37.5</v>
      </c>
      <c r="AD471" s="185" t="n">
        <v>40725</v>
      </c>
      <c r="AE471" s="196"/>
      <c r="AF471" s="185"/>
      <c r="AG471" s="184" t="n">
        <v>4.27</v>
      </c>
      <c r="AH471" s="185" t="n">
        <v>40725</v>
      </c>
      <c r="AI471" s="183"/>
      <c r="AJ471" s="183"/>
      <c r="AK471" s="182"/>
      <c r="AL471" s="182"/>
      <c r="AM471" s="184" t="n">
        <v>87</v>
      </c>
      <c r="AN471" s="183" t="n">
        <v>40630</v>
      </c>
      <c r="AO471" s="182"/>
      <c r="AP471" s="182"/>
      <c r="AQ471" s="183"/>
      <c r="AR471" s="183"/>
      <c r="AS471" s="182"/>
      <c r="AT471" s="182"/>
      <c r="AU471" s="183"/>
      <c r="AV471" s="183"/>
      <c r="AW471" s="182"/>
      <c r="AX471" s="182"/>
      <c r="AY471" s="183"/>
      <c r="AZ471" s="183"/>
      <c r="BA471" s="182"/>
      <c r="BB471" s="182"/>
      <c r="BK471" s="183"/>
      <c r="BL471" s="183"/>
      <c r="BM471" s="182"/>
      <c r="BN471" s="182"/>
      <c r="BO471" s="183"/>
      <c r="BP471" s="183"/>
      <c r="BQ471" s="182"/>
      <c r="BR471" s="182"/>
      <c r="BS471" s="184" t="n">
        <v>52.4</v>
      </c>
      <c r="BT471" s="185" t="n">
        <v>40725</v>
      </c>
      <c r="BU471" s="184" t="n">
        <v>16.6</v>
      </c>
      <c r="BV471" s="185" t="n">
        <v>40725</v>
      </c>
      <c r="CL471" s="182"/>
      <c r="CM471" s="182"/>
    </row>
    <row r="472" customFormat="false" ht="12.75" hidden="false" customHeight="false" outlineLevel="0" collapsed="false">
      <c r="A472" s="204" t="s">
        <v>660</v>
      </c>
      <c r="B472" s="193" t="s">
        <v>782</v>
      </c>
      <c r="C472" s="193" t="s">
        <v>875</v>
      </c>
      <c r="D472" s="193"/>
      <c r="E472" s="194" t="n">
        <v>4</v>
      </c>
      <c r="F472" s="195" t="n">
        <v>7</v>
      </c>
      <c r="G472" s="119"/>
      <c r="H472" s="119"/>
      <c r="J472" s="118"/>
      <c r="K472" s="118"/>
      <c r="L472" s="181"/>
      <c r="N472" s="182"/>
      <c r="O472" s="182"/>
      <c r="S472" s="184" t="n">
        <v>1587</v>
      </c>
      <c r="T472" s="185" t="n">
        <v>40725</v>
      </c>
      <c r="U472" s="182"/>
      <c r="V472" s="182"/>
      <c r="W472" s="183"/>
      <c r="X472" s="183"/>
      <c r="Y472" s="184" t="n">
        <v>476</v>
      </c>
      <c r="Z472" s="185" t="n">
        <v>40725</v>
      </c>
      <c r="AA472" s="184" t="n">
        <v>71165</v>
      </c>
      <c r="AB472" s="185" t="n">
        <v>40725</v>
      </c>
      <c r="AC472" s="184" t="n">
        <v>30.1</v>
      </c>
      <c r="AD472" s="185" t="n">
        <v>40725</v>
      </c>
      <c r="AE472" s="196"/>
      <c r="AF472" s="185"/>
      <c r="AG472" s="184" t="n">
        <v>4.23</v>
      </c>
      <c r="AH472" s="185" t="n">
        <v>40725</v>
      </c>
      <c r="AI472" s="183"/>
      <c r="AJ472" s="183"/>
      <c r="AK472" s="182"/>
      <c r="AL472" s="182"/>
      <c r="AM472" s="184" t="n">
        <v>90</v>
      </c>
      <c r="AN472" s="183" t="n">
        <v>40630</v>
      </c>
      <c r="AO472" s="182"/>
      <c r="AP472" s="182"/>
      <c r="AQ472" s="183"/>
      <c r="AR472" s="183"/>
      <c r="AS472" s="182"/>
      <c r="AT472" s="182"/>
      <c r="AU472" s="183"/>
      <c r="AV472" s="183"/>
      <c r="AW472" s="182"/>
      <c r="AX472" s="182"/>
      <c r="AY472" s="183"/>
      <c r="AZ472" s="183"/>
      <c r="BA472" s="182"/>
      <c r="BB472" s="182"/>
      <c r="BK472" s="183"/>
      <c r="BL472" s="183"/>
      <c r="BM472" s="182"/>
      <c r="BN472" s="182"/>
      <c r="BO472" s="183"/>
      <c r="BP472" s="183"/>
      <c r="BQ472" s="182"/>
      <c r="BR472" s="182"/>
      <c r="BS472" s="184" t="n">
        <v>52.8</v>
      </c>
      <c r="BT472" s="185" t="n">
        <v>40725</v>
      </c>
      <c r="BU472" s="184" t="n">
        <v>15.8</v>
      </c>
      <c r="BV472" s="185" t="n">
        <v>40725</v>
      </c>
      <c r="CL472" s="182"/>
      <c r="CM472" s="182"/>
    </row>
    <row r="473" customFormat="false" ht="12.75" hidden="false" customHeight="false" outlineLevel="0" collapsed="false">
      <c r="A473" s="204" t="s">
        <v>660</v>
      </c>
      <c r="B473" s="193" t="s">
        <v>782</v>
      </c>
      <c r="C473" s="193" t="s">
        <v>876</v>
      </c>
      <c r="D473" s="193"/>
      <c r="E473" s="194" t="n">
        <v>7</v>
      </c>
      <c r="F473" s="195" t="n">
        <v>61</v>
      </c>
      <c r="G473" s="119"/>
      <c r="H473" s="119"/>
      <c r="J473" s="118"/>
      <c r="K473" s="118"/>
      <c r="L473" s="181"/>
      <c r="N473" s="182"/>
      <c r="O473" s="182"/>
      <c r="S473" s="184" t="n">
        <v>1645</v>
      </c>
      <c r="T473" s="185" t="n">
        <v>40725</v>
      </c>
      <c r="U473" s="182"/>
      <c r="V473" s="182"/>
      <c r="W473" s="183"/>
      <c r="X473" s="183"/>
      <c r="Y473" s="184" t="n">
        <v>485</v>
      </c>
      <c r="Z473" s="185" t="n">
        <v>40725</v>
      </c>
      <c r="AA473" s="184" t="n">
        <v>72317</v>
      </c>
      <c r="AB473" s="185" t="n">
        <v>40725</v>
      </c>
      <c r="AC473" s="184" t="n">
        <v>31.1</v>
      </c>
      <c r="AD473" s="185" t="n">
        <v>40725</v>
      </c>
      <c r="AE473" s="196"/>
      <c r="AF473" s="185"/>
      <c r="AG473" s="184" t="n">
        <v>4.3</v>
      </c>
      <c r="AH473" s="185" t="n">
        <v>40725</v>
      </c>
      <c r="AI473" s="183"/>
      <c r="AJ473" s="183"/>
      <c r="AK473" s="182"/>
      <c r="AL473" s="182"/>
      <c r="AM473" s="184" t="n">
        <v>87</v>
      </c>
      <c r="AN473" s="183" t="n">
        <v>40630</v>
      </c>
      <c r="AO473" s="182"/>
      <c r="AP473" s="182"/>
      <c r="AQ473" s="183"/>
      <c r="AR473" s="183"/>
      <c r="AS473" s="182"/>
      <c r="AT473" s="182"/>
      <c r="AU473" s="183"/>
      <c r="AV473" s="183"/>
      <c r="AW473" s="182"/>
      <c r="AX473" s="182"/>
      <c r="AY473" s="183"/>
      <c r="AZ473" s="183"/>
      <c r="BA473" s="182"/>
      <c r="BB473" s="182"/>
      <c r="BK473" s="183"/>
      <c r="BL473" s="183"/>
      <c r="BM473" s="182"/>
      <c r="BN473" s="182"/>
      <c r="BO473" s="183"/>
      <c r="BP473" s="183"/>
      <c r="BQ473" s="182"/>
      <c r="BR473" s="182"/>
      <c r="BS473" s="184" t="n">
        <v>52.9</v>
      </c>
      <c r="BT473" s="185" t="n">
        <v>40725</v>
      </c>
      <c r="BU473" s="184" t="n">
        <v>15.6</v>
      </c>
      <c r="BV473" s="185" t="n">
        <v>40725</v>
      </c>
      <c r="CL473" s="182"/>
      <c r="CM473" s="182"/>
    </row>
    <row r="474" customFormat="false" ht="12.75" hidden="false" customHeight="false" outlineLevel="0" collapsed="false">
      <c r="A474" s="204" t="s">
        <v>660</v>
      </c>
      <c r="B474" s="193" t="s">
        <v>782</v>
      </c>
      <c r="C474" s="193" t="s">
        <v>877</v>
      </c>
      <c r="D474" s="193"/>
      <c r="E474" s="119" t="n">
        <v>15</v>
      </c>
      <c r="F474" s="195" t="n">
        <v>87</v>
      </c>
      <c r="G474" s="119"/>
      <c r="H474" s="119"/>
      <c r="J474" s="118"/>
      <c r="K474" s="118"/>
      <c r="L474" s="181"/>
      <c r="N474" s="182"/>
      <c r="O474" s="182"/>
      <c r="S474" s="184" t="n">
        <v>1538</v>
      </c>
      <c r="T474" s="185" t="n">
        <v>40725</v>
      </c>
      <c r="U474" s="182"/>
      <c r="V474" s="182"/>
      <c r="W474" s="183"/>
      <c r="X474" s="183"/>
      <c r="Y474" s="184" t="n">
        <v>490</v>
      </c>
      <c r="Z474" s="185" t="n">
        <v>40725</v>
      </c>
      <c r="AA474" s="184" t="n">
        <v>67997</v>
      </c>
      <c r="AB474" s="185" t="n">
        <v>40725</v>
      </c>
      <c r="AC474" s="184" t="n">
        <v>29.8</v>
      </c>
      <c r="AD474" s="185" t="n">
        <v>40725</v>
      </c>
      <c r="AE474" s="196"/>
      <c r="AF474" s="185"/>
      <c r="AG474" s="184" t="n">
        <v>4.38</v>
      </c>
      <c r="AH474" s="185" t="n">
        <v>40725</v>
      </c>
      <c r="AI474" s="183"/>
      <c r="AJ474" s="183"/>
      <c r="AK474" s="182"/>
      <c r="AL474" s="182"/>
      <c r="AM474" s="184" t="n">
        <v>86</v>
      </c>
      <c r="AN474" s="183" t="n">
        <v>40630</v>
      </c>
      <c r="AO474" s="182"/>
      <c r="AP474" s="182"/>
      <c r="AQ474" s="183"/>
      <c r="AR474" s="183"/>
      <c r="AS474" s="182"/>
      <c r="AT474" s="182"/>
      <c r="AU474" s="183"/>
      <c r="AV474" s="183"/>
      <c r="AW474" s="182"/>
      <c r="AX474" s="182"/>
      <c r="AY474" s="183"/>
      <c r="AZ474" s="183"/>
      <c r="BA474" s="182"/>
      <c r="BB474" s="182"/>
      <c r="BK474" s="183"/>
      <c r="BL474" s="183"/>
      <c r="BM474" s="182"/>
      <c r="BN474" s="182"/>
      <c r="BO474" s="183"/>
      <c r="BP474" s="183"/>
      <c r="BQ474" s="182"/>
      <c r="BR474" s="182"/>
      <c r="BS474" s="184" t="n">
        <v>51.6</v>
      </c>
      <c r="BT474" s="185" t="n">
        <v>40725</v>
      </c>
      <c r="BU474" s="184" t="n">
        <v>16.4</v>
      </c>
      <c r="BV474" s="185" t="n">
        <v>40725</v>
      </c>
      <c r="CL474" s="182"/>
      <c r="CM474" s="182"/>
    </row>
    <row r="475" customFormat="false" ht="12.75" hidden="false" customHeight="false" outlineLevel="0" collapsed="false">
      <c r="A475" s="204" t="s">
        <v>660</v>
      </c>
      <c r="B475" s="193" t="s">
        <v>785</v>
      </c>
      <c r="C475" s="193" t="s">
        <v>875</v>
      </c>
      <c r="D475" s="193"/>
      <c r="E475" s="194" t="n">
        <v>8</v>
      </c>
      <c r="F475" s="195" t="n">
        <v>30</v>
      </c>
      <c r="G475" s="119"/>
      <c r="H475" s="119"/>
      <c r="J475" s="118"/>
      <c r="K475" s="118"/>
      <c r="L475" s="181"/>
      <c r="N475" s="182"/>
      <c r="O475" s="182"/>
      <c r="S475" s="184" t="n">
        <v>2241</v>
      </c>
      <c r="T475" s="185" t="n">
        <v>40725</v>
      </c>
      <c r="U475" s="182"/>
      <c r="V475" s="182"/>
      <c r="W475" s="183"/>
      <c r="X475" s="183"/>
      <c r="Y475" s="184" t="n">
        <v>718</v>
      </c>
      <c r="Z475" s="185" t="n">
        <v>40725</v>
      </c>
      <c r="AA475" s="184" t="n">
        <v>98729</v>
      </c>
      <c r="AB475" s="185" t="n">
        <v>40725</v>
      </c>
      <c r="AC475" s="184" t="n">
        <v>42.8</v>
      </c>
      <c r="AD475" s="185" t="n">
        <v>40725</v>
      </c>
      <c r="AE475" s="196"/>
      <c r="AF475" s="185"/>
      <c r="AG475" s="184" t="n">
        <v>4.33</v>
      </c>
      <c r="AH475" s="185" t="n">
        <v>40725</v>
      </c>
      <c r="AI475" s="183"/>
      <c r="AJ475" s="183"/>
      <c r="AK475" s="182"/>
      <c r="AL475" s="182"/>
      <c r="AM475" s="184" t="n">
        <v>90</v>
      </c>
      <c r="AN475" s="183" t="n">
        <v>40630</v>
      </c>
      <c r="AO475" s="182"/>
      <c r="AP475" s="182"/>
      <c r="AQ475" s="183"/>
      <c r="AR475" s="183"/>
      <c r="AS475" s="182"/>
      <c r="AT475" s="182"/>
      <c r="AU475" s="183"/>
      <c r="AV475" s="183"/>
      <c r="AW475" s="182"/>
      <c r="AX475" s="182"/>
      <c r="AY475" s="183"/>
      <c r="AZ475" s="183"/>
      <c r="BA475" s="182"/>
      <c r="BB475" s="182"/>
      <c r="BK475" s="183"/>
      <c r="BL475" s="183"/>
      <c r="BM475" s="182"/>
      <c r="BN475" s="182"/>
      <c r="BO475" s="183"/>
      <c r="BP475" s="183"/>
      <c r="BQ475" s="182"/>
      <c r="BR475" s="182"/>
      <c r="BS475" s="184" t="n">
        <v>52.4</v>
      </c>
      <c r="BT475" s="185" t="n">
        <v>40725</v>
      </c>
      <c r="BU475" s="184" t="n">
        <v>16.8</v>
      </c>
      <c r="BV475" s="185" t="n">
        <v>40725</v>
      </c>
      <c r="CL475" s="182"/>
      <c r="CM475" s="182"/>
    </row>
    <row r="476" customFormat="false" ht="12.75" hidden="false" customHeight="false" outlineLevel="0" collapsed="false">
      <c r="A476" s="204" t="s">
        <v>660</v>
      </c>
      <c r="B476" s="193" t="s">
        <v>785</v>
      </c>
      <c r="C476" s="193" t="s">
        <v>876</v>
      </c>
      <c r="D476" s="193"/>
      <c r="E476" s="194" t="n">
        <v>1</v>
      </c>
      <c r="F476" s="195" t="n">
        <v>39</v>
      </c>
      <c r="G476" s="119"/>
      <c r="H476" s="119"/>
      <c r="J476" s="118"/>
      <c r="K476" s="118"/>
      <c r="L476" s="181"/>
      <c r="N476" s="182"/>
      <c r="O476" s="182"/>
      <c r="S476" s="184" t="n">
        <v>1872</v>
      </c>
      <c r="T476" s="185" t="n">
        <v>40725</v>
      </c>
      <c r="U476" s="182"/>
      <c r="V476" s="182"/>
      <c r="W476" s="183"/>
      <c r="X476" s="183"/>
      <c r="Y476" s="184" t="n">
        <v>668</v>
      </c>
      <c r="Z476" s="185" t="n">
        <v>40725</v>
      </c>
      <c r="AA476" s="184" t="n">
        <v>82140</v>
      </c>
      <c r="AB476" s="185" t="n">
        <v>40725</v>
      </c>
      <c r="AC476" s="184" t="n">
        <v>36.5</v>
      </c>
      <c r="AD476" s="185" t="n">
        <v>40725</v>
      </c>
      <c r="AE476" s="196"/>
      <c r="AF476" s="185"/>
      <c r="AG476" s="184" t="n">
        <v>4.45</v>
      </c>
      <c r="AH476" s="185" t="n">
        <v>40725</v>
      </c>
      <c r="AI476" s="183"/>
      <c r="AJ476" s="183"/>
      <c r="AK476" s="182"/>
      <c r="AL476" s="182"/>
      <c r="AM476" s="184" t="n">
        <v>90</v>
      </c>
      <c r="AN476" s="183" t="n">
        <v>40630</v>
      </c>
      <c r="AO476" s="182"/>
      <c r="AP476" s="182"/>
      <c r="AQ476" s="183"/>
      <c r="AR476" s="183"/>
      <c r="AS476" s="182"/>
      <c r="AT476" s="182"/>
      <c r="AU476" s="183"/>
      <c r="AV476" s="183"/>
      <c r="AW476" s="182"/>
      <c r="AX476" s="182"/>
      <c r="AY476" s="183"/>
      <c r="AZ476" s="183"/>
      <c r="BA476" s="182"/>
      <c r="BB476" s="182"/>
      <c r="BK476" s="183"/>
      <c r="BL476" s="183"/>
      <c r="BM476" s="182"/>
      <c r="BN476" s="182"/>
      <c r="BO476" s="183"/>
      <c r="BP476" s="183"/>
      <c r="BQ476" s="182"/>
      <c r="BR476" s="182"/>
      <c r="BS476" s="184" t="n">
        <v>51.2</v>
      </c>
      <c r="BT476" s="185" t="n">
        <v>40725</v>
      </c>
      <c r="BU476" s="184" t="n">
        <v>18.3</v>
      </c>
      <c r="BV476" s="185" t="n">
        <v>40725</v>
      </c>
      <c r="CL476" s="182"/>
      <c r="CM476" s="182"/>
    </row>
    <row r="477" customFormat="false" ht="12.75" hidden="false" customHeight="false" outlineLevel="0" collapsed="false">
      <c r="A477" s="204" t="s">
        <v>660</v>
      </c>
      <c r="B477" s="193" t="s">
        <v>785</v>
      </c>
      <c r="C477" s="193" t="s">
        <v>877</v>
      </c>
      <c r="D477" s="193"/>
      <c r="E477" s="119" t="n">
        <v>23</v>
      </c>
      <c r="F477" s="195" t="n">
        <v>74</v>
      </c>
      <c r="G477" s="119"/>
      <c r="H477" s="119"/>
      <c r="J477" s="118"/>
      <c r="K477" s="118"/>
      <c r="L477" s="181"/>
      <c r="N477" s="182"/>
      <c r="O477" s="182"/>
      <c r="S477" s="184" t="n">
        <v>1880</v>
      </c>
      <c r="T477" s="185" t="n">
        <v>40725</v>
      </c>
      <c r="U477" s="182"/>
      <c r="V477" s="182"/>
      <c r="W477" s="183"/>
      <c r="X477" s="183"/>
      <c r="Y477" s="184" t="n">
        <v>672</v>
      </c>
      <c r="Z477" s="185" t="n">
        <v>40725</v>
      </c>
      <c r="AA477" s="184" t="n">
        <v>84060</v>
      </c>
      <c r="AB477" s="185" t="n">
        <v>40725</v>
      </c>
      <c r="AC477" s="184" t="n">
        <v>36.9</v>
      </c>
      <c r="AD477" s="185" t="n">
        <v>40725</v>
      </c>
      <c r="AE477" s="196"/>
      <c r="AF477" s="185"/>
      <c r="AG477" s="184" t="n">
        <v>4.39</v>
      </c>
      <c r="AH477" s="185" t="n">
        <v>40725</v>
      </c>
      <c r="AI477" s="183"/>
      <c r="AJ477" s="183"/>
      <c r="AK477" s="182"/>
      <c r="AL477" s="182"/>
      <c r="AM477" s="184" t="n">
        <v>90</v>
      </c>
      <c r="AN477" s="183" t="n">
        <v>40630</v>
      </c>
      <c r="AO477" s="182"/>
      <c r="AP477" s="182"/>
      <c r="AQ477" s="183"/>
      <c r="AR477" s="183"/>
      <c r="AS477" s="182"/>
      <c r="AT477" s="182"/>
      <c r="AU477" s="183"/>
      <c r="AV477" s="183"/>
      <c r="AW477" s="182"/>
      <c r="AX477" s="182"/>
      <c r="AY477" s="183"/>
      <c r="AZ477" s="183"/>
      <c r="BA477" s="182"/>
      <c r="BB477" s="182"/>
      <c r="BK477" s="183"/>
      <c r="BL477" s="183"/>
      <c r="BM477" s="182"/>
      <c r="BN477" s="182"/>
      <c r="BO477" s="183"/>
      <c r="BP477" s="183"/>
      <c r="BQ477" s="182"/>
      <c r="BR477" s="182"/>
      <c r="BS477" s="184" t="n">
        <v>50.9</v>
      </c>
      <c r="BT477" s="185" t="n">
        <v>40725</v>
      </c>
      <c r="BU477" s="184" t="n">
        <v>18.2</v>
      </c>
      <c r="BV477" s="185" t="n">
        <v>40725</v>
      </c>
      <c r="CL477" s="182"/>
      <c r="CM477" s="182"/>
    </row>
    <row r="478" customFormat="false" ht="12.75" hidden="false" customHeight="false" outlineLevel="0" collapsed="false">
      <c r="A478" s="204" t="s">
        <v>663</v>
      </c>
      <c r="B478" s="193" t="s">
        <v>782</v>
      </c>
      <c r="C478" s="193" t="s">
        <v>875</v>
      </c>
      <c r="D478" s="193"/>
      <c r="E478" s="194" t="n">
        <v>3</v>
      </c>
      <c r="F478" s="195" t="n">
        <v>8</v>
      </c>
      <c r="G478" s="119"/>
      <c r="H478" s="119"/>
      <c r="J478" s="118"/>
      <c r="K478" s="118"/>
      <c r="L478" s="181"/>
      <c r="N478" s="182"/>
      <c r="O478" s="182"/>
      <c r="S478" s="184" t="n">
        <v>1748</v>
      </c>
      <c r="T478" s="185" t="n">
        <v>40725</v>
      </c>
      <c r="U478" s="182"/>
      <c r="V478" s="182"/>
      <c r="W478" s="183"/>
      <c r="X478" s="183"/>
      <c r="Y478" s="184" t="n">
        <v>531</v>
      </c>
      <c r="Z478" s="185" t="n">
        <v>40725</v>
      </c>
      <c r="AA478" s="184" t="n">
        <v>85935</v>
      </c>
      <c r="AB478" s="185" t="n">
        <v>40725</v>
      </c>
      <c r="AC478" s="184" t="n">
        <v>33.4</v>
      </c>
      <c r="AD478" s="185" t="n">
        <v>40725</v>
      </c>
      <c r="AE478" s="196"/>
      <c r="AF478" s="185"/>
      <c r="AG478" s="184" t="n">
        <v>3.89</v>
      </c>
      <c r="AH478" s="185" t="n">
        <v>40725</v>
      </c>
      <c r="AI478" s="183"/>
      <c r="AJ478" s="183"/>
      <c r="AK478" s="182"/>
      <c r="AL478" s="182"/>
      <c r="AM478" s="184" t="n">
        <v>91</v>
      </c>
      <c r="AN478" s="183" t="n">
        <v>40630</v>
      </c>
      <c r="AO478" s="182"/>
      <c r="AP478" s="182"/>
      <c r="AQ478" s="183"/>
      <c r="AR478" s="183"/>
      <c r="AS478" s="182"/>
      <c r="AT478" s="182"/>
      <c r="AU478" s="183"/>
      <c r="AV478" s="183"/>
      <c r="AW478" s="182"/>
      <c r="AX478" s="182"/>
      <c r="AY478" s="183"/>
      <c r="AZ478" s="183"/>
      <c r="BA478" s="182"/>
      <c r="BB478" s="182"/>
      <c r="BK478" s="183"/>
      <c r="BL478" s="183"/>
      <c r="BM478" s="182"/>
      <c r="BN478" s="182"/>
      <c r="BO478" s="183"/>
      <c r="BP478" s="183"/>
      <c r="BQ478" s="182"/>
      <c r="BR478" s="182"/>
      <c r="BS478" s="184" t="n">
        <v>52.3</v>
      </c>
      <c r="BT478" s="185" t="n">
        <v>40725</v>
      </c>
      <c r="BU478" s="184" t="n">
        <v>15.9</v>
      </c>
      <c r="BV478" s="185" t="n">
        <v>40725</v>
      </c>
      <c r="CL478" s="182"/>
      <c r="CM478" s="182"/>
    </row>
    <row r="479" customFormat="false" ht="12.75" hidden="false" customHeight="false" outlineLevel="0" collapsed="false">
      <c r="A479" s="204" t="s">
        <v>663</v>
      </c>
      <c r="B479" s="193" t="s">
        <v>782</v>
      </c>
      <c r="C479" s="193" t="s">
        <v>876</v>
      </c>
      <c r="D479" s="193"/>
      <c r="E479" s="194" t="n">
        <v>6</v>
      </c>
      <c r="F479" s="195" t="n">
        <v>48</v>
      </c>
      <c r="G479" s="119"/>
      <c r="H479" s="119"/>
      <c r="J479" s="118"/>
      <c r="K479" s="118"/>
      <c r="L479" s="181"/>
      <c r="N479" s="182"/>
      <c r="O479" s="182"/>
      <c r="S479" s="184" t="n">
        <v>1685</v>
      </c>
      <c r="T479" s="185" t="n">
        <v>40725</v>
      </c>
      <c r="U479" s="182"/>
      <c r="V479" s="182"/>
      <c r="W479" s="183"/>
      <c r="X479" s="183"/>
      <c r="Y479" s="184" t="n">
        <v>476</v>
      </c>
      <c r="Z479" s="185" t="n">
        <v>40725</v>
      </c>
      <c r="AA479" s="184" t="n">
        <v>77663</v>
      </c>
      <c r="AB479" s="185" t="n">
        <v>40725</v>
      </c>
      <c r="AC479" s="184" t="n">
        <v>31.9</v>
      </c>
      <c r="AD479" s="185" t="n">
        <v>40725</v>
      </c>
      <c r="AE479" s="196"/>
      <c r="AF479" s="185"/>
      <c r="AG479" s="184" t="n">
        <v>4.1</v>
      </c>
      <c r="AH479" s="185" t="n">
        <v>40725</v>
      </c>
      <c r="AI479" s="183"/>
      <c r="AJ479" s="183"/>
      <c r="AK479" s="182"/>
      <c r="AL479" s="182"/>
      <c r="AM479" s="184" t="n">
        <v>90</v>
      </c>
      <c r="AN479" s="183" t="n">
        <v>40630</v>
      </c>
      <c r="AO479" s="182"/>
      <c r="AP479" s="182"/>
      <c r="AQ479" s="183"/>
      <c r="AR479" s="183"/>
      <c r="AS479" s="182"/>
      <c r="AT479" s="182"/>
      <c r="AU479" s="183"/>
      <c r="AV479" s="183"/>
      <c r="AW479" s="182"/>
      <c r="AX479" s="182"/>
      <c r="AY479" s="183"/>
      <c r="AZ479" s="183"/>
      <c r="BA479" s="182"/>
      <c r="BB479" s="182"/>
      <c r="BK479" s="183"/>
      <c r="BL479" s="183"/>
      <c r="BM479" s="182"/>
      <c r="BN479" s="182"/>
      <c r="BO479" s="183"/>
      <c r="BP479" s="183"/>
      <c r="BQ479" s="182"/>
      <c r="BR479" s="182"/>
      <c r="BS479" s="184" t="n">
        <v>52.9</v>
      </c>
      <c r="BT479" s="185" t="n">
        <v>40725</v>
      </c>
      <c r="BU479" s="184" t="n">
        <v>14.9</v>
      </c>
      <c r="BV479" s="185" t="n">
        <v>40725</v>
      </c>
      <c r="CL479" s="182"/>
      <c r="CM479" s="182"/>
    </row>
    <row r="480" customFormat="false" ht="12.75" hidden="false" customHeight="false" outlineLevel="0" collapsed="false">
      <c r="A480" s="204" t="s">
        <v>663</v>
      </c>
      <c r="B480" s="193" t="s">
        <v>782</v>
      </c>
      <c r="C480" s="193" t="s">
        <v>877</v>
      </c>
      <c r="D480" s="193"/>
      <c r="E480" s="119" t="n">
        <v>17</v>
      </c>
      <c r="F480" s="195" t="n">
        <v>85</v>
      </c>
      <c r="G480" s="119"/>
      <c r="H480" s="119"/>
      <c r="J480" s="118"/>
      <c r="K480" s="118"/>
      <c r="L480" s="181"/>
      <c r="N480" s="182"/>
      <c r="O480" s="182"/>
      <c r="S480" s="184" t="n">
        <v>1553</v>
      </c>
      <c r="T480" s="185" t="n">
        <v>40725</v>
      </c>
      <c r="U480" s="182"/>
      <c r="V480" s="182"/>
      <c r="W480" s="183"/>
      <c r="X480" s="183"/>
      <c r="Y480" s="184" t="n">
        <v>445</v>
      </c>
      <c r="Z480" s="185" t="n">
        <v>40725</v>
      </c>
      <c r="AA480" s="184" t="n">
        <v>70426</v>
      </c>
      <c r="AB480" s="185" t="n">
        <v>40725</v>
      </c>
      <c r="AC480" s="184" t="n">
        <v>29.3</v>
      </c>
      <c r="AD480" s="185" t="n">
        <v>40725</v>
      </c>
      <c r="AE480" s="196"/>
      <c r="AF480" s="185"/>
      <c r="AG480" s="184" t="n">
        <v>4.16</v>
      </c>
      <c r="AH480" s="185" t="n">
        <v>40725</v>
      </c>
      <c r="AI480" s="183"/>
      <c r="AJ480" s="183"/>
      <c r="AK480" s="182"/>
      <c r="AL480" s="182"/>
      <c r="AM480" s="184" t="n">
        <v>90</v>
      </c>
      <c r="AN480" s="183" t="n">
        <v>40630</v>
      </c>
      <c r="AO480" s="182"/>
      <c r="AP480" s="182"/>
      <c r="AQ480" s="183"/>
      <c r="AR480" s="183"/>
      <c r="AS480" s="182"/>
      <c r="AT480" s="182"/>
      <c r="AU480" s="183"/>
      <c r="AV480" s="183"/>
      <c r="AW480" s="182"/>
      <c r="AX480" s="182"/>
      <c r="AY480" s="183"/>
      <c r="AZ480" s="183"/>
      <c r="BA480" s="182"/>
      <c r="BB480" s="182"/>
      <c r="BK480" s="183"/>
      <c r="BL480" s="183"/>
      <c r="BM480" s="182"/>
      <c r="BN480" s="182"/>
      <c r="BO480" s="183"/>
      <c r="BP480" s="183"/>
      <c r="BQ480" s="182"/>
      <c r="BR480" s="182"/>
      <c r="BS480" s="184" t="n">
        <v>53</v>
      </c>
      <c r="BT480" s="185" t="n">
        <v>40725</v>
      </c>
      <c r="BU480" s="184" t="n">
        <v>15.2</v>
      </c>
      <c r="BV480" s="185" t="n">
        <v>40725</v>
      </c>
      <c r="CL480" s="182"/>
      <c r="CM480" s="182"/>
    </row>
    <row r="481" customFormat="false" ht="12.75" hidden="false" customHeight="false" outlineLevel="0" collapsed="false">
      <c r="A481" s="204" t="s">
        <v>663</v>
      </c>
      <c r="B481" s="193" t="s">
        <v>785</v>
      </c>
      <c r="C481" s="193" t="s">
        <v>875</v>
      </c>
      <c r="D481" s="193"/>
      <c r="E481" s="194" t="n">
        <v>6</v>
      </c>
      <c r="F481" s="195" t="n">
        <v>14</v>
      </c>
      <c r="G481" s="119"/>
      <c r="H481" s="119"/>
      <c r="J481" s="118"/>
      <c r="K481" s="118"/>
      <c r="L481" s="181"/>
      <c r="N481" s="182"/>
      <c r="O481" s="182"/>
      <c r="S481" s="184" t="n">
        <v>2368</v>
      </c>
      <c r="T481" s="185" t="n">
        <v>40725</v>
      </c>
      <c r="U481" s="182"/>
      <c r="V481" s="182"/>
      <c r="W481" s="183"/>
      <c r="X481" s="183"/>
      <c r="Y481" s="184" t="n">
        <v>753</v>
      </c>
      <c r="Z481" s="185" t="n">
        <v>40725</v>
      </c>
      <c r="AA481" s="184" t="n">
        <v>112349</v>
      </c>
      <c r="AB481" s="185" t="n">
        <v>40725</v>
      </c>
      <c r="AC481" s="184" t="n">
        <v>45.5</v>
      </c>
      <c r="AD481" s="185" t="n">
        <v>40725</v>
      </c>
      <c r="AE481" s="196"/>
      <c r="AF481" s="185"/>
      <c r="AG481" s="184" t="n">
        <v>4.05</v>
      </c>
      <c r="AH481" s="185" t="n">
        <v>40725</v>
      </c>
      <c r="AI481" s="183"/>
      <c r="AJ481" s="183"/>
      <c r="AK481" s="182"/>
      <c r="AL481" s="182"/>
      <c r="AM481" s="184" t="n">
        <v>91</v>
      </c>
      <c r="AN481" s="183" t="n">
        <v>40630</v>
      </c>
      <c r="AO481" s="182"/>
      <c r="AP481" s="182"/>
      <c r="AQ481" s="183"/>
      <c r="AR481" s="183"/>
      <c r="AS481" s="182"/>
      <c r="AT481" s="182"/>
      <c r="AU481" s="183"/>
      <c r="AV481" s="183"/>
      <c r="AW481" s="182"/>
      <c r="AX481" s="182"/>
      <c r="AY481" s="183"/>
      <c r="AZ481" s="183"/>
      <c r="BA481" s="182"/>
      <c r="BB481" s="182"/>
      <c r="BK481" s="183"/>
      <c r="BL481" s="183"/>
      <c r="BM481" s="182"/>
      <c r="BN481" s="182"/>
      <c r="BO481" s="183"/>
      <c r="BP481" s="183"/>
      <c r="BQ481" s="182"/>
      <c r="BR481" s="182"/>
      <c r="BS481" s="184" t="n">
        <v>52</v>
      </c>
      <c r="BT481" s="185" t="n">
        <v>40725</v>
      </c>
      <c r="BU481" s="184" t="n">
        <v>16.5</v>
      </c>
      <c r="BV481" s="185" t="n">
        <v>40725</v>
      </c>
      <c r="CL481" s="182"/>
      <c r="CM481" s="182"/>
    </row>
    <row r="482" customFormat="false" ht="12.75" hidden="false" customHeight="false" outlineLevel="0" collapsed="false">
      <c r="A482" s="204" t="s">
        <v>663</v>
      </c>
      <c r="B482" s="193" t="s">
        <v>785</v>
      </c>
      <c r="C482" s="193" t="s">
        <v>876</v>
      </c>
      <c r="D482" s="193"/>
      <c r="E482" s="194" t="n">
        <v>2</v>
      </c>
      <c r="F482" s="195" t="n">
        <v>43</v>
      </c>
      <c r="G482" s="119"/>
      <c r="H482" s="119"/>
      <c r="J482" s="118"/>
      <c r="K482" s="118"/>
      <c r="L482" s="181"/>
      <c r="N482" s="182"/>
      <c r="O482" s="182"/>
      <c r="S482" s="184" t="n">
        <v>2030</v>
      </c>
      <c r="T482" s="185" t="n">
        <v>40725</v>
      </c>
      <c r="U482" s="182"/>
      <c r="V482" s="182"/>
      <c r="W482" s="183"/>
      <c r="X482" s="183"/>
      <c r="Y482" s="184" t="n">
        <v>720</v>
      </c>
      <c r="Z482" s="185" t="n">
        <v>40725</v>
      </c>
      <c r="AA482" s="184" t="n">
        <v>93102</v>
      </c>
      <c r="AB482" s="185" t="n">
        <v>40725</v>
      </c>
      <c r="AC482" s="184" t="n">
        <v>39.4</v>
      </c>
      <c r="AD482" s="185" t="n">
        <v>40725</v>
      </c>
      <c r="AE482" s="196"/>
      <c r="AF482" s="185"/>
      <c r="AG482" s="184" t="n">
        <v>4.23</v>
      </c>
      <c r="AH482" s="185" t="n">
        <v>40725</v>
      </c>
      <c r="AI482" s="183"/>
      <c r="AJ482" s="183"/>
      <c r="AK482" s="182"/>
      <c r="AL482" s="182"/>
      <c r="AM482" s="184" t="n">
        <v>91</v>
      </c>
      <c r="AN482" s="183" t="n">
        <v>40630</v>
      </c>
      <c r="AO482" s="182"/>
      <c r="AP482" s="182"/>
      <c r="AQ482" s="183"/>
      <c r="AR482" s="183"/>
      <c r="AS482" s="182"/>
      <c r="AT482" s="182"/>
      <c r="AU482" s="183"/>
      <c r="AV482" s="183"/>
      <c r="AW482" s="182"/>
      <c r="AX482" s="182"/>
      <c r="AY482" s="183"/>
      <c r="AZ482" s="183"/>
      <c r="BA482" s="182"/>
      <c r="BB482" s="182"/>
      <c r="BK482" s="183"/>
      <c r="BL482" s="183"/>
      <c r="BM482" s="182"/>
      <c r="BN482" s="182"/>
      <c r="BO482" s="183"/>
      <c r="BP482" s="183"/>
      <c r="BQ482" s="182"/>
      <c r="BR482" s="182"/>
      <c r="BS482" s="184" t="n">
        <v>51.6</v>
      </c>
      <c r="BT482" s="185" t="n">
        <v>40725</v>
      </c>
      <c r="BU482" s="184" t="n">
        <v>18.3</v>
      </c>
      <c r="BV482" s="185" t="n">
        <v>40725</v>
      </c>
      <c r="CL482" s="182"/>
      <c r="CM482" s="182"/>
    </row>
    <row r="483" customFormat="false" ht="12.75" hidden="false" customHeight="false" outlineLevel="0" collapsed="false">
      <c r="A483" s="204" t="s">
        <v>663</v>
      </c>
      <c r="B483" s="193" t="s">
        <v>785</v>
      </c>
      <c r="C483" s="193" t="s">
        <v>877</v>
      </c>
      <c r="D483" s="193"/>
      <c r="E483" s="119" t="n">
        <v>23</v>
      </c>
      <c r="F483" s="195" t="n">
        <v>86</v>
      </c>
      <c r="G483" s="119"/>
      <c r="H483" s="119"/>
      <c r="J483" s="118"/>
      <c r="K483" s="118"/>
      <c r="L483" s="181"/>
      <c r="N483" s="182"/>
      <c r="O483" s="182"/>
      <c r="S483" s="184" t="n">
        <v>1916</v>
      </c>
      <c r="T483" s="185" t="n">
        <v>40725</v>
      </c>
      <c r="U483" s="182"/>
      <c r="V483" s="182"/>
      <c r="W483" s="183"/>
      <c r="X483" s="183"/>
      <c r="Y483" s="184" t="n">
        <v>665</v>
      </c>
      <c r="Z483" s="185" t="n">
        <v>40725</v>
      </c>
      <c r="AA483" s="184" t="n">
        <v>89780</v>
      </c>
      <c r="AB483" s="185" t="n">
        <v>40725</v>
      </c>
      <c r="AC483" s="184" t="n">
        <v>37.8</v>
      </c>
      <c r="AD483" s="185" t="n">
        <v>40725</v>
      </c>
      <c r="AE483" s="196"/>
      <c r="AF483" s="185"/>
      <c r="AG483" s="184" t="n">
        <v>4.21</v>
      </c>
      <c r="AH483" s="185" t="n">
        <v>40725</v>
      </c>
      <c r="AI483" s="183"/>
      <c r="AJ483" s="183"/>
      <c r="AK483" s="182"/>
      <c r="AL483" s="182"/>
      <c r="AM483" s="184" t="n">
        <v>91</v>
      </c>
      <c r="AN483" s="183" t="n">
        <v>40630</v>
      </c>
      <c r="AO483" s="182"/>
      <c r="AP483" s="182"/>
      <c r="AQ483" s="183"/>
      <c r="AR483" s="183"/>
      <c r="AS483" s="182"/>
      <c r="AT483" s="182"/>
      <c r="AU483" s="183"/>
      <c r="AV483" s="183"/>
      <c r="AW483" s="182"/>
      <c r="AX483" s="182"/>
      <c r="AY483" s="183"/>
      <c r="AZ483" s="183"/>
      <c r="BA483" s="182"/>
      <c r="BB483" s="182"/>
      <c r="BK483" s="183"/>
      <c r="BL483" s="183"/>
      <c r="BM483" s="182"/>
      <c r="BN483" s="182"/>
      <c r="BO483" s="183"/>
      <c r="BP483" s="183"/>
      <c r="BQ483" s="182"/>
      <c r="BR483" s="182"/>
      <c r="BS483" s="184" t="n">
        <v>50.7</v>
      </c>
      <c r="BT483" s="185" t="n">
        <v>40725</v>
      </c>
      <c r="BU483" s="184" t="n">
        <v>17.6</v>
      </c>
      <c r="BV483" s="185" t="n">
        <v>40725</v>
      </c>
      <c r="CL483" s="182"/>
      <c r="CM483" s="182"/>
    </row>
    <row r="484" customFormat="false" ht="12.75" hidden="false" customHeight="false" outlineLevel="0" collapsed="false">
      <c r="A484" s="204" t="s">
        <v>666</v>
      </c>
      <c r="B484" s="193" t="s">
        <v>782</v>
      </c>
      <c r="C484" s="193" t="s">
        <v>875</v>
      </c>
      <c r="D484" s="193"/>
      <c r="E484" s="194" t="n">
        <v>1</v>
      </c>
      <c r="F484" s="195" t="n">
        <v>28</v>
      </c>
      <c r="G484" s="119"/>
      <c r="H484" s="119"/>
      <c r="J484" s="118"/>
      <c r="K484" s="118"/>
      <c r="L484" s="181"/>
      <c r="N484" s="182"/>
      <c r="O484" s="182"/>
      <c r="S484" s="184" t="n">
        <v>2072</v>
      </c>
      <c r="T484" s="185" t="n">
        <v>40725</v>
      </c>
      <c r="U484" s="182"/>
      <c r="V484" s="182"/>
      <c r="W484" s="183"/>
      <c r="X484" s="183"/>
      <c r="Y484" s="184" t="n">
        <v>592</v>
      </c>
      <c r="Z484" s="185" t="n">
        <v>40725</v>
      </c>
      <c r="AA484" s="184" t="n">
        <v>92576</v>
      </c>
      <c r="AB484" s="185" t="n">
        <v>40725</v>
      </c>
      <c r="AC484" s="184" t="n">
        <v>38.8</v>
      </c>
      <c r="AD484" s="185" t="n">
        <v>40725</v>
      </c>
      <c r="AE484" s="196"/>
      <c r="AF484" s="185"/>
      <c r="AG484" s="184" t="n">
        <v>4.19</v>
      </c>
      <c r="AH484" s="185" t="n">
        <v>40725</v>
      </c>
      <c r="AI484" s="183"/>
      <c r="AJ484" s="183"/>
      <c r="AK484" s="182"/>
      <c r="AL484" s="182"/>
      <c r="AM484" s="184" t="n">
        <v>87</v>
      </c>
      <c r="AN484" s="183" t="n">
        <v>40630</v>
      </c>
      <c r="AO484" s="182"/>
      <c r="AP484" s="182"/>
      <c r="AQ484" s="183"/>
      <c r="AR484" s="183"/>
      <c r="AS484" s="182"/>
      <c r="AT484" s="182"/>
      <c r="AU484" s="183"/>
      <c r="AV484" s="183"/>
      <c r="AW484" s="182"/>
      <c r="AX484" s="182"/>
      <c r="AY484" s="183"/>
      <c r="AZ484" s="183"/>
      <c r="BA484" s="182"/>
      <c r="BB484" s="182"/>
      <c r="BK484" s="183"/>
      <c r="BL484" s="183"/>
      <c r="BM484" s="182"/>
      <c r="BN484" s="182"/>
      <c r="BO484" s="183"/>
      <c r="BP484" s="183"/>
      <c r="BQ484" s="182"/>
      <c r="BR484" s="182"/>
      <c r="BS484" s="184" t="n">
        <v>53.4</v>
      </c>
      <c r="BT484" s="185" t="n">
        <v>40725</v>
      </c>
      <c r="BU484" s="184" t="n">
        <v>15.3</v>
      </c>
      <c r="BV484" s="185" t="n">
        <v>40725</v>
      </c>
      <c r="CL484" s="182"/>
      <c r="CM484" s="182"/>
    </row>
    <row r="485" customFormat="false" ht="12.75" hidden="false" customHeight="false" outlineLevel="0" collapsed="false">
      <c r="A485" s="204" t="s">
        <v>666</v>
      </c>
      <c r="B485" s="193" t="s">
        <v>782</v>
      </c>
      <c r="C485" s="193" t="s">
        <v>876</v>
      </c>
      <c r="D485" s="193"/>
      <c r="E485" s="194" t="n">
        <v>7</v>
      </c>
      <c r="F485" s="195" t="n">
        <v>41</v>
      </c>
      <c r="G485" s="119"/>
      <c r="H485" s="119"/>
      <c r="J485" s="118"/>
      <c r="K485" s="118"/>
      <c r="L485" s="181"/>
      <c r="N485" s="182"/>
      <c r="O485" s="182"/>
      <c r="S485" s="184" t="n">
        <v>1840</v>
      </c>
      <c r="T485" s="185" t="n">
        <v>40725</v>
      </c>
      <c r="U485" s="182"/>
      <c r="V485" s="182"/>
      <c r="W485" s="183"/>
      <c r="X485" s="183"/>
      <c r="Y485" s="184" t="n">
        <v>543</v>
      </c>
      <c r="Z485" s="185" t="n">
        <v>40725</v>
      </c>
      <c r="AA485" s="184" t="n">
        <v>84159</v>
      </c>
      <c r="AB485" s="185" t="n">
        <v>40725</v>
      </c>
      <c r="AC485" s="184" t="n">
        <v>34.3</v>
      </c>
      <c r="AD485" s="185" t="n">
        <v>40725</v>
      </c>
      <c r="AE485" s="196"/>
      <c r="AF485" s="185"/>
      <c r="AG485" s="184" t="n">
        <v>4.07</v>
      </c>
      <c r="AH485" s="185" t="n">
        <v>40725</v>
      </c>
      <c r="AI485" s="183"/>
      <c r="AJ485" s="183"/>
      <c r="AK485" s="182"/>
      <c r="AL485" s="182"/>
      <c r="AM485" s="184" t="n">
        <v>85</v>
      </c>
      <c r="AN485" s="183" t="n">
        <v>40630</v>
      </c>
      <c r="AO485" s="182"/>
      <c r="AP485" s="182"/>
      <c r="AQ485" s="183"/>
      <c r="AR485" s="183"/>
      <c r="AS485" s="182"/>
      <c r="AT485" s="182"/>
      <c r="AU485" s="183"/>
      <c r="AV485" s="183"/>
      <c r="AW485" s="182"/>
      <c r="AX485" s="182"/>
      <c r="AY485" s="183"/>
      <c r="AZ485" s="183"/>
      <c r="BA485" s="182"/>
      <c r="BB485" s="182"/>
      <c r="BK485" s="183"/>
      <c r="BL485" s="183"/>
      <c r="BM485" s="182"/>
      <c r="BN485" s="182"/>
      <c r="BO485" s="183"/>
      <c r="BP485" s="183"/>
      <c r="BQ485" s="182"/>
      <c r="BR485" s="182"/>
      <c r="BS485" s="184" t="n">
        <v>53.7</v>
      </c>
      <c r="BT485" s="185" t="n">
        <v>40725</v>
      </c>
      <c r="BU485" s="184" t="n">
        <v>15.8</v>
      </c>
      <c r="BV485" s="185" t="n">
        <v>40725</v>
      </c>
      <c r="CL485" s="182"/>
      <c r="CM485" s="182"/>
    </row>
    <row r="486" customFormat="false" ht="12.75" hidden="false" customHeight="false" outlineLevel="0" collapsed="false">
      <c r="A486" s="204" t="s">
        <v>666</v>
      </c>
      <c r="B486" s="193" t="s">
        <v>782</v>
      </c>
      <c r="C486" s="193" t="s">
        <v>877</v>
      </c>
      <c r="D486" s="193"/>
      <c r="E486" s="119" t="n">
        <v>18</v>
      </c>
      <c r="F486" s="195" t="n">
        <v>77</v>
      </c>
      <c r="G486" s="119"/>
      <c r="H486" s="119"/>
      <c r="J486" s="118"/>
      <c r="K486" s="118"/>
      <c r="L486" s="181"/>
      <c r="N486" s="182"/>
      <c r="O486" s="182"/>
      <c r="S486" s="184" t="s">
        <v>879</v>
      </c>
      <c r="T486" s="185" t="n">
        <v>40725</v>
      </c>
      <c r="U486" s="182"/>
      <c r="V486" s="182"/>
      <c r="W486" s="183"/>
      <c r="X486" s="183"/>
      <c r="Y486" s="184" t="s">
        <v>879</v>
      </c>
      <c r="Z486" s="185" t="n">
        <v>40725</v>
      </c>
      <c r="AA486" s="184" t="s">
        <v>879</v>
      </c>
      <c r="AB486" s="185" t="n">
        <v>40725</v>
      </c>
      <c r="AC486" s="184" t="s">
        <v>879</v>
      </c>
      <c r="AD486" s="185" t="n">
        <v>40725</v>
      </c>
      <c r="AE486" s="196"/>
      <c r="AF486" s="185"/>
      <c r="AG486" s="184" t="s">
        <v>879</v>
      </c>
      <c r="AH486" s="185" t="n">
        <v>40725</v>
      </c>
      <c r="AI486" s="183"/>
      <c r="AJ486" s="183"/>
      <c r="AK486" s="182"/>
      <c r="AL486" s="182"/>
      <c r="AM486" s="184" t="n">
        <v>86</v>
      </c>
      <c r="AN486" s="183" t="n">
        <v>40630</v>
      </c>
      <c r="AO486" s="182"/>
      <c r="AP486" s="182"/>
      <c r="AQ486" s="183"/>
      <c r="AR486" s="183"/>
      <c r="AS486" s="182"/>
      <c r="AT486" s="182"/>
      <c r="AU486" s="183"/>
      <c r="AV486" s="183"/>
      <c r="AW486" s="182"/>
      <c r="AX486" s="182"/>
      <c r="AY486" s="183"/>
      <c r="AZ486" s="183"/>
      <c r="BA486" s="182"/>
      <c r="BB486" s="182"/>
      <c r="BK486" s="183"/>
      <c r="BL486" s="183"/>
      <c r="BM486" s="182"/>
      <c r="BN486" s="182"/>
      <c r="BO486" s="183"/>
      <c r="BP486" s="183"/>
      <c r="BQ486" s="182"/>
      <c r="BR486" s="182"/>
      <c r="BS486" s="184" t="s">
        <v>879</v>
      </c>
      <c r="BT486" s="185" t="n">
        <v>40725</v>
      </c>
      <c r="BU486" s="184" t="s">
        <v>879</v>
      </c>
      <c r="BV486" s="185" t="n">
        <v>40725</v>
      </c>
      <c r="CL486" s="182"/>
      <c r="CM486" s="182"/>
    </row>
    <row r="487" customFormat="false" ht="12.75" hidden="false" customHeight="false" outlineLevel="0" collapsed="false">
      <c r="A487" s="204" t="s">
        <v>666</v>
      </c>
      <c r="B487" s="193" t="s">
        <v>785</v>
      </c>
      <c r="C487" s="193" t="s">
        <v>875</v>
      </c>
      <c r="D487" s="193"/>
      <c r="E487" s="194" t="n">
        <v>5</v>
      </c>
      <c r="F487" s="195" t="n">
        <v>21</v>
      </c>
      <c r="G487" s="119"/>
      <c r="H487" s="119"/>
      <c r="J487" s="118"/>
      <c r="K487" s="118"/>
      <c r="L487" s="181"/>
      <c r="N487" s="182"/>
      <c r="O487" s="182"/>
      <c r="S487" s="184" t="n">
        <v>1773</v>
      </c>
      <c r="T487" s="185" t="n">
        <v>40725</v>
      </c>
      <c r="U487" s="182"/>
      <c r="V487" s="182"/>
      <c r="W487" s="183"/>
      <c r="X487" s="183"/>
      <c r="Y487" s="184" t="n">
        <v>555</v>
      </c>
      <c r="Z487" s="185" t="n">
        <v>40725</v>
      </c>
      <c r="AA487" s="184" t="n">
        <v>81173</v>
      </c>
      <c r="AB487" s="185" t="n">
        <v>40725</v>
      </c>
      <c r="AC487" s="184" t="n">
        <v>33.7</v>
      </c>
      <c r="AD487" s="185" t="n">
        <v>40725</v>
      </c>
      <c r="AE487" s="196"/>
      <c r="AF487" s="185"/>
      <c r="AG487" s="184" t="n">
        <v>4.15</v>
      </c>
      <c r="AH487" s="185" t="n">
        <v>40725</v>
      </c>
      <c r="AI487" s="183"/>
      <c r="AJ487" s="183"/>
      <c r="AK487" s="182"/>
      <c r="AL487" s="182"/>
      <c r="AM487" s="184" t="n">
        <v>87</v>
      </c>
      <c r="AN487" s="183" t="n">
        <v>40630</v>
      </c>
      <c r="AO487" s="182"/>
      <c r="AP487" s="182"/>
      <c r="AQ487" s="183"/>
      <c r="AR487" s="183"/>
      <c r="AS487" s="182"/>
      <c r="AT487" s="182"/>
      <c r="AU487" s="183"/>
      <c r="AV487" s="183"/>
      <c r="AW487" s="182"/>
      <c r="AX487" s="182"/>
      <c r="AY487" s="183"/>
      <c r="AZ487" s="183"/>
      <c r="BA487" s="182"/>
      <c r="BB487" s="182"/>
      <c r="BK487" s="183"/>
      <c r="BL487" s="183"/>
      <c r="BM487" s="182"/>
      <c r="BN487" s="182"/>
      <c r="BO487" s="183"/>
      <c r="BP487" s="183"/>
      <c r="BQ487" s="182"/>
      <c r="BR487" s="182"/>
      <c r="BS487" s="184" t="n">
        <v>52.7</v>
      </c>
      <c r="BT487" s="185" t="n">
        <v>40725</v>
      </c>
      <c r="BU487" s="184" t="n">
        <v>16.5</v>
      </c>
      <c r="BV487" s="185" t="n">
        <v>40725</v>
      </c>
      <c r="CL487" s="182"/>
      <c r="CM487" s="182"/>
    </row>
    <row r="488" customFormat="false" ht="12.75" hidden="false" customHeight="false" outlineLevel="0" collapsed="false">
      <c r="A488" s="204" t="s">
        <v>666</v>
      </c>
      <c r="B488" s="193" t="s">
        <v>785</v>
      </c>
      <c r="C488" s="193" t="s">
        <v>876</v>
      </c>
      <c r="D488" s="193"/>
      <c r="E488" s="194" t="n">
        <v>3</v>
      </c>
      <c r="F488" s="195" t="n">
        <v>36</v>
      </c>
      <c r="G488" s="119"/>
      <c r="H488" s="119"/>
      <c r="J488" s="118"/>
      <c r="K488" s="118"/>
      <c r="L488" s="181"/>
      <c r="N488" s="182"/>
      <c r="O488" s="182"/>
      <c r="S488" s="184" t="n">
        <v>2349</v>
      </c>
      <c r="T488" s="185" t="n">
        <v>40725</v>
      </c>
      <c r="U488" s="182"/>
      <c r="V488" s="182"/>
      <c r="W488" s="183"/>
      <c r="X488" s="183"/>
      <c r="Y488" s="184" t="n">
        <v>758</v>
      </c>
      <c r="Z488" s="185" t="n">
        <v>40725</v>
      </c>
      <c r="AA488" s="184" t="n">
        <v>104252</v>
      </c>
      <c r="AB488" s="185" t="n">
        <v>40725</v>
      </c>
      <c r="AC488" s="184" t="n">
        <v>44.8</v>
      </c>
      <c r="AD488" s="185" t="n">
        <v>40725</v>
      </c>
      <c r="AE488" s="196"/>
      <c r="AF488" s="185"/>
      <c r="AG488" s="184" t="n">
        <v>4.3</v>
      </c>
      <c r="AH488" s="185" t="n">
        <v>40725</v>
      </c>
      <c r="AI488" s="183"/>
      <c r="AJ488" s="183"/>
      <c r="AK488" s="182"/>
      <c r="AL488" s="182"/>
      <c r="AM488" s="184" t="n">
        <v>86</v>
      </c>
      <c r="AN488" s="183" t="n">
        <v>40630</v>
      </c>
      <c r="AO488" s="182"/>
      <c r="AP488" s="182"/>
      <c r="AQ488" s="183"/>
      <c r="AR488" s="183"/>
      <c r="AS488" s="182"/>
      <c r="AT488" s="182"/>
      <c r="AU488" s="183"/>
      <c r="AV488" s="183"/>
      <c r="AW488" s="182"/>
      <c r="AX488" s="182"/>
      <c r="AY488" s="183"/>
      <c r="AZ488" s="183"/>
      <c r="BA488" s="182"/>
      <c r="BB488" s="182"/>
      <c r="BK488" s="183"/>
      <c r="BL488" s="183"/>
      <c r="BM488" s="182"/>
      <c r="BN488" s="182"/>
      <c r="BO488" s="183"/>
      <c r="BP488" s="183"/>
      <c r="BQ488" s="182"/>
      <c r="BR488" s="182"/>
      <c r="BS488" s="184" t="n">
        <v>52.4</v>
      </c>
      <c r="BT488" s="185" t="n">
        <v>40725</v>
      </c>
      <c r="BU488" s="184" t="n">
        <v>16.9</v>
      </c>
      <c r="BV488" s="185" t="n">
        <v>40725</v>
      </c>
      <c r="CL488" s="182"/>
      <c r="CM488" s="182"/>
    </row>
    <row r="489" customFormat="false" ht="12.75" hidden="false" customHeight="false" outlineLevel="0" collapsed="false">
      <c r="A489" s="204" t="s">
        <v>666</v>
      </c>
      <c r="B489" s="193" t="s">
        <v>785</v>
      </c>
      <c r="C489" s="193" t="s">
        <v>877</v>
      </c>
      <c r="D489" s="193"/>
      <c r="E489" s="119" t="n">
        <v>22</v>
      </c>
      <c r="F489" s="195" t="n">
        <v>80</v>
      </c>
      <c r="G489" s="119"/>
      <c r="H489" s="119"/>
      <c r="J489" s="118"/>
      <c r="K489" s="118"/>
      <c r="L489" s="181"/>
      <c r="N489" s="182"/>
      <c r="O489" s="182"/>
      <c r="S489" s="184" t="n">
        <v>2420</v>
      </c>
      <c r="T489" s="185" t="n">
        <v>40725</v>
      </c>
      <c r="U489" s="182"/>
      <c r="V489" s="182"/>
      <c r="W489" s="183"/>
      <c r="X489" s="183"/>
      <c r="Y489" s="184" t="n">
        <v>841</v>
      </c>
      <c r="Z489" s="185" t="n">
        <v>40725</v>
      </c>
      <c r="AA489" s="184" t="n">
        <v>111775</v>
      </c>
      <c r="AB489" s="185" t="n">
        <v>40725</v>
      </c>
      <c r="AC489" s="184" t="n">
        <v>47.3</v>
      </c>
      <c r="AD489" s="185" t="n">
        <v>40725</v>
      </c>
      <c r="AE489" s="196"/>
      <c r="AF489" s="185"/>
      <c r="AG489" s="184" t="n">
        <v>4.24</v>
      </c>
      <c r="AH489" s="185" t="n">
        <v>40725</v>
      </c>
      <c r="AI489" s="183"/>
      <c r="AJ489" s="183"/>
      <c r="AK489" s="182"/>
      <c r="AL489" s="182"/>
      <c r="AM489" s="184" t="n">
        <v>88</v>
      </c>
      <c r="AN489" s="183" t="n">
        <v>40630</v>
      </c>
      <c r="AO489" s="182"/>
      <c r="AP489" s="182"/>
      <c r="AQ489" s="183"/>
      <c r="AR489" s="183"/>
      <c r="AS489" s="182"/>
      <c r="AT489" s="182"/>
      <c r="AU489" s="183"/>
      <c r="AV489" s="183"/>
      <c r="AW489" s="182"/>
      <c r="AX489" s="182"/>
      <c r="AY489" s="183"/>
      <c r="AZ489" s="183"/>
      <c r="BA489" s="182"/>
      <c r="BB489" s="182"/>
      <c r="BK489" s="183"/>
      <c r="BL489" s="183"/>
      <c r="BM489" s="182"/>
      <c r="BN489" s="182"/>
      <c r="BO489" s="183"/>
      <c r="BP489" s="183"/>
      <c r="BQ489" s="182"/>
      <c r="BR489" s="182"/>
      <c r="BS489" s="184" t="n">
        <v>51.1</v>
      </c>
      <c r="BT489" s="185" t="n">
        <v>40725</v>
      </c>
      <c r="BU489" s="184" t="n">
        <v>17.8</v>
      </c>
      <c r="BV489" s="185" t="n">
        <v>40725</v>
      </c>
      <c r="CL489" s="182"/>
      <c r="CM489" s="182"/>
    </row>
    <row r="490" customFormat="false" ht="12.75" hidden="false" customHeight="false" outlineLevel="0" collapsed="false">
      <c r="A490" s="204" t="s">
        <v>669</v>
      </c>
      <c r="B490" s="193" t="s">
        <v>782</v>
      </c>
      <c r="C490" s="193" t="s">
        <v>875</v>
      </c>
      <c r="D490" s="193"/>
      <c r="E490" s="194" t="n">
        <v>1</v>
      </c>
      <c r="F490" s="195" t="n">
        <v>29</v>
      </c>
      <c r="G490" s="119"/>
      <c r="H490" s="119"/>
      <c r="J490" s="118"/>
      <c r="K490" s="118"/>
      <c r="L490" s="181"/>
      <c r="N490" s="182"/>
      <c r="O490" s="182"/>
      <c r="S490" s="184" t="n">
        <v>1908</v>
      </c>
      <c r="T490" s="185" t="n">
        <v>40725</v>
      </c>
      <c r="U490" s="182"/>
      <c r="V490" s="182"/>
      <c r="W490" s="183"/>
      <c r="X490" s="183"/>
      <c r="Y490" s="184" t="n">
        <v>627</v>
      </c>
      <c r="Z490" s="185" t="n">
        <v>40725</v>
      </c>
      <c r="AA490" s="184" t="n">
        <v>84407</v>
      </c>
      <c r="AB490" s="185" t="n">
        <v>40725</v>
      </c>
      <c r="AC490" s="184" t="n">
        <v>37</v>
      </c>
      <c r="AD490" s="185" t="n">
        <v>40725</v>
      </c>
      <c r="AE490" s="196"/>
      <c r="AF490" s="185"/>
      <c r="AG490" s="184" t="n">
        <v>4.38</v>
      </c>
      <c r="AH490" s="185" t="n">
        <v>40725</v>
      </c>
      <c r="AI490" s="183"/>
      <c r="AJ490" s="183"/>
      <c r="AK490" s="182"/>
      <c r="AL490" s="182"/>
      <c r="AM490" s="184" t="n">
        <v>88</v>
      </c>
      <c r="AN490" s="183" t="n">
        <v>40630</v>
      </c>
      <c r="AO490" s="182"/>
      <c r="AP490" s="182"/>
      <c r="AQ490" s="183"/>
      <c r="AR490" s="183"/>
      <c r="AS490" s="182"/>
      <c r="AT490" s="182"/>
      <c r="AU490" s="183"/>
      <c r="AV490" s="183"/>
      <c r="AW490" s="182"/>
      <c r="AX490" s="182"/>
      <c r="AY490" s="183"/>
      <c r="AZ490" s="183"/>
      <c r="BA490" s="182"/>
      <c r="BB490" s="182"/>
      <c r="BK490" s="183"/>
      <c r="BL490" s="183"/>
      <c r="BM490" s="182"/>
      <c r="BN490" s="182"/>
      <c r="BO490" s="183"/>
      <c r="BP490" s="183"/>
      <c r="BQ490" s="182"/>
      <c r="BR490" s="182"/>
      <c r="BS490" s="184" t="n">
        <v>51.6</v>
      </c>
      <c r="BT490" s="185" t="n">
        <v>40725</v>
      </c>
      <c r="BU490" s="184" t="n">
        <v>17</v>
      </c>
      <c r="BV490" s="185" t="n">
        <v>40725</v>
      </c>
      <c r="CL490" s="182"/>
      <c r="CM490" s="182"/>
    </row>
    <row r="491" customFormat="false" ht="12.75" hidden="false" customHeight="false" outlineLevel="0" collapsed="false">
      <c r="A491" s="204" t="s">
        <v>669</v>
      </c>
      <c r="B491" s="193" t="s">
        <v>782</v>
      </c>
      <c r="C491" s="193" t="s">
        <v>876</v>
      </c>
      <c r="D491" s="193"/>
      <c r="E491" s="194" t="n">
        <v>5</v>
      </c>
      <c r="F491" s="195" t="n">
        <v>36</v>
      </c>
      <c r="G491" s="119"/>
      <c r="H491" s="119"/>
      <c r="J491" s="118"/>
      <c r="K491" s="118"/>
      <c r="L491" s="181"/>
      <c r="N491" s="182"/>
      <c r="O491" s="182"/>
      <c r="S491" s="184" t="n">
        <v>1955</v>
      </c>
      <c r="T491" s="185" t="n">
        <v>40725</v>
      </c>
      <c r="U491" s="182"/>
      <c r="V491" s="182"/>
      <c r="W491" s="183"/>
      <c r="X491" s="183"/>
      <c r="Y491" s="184" t="n">
        <v>599</v>
      </c>
      <c r="Z491" s="185" t="n">
        <v>40725</v>
      </c>
      <c r="AA491" s="184" t="n">
        <v>84765</v>
      </c>
      <c r="AB491" s="185" t="n">
        <v>40725</v>
      </c>
      <c r="AC491" s="184" t="n">
        <v>37.1</v>
      </c>
      <c r="AD491" s="185" t="n">
        <v>40725</v>
      </c>
      <c r="AE491" s="196"/>
      <c r="AF491" s="185"/>
      <c r="AG491" s="184" t="n">
        <v>4.37</v>
      </c>
      <c r="AH491" s="185" t="n">
        <v>40725</v>
      </c>
      <c r="AI491" s="183"/>
      <c r="AJ491" s="183"/>
      <c r="AK491" s="182"/>
      <c r="AL491" s="182"/>
      <c r="AM491" s="184" t="n">
        <v>86</v>
      </c>
      <c r="AN491" s="183" t="n">
        <v>40630</v>
      </c>
      <c r="AO491" s="182"/>
      <c r="AP491" s="182"/>
      <c r="AQ491" s="183"/>
      <c r="AR491" s="183"/>
      <c r="AS491" s="182"/>
      <c r="AT491" s="182"/>
      <c r="AU491" s="183"/>
      <c r="AV491" s="183"/>
      <c r="AW491" s="182"/>
      <c r="AX491" s="182"/>
      <c r="AY491" s="183"/>
      <c r="AZ491" s="183"/>
      <c r="BA491" s="182"/>
      <c r="BB491" s="182"/>
      <c r="BK491" s="183"/>
      <c r="BL491" s="183"/>
      <c r="BM491" s="182"/>
      <c r="BN491" s="182"/>
      <c r="BO491" s="183"/>
      <c r="BP491" s="183"/>
      <c r="BQ491" s="182"/>
      <c r="BR491" s="182"/>
      <c r="BS491" s="184" t="n">
        <v>52.8</v>
      </c>
      <c r="BT491" s="185" t="n">
        <v>40725</v>
      </c>
      <c r="BU491" s="184" t="n">
        <v>16.2</v>
      </c>
      <c r="BV491" s="185" t="n">
        <v>40725</v>
      </c>
      <c r="CL491" s="182"/>
      <c r="CM491" s="182"/>
    </row>
    <row r="492" customFormat="false" ht="12.75" hidden="false" customHeight="false" outlineLevel="0" collapsed="false">
      <c r="A492" s="204" t="s">
        <v>669</v>
      </c>
      <c r="B492" s="193" t="s">
        <v>782</v>
      </c>
      <c r="C492" s="193" t="s">
        <v>877</v>
      </c>
      <c r="D492" s="193"/>
      <c r="E492" s="119" t="n">
        <v>15</v>
      </c>
      <c r="F492" s="195" t="n">
        <v>85</v>
      </c>
      <c r="G492" s="119"/>
      <c r="H492" s="119"/>
      <c r="J492" s="118"/>
      <c r="K492" s="118"/>
      <c r="L492" s="181"/>
      <c r="N492" s="182"/>
      <c r="O492" s="182"/>
      <c r="S492" s="184" t="n">
        <v>1822</v>
      </c>
      <c r="T492" s="185" t="n">
        <v>40725</v>
      </c>
      <c r="U492" s="182"/>
      <c r="V492" s="182"/>
      <c r="W492" s="183"/>
      <c r="X492" s="183"/>
      <c r="Y492" s="184" t="n">
        <v>589</v>
      </c>
      <c r="Z492" s="185" t="n">
        <v>40725</v>
      </c>
      <c r="AA492" s="184" t="n">
        <v>77912</v>
      </c>
      <c r="AB492" s="185" t="n">
        <v>40725</v>
      </c>
      <c r="AC492" s="184" t="n">
        <v>35.3</v>
      </c>
      <c r="AD492" s="185" t="n">
        <v>40725</v>
      </c>
      <c r="AE492" s="196"/>
      <c r="AF492" s="185"/>
      <c r="AG492" s="184" t="n">
        <v>4.53</v>
      </c>
      <c r="AH492" s="185" t="n">
        <v>40725</v>
      </c>
      <c r="AI492" s="183"/>
      <c r="AJ492" s="183"/>
      <c r="AK492" s="182"/>
      <c r="AL492" s="182"/>
      <c r="AM492" s="184" t="n">
        <v>86</v>
      </c>
      <c r="AN492" s="183" t="n">
        <v>40630</v>
      </c>
      <c r="AO492" s="182"/>
      <c r="AP492" s="182"/>
      <c r="AQ492" s="183"/>
      <c r="AR492" s="183"/>
      <c r="AS492" s="182"/>
      <c r="AT492" s="182"/>
      <c r="AU492" s="183"/>
      <c r="AV492" s="183"/>
      <c r="AW492" s="182"/>
      <c r="AX492" s="182"/>
      <c r="AY492" s="183"/>
      <c r="AZ492" s="183"/>
      <c r="BA492" s="182"/>
      <c r="BB492" s="182"/>
      <c r="BK492" s="183"/>
      <c r="BL492" s="183"/>
      <c r="BM492" s="182"/>
      <c r="BN492" s="182"/>
      <c r="BO492" s="183"/>
      <c r="BP492" s="183"/>
      <c r="BQ492" s="182"/>
      <c r="BR492" s="182"/>
      <c r="BS492" s="184" t="n">
        <v>51.6</v>
      </c>
      <c r="BT492" s="185" t="n">
        <v>40725</v>
      </c>
      <c r="BU492" s="184" t="n">
        <v>16.7</v>
      </c>
      <c r="BV492" s="185" t="n">
        <v>40725</v>
      </c>
      <c r="CL492" s="182"/>
      <c r="CM492" s="182"/>
    </row>
    <row r="493" customFormat="false" ht="12.75" hidden="false" customHeight="false" outlineLevel="0" collapsed="false">
      <c r="A493" s="204" t="s">
        <v>669</v>
      </c>
      <c r="B493" s="193" t="s">
        <v>785</v>
      </c>
      <c r="C493" s="193" t="s">
        <v>875</v>
      </c>
      <c r="D493" s="193"/>
      <c r="E493" s="194" t="n">
        <v>7</v>
      </c>
      <c r="F493" s="195" t="n">
        <v>4</v>
      </c>
      <c r="G493" s="119"/>
      <c r="H493" s="119"/>
      <c r="J493" s="118"/>
      <c r="K493" s="118"/>
      <c r="L493" s="181"/>
      <c r="N493" s="182"/>
      <c r="O493" s="182"/>
      <c r="S493" s="184" t="n">
        <v>2289</v>
      </c>
      <c r="T493" s="185" t="n">
        <v>40725</v>
      </c>
      <c r="U493" s="182"/>
      <c r="V493" s="182"/>
      <c r="W493" s="183"/>
      <c r="X493" s="183"/>
      <c r="Y493" s="184" t="n">
        <v>793</v>
      </c>
      <c r="Z493" s="185" t="n">
        <v>40725</v>
      </c>
      <c r="AA493" s="184" t="n">
        <v>95910</v>
      </c>
      <c r="AB493" s="185" t="n">
        <v>40725</v>
      </c>
      <c r="AC493" s="184" t="n">
        <v>44.8</v>
      </c>
      <c r="AD493" s="185" t="n">
        <v>40725</v>
      </c>
      <c r="AE493" s="196"/>
      <c r="AF493" s="185"/>
      <c r="AG493" s="184" t="n">
        <v>4.67</v>
      </c>
      <c r="AH493" s="185" t="n">
        <v>40725</v>
      </c>
      <c r="AI493" s="183"/>
      <c r="AJ493" s="183"/>
      <c r="AK493" s="182"/>
      <c r="AL493" s="182"/>
      <c r="AM493" s="184" t="n">
        <v>90</v>
      </c>
      <c r="AN493" s="183" t="n">
        <v>40630</v>
      </c>
      <c r="AO493" s="182"/>
      <c r="AP493" s="182"/>
      <c r="AQ493" s="183"/>
      <c r="AR493" s="183"/>
      <c r="AS493" s="182"/>
      <c r="AT493" s="182"/>
      <c r="AU493" s="183"/>
      <c r="AV493" s="183"/>
      <c r="AW493" s="182"/>
      <c r="AX493" s="182"/>
      <c r="AY493" s="183"/>
      <c r="AZ493" s="183"/>
      <c r="BA493" s="182"/>
      <c r="BB493" s="182"/>
      <c r="BK493" s="183"/>
      <c r="BL493" s="183"/>
      <c r="BM493" s="182"/>
      <c r="BN493" s="182"/>
      <c r="BO493" s="183"/>
      <c r="BP493" s="183"/>
      <c r="BQ493" s="182"/>
      <c r="BR493" s="182"/>
      <c r="BS493" s="184" t="n">
        <v>51.1</v>
      </c>
      <c r="BT493" s="185" t="n">
        <v>40725</v>
      </c>
      <c r="BU493" s="184" t="n">
        <v>17.7</v>
      </c>
      <c r="BV493" s="185" t="n">
        <v>40725</v>
      </c>
      <c r="CL493" s="182"/>
      <c r="CM493" s="182"/>
    </row>
    <row r="494" customFormat="false" ht="12.75" hidden="false" customHeight="false" outlineLevel="0" collapsed="false">
      <c r="A494" s="204" t="s">
        <v>669</v>
      </c>
      <c r="B494" s="193" t="s">
        <v>785</v>
      </c>
      <c r="C494" s="193" t="s">
        <v>876</v>
      </c>
      <c r="D494" s="193"/>
      <c r="E494" s="194" t="n">
        <v>2</v>
      </c>
      <c r="F494" s="195" t="n">
        <v>59</v>
      </c>
      <c r="G494" s="119"/>
      <c r="H494" s="119"/>
      <c r="J494" s="118"/>
      <c r="K494" s="118"/>
      <c r="L494" s="181"/>
      <c r="N494" s="182"/>
      <c r="O494" s="182"/>
      <c r="S494" s="184" t="n">
        <v>2065</v>
      </c>
      <c r="T494" s="185" t="n">
        <v>40725</v>
      </c>
      <c r="U494" s="182"/>
      <c r="V494" s="182"/>
      <c r="W494" s="183"/>
      <c r="X494" s="183"/>
      <c r="Y494" s="184" t="n">
        <v>735</v>
      </c>
      <c r="Z494" s="185" t="n">
        <v>40725</v>
      </c>
      <c r="AA494" s="184" t="n">
        <v>86382</v>
      </c>
      <c r="AB494" s="185" t="n">
        <v>40725</v>
      </c>
      <c r="AC494" s="184" t="n">
        <v>40.8</v>
      </c>
      <c r="AD494" s="185" t="n">
        <v>40725</v>
      </c>
      <c r="AE494" s="196"/>
      <c r="AF494" s="185"/>
      <c r="AG494" s="184" t="n">
        <v>4.72</v>
      </c>
      <c r="AH494" s="185" t="n">
        <v>40725</v>
      </c>
      <c r="AI494" s="183"/>
      <c r="AJ494" s="183"/>
      <c r="AK494" s="182"/>
      <c r="AL494" s="182"/>
      <c r="AM494" s="184" t="n">
        <v>87</v>
      </c>
      <c r="AN494" s="183" t="n">
        <v>40630</v>
      </c>
      <c r="AO494" s="182"/>
      <c r="AP494" s="182"/>
      <c r="AQ494" s="183"/>
      <c r="AR494" s="183"/>
      <c r="AS494" s="182"/>
      <c r="AT494" s="182"/>
      <c r="AU494" s="183"/>
      <c r="AV494" s="183"/>
      <c r="AW494" s="182"/>
      <c r="AX494" s="182"/>
      <c r="AY494" s="183"/>
      <c r="AZ494" s="183"/>
      <c r="BA494" s="182"/>
      <c r="BB494" s="182"/>
      <c r="BK494" s="183"/>
      <c r="BL494" s="183"/>
      <c r="BM494" s="182"/>
      <c r="BN494" s="182"/>
      <c r="BO494" s="183"/>
      <c r="BP494" s="183"/>
      <c r="BQ494" s="182"/>
      <c r="BR494" s="182"/>
      <c r="BS494" s="184" t="n">
        <v>50.7</v>
      </c>
      <c r="BT494" s="185" t="n">
        <v>40725</v>
      </c>
      <c r="BU494" s="184" t="n">
        <v>18</v>
      </c>
      <c r="BV494" s="185" t="n">
        <v>40725</v>
      </c>
      <c r="CL494" s="182"/>
      <c r="CM494" s="182"/>
    </row>
    <row r="495" customFormat="false" ht="12.75" hidden="false" customHeight="false" outlineLevel="0" collapsed="false">
      <c r="A495" s="204" t="s">
        <v>669</v>
      </c>
      <c r="B495" s="193" t="s">
        <v>785</v>
      </c>
      <c r="C495" s="193" t="s">
        <v>877</v>
      </c>
      <c r="D495" s="193"/>
      <c r="E495" s="119" t="n">
        <v>24</v>
      </c>
      <c r="F495" s="195" t="n">
        <v>65</v>
      </c>
      <c r="G495" s="119"/>
      <c r="H495" s="119"/>
      <c r="J495" s="118"/>
      <c r="K495" s="118"/>
      <c r="L495" s="181"/>
      <c r="N495" s="182"/>
      <c r="O495" s="182"/>
      <c r="S495" s="184" t="n">
        <v>2415</v>
      </c>
      <c r="T495" s="185" t="n">
        <v>40725</v>
      </c>
      <c r="U495" s="182"/>
      <c r="V495" s="182"/>
      <c r="W495" s="183"/>
      <c r="X495" s="183"/>
      <c r="Y495" s="184" t="n">
        <v>808</v>
      </c>
      <c r="Z495" s="185" t="n">
        <v>40725</v>
      </c>
      <c r="AA495" s="184" t="n">
        <v>96816</v>
      </c>
      <c r="AB495" s="185" t="n">
        <v>40725</v>
      </c>
      <c r="AC495" s="184" t="n">
        <v>46.4</v>
      </c>
      <c r="AD495" s="185" t="n">
        <v>40725</v>
      </c>
      <c r="AE495" s="196"/>
      <c r="AF495" s="185"/>
      <c r="AG495" s="184" t="n">
        <v>4.79</v>
      </c>
      <c r="AH495" s="185" t="n">
        <v>40725</v>
      </c>
      <c r="AI495" s="183"/>
      <c r="AJ495" s="183"/>
      <c r="AK495" s="182"/>
      <c r="AL495" s="182"/>
      <c r="AM495" s="184" t="n">
        <v>87</v>
      </c>
      <c r="AN495" s="183" t="n">
        <v>40630</v>
      </c>
      <c r="AO495" s="182"/>
      <c r="AP495" s="182"/>
      <c r="AQ495" s="183"/>
      <c r="AR495" s="183"/>
      <c r="AS495" s="182"/>
      <c r="AT495" s="182"/>
      <c r="AU495" s="183"/>
      <c r="AV495" s="183"/>
      <c r="AW495" s="182"/>
      <c r="AX495" s="182"/>
      <c r="AY495" s="183"/>
      <c r="AZ495" s="183"/>
      <c r="BA495" s="182"/>
      <c r="BB495" s="182"/>
      <c r="BK495" s="183"/>
      <c r="BL495" s="183"/>
      <c r="BM495" s="182"/>
      <c r="BN495" s="182"/>
      <c r="BO495" s="183"/>
      <c r="BP495" s="183"/>
      <c r="BQ495" s="182"/>
      <c r="BR495" s="182"/>
      <c r="BS495" s="184" t="n">
        <v>52</v>
      </c>
      <c r="BT495" s="185" t="n">
        <v>40725</v>
      </c>
      <c r="BU495" s="184" t="n">
        <v>17.4</v>
      </c>
      <c r="BV495" s="185" t="n">
        <v>40725</v>
      </c>
      <c r="CL495" s="182"/>
      <c r="CM495" s="182"/>
    </row>
    <row r="496" customFormat="false" ht="12.75" hidden="false" customHeight="false" outlineLevel="0" collapsed="false">
      <c r="A496" s="204" t="s">
        <v>672</v>
      </c>
      <c r="B496" s="193" t="s">
        <v>782</v>
      </c>
      <c r="C496" s="193" t="s">
        <v>875</v>
      </c>
      <c r="D496" s="193"/>
      <c r="E496" s="194" t="n">
        <v>1</v>
      </c>
      <c r="F496" s="195" t="n">
        <v>21</v>
      </c>
      <c r="G496" s="119"/>
      <c r="H496" s="119"/>
      <c r="J496" s="118"/>
      <c r="K496" s="118"/>
      <c r="L496" s="181"/>
      <c r="N496" s="182"/>
      <c r="O496" s="182"/>
      <c r="S496" s="184" t="n">
        <v>1440</v>
      </c>
      <c r="T496" s="185" t="n">
        <v>40725</v>
      </c>
      <c r="U496" s="182"/>
      <c r="V496" s="182"/>
      <c r="W496" s="183"/>
      <c r="X496" s="183"/>
      <c r="Y496" s="184" t="n">
        <v>410</v>
      </c>
      <c r="Z496" s="185" t="n">
        <v>40725</v>
      </c>
      <c r="AA496" s="184" t="n">
        <v>70707</v>
      </c>
      <c r="AB496" s="185" t="n">
        <v>40725</v>
      </c>
      <c r="AC496" s="184" t="n">
        <v>27</v>
      </c>
      <c r="AD496" s="185" t="n">
        <v>40725</v>
      </c>
      <c r="AE496" s="196"/>
      <c r="AF496" s="185"/>
      <c r="AG496" s="184" t="n">
        <v>3.82</v>
      </c>
      <c r="AH496" s="185" t="n">
        <v>40725</v>
      </c>
      <c r="AI496" s="183"/>
      <c r="AJ496" s="183"/>
      <c r="AK496" s="182"/>
      <c r="AL496" s="182"/>
      <c r="AM496" s="184" t="n">
        <v>88</v>
      </c>
      <c r="AN496" s="183" t="n">
        <v>40630</v>
      </c>
      <c r="AO496" s="182"/>
      <c r="AP496" s="182"/>
      <c r="AQ496" s="183"/>
      <c r="AR496" s="183"/>
      <c r="AS496" s="182"/>
      <c r="AT496" s="182"/>
      <c r="AU496" s="183"/>
      <c r="AV496" s="183"/>
      <c r="AW496" s="182"/>
      <c r="AX496" s="182"/>
      <c r="AY496" s="183"/>
      <c r="AZ496" s="183"/>
      <c r="BA496" s="182"/>
      <c r="BB496" s="182"/>
      <c r="BK496" s="183"/>
      <c r="BL496" s="183"/>
      <c r="BM496" s="182"/>
      <c r="BN496" s="182"/>
      <c r="BO496" s="183"/>
      <c r="BP496" s="183"/>
      <c r="BQ496" s="182"/>
      <c r="BR496" s="182"/>
      <c r="BS496" s="184" t="n">
        <v>53.3</v>
      </c>
      <c r="BT496" s="185" t="n">
        <v>40725</v>
      </c>
      <c r="BU496" s="184" t="n">
        <v>15.2</v>
      </c>
      <c r="BV496" s="185" t="n">
        <v>40725</v>
      </c>
      <c r="CL496" s="182"/>
      <c r="CM496" s="182"/>
    </row>
    <row r="497" customFormat="false" ht="12.75" hidden="false" customHeight="false" outlineLevel="0" collapsed="false">
      <c r="A497" s="204" t="s">
        <v>672</v>
      </c>
      <c r="B497" s="193" t="s">
        <v>782</v>
      </c>
      <c r="C497" s="193" t="s">
        <v>876</v>
      </c>
      <c r="D497" s="193"/>
      <c r="E497" s="194" t="n">
        <v>7</v>
      </c>
      <c r="F497" s="195" t="n">
        <v>50</v>
      </c>
      <c r="G497" s="119"/>
      <c r="H497" s="119"/>
      <c r="J497" s="118"/>
      <c r="K497" s="118"/>
      <c r="L497" s="181"/>
      <c r="N497" s="182"/>
      <c r="O497" s="182"/>
      <c r="S497" s="184" t="n">
        <v>1248</v>
      </c>
      <c r="T497" s="185" t="n">
        <v>40725</v>
      </c>
      <c r="U497" s="182"/>
      <c r="V497" s="182"/>
      <c r="W497" s="183"/>
      <c r="X497" s="183"/>
      <c r="Y497" s="184" t="n">
        <v>342</v>
      </c>
      <c r="Z497" s="185" t="n">
        <v>40725</v>
      </c>
      <c r="AA497" s="184" t="n">
        <v>58110</v>
      </c>
      <c r="AB497" s="185" t="n">
        <v>40725</v>
      </c>
      <c r="AC497" s="184" t="n">
        <v>23.3</v>
      </c>
      <c r="AD497" s="185" t="n">
        <v>40725</v>
      </c>
      <c r="AE497" s="196"/>
      <c r="AF497" s="185"/>
      <c r="AG497" s="184" t="n">
        <v>4</v>
      </c>
      <c r="AH497" s="185" t="n">
        <v>40725</v>
      </c>
      <c r="AI497" s="183"/>
      <c r="AJ497" s="183"/>
      <c r="AK497" s="182"/>
      <c r="AL497" s="182"/>
      <c r="AM497" s="184" t="n">
        <v>86</v>
      </c>
      <c r="AN497" s="183" t="n">
        <v>40630</v>
      </c>
      <c r="AO497" s="182"/>
      <c r="AP497" s="182"/>
      <c r="AQ497" s="183"/>
      <c r="AR497" s="183"/>
      <c r="AS497" s="182"/>
      <c r="AT497" s="182"/>
      <c r="AU497" s="183"/>
      <c r="AV497" s="183"/>
      <c r="AW497" s="182"/>
      <c r="AX497" s="182"/>
      <c r="AY497" s="183"/>
      <c r="AZ497" s="183"/>
      <c r="BA497" s="182"/>
      <c r="BB497" s="182"/>
      <c r="BK497" s="183"/>
      <c r="BL497" s="183"/>
      <c r="BM497" s="182"/>
      <c r="BN497" s="182"/>
      <c r="BO497" s="183"/>
      <c r="BP497" s="183"/>
      <c r="BQ497" s="182"/>
      <c r="BR497" s="182"/>
      <c r="BS497" s="184" t="n">
        <v>53.6</v>
      </c>
      <c r="BT497" s="185" t="n">
        <v>40725</v>
      </c>
      <c r="BU497" s="184" t="n">
        <v>14.7</v>
      </c>
      <c r="BV497" s="185" t="n">
        <v>40725</v>
      </c>
      <c r="CL497" s="182"/>
      <c r="CM497" s="182"/>
    </row>
    <row r="498" customFormat="false" ht="12.75" hidden="false" customHeight="false" outlineLevel="0" collapsed="false">
      <c r="A498" s="204" t="s">
        <v>672</v>
      </c>
      <c r="B498" s="193" t="s">
        <v>782</v>
      </c>
      <c r="C498" s="193" t="s">
        <v>877</v>
      </c>
      <c r="D498" s="193"/>
      <c r="E498" s="119" t="n">
        <v>15</v>
      </c>
      <c r="F498" s="195" t="n">
        <v>77</v>
      </c>
      <c r="G498" s="119"/>
      <c r="H498" s="119"/>
      <c r="J498" s="118"/>
      <c r="K498" s="118"/>
      <c r="L498" s="181"/>
      <c r="N498" s="182"/>
      <c r="O498" s="182"/>
      <c r="S498" s="184" t="s">
        <v>879</v>
      </c>
      <c r="T498" s="185" t="n">
        <v>40725</v>
      </c>
      <c r="U498" s="182"/>
      <c r="V498" s="182"/>
      <c r="W498" s="183"/>
      <c r="X498" s="183"/>
      <c r="Y498" s="184" t="s">
        <v>879</v>
      </c>
      <c r="Z498" s="185" t="n">
        <v>40725</v>
      </c>
      <c r="AA498" s="184" t="s">
        <v>879</v>
      </c>
      <c r="AB498" s="185" t="n">
        <v>40725</v>
      </c>
      <c r="AC498" s="184" t="s">
        <v>879</v>
      </c>
      <c r="AD498" s="185" t="n">
        <v>40725</v>
      </c>
      <c r="AE498" s="196"/>
      <c r="AF498" s="185"/>
      <c r="AG498" s="184" t="s">
        <v>879</v>
      </c>
      <c r="AH498" s="185" t="n">
        <v>40725</v>
      </c>
      <c r="AI498" s="183"/>
      <c r="AJ498" s="183"/>
      <c r="AK498" s="182"/>
      <c r="AL498" s="182"/>
      <c r="AM498" s="184" t="n">
        <v>87</v>
      </c>
      <c r="AN498" s="183" t="n">
        <v>40630</v>
      </c>
      <c r="AO498" s="182"/>
      <c r="AP498" s="182"/>
      <c r="AQ498" s="183"/>
      <c r="AR498" s="183"/>
      <c r="AS498" s="182"/>
      <c r="AT498" s="182"/>
      <c r="AU498" s="183"/>
      <c r="AV498" s="183"/>
      <c r="AW498" s="182"/>
      <c r="AX498" s="182"/>
      <c r="AY498" s="183"/>
      <c r="AZ498" s="183"/>
      <c r="BA498" s="182"/>
      <c r="BB498" s="182"/>
      <c r="BK498" s="183"/>
      <c r="BL498" s="183"/>
      <c r="BM498" s="182"/>
      <c r="BN498" s="182"/>
      <c r="BO498" s="183"/>
      <c r="BP498" s="183"/>
      <c r="BQ498" s="182"/>
      <c r="BR498" s="182"/>
      <c r="BS498" s="184" t="s">
        <v>879</v>
      </c>
      <c r="BT498" s="185" t="n">
        <v>40725</v>
      </c>
      <c r="BU498" s="184" t="s">
        <v>879</v>
      </c>
      <c r="BV498" s="185" t="n">
        <v>40725</v>
      </c>
      <c r="CL498" s="182"/>
      <c r="CM498" s="182"/>
    </row>
    <row r="499" customFormat="false" ht="12.75" hidden="false" customHeight="false" outlineLevel="0" collapsed="false">
      <c r="A499" s="204" t="s">
        <v>672</v>
      </c>
      <c r="B499" s="193" t="s">
        <v>785</v>
      </c>
      <c r="C499" s="193" t="s">
        <v>875</v>
      </c>
      <c r="D499" s="193"/>
      <c r="E499" s="194" t="n">
        <v>5</v>
      </c>
      <c r="F499" s="195" t="n">
        <v>24</v>
      </c>
      <c r="G499" s="119"/>
      <c r="H499" s="119"/>
      <c r="J499" s="118"/>
      <c r="K499" s="118"/>
      <c r="L499" s="181"/>
      <c r="N499" s="182"/>
      <c r="O499" s="182"/>
      <c r="S499" s="184" t="n">
        <v>2005</v>
      </c>
      <c r="T499" s="185" t="n">
        <v>40725</v>
      </c>
      <c r="U499" s="182"/>
      <c r="V499" s="182"/>
      <c r="W499" s="183"/>
      <c r="X499" s="183"/>
      <c r="Y499" s="184" t="n">
        <v>584</v>
      </c>
      <c r="Z499" s="185" t="n">
        <v>40725</v>
      </c>
      <c r="AA499" s="184" t="n">
        <v>93139</v>
      </c>
      <c r="AB499" s="185" t="n">
        <v>40725</v>
      </c>
      <c r="AC499" s="184" t="n">
        <v>37.8</v>
      </c>
      <c r="AD499" s="185" t="n">
        <v>40725</v>
      </c>
      <c r="AE499" s="196"/>
      <c r="AF499" s="185"/>
      <c r="AG499" s="184" t="n">
        <v>4.05</v>
      </c>
      <c r="AH499" s="185" t="n">
        <v>40725</v>
      </c>
      <c r="AI499" s="183"/>
      <c r="AJ499" s="183"/>
      <c r="AK499" s="182"/>
      <c r="AL499" s="182"/>
      <c r="AM499" s="184" t="n">
        <v>88</v>
      </c>
      <c r="AN499" s="183" t="n">
        <v>40630</v>
      </c>
      <c r="AO499" s="182"/>
      <c r="AP499" s="182"/>
      <c r="AQ499" s="183"/>
      <c r="AR499" s="183"/>
      <c r="AS499" s="182"/>
      <c r="AT499" s="182"/>
      <c r="AU499" s="183"/>
      <c r="AV499" s="183"/>
      <c r="AW499" s="182"/>
      <c r="AX499" s="182"/>
      <c r="AY499" s="183"/>
      <c r="AZ499" s="183"/>
      <c r="BA499" s="182"/>
      <c r="BB499" s="182"/>
      <c r="BK499" s="183"/>
      <c r="BL499" s="183"/>
      <c r="BM499" s="182"/>
      <c r="BN499" s="182"/>
      <c r="BO499" s="183"/>
      <c r="BP499" s="183"/>
      <c r="BQ499" s="182"/>
      <c r="BR499" s="182"/>
      <c r="BS499" s="184" t="n">
        <v>53.1</v>
      </c>
      <c r="BT499" s="185" t="n">
        <v>40725</v>
      </c>
      <c r="BU499" s="184" t="n">
        <v>15.5</v>
      </c>
      <c r="BV499" s="185" t="n">
        <v>40725</v>
      </c>
      <c r="CL499" s="182"/>
      <c r="CM499" s="182"/>
    </row>
    <row r="500" customFormat="false" ht="12.75" hidden="false" customHeight="false" outlineLevel="0" collapsed="false">
      <c r="A500" s="204" t="s">
        <v>672</v>
      </c>
      <c r="B500" s="193" t="s">
        <v>785</v>
      </c>
      <c r="C500" s="193" t="s">
        <v>876</v>
      </c>
      <c r="D500" s="193"/>
      <c r="E500" s="194" t="n">
        <v>4</v>
      </c>
      <c r="F500" s="195" t="n">
        <v>53</v>
      </c>
      <c r="G500" s="119"/>
      <c r="H500" s="119"/>
      <c r="J500" s="118"/>
      <c r="K500" s="118"/>
      <c r="L500" s="181"/>
      <c r="N500" s="182"/>
      <c r="O500" s="182"/>
      <c r="S500" s="184" t="n">
        <v>1609</v>
      </c>
      <c r="T500" s="185" t="n">
        <v>40725</v>
      </c>
      <c r="U500" s="182"/>
      <c r="V500" s="182"/>
      <c r="W500" s="183"/>
      <c r="X500" s="183"/>
      <c r="Y500" s="184" t="n">
        <v>499</v>
      </c>
      <c r="Z500" s="185" t="n">
        <v>40725</v>
      </c>
      <c r="AA500" s="184" t="n">
        <v>71989</v>
      </c>
      <c r="AB500" s="185" t="n">
        <v>40725</v>
      </c>
      <c r="AC500" s="184" t="n">
        <v>30.9</v>
      </c>
      <c r="AD500" s="185" t="n">
        <v>40725</v>
      </c>
      <c r="AE500" s="196"/>
      <c r="AF500" s="185"/>
      <c r="AG500" s="184" t="n">
        <v>4.3</v>
      </c>
      <c r="AH500" s="185" t="n">
        <v>40725</v>
      </c>
      <c r="AI500" s="183"/>
      <c r="AJ500" s="183"/>
      <c r="AK500" s="182"/>
      <c r="AL500" s="182"/>
      <c r="AM500" s="184" t="n">
        <v>87</v>
      </c>
      <c r="AN500" s="183" t="n">
        <v>40630</v>
      </c>
      <c r="AO500" s="182"/>
      <c r="AP500" s="182"/>
      <c r="AQ500" s="183"/>
      <c r="AR500" s="183"/>
      <c r="AS500" s="182"/>
      <c r="AT500" s="182"/>
      <c r="AU500" s="183"/>
      <c r="AV500" s="183"/>
      <c r="AW500" s="182"/>
      <c r="AX500" s="182"/>
      <c r="AY500" s="183"/>
      <c r="AZ500" s="183"/>
      <c r="BA500" s="182"/>
      <c r="BB500" s="182"/>
      <c r="BK500" s="183"/>
      <c r="BL500" s="183"/>
      <c r="BM500" s="182"/>
      <c r="BN500" s="182"/>
      <c r="BO500" s="183"/>
      <c r="BP500" s="183"/>
      <c r="BQ500" s="182"/>
      <c r="BR500" s="182"/>
      <c r="BS500" s="184" t="n">
        <v>52</v>
      </c>
      <c r="BT500" s="185" t="n">
        <v>40725</v>
      </c>
      <c r="BU500" s="184" t="n">
        <v>16.1</v>
      </c>
      <c r="BV500" s="185" t="n">
        <v>40725</v>
      </c>
      <c r="CL500" s="182"/>
      <c r="CM500" s="182"/>
    </row>
    <row r="501" customFormat="false" ht="12.75" hidden="false" customHeight="false" outlineLevel="0" collapsed="false">
      <c r="A501" s="204" t="s">
        <v>672</v>
      </c>
      <c r="B501" s="193" t="s">
        <v>785</v>
      </c>
      <c r="C501" s="193" t="s">
        <v>877</v>
      </c>
      <c r="D501" s="193"/>
      <c r="E501" s="119" t="n">
        <v>24</v>
      </c>
      <c r="F501" s="195" t="n">
        <v>76</v>
      </c>
      <c r="G501" s="119"/>
      <c r="H501" s="119"/>
      <c r="J501" s="118"/>
      <c r="K501" s="118"/>
      <c r="L501" s="181"/>
      <c r="N501" s="182"/>
      <c r="O501" s="182"/>
      <c r="S501" s="184" t="n">
        <v>1901</v>
      </c>
      <c r="T501" s="185" t="n">
        <v>40725</v>
      </c>
      <c r="U501" s="182"/>
      <c r="V501" s="182"/>
      <c r="W501" s="183"/>
      <c r="X501" s="183"/>
      <c r="Y501" s="184" t="n">
        <v>618</v>
      </c>
      <c r="Z501" s="185" t="n">
        <v>40725</v>
      </c>
      <c r="AA501" s="184" t="n">
        <v>86756</v>
      </c>
      <c r="AB501" s="185" t="n">
        <v>40725</v>
      </c>
      <c r="AC501" s="184" t="n">
        <v>36.6</v>
      </c>
      <c r="AD501" s="185" t="n">
        <v>40725</v>
      </c>
      <c r="AE501" s="196"/>
      <c r="AF501" s="185"/>
      <c r="AG501" s="184" t="n">
        <v>4.22</v>
      </c>
      <c r="AH501" s="185" t="n">
        <v>40725</v>
      </c>
      <c r="AI501" s="183"/>
      <c r="AJ501" s="183"/>
      <c r="AK501" s="182"/>
      <c r="AL501" s="182"/>
      <c r="AM501" s="184" t="n">
        <v>88</v>
      </c>
      <c r="AN501" s="183" t="n">
        <v>40630</v>
      </c>
      <c r="AO501" s="182"/>
      <c r="AP501" s="182"/>
      <c r="AQ501" s="183"/>
      <c r="AR501" s="183"/>
      <c r="AS501" s="182"/>
      <c r="AT501" s="182"/>
      <c r="AU501" s="183"/>
      <c r="AV501" s="183"/>
      <c r="AW501" s="182"/>
      <c r="AX501" s="182"/>
      <c r="AY501" s="183"/>
      <c r="AZ501" s="183"/>
      <c r="BA501" s="182"/>
      <c r="BB501" s="182"/>
      <c r="BK501" s="183"/>
      <c r="BL501" s="183"/>
      <c r="BM501" s="182"/>
      <c r="BN501" s="182"/>
      <c r="BO501" s="183"/>
      <c r="BP501" s="183"/>
      <c r="BQ501" s="182"/>
      <c r="BR501" s="182"/>
      <c r="BS501" s="184" t="n">
        <v>51.9</v>
      </c>
      <c r="BT501" s="185" t="n">
        <v>40725</v>
      </c>
      <c r="BU501" s="184" t="n">
        <v>16.9</v>
      </c>
      <c r="BV501" s="185" t="n">
        <v>40725</v>
      </c>
      <c r="CL501" s="182"/>
      <c r="CM501" s="182"/>
    </row>
    <row r="502" customFormat="false" ht="12.75" hidden="false" customHeight="false" outlineLevel="0" collapsed="false">
      <c r="A502" s="204" t="s">
        <v>675</v>
      </c>
      <c r="B502" s="193" t="s">
        <v>782</v>
      </c>
      <c r="C502" s="193" t="s">
        <v>875</v>
      </c>
      <c r="D502" s="193"/>
      <c r="E502" s="194" t="n">
        <v>4</v>
      </c>
      <c r="F502" s="195" t="n">
        <v>25</v>
      </c>
      <c r="G502" s="119"/>
      <c r="H502" s="119"/>
      <c r="J502" s="118"/>
      <c r="K502" s="118"/>
      <c r="L502" s="181"/>
      <c r="N502" s="182"/>
      <c r="O502" s="182"/>
      <c r="S502" s="184" t="n">
        <v>1657</v>
      </c>
      <c r="T502" s="185" t="n">
        <v>40725</v>
      </c>
      <c r="U502" s="182"/>
      <c r="V502" s="182"/>
      <c r="W502" s="183"/>
      <c r="X502" s="183"/>
      <c r="Y502" s="184" t="n">
        <v>474</v>
      </c>
      <c r="Z502" s="185" t="n">
        <v>40725</v>
      </c>
      <c r="AA502" s="184" t="n">
        <v>82855</v>
      </c>
      <c r="AB502" s="185" t="n">
        <v>40725</v>
      </c>
      <c r="AC502" s="184" t="n">
        <v>30.7</v>
      </c>
      <c r="AD502" s="185" t="n">
        <v>40725</v>
      </c>
      <c r="AE502" s="196"/>
      <c r="AF502" s="185"/>
      <c r="AG502" s="184" t="n">
        <v>3.71</v>
      </c>
      <c r="AH502" s="185" t="n">
        <v>40725</v>
      </c>
      <c r="AI502" s="183"/>
      <c r="AJ502" s="183"/>
      <c r="AK502" s="182"/>
      <c r="AL502" s="182"/>
      <c r="AM502" s="184" t="n">
        <v>88</v>
      </c>
      <c r="AN502" s="183" t="n">
        <v>40630</v>
      </c>
      <c r="AO502" s="182"/>
      <c r="AP502" s="182"/>
      <c r="AQ502" s="183"/>
      <c r="AR502" s="183"/>
      <c r="AS502" s="182"/>
      <c r="AT502" s="182"/>
      <c r="AU502" s="183"/>
      <c r="AV502" s="183"/>
      <c r="AW502" s="182"/>
      <c r="AX502" s="182"/>
      <c r="AY502" s="183"/>
      <c r="AZ502" s="183"/>
      <c r="BA502" s="182"/>
      <c r="BB502" s="182"/>
      <c r="BK502" s="183"/>
      <c r="BL502" s="183"/>
      <c r="BM502" s="182"/>
      <c r="BN502" s="182"/>
      <c r="BO502" s="183"/>
      <c r="BP502" s="183"/>
      <c r="BQ502" s="182"/>
      <c r="BR502" s="182"/>
      <c r="BS502" s="184" t="n">
        <v>54</v>
      </c>
      <c r="BT502" s="185" t="n">
        <v>40725</v>
      </c>
      <c r="BU502" s="184" t="n">
        <v>15.4</v>
      </c>
      <c r="BV502" s="185" t="n">
        <v>40725</v>
      </c>
      <c r="CL502" s="182"/>
      <c r="CM502" s="182"/>
    </row>
    <row r="503" customFormat="false" ht="12.75" hidden="false" customHeight="false" outlineLevel="0" collapsed="false">
      <c r="A503" s="204" t="s">
        <v>675</v>
      </c>
      <c r="B503" s="193" t="s">
        <v>782</v>
      </c>
      <c r="C503" s="193" t="s">
        <v>876</v>
      </c>
      <c r="D503" s="193"/>
      <c r="E503" s="194" t="n">
        <v>5</v>
      </c>
      <c r="F503" s="195" t="n">
        <v>53</v>
      </c>
      <c r="G503" s="119"/>
      <c r="H503" s="119"/>
      <c r="J503" s="118"/>
      <c r="K503" s="118"/>
      <c r="L503" s="181"/>
      <c r="N503" s="182"/>
      <c r="O503" s="182"/>
      <c r="S503" s="184" t="n">
        <v>1750</v>
      </c>
      <c r="T503" s="185" t="n">
        <v>40725</v>
      </c>
      <c r="U503" s="182"/>
      <c r="V503" s="182"/>
      <c r="W503" s="183"/>
      <c r="X503" s="183"/>
      <c r="Y503" s="184" t="n">
        <v>515</v>
      </c>
      <c r="Z503" s="185" t="n">
        <v>40725</v>
      </c>
      <c r="AA503" s="184" t="n">
        <v>82313</v>
      </c>
      <c r="AB503" s="185" t="n">
        <v>40725</v>
      </c>
      <c r="AC503" s="184" t="n">
        <v>32.2</v>
      </c>
      <c r="AD503" s="185" t="n">
        <v>40725</v>
      </c>
      <c r="AE503" s="196"/>
      <c r="AF503" s="185"/>
      <c r="AG503" s="184" t="n">
        <v>3.91</v>
      </c>
      <c r="AH503" s="185" t="n">
        <v>40725</v>
      </c>
      <c r="AI503" s="183"/>
      <c r="AJ503" s="183"/>
      <c r="AK503" s="182"/>
      <c r="AL503" s="182"/>
      <c r="AM503" s="184" t="n">
        <v>88</v>
      </c>
      <c r="AN503" s="183" t="n">
        <v>40630</v>
      </c>
      <c r="AO503" s="182"/>
      <c r="AP503" s="182"/>
      <c r="AQ503" s="183"/>
      <c r="AR503" s="183"/>
      <c r="AS503" s="182"/>
      <c r="AT503" s="182"/>
      <c r="AU503" s="183"/>
      <c r="AV503" s="183"/>
      <c r="AW503" s="182"/>
      <c r="AX503" s="182"/>
      <c r="AY503" s="183"/>
      <c r="AZ503" s="183"/>
      <c r="BA503" s="182"/>
      <c r="BB503" s="182"/>
      <c r="BK503" s="183"/>
      <c r="BL503" s="183"/>
      <c r="BM503" s="182"/>
      <c r="BN503" s="182"/>
      <c r="BO503" s="183"/>
      <c r="BP503" s="183"/>
      <c r="BQ503" s="182"/>
      <c r="BR503" s="182"/>
      <c r="BS503" s="184" t="n">
        <v>54.3</v>
      </c>
      <c r="BT503" s="185" t="n">
        <v>40725</v>
      </c>
      <c r="BU503" s="184" t="n">
        <v>16</v>
      </c>
      <c r="BV503" s="185" t="n">
        <v>40725</v>
      </c>
      <c r="CL503" s="182"/>
      <c r="CM503" s="182"/>
    </row>
    <row r="504" customFormat="false" ht="12.75" hidden="false" customHeight="false" outlineLevel="0" collapsed="false">
      <c r="A504" s="204" t="s">
        <v>675</v>
      </c>
      <c r="B504" s="193" t="s">
        <v>782</v>
      </c>
      <c r="C504" s="193" t="s">
        <v>877</v>
      </c>
      <c r="D504" s="193"/>
      <c r="E504" s="119" t="n">
        <v>17</v>
      </c>
      <c r="F504" s="195" t="n">
        <v>86</v>
      </c>
      <c r="G504" s="119"/>
      <c r="H504" s="119"/>
      <c r="J504" s="118"/>
      <c r="K504" s="118"/>
      <c r="L504" s="181"/>
      <c r="N504" s="182"/>
      <c r="O504" s="182"/>
      <c r="S504" s="184" t="n">
        <v>1429</v>
      </c>
      <c r="T504" s="185" t="n">
        <v>40725</v>
      </c>
      <c r="U504" s="182"/>
      <c r="V504" s="182"/>
      <c r="W504" s="183"/>
      <c r="X504" s="183"/>
      <c r="Y504" s="184" t="n">
        <v>461</v>
      </c>
      <c r="Z504" s="185" t="n">
        <v>40725</v>
      </c>
      <c r="AA504" s="184" t="n">
        <v>69745</v>
      </c>
      <c r="AB504" s="185" t="n">
        <v>40725</v>
      </c>
      <c r="AC504" s="184" t="n">
        <v>27</v>
      </c>
      <c r="AD504" s="185" t="n">
        <v>40725</v>
      </c>
      <c r="AE504" s="196"/>
      <c r="AF504" s="185"/>
      <c r="AG504" s="184" t="n">
        <v>3.87</v>
      </c>
      <c r="AH504" s="185" t="n">
        <v>40725</v>
      </c>
      <c r="AI504" s="183"/>
      <c r="AJ504" s="183"/>
      <c r="AK504" s="182"/>
      <c r="AL504" s="182"/>
      <c r="AM504" s="184" t="n">
        <v>89</v>
      </c>
      <c r="AN504" s="183" t="n">
        <v>40630</v>
      </c>
      <c r="AO504" s="182"/>
      <c r="AP504" s="182"/>
      <c r="AQ504" s="183"/>
      <c r="AR504" s="183"/>
      <c r="AS504" s="182"/>
      <c r="AT504" s="182"/>
      <c r="AU504" s="183"/>
      <c r="AV504" s="183"/>
      <c r="AW504" s="182"/>
      <c r="AX504" s="182"/>
      <c r="AY504" s="183"/>
      <c r="AZ504" s="183"/>
      <c r="BA504" s="182"/>
      <c r="BB504" s="182"/>
      <c r="BK504" s="183"/>
      <c r="BL504" s="183"/>
      <c r="BM504" s="182"/>
      <c r="BN504" s="182"/>
      <c r="BO504" s="183"/>
      <c r="BP504" s="183"/>
      <c r="BQ504" s="182"/>
      <c r="BR504" s="182"/>
      <c r="BS504" s="184" t="n">
        <v>52.9</v>
      </c>
      <c r="BT504" s="185" t="n">
        <v>40725</v>
      </c>
      <c r="BU504" s="184" t="n">
        <v>17.1</v>
      </c>
      <c r="BV504" s="185" t="n">
        <v>40725</v>
      </c>
      <c r="CL504" s="182"/>
      <c r="CM504" s="182"/>
    </row>
    <row r="505" customFormat="false" ht="12.75" hidden="false" customHeight="false" outlineLevel="0" collapsed="false">
      <c r="A505" s="204" t="s">
        <v>675</v>
      </c>
      <c r="B505" s="193" t="s">
        <v>785</v>
      </c>
      <c r="C505" s="193" t="s">
        <v>875</v>
      </c>
      <c r="D505" s="193"/>
      <c r="E505" s="194" t="n">
        <v>8</v>
      </c>
      <c r="F505" s="195" t="n">
        <v>8</v>
      </c>
      <c r="G505" s="119"/>
      <c r="H505" s="119"/>
      <c r="J505" s="118"/>
      <c r="K505" s="118"/>
      <c r="L505" s="181"/>
      <c r="N505" s="182"/>
      <c r="O505" s="182"/>
      <c r="S505" s="184" t="n">
        <v>2215</v>
      </c>
      <c r="T505" s="185" t="n">
        <v>40725</v>
      </c>
      <c r="U505" s="182"/>
      <c r="V505" s="182"/>
      <c r="W505" s="183"/>
      <c r="X505" s="183"/>
      <c r="Y505" s="184" t="n">
        <v>746</v>
      </c>
      <c r="Z505" s="185" t="n">
        <v>40725</v>
      </c>
      <c r="AA505" s="184" t="n">
        <v>111865</v>
      </c>
      <c r="AB505" s="185" t="n">
        <v>40725</v>
      </c>
      <c r="AC505" s="184" t="n">
        <v>41.8</v>
      </c>
      <c r="AD505" s="185" t="n">
        <v>40725</v>
      </c>
      <c r="AE505" s="196"/>
      <c r="AF505" s="185"/>
      <c r="AG505" s="184" t="n">
        <v>3.74</v>
      </c>
      <c r="AH505" s="185" t="n">
        <v>40725</v>
      </c>
      <c r="AI505" s="183"/>
      <c r="AJ505" s="183"/>
      <c r="AK505" s="182"/>
      <c r="AL505" s="182"/>
      <c r="AM505" s="184" t="n">
        <v>90</v>
      </c>
      <c r="AN505" s="183" t="n">
        <v>40630</v>
      </c>
      <c r="AO505" s="182"/>
      <c r="AP505" s="182"/>
      <c r="AQ505" s="183"/>
      <c r="AR505" s="183"/>
      <c r="AS505" s="182"/>
      <c r="AT505" s="182"/>
      <c r="AU505" s="183"/>
      <c r="AV505" s="183"/>
      <c r="AW505" s="182"/>
      <c r="AX505" s="182"/>
      <c r="AY505" s="183"/>
      <c r="AZ505" s="183"/>
      <c r="BA505" s="182"/>
      <c r="BB505" s="182"/>
      <c r="BK505" s="183"/>
      <c r="BL505" s="183"/>
      <c r="BM505" s="182"/>
      <c r="BN505" s="182"/>
      <c r="BO505" s="183"/>
      <c r="BP505" s="183"/>
      <c r="BQ505" s="182"/>
      <c r="BR505" s="182"/>
      <c r="BS505" s="184" t="n">
        <v>53</v>
      </c>
      <c r="BT505" s="185" t="n">
        <v>40725</v>
      </c>
      <c r="BU505" s="184" t="n">
        <v>17.9</v>
      </c>
      <c r="BV505" s="185" t="n">
        <v>40725</v>
      </c>
      <c r="CL505" s="182"/>
      <c r="CM505" s="182"/>
    </row>
    <row r="506" customFormat="false" ht="12.75" hidden="false" customHeight="false" outlineLevel="0" collapsed="false">
      <c r="A506" s="204" t="s">
        <v>675</v>
      </c>
      <c r="B506" s="193" t="s">
        <v>785</v>
      </c>
      <c r="C506" s="193" t="s">
        <v>876</v>
      </c>
      <c r="D506" s="193"/>
      <c r="E506" s="194" t="n">
        <v>3</v>
      </c>
      <c r="F506" s="195" t="n">
        <v>47</v>
      </c>
      <c r="G506" s="119"/>
      <c r="H506" s="119"/>
      <c r="J506" s="118"/>
      <c r="K506" s="118"/>
      <c r="L506" s="181"/>
      <c r="N506" s="182"/>
      <c r="O506" s="182"/>
      <c r="S506" s="184" t="n">
        <v>1959</v>
      </c>
      <c r="T506" s="185" t="n">
        <v>40725</v>
      </c>
      <c r="U506" s="182"/>
      <c r="V506" s="182"/>
      <c r="W506" s="183"/>
      <c r="X506" s="183"/>
      <c r="Y506" s="184" t="n">
        <v>628</v>
      </c>
      <c r="Z506" s="185" t="n">
        <v>40725</v>
      </c>
      <c r="AA506" s="184" t="n">
        <v>92811</v>
      </c>
      <c r="AB506" s="185" t="n">
        <v>40725</v>
      </c>
      <c r="AC506" s="184" t="n">
        <v>36.9</v>
      </c>
      <c r="AD506" s="185" t="n">
        <v>40725</v>
      </c>
      <c r="AE506" s="196"/>
      <c r="AF506" s="185"/>
      <c r="AG506" s="184" t="n">
        <v>3.98</v>
      </c>
      <c r="AH506" s="185" t="n">
        <v>40725</v>
      </c>
      <c r="AI506" s="183"/>
      <c r="AJ506" s="183"/>
      <c r="AK506" s="182"/>
      <c r="AL506" s="182"/>
      <c r="AM506" s="184" t="n">
        <v>89</v>
      </c>
      <c r="AN506" s="183" t="n">
        <v>40630</v>
      </c>
      <c r="AO506" s="182"/>
      <c r="AP506" s="182"/>
      <c r="AQ506" s="183"/>
      <c r="AR506" s="183"/>
      <c r="AS506" s="182"/>
      <c r="AT506" s="182"/>
      <c r="AU506" s="183"/>
      <c r="AV506" s="183"/>
      <c r="AW506" s="182"/>
      <c r="AX506" s="182"/>
      <c r="AY506" s="183"/>
      <c r="AZ506" s="183"/>
      <c r="BA506" s="182"/>
      <c r="BB506" s="182"/>
      <c r="BK506" s="183"/>
      <c r="BL506" s="183"/>
      <c r="BM506" s="182"/>
      <c r="BN506" s="182"/>
      <c r="BO506" s="183"/>
      <c r="BP506" s="183"/>
      <c r="BQ506" s="182"/>
      <c r="BR506" s="182"/>
      <c r="BS506" s="184" t="n">
        <v>53.1</v>
      </c>
      <c r="BT506" s="185" t="n">
        <v>40725</v>
      </c>
      <c r="BU506" s="184" t="n">
        <v>17</v>
      </c>
      <c r="BV506" s="185" t="n">
        <v>40725</v>
      </c>
      <c r="CL506" s="182"/>
      <c r="CM506" s="182"/>
    </row>
    <row r="507" customFormat="false" ht="12.75" hidden="false" customHeight="false" outlineLevel="0" collapsed="false">
      <c r="A507" s="204" t="s">
        <v>675</v>
      </c>
      <c r="B507" s="193" t="s">
        <v>785</v>
      </c>
      <c r="C507" s="193" t="s">
        <v>877</v>
      </c>
      <c r="D507" s="193"/>
      <c r="E507" s="119" t="n">
        <v>21</v>
      </c>
      <c r="F507" s="195" t="n">
        <v>83</v>
      </c>
      <c r="G507" s="119"/>
      <c r="H507" s="119"/>
      <c r="J507" s="118"/>
      <c r="K507" s="118"/>
      <c r="L507" s="181"/>
      <c r="N507" s="182"/>
      <c r="O507" s="182"/>
      <c r="S507" s="184" t="n">
        <v>2193</v>
      </c>
      <c r="T507" s="185" t="n">
        <v>40725</v>
      </c>
      <c r="U507" s="182"/>
      <c r="V507" s="182"/>
      <c r="W507" s="183"/>
      <c r="X507" s="183"/>
      <c r="Y507" s="184" t="n">
        <v>789</v>
      </c>
      <c r="Z507" s="185" t="n">
        <v>40725</v>
      </c>
      <c r="AA507" s="184" t="n">
        <v>100172</v>
      </c>
      <c r="AB507" s="185" t="n">
        <v>40725</v>
      </c>
      <c r="AC507" s="184" t="n">
        <v>41.9</v>
      </c>
      <c r="AD507" s="185" t="n">
        <v>40725</v>
      </c>
      <c r="AE507" s="196"/>
      <c r="AF507" s="185"/>
      <c r="AG507" s="184" t="n">
        <v>4.19</v>
      </c>
      <c r="AH507" s="185" t="n">
        <v>40725</v>
      </c>
      <c r="AI507" s="183"/>
      <c r="AJ507" s="183"/>
      <c r="AK507" s="182"/>
      <c r="AL507" s="182"/>
      <c r="AM507" s="184" t="n">
        <v>89</v>
      </c>
      <c r="AN507" s="183" t="n">
        <v>40630</v>
      </c>
      <c r="AO507" s="182"/>
      <c r="AP507" s="182"/>
      <c r="AQ507" s="183"/>
      <c r="AR507" s="183"/>
      <c r="AS507" s="182"/>
      <c r="AT507" s="182"/>
      <c r="AU507" s="183"/>
      <c r="AV507" s="183"/>
      <c r="AW507" s="182"/>
      <c r="AX507" s="182"/>
      <c r="AY507" s="183"/>
      <c r="AZ507" s="183"/>
      <c r="BA507" s="182"/>
      <c r="BB507" s="182"/>
      <c r="BK507" s="183"/>
      <c r="BL507" s="183"/>
      <c r="BM507" s="182"/>
      <c r="BN507" s="182"/>
      <c r="BO507" s="183"/>
      <c r="BP507" s="183"/>
      <c r="BQ507" s="182"/>
      <c r="BR507" s="182"/>
      <c r="BS507" s="184" t="n">
        <v>52.3</v>
      </c>
      <c r="BT507" s="185" t="n">
        <v>40725</v>
      </c>
      <c r="BU507" s="184" t="n">
        <v>18.8</v>
      </c>
      <c r="BV507" s="185" t="n">
        <v>40725</v>
      </c>
      <c r="CL507" s="182"/>
      <c r="CM507" s="182"/>
    </row>
    <row r="508" customFormat="false" ht="12.75" hidden="false" customHeight="false" outlineLevel="0" collapsed="false">
      <c r="A508" s="204" t="s">
        <v>678</v>
      </c>
      <c r="B508" s="193" t="s">
        <v>782</v>
      </c>
      <c r="C508" s="193" t="s">
        <v>875</v>
      </c>
      <c r="D508" s="193"/>
      <c r="E508" s="194" t="n">
        <v>2</v>
      </c>
      <c r="F508" s="195" t="n">
        <v>5</v>
      </c>
      <c r="G508" s="119"/>
      <c r="H508" s="119"/>
      <c r="J508" s="118"/>
      <c r="K508" s="118"/>
      <c r="L508" s="181"/>
      <c r="N508" s="182"/>
      <c r="O508" s="182"/>
      <c r="S508" s="184" t="n">
        <v>1700</v>
      </c>
      <c r="T508" s="185" t="n">
        <v>40725</v>
      </c>
      <c r="U508" s="182"/>
      <c r="V508" s="182"/>
      <c r="W508" s="183"/>
      <c r="X508" s="183"/>
      <c r="Y508" s="184" t="n">
        <v>516</v>
      </c>
      <c r="Z508" s="185" t="n">
        <v>40725</v>
      </c>
      <c r="AA508" s="184" t="n">
        <v>77618</v>
      </c>
      <c r="AB508" s="185" t="n">
        <v>40725</v>
      </c>
      <c r="AC508" s="184" t="n">
        <v>32.6</v>
      </c>
      <c r="AD508" s="185" t="n">
        <v>40725</v>
      </c>
      <c r="AE508" s="196"/>
      <c r="AF508" s="185"/>
      <c r="AG508" s="184" t="n">
        <v>4.19</v>
      </c>
      <c r="AH508" s="185" t="n">
        <v>40725</v>
      </c>
      <c r="AI508" s="183"/>
      <c r="AJ508" s="183"/>
      <c r="AK508" s="182"/>
      <c r="AL508" s="182"/>
      <c r="AM508" s="184" t="n">
        <v>85</v>
      </c>
      <c r="AN508" s="183" t="n">
        <v>40630</v>
      </c>
      <c r="AO508" s="182"/>
      <c r="AP508" s="182"/>
      <c r="AQ508" s="183"/>
      <c r="AR508" s="183"/>
      <c r="AS508" s="182"/>
      <c r="AT508" s="182"/>
      <c r="AU508" s="183"/>
      <c r="AV508" s="183"/>
      <c r="AW508" s="182"/>
      <c r="AX508" s="182"/>
      <c r="AY508" s="183"/>
      <c r="AZ508" s="183"/>
      <c r="BA508" s="182"/>
      <c r="BB508" s="182"/>
      <c r="BK508" s="183"/>
      <c r="BL508" s="183"/>
      <c r="BM508" s="182"/>
      <c r="BN508" s="182"/>
      <c r="BO508" s="183"/>
      <c r="BP508" s="183"/>
      <c r="BQ508" s="182"/>
      <c r="BR508" s="182"/>
      <c r="BS508" s="184" t="n">
        <v>52.2</v>
      </c>
      <c r="BT508" s="185" t="n">
        <v>40725</v>
      </c>
      <c r="BU508" s="184" t="n">
        <v>15.8</v>
      </c>
      <c r="BV508" s="185" t="n">
        <v>40725</v>
      </c>
      <c r="CL508" s="182"/>
      <c r="CM508" s="182"/>
    </row>
    <row r="509" customFormat="false" ht="12.75" hidden="false" customHeight="false" outlineLevel="0" collapsed="false">
      <c r="A509" s="204" t="s">
        <v>678</v>
      </c>
      <c r="B509" s="193" t="s">
        <v>782</v>
      </c>
      <c r="C509" s="193" t="s">
        <v>876</v>
      </c>
      <c r="D509" s="193"/>
      <c r="E509" s="194" t="n">
        <v>7</v>
      </c>
      <c r="F509" s="195" t="n">
        <v>53</v>
      </c>
      <c r="G509" s="119"/>
      <c r="H509" s="119"/>
      <c r="J509" s="118"/>
      <c r="K509" s="118"/>
      <c r="L509" s="181"/>
      <c r="N509" s="182"/>
      <c r="O509" s="182"/>
      <c r="S509" s="184" t="n">
        <v>1501</v>
      </c>
      <c r="T509" s="185" t="n">
        <v>40725</v>
      </c>
      <c r="U509" s="182"/>
      <c r="V509" s="182"/>
      <c r="W509" s="183"/>
      <c r="X509" s="183"/>
      <c r="Y509" s="184" t="n">
        <v>635</v>
      </c>
      <c r="Z509" s="185" t="n">
        <v>40725</v>
      </c>
      <c r="AA509" s="184" t="n">
        <v>75591</v>
      </c>
      <c r="AB509" s="185" t="n">
        <v>40725</v>
      </c>
      <c r="AC509" s="184" t="n">
        <v>33</v>
      </c>
      <c r="AD509" s="185" t="n">
        <v>40725</v>
      </c>
      <c r="AE509" s="196"/>
      <c r="AF509" s="185"/>
      <c r="AG509" s="184" t="n">
        <v>4.37</v>
      </c>
      <c r="AH509" s="185" t="n">
        <v>40725</v>
      </c>
      <c r="AI509" s="183"/>
      <c r="AJ509" s="183"/>
      <c r="AK509" s="182"/>
      <c r="AL509" s="182"/>
      <c r="AM509" s="184" t="n">
        <v>85</v>
      </c>
      <c r="AN509" s="183" t="n">
        <v>40630</v>
      </c>
      <c r="AO509" s="182"/>
      <c r="AP509" s="182"/>
      <c r="AQ509" s="183"/>
      <c r="AR509" s="183"/>
      <c r="AS509" s="182"/>
      <c r="AT509" s="182"/>
      <c r="AU509" s="183"/>
      <c r="AV509" s="183"/>
      <c r="AW509" s="182"/>
      <c r="AX509" s="182"/>
      <c r="AY509" s="183"/>
      <c r="AZ509" s="183"/>
      <c r="BA509" s="182"/>
      <c r="BB509" s="182"/>
      <c r="BK509" s="183"/>
      <c r="BL509" s="183"/>
      <c r="BM509" s="182"/>
      <c r="BN509" s="182"/>
      <c r="BO509" s="183"/>
      <c r="BP509" s="183"/>
      <c r="BQ509" s="182"/>
      <c r="BR509" s="182"/>
      <c r="BS509" s="184" t="n">
        <v>45.5</v>
      </c>
      <c r="BT509" s="185" t="n">
        <v>40725</v>
      </c>
      <c r="BU509" s="184" t="n">
        <v>19.2</v>
      </c>
      <c r="BV509" s="185" t="n">
        <v>40725</v>
      </c>
      <c r="CL509" s="182"/>
      <c r="CM509" s="182"/>
    </row>
    <row r="510" customFormat="false" ht="12.75" hidden="false" customHeight="false" outlineLevel="0" collapsed="false">
      <c r="A510" s="204" t="s">
        <v>678</v>
      </c>
      <c r="B510" s="193" t="s">
        <v>782</v>
      </c>
      <c r="C510" s="193" t="s">
        <v>877</v>
      </c>
      <c r="D510" s="193"/>
      <c r="E510" s="119" t="n">
        <v>18</v>
      </c>
      <c r="F510" s="195" t="n">
        <v>83</v>
      </c>
      <c r="G510" s="119"/>
      <c r="H510" s="119"/>
      <c r="J510" s="118"/>
      <c r="K510" s="118"/>
      <c r="L510" s="181"/>
      <c r="N510" s="182"/>
      <c r="O510" s="182"/>
      <c r="S510" s="184" t="n">
        <v>1712</v>
      </c>
      <c r="T510" s="185" t="n">
        <v>40725</v>
      </c>
      <c r="U510" s="182"/>
      <c r="V510" s="182"/>
      <c r="W510" s="183"/>
      <c r="X510" s="183"/>
      <c r="Y510" s="184" t="n">
        <v>561</v>
      </c>
      <c r="Z510" s="185" t="n">
        <v>40725</v>
      </c>
      <c r="AA510" s="184" t="n">
        <v>74882</v>
      </c>
      <c r="AB510" s="185" t="n">
        <v>40725</v>
      </c>
      <c r="AC510" s="184" t="n">
        <v>33.2</v>
      </c>
      <c r="AD510" s="185" t="n">
        <v>40725</v>
      </c>
      <c r="AE510" s="196"/>
      <c r="AF510" s="185"/>
      <c r="AG510" s="184" t="n">
        <v>4.43</v>
      </c>
      <c r="AH510" s="185" t="n">
        <v>40725</v>
      </c>
      <c r="AI510" s="183"/>
      <c r="AJ510" s="183"/>
      <c r="AK510" s="182"/>
      <c r="AL510" s="182"/>
      <c r="AM510" s="184" t="n">
        <v>84</v>
      </c>
      <c r="AN510" s="183" t="n">
        <v>40630</v>
      </c>
      <c r="AO510" s="182"/>
      <c r="AP510" s="182"/>
      <c r="AQ510" s="183"/>
      <c r="AR510" s="183"/>
      <c r="AS510" s="182"/>
      <c r="AT510" s="182"/>
      <c r="AU510" s="183"/>
      <c r="AV510" s="183"/>
      <c r="AW510" s="182"/>
      <c r="AX510" s="182"/>
      <c r="AY510" s="183"/>
      <c r="AZ510" s="183"/>
      <c r="BA510" s="182"/>
      <c r="BB510" s="182"/>
      <c r="BK510" s="183"/>
      <c r="BL510" s="183"/>
      <c r="BM510" s="182"/>
      <c r="BN510" s="182"/>
      <c r="BO510" s="183"/>
      <c r="BP510" s="183"/>
      <c r="BQ510" s="182"/>
      <c r="BR510" s="182"/>
      <c r="BS510" s="184" t="n">
        <v>51.6</v>
      </c>
      <c r="BT510" s="185" t="n">
        <v>40725</v>
      </c>
      <c r="BU510" s="184" t="n">
        <v>16.9</v>
      </c>
      <c r="BV510" s="185" t="n">
        <v>40725</v>
      </c>
      <c r="CL510" s="182"/>
      <c r="CM510" s="182"/>
    </row>
    <row r="511" customFormat="false" ht="12.75" hidden="false" customHeight="false" outlineLevel="0" collapsed="false">
      <c r="A511" s="204" t="s">
        <v>678</v>
      </c>
      <c r="B511" s="193" t="s">
        <v>785</v>
      </c>
      <c r="C511" s="193" t="s">
        <v>875</v>
      </c>
      <c r="D511" s="193"/>
      <c r="E511" s="194" t="n">
        <v>8</v>
      </c>
      <c r="F511" s="195" t="n">
        <v>14</v>
      </c>
      <c r="G511" s="119"/>
      <c r="H511" s="119"/>
      <c r="J511" s="118"/>
      <c r="K511" s="118"/>
      <c r="L511" s="181"/>
      <c r="N511" s="182"/>
      <c r="O511" s="182"/>
      <c r="S511" s="184" t="n">
        <v>2035</v>
      </c>
      <c r="T511" s="185" t="n">
        <v>40725</v>
      </c>
      <c r="U511" s="182"/>
      <c r="V511" s="182"/>
      <c r="W511" s="183"/>
      <c r="X511" s="183"/>
      <c r="Y511" s="184" t="n">
        <v>711</v>
      </c>
      <c r="Z511" s="185" t="n">
        <v>40725</v>
      </c>
      <c r="AA511" s="184" t="n">
        <v>88938</v>
      </c>
      <c r="AB511" s="185" t="n">
        <v>40725</v>
      </c>
      <c r="AC511" s="184" t="n">
        <v>39.8</v>
      </c>
      <c r="AD511" s="185" t="n">
        <v>40725</v>
      </c>
      <c r="AE511" s="196"/>
      <c r="AF511" s="185"/>
      <c r="AG511" s="184" t="n">
        <v>4.47</v>
      </c>
      <c r="AH511" s="185" t="n">
        <v>40725</v>
      </c>
      <c r="AI511" s="183"/>
      <c r="AJ511" s="183"/>
      <c r="AK511" s="182"/>
      <c r="AL511" s="182"/>
      <c r="AM511" s="184" t="n">
        <v>85</v>
      </c>
      <c r="AN511" s="183" t="n">
        <v>40630</v>
      </c>
      <c r="AO511" s="182"/>
      <c r="AP511" s="182"/>
      <c r="AQ511" s="183"/>
      <c r="AR511" s="183"/>
      <c r="AS511" s="182"/>
      <c r="AT511" s="182"/>
      <c r="AU511" s="183"/>
      <c r="AV511" s="183"/>
      <c r="AW511" s="182"/>
      <c r="AX511" s="182"/>
      <c r="AY511" s="183"/>
      <c r="AZ511" s="183"/>
      <c r="BA511" s="182"/>
      <c r="BB511" s="182"/>
      <c r="BK511" s="183"/>
      <c r="BL511" s="183"/>
      <c r="BM511" s="182"/>
      <c r="BN511" s="182"/>
      <c r="BO511" s="183"/>
      <c r="BP511" s="183"/>
      <c r="BQ511" s="182"/>
      <c r="BR511" s="182"/>
      <c r="BS511" s="184" t="n">
        <v>51.2</v>
      </c>
      <c r="BT511" s="185" t="n">
        <v>40725</v>
      </c>
      <c r="BU511" s="184" t="n">
        <v>17.9</v>
      </c>
      <c r="BV511" s="185" t="n">
        <v>40725</v>
      </c>
      <c r="CL511" s="182"/>
      <c r="CM511" s="182"/>
    </row>
    <row r="512" customFormat="false" ht="12.75" hidden="false" customHeight="false" outlineLevel="0" collapsed="false">
      <c r="A512" s="204" t="s">
        <v>678</v>
      </c>
      <c r="B512" s="193" t="s">
        <v>785</v>
      </c>
      <c r="C512" s="193" t="s">
        <v>876</v>
      </c>
      <c r="D512" s="193"/>
      <c r="E512" s="194" t="n">
        <v>3</v>
      </c>
      <c r="F512" s="195" t="n">
        <v>45</v>
      </c>
      <c r="G512" s="119"/>
      <c r="H512" s="119"/>
      <c r="J512" s="118"/>
      <c r="K512" s="118"/>
      <c r="L512" s="181"/>
      <c r="N512" s="182"/>
      <c r="O512" s="182"/>
      <c r="S512" s="184" t="n">
        <v>2000</v>
      </c>
      <c r="T512" s="185" t="n">
        <v>40725</v>
      </c>
      <c r="U512" s="182"/>
      <c r="V512" s="182"/>
      <c r="W512" s="183"/>
      <c r="X512" s="183"/>
      <c r="Y512" s="184" t="n">
        <v>641</v>
      </c>
      <c r="Z512" s="185" t="n">
        <v>40725</v>
      </c>
      <c r="AA512" s="184" t="n">
        <v>86634</v>
      </c>
      <c r="AB512" s="185" t="n">
        <v>40725</v>
      </c>
      <c r="AC512" s="184" t="n">
        <v>38.6</v>
      </c>
      <c r="AD512" s="185" t="n">
        <v>40725</v>
      </c>
      <c r="AE512" s="196"/>
      <c r="AF512" s="185"/>
      <c r="AG512" s="184" t="n">
        <v>4.45</v>
      </c>
      <c r="AH512" s="185" t="n">
        <v>40725</v>
      </c>
      <c r="AI512" s="183"/>
      <c r="AJ512" s="183"/>
      <c r="AK512" s="182"/>
      <c r="AL512" s="182"/>
      <c r="AM512" s="184" t="n">
        <v>85</v>
      </c>
      <c r="AN512" s="183" t="n">
        <v>40630</v>
      </c>
      <c r="AO512" s="182"/>
      <c r="AP512" s="182"/>
      <c r="AQ512" s="183"/>
      <c r="AR512" s="183"/>
      <c r="AS512" s="182"/>
      <c r="AT512" s="182"/>
      <c r="AU512" s="183"/>
      <c r="AV512" s="183"/>
      <c r="AW512" s="182"/>
      <c r="AX512" s="182"/>
      <c r="AY512" s="183"/>
      <c r="AZ512" s="183"/>
      <c r="BA512" s="182"/>
      <c r="BB512" s="182"/>
      <c r="BK512" s="183"/>
      <c r="BL512" s="183"/>
      <c r="BM512" s="182"/>
      <c r="BN512" s="182"/>
      <c r="BO512" s="183"/>
      <c r="BP512" s="183"/>
      <c r="BQ512" s="182"/>
      <c r="BR512" s="182"/>
      <c r="BS512" s="184" t="n">
        <v>51.8</v>
      </c>
      <c r="BT512" s="185" t="n">
        <v>40725</v>
      </c>
      <c r="BU512" s="184" t="n">
        <v>16.6</v>
      </c>
      <c r="BV512" s="185" t="n">
        <v>40725</v>
      </c>
      <c r="CL512" s="182"/>
      <c r="CM512" s="182"/>
    </row>
    <row r="513" customFormat="false" ht="12.75" hidden="false" customHeight="false" outlineLevel="0" collapsed="false">
      <c r="A513" s="204" t="s">
        <v>678</v>
      </c>
      <c r="B513" s="193" t="s">
        <v>785</v>
      </c>
      <c r="C513" s="193" t="s">
        <v>877</v>
      </c>
      <c r="D513" s="193"/>
      <c r="E513" s="119" t="n">
        <v>24</v>
      </c>
      <c r="F513" s="195" t="n">
        <v>79</v>
      </c>
      <c r="G513" s="119"/>
      <c r="H513" s="119"/>
      <c r="J513" s="118"/>
      <c r="K513" s="118"/>
      <c r="L513" s="181"/>
      <c r="N513" s="182"/>
      <c r="O513" s="182"/>
      <c r="S513" s="184" t="n">
        <v>1958</v>
      </c>
      <c r="T513" s="185" t="n">
        <v>40725</v>
      </c>
      <c r="U513" s="182"/>
      <c r="V513" s="182"/>
      <c r="W513" s="183"/>
      <c r="X513" s="183"/>
      <c r="Y513" s="184" t="n">
        <v>661</v>
      </c>
      <c r="Z513" s="185" t="n">
        <v>40725</v>
      </c>
      <c r="AA513" s="184" t="n">
        <v>83220</v>
      </c>
      <c r="AB513" s="185" t="n">
        <v>40725</v>
      </c>
      <c r="AC513" s="184" t="n">
        <v>38.3</v>
      </c>
      <c r="AD513" s="185" t="n">
        <v>40725</v>
      </c>
      <c r="AE513" s="196"/>
      <c r="AF513" s="185"/>
      <c r="AG513" s="184" t="n">
        <v>4.6</v>
      </c>
      <c r="AH513" s="185" t="n">
        <v>40725</v>
      </c>
      <c r="AI513" s="183"/>
      <c r="AJ513" s="183"/>
      <c r="AK513" s="182"/>
      <c r="AL513" s="182"/>
      <c r="AM513" s="184" t="n">
        <v>85</v>
      </c>
      <c r="AN513" s="183" t="n">
        <v>40630</v>
      </c>
      <c r="AO513" s="182"/>
      <c r="AP513" s="182"/>
      <c r="AQ513" s="183"/>
      <c r="AR513" s="183"/>
      <c r="AS513" s="182"/>
      <c r="AT513" s="182"/>
      <c r="AU513" s="183"/>
      <c r="AV513" s="183"/>
      <c r="AW513" s="182"/>
      <c r="AX513" s="182"/>
      <c r="AY513" s="183"/>
      <c r="AZ513" s="183"/>
      <c r="BA513" s="182"/>
      <c r="BB513" s="182"/>
      <c r="BK513" s="183"/>
      <c r="BL513" s="183"/>
      <c r="BM513" s="182"/>
      <c r="BN513" s="182"/>
      <c r="BO513" s="183"/>
      <c r="BP513" s="183"/>
      <c r="BQ513" s="182"/>
      <c r="BR513" s="182"/>
      <c r="BS513" s="184" t="n">
        <v>51.1</v>
      </c>
      <c r="BT513" s="185" t="n">
        <v>40725</v>
      </c>
      <c r="BU513" s="184" t="n">
        <v>17.3</v>
      </c>
      <c r="BV513" s="185" t="n">
        <v>40725</v>
      </c>
      <c r="CL513" s="182"/>
      <c r="CM513" s="182"/>
    </row>
    <row r="514" customFormat="false" ht="12.75" hidden="false" customHeight="false" outlineLevel="0" collapsed="false">
      <c r="A514" s="204" t="s">
        <v>681</v>
      </c>
      <c r="B514" s="193" t="s">
        <v>782</v>
      </c>
      <c r="C514" s="193" t="s">
        <v>875</v>
      </c>
      <c r="D514" s="193"/>
      <c r="E514" s="194" t="n">
        <v>2</v>
      </c>
      <c r="F514" s="195" t="n">
        <v>18</v>
      </c>
      <c r="G514" s="119"/>
      <c r="H514" s="119"/>
      <c r="J514" s="118"/>
      <c r="K514" s="118"/>
      <c r="L514" s="181"/>
      <c r="N514" s="182"/>
      <c r="O514" s="182"/>
      <c r="S514" s="184" t="n">
        <v>1644</v>
      </c>
      <c r="T514" s="185" t="n">
        <v>40725</v>
      </c>
      <c r="U514" s="182"/>
      <c r="V514" s="182"/>
      <c r="W514" s="183"/>
      <c r="X514" s="183"/>
      <c r="Y514" s="184" t="n">
        <v>483</v>
      </c>
      <c r="Z514" s="185" t="n">
        <v>40725</v>
      </c>
      <c r="AA514" s="184" t="n">
        <v>82023</v>
      </c>
      <c r="AB514" s="185" t="n">
        <v>40725</v>
      </c>
      <c r="AC514" s="184" t="n">
        <v>31</v>
      </c>
      <c r="AD514" s="185" t="n">
        <v>40725</v>
      </c>
      <c r="AE514" s="196"/>
      <c r="AF514" s="185"/>
      <c r="AG514" s="184" t="n">
        <v>3.78</v>
      </c>
      <c r="AH514" s="185" t="n">
        <v>40725</v>
      </c>
      <c r="AI514" s="183"/>
      <c r="AJ514" s="183"/>
      <c r="AK514" s="182"/>
      <c r="AL514" s="182"/>
      <c r="AM514" s="184" t="n">
        <v>87</v>
      </c>
      <c r="AN514" s="183" t="n">
        <v>40630</v>
      </c>
      <c r="AO514" s="182"/>
      <c r="AP514" s="182"/>
      <c r="AQ514" s="183"/>
      <c r="AR514" s="183"/>
      <c r="AS514" s="182"/>
      <c r="AT514" s="182"/>
      <c r="AU514" s="183"/>
      <c r="AV514" s="183"/>
      <c r="AW514" s="182"/>
      <c r="AX514" s="182"/>
      <c r="AY514" s="183"/>
      <c r="AZ514" s="183"/>
      <c r="BA514" s="182"/>
      <c r="BB514" s="182"/>
      <c r="BK514" s="183"/>
      <c r="BL514" s="183"/>
      <c r="BM514" s="182"/>
      <c r="BN514" s="182"/>
      <c r="BO514" s="183"/>
      <c r="BP514" s="183"/>
      <c r="BQ514" s="182"/>
      <c r="BR514" s="182"/>
      <c r="BS514" s="184" t="n">
        <v>53</v>
      </c>
      <c r="BT514" s="185" t="n">
        <v>40725</v>
      </c>
      <c r="BU514" s="184" t="n">
        <v>15.6</v>
      </c>
      <c r="BV514" s="185" t="n">
        <v>40725</v>
      </c>
      <c r="CL514" s="182"/>
      <c r="CM514" s="182"/>
    </row>
    <row r="515" customFormat="false" ht="12.75" hidden="false" customHeight="false" outlineLevel="0" collapsed="false">
      <c r="A515" s="204" t="s">
        <v>681</v>
      </c>
      <c r="B515" s="193" t="s">
        <v>782</v>
      </c>
      <c r="C515" s="193" t="s">
        <v>876</v>
      </c>
      <c r="D515" s="193"/>
      <c r="E515" s="194" t="n">
        <v>7</v>
      </c>
      <c r="F515" s="195" t="n">
        <v>38</v>
      </c>
      <c r="G515" s="119"/>
      <c r="H515" s="119"/>
      <c r="J515" s="118"/>
      <c r="K515" s="118"/>
      <c r="L515" s="181"/>
      <c r="N515" s="182"/>
      <c r="O515" s="182"/>
      <c r="S515" s="184" t="n">
        <v>1908</v>
      </c>
      <c r="T515" s="185" t="n">
        <v>40725</v>
      </c>
      <c r="U515" s="182"/>
      <c r="V515" s="182"/>
      <c r="W515" s="183"/>
      <c r="X515" s="183"/>
      <c r="Y515" s="184" t="n">
        <v>580</v>
      </c>
      <c r="Z515" s="185" t="n">
        <v>40725</v>
      </c>
      <c r="AA515" s="184" t="n">
        <v>91542</v>
      </c>
      <c r="AB515" s="185" t="n">
        <v>40725</v>
      </c>
      <c r="AC515" s="184" t="n">
        <v>35.9</v>
      </c>
      <c r="AD515" s="185" t="n">
        <v>40725</v>
      </c>
      <c r="AE515" s="196"/>
      <c r="AF515" s="185"/>
      <c r="AG515" s="184" t="n">
        <v>3.92</v>
      </c>
      <c r="AH515" s="185" t="n">
        <v>40725</v>
      </c>
      <c r="AI515" s="183"/>
      <c r="AJ515" s="183"/>
      <c r="AK515" s="182"/>
      <c r="AL515" s="182"/>
      <c r="AM515" s="184" t="n">
        <v>84</v>
      </c>
      <c r="AN515" s="183" t="n">
        <v>40630</v>
      </c>
      <c r="AO515" s="182"/>
      <c r="AP515" s="182"/>
      <c r="AQ515" s="183"/>
      <c r="AR515" s="183"/>
      <c r="AS515" s="182"/>
      <c r="AT515" s="182"/>
      <c r="AU515" s="183"/>
      <c r="AV515" s="183"/>
      <c r="AW515" s="182"/>
      <c r="AX515" s="182"/>
      <c r="AY515" s="183"/>
      <c r="AZ515" s="183"/>
      <c r="BA515" s="182"/>
      <c r="BB515" s="182"/>
      <c r="BK515" s="183"/>
      <c r="BL515" s="183"/>
      <c r="BM515" s="182"/>
      <c r="BN515" s="182"/>
      <c r="BO515" s="183"/>
      <c r="BP515" s="183"/>
      <c r="BQ515" s="182"/>
      <c r="BR515" s="182"/>
      <c r="BS515" s="184" t="n">
        <v>53.2</v>
      </c>
      <c r="BT515" s="185" t="n">
        <v>40725</v>
      </c>
      <c r="BU515" s="184" t="n">
        <v>16.2</v>
      </c>
      <c r="BV515" s="185" t="n">
        <v>40725</v>
      </c>
      <c r="CL515" s="182"/>
      <c r="CM515" s="182"/>
    </row>
    <row r="516" customFormat="false" ht="12.75" hidden="false" customHeight="false" outlineLevel="0" collapsed="false">
      <c r="A516" s="204" t="s">
        <v>681</v>
      </c>
      <c r="B516" s="193" t="s">
        <v>782</v>
      </c>
      <c r="C516" s="193" t="s">
        <v>877</v>
      </c>
      <c r="D516" s="193"/>
      <c r="E516" s="119" t="n">
        <v>17</v>
      </c>
      <c r="F516" s="195" t="n">
        <v>66</v>
      </c>
      <c r="G516" s="119"/>
      <c r="H516" s="119"/>
      <c r="J516" s="118"/>
      <c r="K516" s="118"/>
      <c r="L516" s="181"/>
      <c r="N516" s="182"/>
      <c r="O516" s="182"/>
      <c r="S516" s="184" t="n">
        <v>1672</v>
      </c>
      <c r="T516" s="185" t="n">
        <v>40725</v>
      </c>
      <c r="U516" s="182"/>
      <c r="V516" s="182"/>
      <c r="W516" s="183"/>
      <c r="X516" s="183"/>
      <c r="Y516" s="184" t="n">
        <v>516</v>
      </c>
      <c r="Z516" s="185" t="n">
        <v>40725</v>
      </c>
      <c r="AA516" s="184" t="n">
        <v>78429</v>
      </c>
      <c r="AB516" s="185" t="n">
        <v>40725</v>
      </c>
      <c r="AC516" s="184" t="n">
        <v>31.6</v>
      </c>
      <c r="AD516" s="185" t="n">
        <v>40725</v>
      </c>
      <c r="AE516" s="196"/>
      <c r="AF516" s="185"/>
      <c r="AG516" s="184" t="n">
        <v>4.02</v>
      </c>
      <c r="AH516" s="185" t="n">
        <v>40725</v>
      </c>
      <c r="AI516" s="183"/>
      <c r="AJ516" s="183"/>
      <c r="AK516" s="182"/>
      <c r="AL516" s="182"/>
      <c r="AM516" s="184" t="n">
        <v>85</v>
      </c>
      <c r="AN516" s="183" t="n">
        <v>40630</v>
      </c>
      <c r="AO516" s="182"/>
      <c r="AP516" s="182"/>
      <c r="AQ516" s="183"/>
      <c r="AR516" s="183"/>
      <c r="AS516" s="182"/>
      <c r="AT516" s="182"/>
      <c r="AU516" s="183"/>
      <c r="AV516" s="183"/>
      <c r="AW516" s="182"/>
      <c r="AX516" s="182"/>
      <c r="AY516" s="183"/>
      <c r="AZ516" s="183"/>
      <c r="BA516" s="182"/>
      <c r="BB516" s="182"/>
      <c r="BK516" s="183"/>
      <c r="BL516" s="183"/>
      <c r="BM516" s="182"/>
      <c r="BN516" s="182"/>
      <c r="BO516" s="183"/>
      <c r="BP516" s="183"/>
      <c r="BQ516" s="182"/>
      <c r="BR516" s="182"/>
      <c r="BS516" s="184" t="n">
        <v>53</v>
      </c>
      <c r="BT516" s="185" t="n">
        <v>40725</v>
      </c>
      <c r="BU516" s="184" t="n">
        <v>16.3</v>
      </c>
      <c r="BV516" s="185" t="n">
        <v>40725</v>
      </c>
      <c r="CL516" s="182"/>
      <c r="CM516" s="182"/>
    </row>
    <row r="517" customFormat="false" ht="12.75" hidden="false" customHeight="false" outlineLevel="0" collapsed="false">
      <c r="A517" s="204" t="s">
        <v>681</v>
      </c>
      <c r="B517" s="193" t="s">
        <v>785</v>
      </c>
      <c r="C517" s="193" t="s">
        <v>875</v>
      </c>
      <c r="D517" s="193"/>
      <c r="E517" s="194" t="n">
        <v>8</v>
      </c>
      <c r="F517" s="195" t="n">
        <v>15</v>
      </c>
      <c r="G517" s="119"/>
      <c r="H517" s="119"/>
      <c r="J517" s="118"/>
      <c r="K517" s="118"/>
      <c r="L517" s="181"/>
      <c r="N517" s="182"/>
      <c r="O517" s="182"/>
      <c r="S517" s="184" t="n">
        <v>2330</v>
      </c>
      <c r="T517" s="185" t="n">
        <v>40725</v>
      </c>
      <c r="U517" s="182"/>
      <c r="V517" s="182"/>
      <c r="W517" s="183"/>
      <c r="X517" s="183"/>
      <c r="Y517" s="184" t="n">
        <v>715</v>
      </c>
      <c r="Z517" s="185" t="n">
        <v>40725</v>
      </c>
      <c r="AA517" s="184" t="n">
        <v>120362</v>
      </c>
      <c r="AB517" s="185" t="n">
        <v>40725</v>
      </c>
      <c r="AC517" s="184" t="n">
        <v>44.1</v>
      </c>
      <c r="AD517" s="185" t="n">
        <v>40725</v>
      </c>
      <c r="AE517" s="196"/>
      <c r="AF517" s="185"/>
      <c r="AG517" s="184" t="n">
        <v>3.67</v>
      </c>
      <c r="AH517" s="185" t="n">
        <v>40725</v>
      </c>
      <c r="AI517" s="183"/>
      <c r="AJ517" s="183"/>
      <c r="AK517" s="182"/>
      <c r="AL517" s="182"/>
      <c r="AM517" s="184" t="n">
        <v>88</v>
      </c>
      <c r="AN517" s="183" t="n">
        <v>40630</v>
      </c>
      <c r="AO517" s="182"/>
      <c r="AP517" s="182"/>
      <c r="AQ517" s="183"/>
      <c r="AR517" s="183"/>
      <c r="AS517" s="182"/>
      <c r="AT517" s="182"/>
      <c r="AU517" s="183"/>
      <c r="AV517" s="183"/>
      <c r="AW517" s="182"/>
      <c r="AX517" s="182"/>
      <c r="AY517" s="183"/>
      <c r="AZ517" s="183"/>
      <c r="BA517" s="182"/>
      <c r="BB517" s="182"/>
      <c r="BK517" s="183"/>
      <c r="BL517" s="183"/>
      <c r="BM517" s="182"/>
      <c r="BN517" s="182"/>
      <c r="BO517" s="183"/>
      <c r="BP517" s="183"/>
      <c r="BQ517" s="182"/>
      <c r="BR517" s="182"/>
      <c r="BS517" s="184" t="n">
        <v>52.8</v>
      </c>
      <c r="BT517" s="185" t="n">
        <v>40725</v>
      </c>
      <c r="BU517" s="184" t="n">
        <v>16.2</v>
      </c>
      <c r="BV517" s="185" t="n">
        <v>40725</v>
      </c>
      <c r="CL517" s="182"/>
      <c r="CM517" s="182"/>
    </row>
    <row r="518" customFormat="false" ht="12.75" hidden="false" customHeight="false" outlineLevel="0" collapsed="false">
      <c r="A518" s="204" t="s">
        <v>681</v>
      </c>
      <c r="B518" s="193" t="s">
        <v>785</v>
      </c>
      <c r="C518" s="193" t="s">
        <v>876</v>
      </c>
      <c r="D518" s="193"/>
      <c r="E518" s="194" t="n">
        <v>2</v>
      </c>
      <c r="F518" s="195" t="n">
        <v>34</v>
      </c>
      <c r="G518" s="119"/>
      <c r="H518" s="119"/>
      <c r="J518" s="118"/>
      <c r="K518" s="118"/>
      <c r="L518" s="181"/>
      <c r="N518" s="182"/>
      <c r="O518" s="182"/>
      <c r="S518" s="184" t="s">
        <v>879</v>
      </c>
      <c r="T518" s="185" t="n">
        <v>40725</v>
      </c>
      <c r="U518" s="182"/>
      <c r="V518" s="182"/>
      <c r="W518" s="183"/>
      <c r="X518" s="183"/>
      <c r="Y518" s="184" t="s">
        <v>879</v>
      </c>
      <c r="Z518" s="185" t="n">
        <v>40725</v>
      </c>
      <c r="AA518" s="184" t="s">
        <v>879</v>
      </c>
      <c r="AB518" s="185" t="n">
        <v>40725</v>
      </c>
      <c r="AC518" s="184" t="s">
        <v>879</v>
      </c>
      <c r="AD518" s="185" t="n">
        <v>40725</v>
      </c>
      <c r="AE518" s="196"/>
      <c r="AF518" s="185"/>
      <c r="AG518" s="184" t="s">
        <v>879</v>
      </c>
      <c r="AH518" s="185" t="n">
        <v>40725</v>
      </c>
      <c r="AI518" s="183"/>
      <c r="AJ518" s="183"/>
      <c r="AK518" s="182"/>
      <c r="AL518" s="182"/>
      <c r="AM518" s="184" t="n">
        <v>87</v>
      </c>
      <c r="AN518" s="183" t="n">
        <v>40630</v>
      </c>
      <c r="AO518" s="182"/>
      <c r="AP518" s="182"/>
      <c r="AQ518" s="183"/>
      <c r="AR518" s="183"/>
      <c r="AS518" s="182"/>
      <c r="AT518" s="182"/>
      <c r="AU518" s="183"/>
      <c r="AV518" s="183"/>
      <c r="AW518" s="182"/>
      <c r="AX518" s="182"/>
      <c r="AY518" s="183"/>
      <c r="AZ518" s="183"/>
      <c r="BA518" s="182"/>
      <c r="BB518" s="182"/>
      <c r="BK518" s="183"/>
      <c r="BL518" s="183"/>
      <c r="BM518" s="182"/>
      <c r="BN518" s="182"/>
      <c r="BO518" s="183"/>
      <c r="BP518" s="183"/>
      <c r="BQ518" s="182"/>
      <c r="BR518" s="182"/>
      <c r="BS518" s="184" t="s">
        <v>879</v>
      </c>
      <c r="BT518" s="185" t="n">
        <v>40725</v>
      </c>
      <c r="BU518" s="184" t="s">
        <v>879</v>
      </c>
      <c r="BV518" s="185" t="n">
        <v>40725</v>
      </c>
      <c r="CL518" s="182"/>
      <c r="CM518" s="182"/>
    </row>
    <row r="519" customFormat="false" ht="12.75" hidden="false" customHeight="false" outlineLevel="0" collapsed="false">
      <c r="A519" s="204" t="s">
        <v>681</v>
      </c>
      <c r="B519" s="193" t="s">
        <v>785</v>
      </c>
      <c r="C519" s="193" t="s">
        <v>877</v>
      </c>
      <c r="D519" s="193"/>
      <c r="E519" s="119" t="n">
        <v>21</v>
      </c>
      <c r="F519" s="195" t="n">
        <v>72</v>
      </c>
      <c r="G519" s="119"/>
      <c r="H519" s="119"/>
      <c r="J519" s="118"/>
      <c r="K519" s="118"/>
      <c r="L519" s="181"/>
      <c r="N519" s="182"/>
      <c r="O519" s="182"/>
      <c r="S519" s="184" t="n">
        <v>1815</v>
      </c>
      <c r="T519" s="185" t="n">
        <v>40725</v>
      </c>
      <c r="U519" s="182"/>
      <c r="V519" s="182"/>
      <c r="W519" s="183"/>
      <c r="X519" s="183"/>
      <c r="Y519" s="184" t="n">
        <v>613</v>
      </c>
      <c r="Z519" s="185" t="n">
        <v>40725</v>
      </c>
      <c r="AA519" s="184" t="n">
        <v>87415</v>
      </c>
      <c r="AB519" s="185" t="n">
        <v>40725</v>
      </c>
      <c r="AC519" s="184" t="n">
        <v>35.2</v>
      </c>
      <c r="AD519" s="185" t="n">
        <v>40725</v>
      </c>
      <c r="AE519" s="196"/>
      <c r="AF519" s="185"/>
      <c r="AG519" s="184" t="n">
        <v>4.03</v>
      </c>
      <c r="AH519" s="185" t="n">
        <v>40725</v>
      </c>
      <c r="AI519" s="183"/>
      <c r="AJ519" s="183"/>
      <c r="AK519" s="182"/>
      <c r="AL519" s="182"/>
      <c r="AM519" s="184" t="n">
        <v>87</v>
      </c>
      <c r="AN519" s="183" t="n">
        <v>40630</v>
      </c>
      <c r="AO519" s="182"/>
      <c r="AP519" s="182"/>
      <c r="AQ519" s="183"/>
      <c r="AR519" s="183"/>
      <c r="AS519" s="182"/>
      <c r="AT519" s="182"/>
      <c r="AU519" s="183"/>
      <c r="AV519" s="183"/>
      <c r="AW519" s="182"/>
      <c r="AX519" s="182"/>
      <c r="AY519" s="183"/>
      <c r="AZ519" s="183"/>
      <c r="BA519" s="182"/>
      <c r="BB519" s="182"/>
      <c r="BK519" s="183"/>
      <c r="BL519" s="183"/>
      <c r="BM519" s="182"/>
      <c r="BN519" s="182"/>
      <c r="BO519" s="183"/>
      <c r="BP519" s="183"/>
      <c r="BQ519" s="182"/>
      <c r="BR519" s="182"/>
      <c r="BS519" s="184" t="n">
        <v>51.6</v>
      </c>
      <c r="BT519" s="185" t="n">
        <v>40725</v>
      </c>
      <c r="BU519" s="184" t="n">
        <v>17.4</v>
      </c>
      <c r="BV519" s="185" t="n">
        <v>40725</v>
      </c>
      <c r="CL519" s="182"/>
      <c r="CM519" s="182"/>
    </row>
    <row r="520" customFormat="false" ht="12.75" hidden="false" customHeight="false" outlineLevel="0" collapsed="false">
      <c r="A520" s="204" t="s">
        <v>684</v>
      </c>
      <c r="B520" s="193" t="s">
        <v>782</v>
      </c>
      <c r="C520" s="193" t="s">
        <v>875</v>
      </c>
      <c r="D520" s="193"/>
      <c r="E520" s="194" t="n">
        <v>3</v>
      </c>
      <c r="F520" s="195" t="n">
        <v>9</v>
      </c>
      <c r="G520" s="119"/>
      <c r="H520" s="119"/>
      <c r="J520" s="118"/>
      <c r="K520" s="118"/>
      <c r="L520" s="181"/>
      <c r="N520" s="182"/>
      <c r="O520" s="182"/>
      <c r="S520" s="184" t="n">
        <v>1519</v>
      </c>
      <c r="T520" s="185" t="n">
        <v>40725</v>
      </c>
      <c r="U520" s="182"/>
      <c r="V520" s="182"/>
      <c r="W520" s="183"/>
      <c r="X520" s="183"/>
      <c r="Y520" s="184" t="n">
        <v>540</v>
      </c>
      <c r="Z520" s="185" t="n">
        <v>40725</v>
      </c>
      <c r="AA520" s="184" t="n">
        <v>75703</v>
      </c>
      <c r="AB520" s="185" t="n">
        <v>40725</v>
      </c>
      <c r="AC520" s="184" t="n">
        <v>31.1</v>
      </c>
      <c r="AD520" s="185" t="n">
        <v>40725</v>
      </c>
      <c r="AE520" s="196"/>
      <c r="AF520" s="185"/>
      <c r="AG520" s="184" t="n">
        <v>4.1</v>
      </c>
      <c r="AH520" s="185" t="n">
        <v>40725</v>
      </c>
      <c r="AI520" s="183"/>
      <c r="AJ520" s="183"/>
      <c r="AK520" s="182"/>
      <c r="AL520" s="182"/>
      <c r="AM520" s="184" t="n">
        <v>70</v>
      </c>
      <c r="AN520" s="183" t="n">
        <v>40630</v>
      </c>
      <c r="AO520" s="182"/>
      <c r="AP520" s="182"/>
      <c r="AQ520" s="183"/>
      <c r="AR520" s="183"/>
      <c r="AS520" s="182"/>
      <c r="AT520" s="182"/>
      <c r="AU520" s="183"/>
      <c r="AV520" s="183"/>
      <c r="AW520" s="182"/>
      <c r="AX520" s="182"/>
      <c r="AY520" s="183"/>
      <c r="AZ520" s="183"/>
      <c r="BA520" s="182"/>
      <c r="BB520" s="182"/>
      <c r="BK520" s="183"/>
      <c r="BL520" s="183"/>
      <c r="BM520" s="182"/>
      <c r="BN520" s="182"/>
      <c r="BO520" s="183"/>
      <c r="BP520" s="183"/>
      <c r="BQ520" s="182"/>
      <c r="BR520" s="182"/>
      <c r="BS520" s="184" t="n">
        <v>48.9</v>
      </c>
      <c r="BT520" s="185" t="n">
        <v>40725</v>
      </c>
      <c r="BU520" s="184" t="n">
        <v>17.4</v>
      </c>
      <c r="BV520" s="185" t="n">
        <v>40725</v>
      </c>
      <c r="CL520" s="182"/>
      <c r="CM520" s="182"/>
    </row>
    <row r="521" customFormat="false" ht="12.75" hidden="false" customHeight="false" outlineLevel="0" collapsed="false">
      <c r="A521" s="204" t="s">
        <v>684</v>
      </c>
      <c r="B521" s="193" t="s">
        <v>782</v>
      </c>
      <c r="C521" s="193" t="s">
        <v>876</v>
      </c>
      <c r="D521" s="193"/>
      <c r="E521" s="194" t="n">
        <v>8</v>
      </c>
      <c r="F521" s="195" t="n">
        <v>37</v>
      </c>
      <c r="G521" s="119"/>
      <c r="H521" s="119"/>
      <c r="J521" s="118"/>
      <c r="K521" s="118"/>
      <c r="L521" s="181"/>
      <c r="N521" s="182"/>
      <c r="O521" s="182"/>
      <c r="S521" s="184" t="n">
        <v>1238</v>
      </c>
      <c r="T521" s="185" t="n">
        <v>40725</v>
      </c>
      <c r="U521" s="182"/>
      <c r="V521" s="182"/>
      <c r="W521" s="183"/>
      <c r="X521" s="183"/>
      <c r="Y521" s="184" t="n">
        <v>456</v>
      </c>
      <c r="Z521" s="185" t="n">
        <v>40725</v>
      </c>
      <c r="AA521" s="184" t="n">
        <v>58865</v>
      </c>
      <c r="AB521" s="185" t="n">
        <v>40725</v>
      </c>
      <c r="AC521" s="184" t="n">
        <v>25.7</v>
      </c>
      <c r="AD521" s="185" t="n">
        <v>40725</v>
      </c>
      <c r="AE521" s="196"/>
      <c r="AF521" s="185"/>
      <c r="AG521" s="184" t="n">
        <v>4.37</v>
      </c>
      <c r="AH521" s="185" t="n">
        <v>40725</v>
      </c>
      <c r="AI521" s="183"/>
      <c r="AJ521" s="183"/>
      <c r="AK521" s="182"/>
      <c r="AL521" s="182"/>
      <c r="AM521" s="184" t="n">
        <v>70</v>
      </c>
      <c r="AN521" s="183" t="n">
        <v>40630</v>
      </c>
      <c r="AO521" s="182"/>
      <c r="AP521" s="182"/>
      <c r="AQ521" s="183"/>
      <c r="AR521" s="183"/>
      <c r="AS521" s="182"/>
      <c r="AT521" s="182"/>
      <c r="AU521" s="183"/>
      <c r="AV521" s="183"/>
      <c r="AW521" s="182"/>
      <c r="AX521" s="182"/>
      <c r="AY521" s="183"/>
      <c r="AZ521" s="183"/>
      <c r="BA521" s="182"/>
      <c r="BB521" s="182"/>
      <c r="BK521" s="183"/>
      <c r="BL521" s="183"/>
      <c r="BM521" s="182"/>
      <c r="BN521" s="182"/>
      <c r="BO521" s="183"/>
      <c r="BP521" s="183"/>
      <c r="BQ521" s="182"/>
      <c r="BR521" s="182"/>
      <c r="BS521" s="184" t="n">
        <v>48.2</v>
      </c>
      <c r="BT521" s="185" t="n">
        <v>40725</v>
      </c>
      <c r="BU521" s="184" t="n">
        <v>17.7</v>
      </c>
      <c r="BV521" s="185" t="n">
        <v>40725</v>
      </c>
      <c r="CL521" s="182"/>
      <c r="CM521" s="182"/>
    </row>
    <row r="522" customFormat="false" ht="12.75" hidden="false" customHeight="false" outlineLevel="0" collapsed="false">
      <c r="A522" s="204" t="s">
        <v>684</v>
      </c>
      <c r="B522" s="193" t="s">
        <v>782</v>
      </c>
      <c r="C522" s="193" t="s">
        <v>877</v>
      </c>
      <c r="D522" s="193"/>
      <c r="E522" s="119" t="n">
        <v>19</v>
      </c>
      <c r="F522" s="195" t="n">
        <v>82</v>
      </c>
      <c r="G522" s="119"/>
      <c r="H522" s="119"/>
      <c r="J522" s="118"/>
      <c r="K522" s="118"/>
      <c r="L522" s="181"/>
      <c r="N522" s="182"/>
      <c r="O522" s="182"/>
      <c r="S522" s="184" t="n">
        <v>1033</v>
      </c>
      <c r="T522" s="185" t="n">
        <v>40725</v>
      </c>
      <c r="U522" s="182"/>
      <c r="V522" s="182"/>
      <c r="W522" s="183"/>
      <c r="X522" s="183"/>
      <c r="Y522" s="184" t="n">
        <v>403</v>
      </c>
      <c r="Z522" s="185" t="n">
        <v>40725</v>
      </c>
      <c r="AA522" s="184" t="n">
        <v>49970</v>
      </c>
      <c r="AB522" s="185" t="n">
        <v>40725</v>
      </c>
      <c r="AC522" s="184" t="n">
        <v>21.8</v>
      </c>
      <c r="AD522" s="185" t="n">
        <v>40725</v>
      </c>
      <c r="AE522" s="196"/>
      <c r="AF522" s="185"/>
      <c r="AG522" s="184" t="n">
        <v>4.37</v>
      </c>
      <c r="AH522" s="185" t="n">
        <v>40725</v>
      </c>
      <c r="AI522" s="183"/>
      <c r="AJ522" s="183"/>
      <c r="AK522" s="182"/>
      <c r="AL522" s="182"/>
      <c r="AM522" s="184" t="n">
        <v>70</v>
      </c>
      <c r="AN522" s="183" t="n">
        <v>40630</v>
      </c>
      <c r="AO522" s="182"/>
      <c r="AP522" s="182"/>
      <c r="AQ522" s="183"/>
      <c r="AR522" s="183"/>
      <c r="AS522" s="182"/>
      <c r="AT522" s="182"/>
      <c r="AU522" s="183"/>
      <c r="AV522" s="183"/>
      <c r="AW522" s="182"/>
      <c r="AX522" s="182"/>
      <c r="AY522" s="183"/>
      <c r="AZ522" s="183"/>
      <c r="BA522" s="182"/>
      <c r="BB522" s="182"/>
      <c r="BK522" s="183"/>
      <c r="BL522" s="183"/>
      <c r="BM522" s="182"/>
      <c r="BN522" s="182"/>
      <c r="BO522" s="183"/>
      <c r="BP522" s="183"/>
      <c r="BQ522" s="182"/>
      <c r="BR522" s="182"/>
      <c r="BS522" s="184" t="n">
        <v>47.3</v>
      </c>
      <c r="BT522" s="185" t="n">
        <v>40725</v>
      </c>
      <c r="BU522" s="184" t="n">
        <v>18.4</v>
      </c>
      <c r="BV522" s="185" t="n">
        <v>40725</v>
      </c>
      <c r="CL522" s="182"/>
      <c r="CM522" s="182"/>
    </row>
    <row r="523" customFormat="false" ht="12.75" hidden="false" customHeight="false" outlineLevel="0" collapsed="false">
      <c r="A523" s="204" t="s">
        <v>684</v>
      </c>
      <c r="B523" s="193" t="s">
        <v>785</v>
      </c>
      <c r="C523" s="193" t="s">
        <v>875</v>
      </c>
      <c r="D523" s="193"/>
      <c r="E523" s="194" t="n">
        <v>8</v>
      </c>
      <c r="F523" s="195" t="n">
        <v>18</v>
      </c>
      <c r="G523" s="119"/>
      <c r="H523" s="119"/>
      <c r="J523" s="118"/>
      <c r="K523" s="118"/>
      <c r="L523" s="181"/>
      <c r="N523" s="182"/>
      <c r="O523" s="182"/>
      <c r="S523" s="184" t="n">
        <v>1689</v>
      </c>
      <c r="T523" s="185" t="n">
        <v>40725</v>
      </c>
      <c r="U523" s="182"/>
      <c r="V523" s="182"/>
      <c r="W523" s="183"/>
      <c r="X523" s="183"/>
      <c r="Y523" s="184" t="n">
        <v>623</v>
      </c>
      <c r="Z523" s="185" t="n">
        <v>40725</v>
      </c>
      <c r="AA523" s="184" t="n">
        <v>78056</v>
      </c>
      <c r="AB523" s="185" t="n">
        <v>40725</v>
      </c>
      <c r="AC523" s="184" t="n">
        <v>35.1</v>
      </c>
      <c r="AD523" s="185" t="n">
        <v>40725</v>
      </c>
      <c r="AE523" s="196"/>
      <c r="AF523" s="185"/>
      <c r="AG523" s="184" t="n">
        <v>4.5</v>
      </c>
      <c r="AH523" s="185" t="n">
        <v>40725</v>
      </c>
      <c r="AI523" s="183"/>
      <c r="AJ523" s="183"/>
      <c r="AK523" s="182"/>
      <c r="AL523" s="182"/>
      <c r="AM523" s="184" t="n">
        <v>70</v>
      </c>
      <c r="AN523" s="183" t="n">
        <v>40630</v>
      </c>
      <c r="AO523" s="182"/>
      <c r="AP523" s="182"/>
      <c r="AQ523" s="183"/>
      <c r="AR523" s="183"/>
      <c r="AS523" s="182"/>
      <c r="AT523" s="182"/>
      <c r="AU523" s="183"/>
      <c r="AV523" s="183"/>
      <c r="AW523" s="182"/>
      <c r="AX523" s="182"/>
      <c r="AY523" s="183"/>
      <c r="AZ523" s="183"/>
      <c r="BA523" s="182"/>
      <c r="BB523" s="182"/>
      <c r="BK523" s="183"/>
      <c r="BL523" s="183"/>
      <c r="BM523" s="182"/>
      <c r="BN523" s="182"/>
      <c r="BO523" s="183"/>
      <c r="BP523" s="183"/>
      <c r="BQ523" s="182"/>
      <c r="BR523" s="182"/>
      <c r="BS523" s="184" t="n">
        <v>48.1</v>
      </c>
      <c r="BT523" s="185" t="n">
        <v>40725</v>
      </c>
      <c r="BU523" s="184" t="n">
        <v>17.7</v>
      </c>
      <c r="BV523" s="185" t="n">
        <v>40725</v>
      </c>
      <c r="CL523" s="182"/>
      <c r="CM523" s="182"/>
    </row>
    <row r="524" customFormat="false" ht="12.75" hidden="false" customHeight="false" outlineLevel="0" collapsed="false">
      <c r="A524" s="204" t="s">
        <v>684</v>
      </c>
      <c r="B524" s="193" t="s">
        <v>785</v>
      </c>
      <c r="C524" s="193" t="s">
        <v>876</v>
      </c>
      <c r="D524" s="193"/>
      <c r="E524" s="194" t="n">
        <v>2</v>
      </c>
      <c r="F524" s="195" t="n">
        <v>62</v>
      </c>
      <c r="G524" s="119"/>
      <c r="H524" s="119"/>
      <c r="J524" s="118"/>
      <c r="K524" s="118"/>
      <c r="L524" s="181"/>
      <c r="N524" s="182"/>
      <c r="O524" s="182"/>
      <c r="S524" s="184" t="n">
        <v>1186</v>
      </c>
      <c r="T524" s="185" t="n">
        <v>40725</v>
      </c>
      <c r="U524" s="182"/>
      <c r="V524" s="182"/>
      <c r="W524" s="183"/>
      <c r="X524" s="183"/>
      <c r="Y524" s="184" t="n">
        <v>458</v>
      </c>
      <c r="Z524" s="185" t="n">
        <v>40725</v>
      </c>
      <c r="AA524" s="184" t="n">
        <v>56183</v>
      </c>
      <c r="AB524" s="185" t="n">
        <v>40725</v>
      </c>
      <c r="AC524" s="184" t="n">
        <v>24.7</v>
      </c>
      <c r="AD524" s="185" t="n">
        <v>40725</v>
      </c>
      <c r="AE524" s="196"/>
      <c r="AF524" s="185"/>
      <c r="AG524" s="184" t="n">
        <v>4.39</v>
      </c>
      <c r="AH524" s="185" t="n">
        <v>40725</v>
      </c>
      <c r="AI524" s="183"/>
      <c r="AJ524" s="183"/>
      <c r="AK524" s="182"/>
      <c r="AL524" s="182"/>
      <c r="AM524" s="184" t="n">
        <v>70</v>
      </c>
      <c r="AN524" s="183" t="n">
        <v>40630</v>
      </c>
      <c r="AO524" s="182"/>
      <c r="AP524" s="182"/>
      <c r="AQ524" s="183"/>
      <c r="AR524" s="183"/>
      <c r="AS524" s="182"/>
      <c r="AT524" s="182"/>
      <c r="AU524" s="183"/>
      <c r="AV524" s="183"/>
      <c r="AW524" s="182"/>
      <c r="AX524" s="182"/>
      <c r="AY524" s="183"/>
      <c r="AZ524" s="183"/>
      <c r="BA524" s="182"/>
      <c r="BB524" s="182"/>
      <c r="BK524" s="183"/>
      <c r="BL524" s="183"/>
      <c r="BM524" s="182"/>
      <c r="BN524" s="182"/>
      <c r="BO524" s="183"/>
      <c r="BP524" s="183"/>
      <c r="BQ524" s="182"/>
      <c r="BR524" s="182"/>
      <c r="BS524" s="184" t="n">
        <v>48.1</v>
      </c>
      <c r="BT524" s="185" t="n">
        <v>40725</v>
      </c>
      <c r="BU524" s="184" t="n">
        <v>18.6</v>
      </c>
      <c r="BV524" s="185" t="n">
        <v>40725</v>
      </c>
      <c r="CL524" s="182"/>
      <c r="CM524" s="182"/>
    </row>
    <row r="525" customFormat="false" ht="12.75" hidden="false" customHeight="false" outlineLevel="0" collapsed="false">
      <c r="A525" s="204" t="s">
        <v>684</v>
      </c>
      <c r="B525" s="193" t="s">
        <v>785</v>
      </c>
      <c r="C525" s="193" t="s">
        <v>877</v>
      </c>
      <c r="D525" s="193"/>
      <c r="E525" s="119" t="n">
        <v>22</v>
      </c>
      <c r="F525" s="195" t="n">
        <v>71</v>
      </c>
      <c r="G525" s="119"/>
      <c r="H525" s="119"/>
      <c r="J525" s="118"/>
      <c r="K525" s="118"/>
      <c r="L525" s="181"/>
      <c r="N525" s="182"/>
      <c r="O525" s="182"/>
      <c r="S525" s="184" t="n">
        <v>1205</v>
      </c>
      <c r="T525" s="185" t="n">
        <v>40725</v>
      </c>
      <c r="U525" s="182"/>
      <c r="V525" s="182"/>
      <c r="W525" s="183"/>
      <c r="X525" s="183"/>
      <c r="Y525" s="184" t="n">
        <v>487</v>
      </c>
      <c r="Z525" s="185" t="n">
        <v>40725</v>
      </c>
      <c r="AA525" s="184" t="n">
        <v>58700</v>
      </c>
      <c r="AB525" s="185" t="n">
        <v>40725</v>
      </c>
      <c r="AC525" s="184" t="n">
        <v>25.6</v>
      </c>
      <c r="AD525" s="185" t="n">
        <v>40725</v>
      </c>
      <c r="AE525" s="196"/>
      <c r="AF525" s="185"/>
      <c r="AG525" s="184" t="n">
        <v>4.36</v>
      </c>
      <c r="AH525" s="185" t="n">
        <v>40725</v>
      </c>
      <c r="AI525" s="183"/>
      <c r="AJ525" s="183"/>
      <c r="AK525" s="182"/>
      <c r="AL525" s="182"/>
      <c r="AM525" s="184" t="n">
        <v>70</v>
      </c>
      <c r="AN525" s="183" t="n">
        <v>40630</v>
      </c>
      <c r="AO525" s="182"/>
      <c r="AP525" s="182"/>
      <c r="AQ525" s="183"/>
      <c r="AR525" s="183"/>
      <c r="AS525" s="182"/>
      <c r="AT525" s="182"/>
      <c r="AU525" s="183"/>
      <c r="AV525" s="183"/>
      <c r="AW525" s="182"/>
      <c r="AX525" s="182"/>
      <c r="AY525" s="183"/>
      <c r="AZ525" s="183"/>
      <c r="BA525" s="182"/>
      <c r="BB525" s="182"/>
      <c r="BK525" s="183"/>
      <c r="BL525" s="183"/>
      <c r="BM525" s="182"/>
      <c r="BN525" s="182"/>
      <c r="BO525" s="183"/>
      <c r="BP525" s="183"/>
      <c r="BQ525" s="182"/>
      <c r="BR525" s="182"/>
      <c r="BS525" s="184" t="n">
        <v>47.1</v>
      </c>
      <c r="BT525" s="185" t="n">
        <v>40725</v>
      </c>
      <c r="BU525" s="184" t="n">
        <v>19</v>
      </c>
      <c r="BV525" s="185" t="n">
        <v>40725</v>
      </c>
      <c r="CL525" s="182"/>
      <c r="CM525" s="182"/>
    </row>
    <row r="526" customFormat="false" ht="12.75" hidden="false" customHeight="false" outlineLevel="0" collapsed="false">
      <c r="A526" s="204" t="s">
        <v>687</v>
      </c>
      <c r="B526" s="193" t="s">
        <v>782</v>
      </c>
      <c r="C526" s="193" t="s">
        <v>875</v>
      </c>
      <c r="D526" s="193"/>
      <c r="E526" s="194" t="n">
        <v>1</v>
      </c>
      <c r="F526" s="195" t="n">
        <v>11</v>
      </c>
      <c r="G526" s="119"/>
      <c r="H526" s="119"/>
      <c r="J526" s="118"/>
      <c r="K526" s="118"/>
      <c r="L526" s="181"/>
      <c r="N526" s="182"/>
      <c r="O526" s="182"/>
      <c r="S526" s="184" t="n">
        <v>1732</v>
      </c>
      <c r="T526" s="185" t="n">
        <v>40725</v>
      </c>
      <c r="U526" s="182"/>
      <c r="V526" s="182"/>
      <c r="W526" s="183"/>
      <c r="X526" s="183"/>
      <c r="Y526" s="184" t="n">
        <v>544</v>
      </c>
      <c r="Z526" s="185" t="n">
        <v>40725</v>
      </c>
      <c r="AA526" s="184" t="n">
        <v>74154</v>
      </c>
      <c r="AB526" s="185" t="n">
        <v>40725</v>
      </c>
      <c r="AC526" s="184" t="n">
        <v>33.4</v>
      </c>
      <c r="AD526" s="185" t="n">
        <v>40725</v>
      </c>
      <c r="AE526" s="196"/>
      <c r="AF526" s="185"/>
      <c r="AG526" s="184" t="n">
        <v>4.5</v>
      </c>
      <c r="AH526" s="185" t="n">
        <v>40725</v>
      </c>
      <c r="AI526" s="183"/>
      <c r="AJ526" s="183"/>
      <c r="AK526" s="182"/>
      <c r="AL526" s="182"/>
      <c r="AM526" s="184" t="n">
        <v>82</v>
      </c>
      <c r="AN526" s="183" t="n">
        <v>40630</v>
      </c>
      <c r="AO526" s="182"/>
      <c r="AP526" s="182"/>
      <c r="AQ526" s="183"/>
      <c r="AR526" s="183"/>
      <c r="AS526" s="182"/>
      <c r="AT526" s="182"/>
      <c r="AU526" s="183"/>
      <c r="AV526" s="183"/>
      <c r="AW526" s="182"/>
      <c r="AX526" s="182"/>
      <c r="AY526" s="183"/>
      <c r="AZ526" s="183"/>
      <c r="BA526" s="182"/>
      <c r="BB526" s="182"/>
      <c r="BK526" s="183"/>
      <c r="BL526" s="183"/>
      <c r="BM526" s="182"/>
      <c r="BN526" s="182"/>
      <c r="BO526" s="183"/>
      <c r="BP526" s="183"/>
      <c r="BQ526" s="182"/>
      <c r="BR526" s="182"/>
      <c r="BS526" s="184" t="n">
        <v>51.9</v>
      </c>
      <c r="BT526" s="185" t="n">
        <v>40725</v>
      </c>
      <c r="BU526" s="184" t="n">
        <v>16.3</v>
      </c>
      <c r="BV526" s="185" t="n">
        <v>40725</v>
      </c>
      <c r="CL526" s="182"/>
      <c r="CM526" s="182"/>
    </row>
    <row r="527" customFormat="false" ht="12.75" hidden="false" customHeight="false" outlineLevel="0" collapsed="false">
      <c r="A527" s="204" t="s">
        <v>687</v>
      </c>
      <c r="B527" s="193" t="s">
        <v>782</v>
      </c>
      <c r="C527" s="193" t="s">
        <v>876</v>
      </c>
      <c r="D527" s="193"/>
      <c r="E527" s="194" t="n">
        <v>7</v>
      </c>
      <c r="F527" s="195" t="n">
        <v>62</v>
      </c>
      <c r="G527" s="119"/>
      <c r="H527" s="119"/>
      <c r="J527" s="118"/>
      <c r="K527" s="118"/>
      <c r="L527" s="181"/>
      <c r="N527" s="182"/>
      <c r="O527" s="182"/>
      <c r="S527" s="184" t="n">
        <v>1673</v>
      </c>
      <c r="T527" s="185" t="n">
        <v>40725</v>
      </c>
      <c r="U527" s="182"/>
      <c r="V527" s="182"/>
      <c r="W527" s="183"/>
      <c r="X527" s="183"/>
      <c r="Y527" s="184" t="n">
        <v>491</v>
      </c>
      <c r="Z527" s="185" t="n">
        <v>40725</v>
      </c>
      <c r="AA527" s="184" t="n">
        <v>72026</v>
      </c>
      <c r="AB527" s="185" t="n">
        <v>40725</v>
      </c>
      <c r="AC527" s="184" t="n">
        <v>31.7</v>
      </c>
      <c r="AD527" s="185" t="n">
        <v>40725</v>
      </c>
      <c r="AE527" s="196"/>
      <c r="AF527" s="185"/>
      <c r="AG527" s="184" t="n">
        <v>4.4</v>
      </c>
      <c r="AH527" s="185" t="n">
        <v>40725</v>
      </c>
      <c r="AI527" s="183"/>
      <c r="AJ527" s="183"/>
      <c r="AK527" s="182"/>
      <c r="AL527" s="182"/>
      <c r="AM527" s="184" t="n">
        <v>80</v>
      </c>
      <c r="AN527" s="183" t="n">
        <v>40630</v>
      </c>
      <c r="AO527" s="182"/>
      <c r="AP527" s="182"/>
      <c r="AQ527" s="183"/>
      <c r="AR527" s="183"/>
      <c r="AS527" s="182"/>
      <c r="AT527" s="182"/>
      <c r="AU527" s="183"/>
      <c r="AV527" s="183"/>
      <c r="AW527" s="182"/>
      <c r="AX527" s="182"/>
      <c r="AY527" s="183"/>
      <c r="AZ527" s="183"/>
      <c r="BA527" s="182"/>
      <c r="BB527" s="182"/>
      <c r="BK527" s="183"/>
      <c r="BL527" s="183"/>
      <c r="BM527" s="182"/>
      <c r="BN527" s="182"/>
      <c r="BO527" s="183"/>
      <c r="BP527" s="183"/>
      <c r="BQ527" s="182"/>
      <c r="BR527" s="182"/>
      <c r="BS527" s="184" t="n">
        <v>52.7</v>
      </c>
      <c r="BT527" s="185" t="n">
        <v>40725</v>
      </c>
      <c r="BU527" s="184" t="n">
        <v>15.5</v>
      </c>
      <c r="BV527" s="185" t="n">
        <v>40725</v>
      </c>
      <c r="CL527" s="182"/>
      <c r="CM527" s="182"/>
    </row>
    <row r="528" customFormat="false" ht="12.75" hidden="false" customHeight="false" outlineLevel="0" collapsed="false">
      <c r="A528" s="204" t="s">
        <v>687</v>
      </c>
      <c r="B528" s="193" t="s">
        <v>782</v>
      </c>
      <c r="C528" s="193" t="s">
        <v>877</v>
      </c>
      <c r="D528" s="193"/>
      <c r="E528" s="119" t="n">
        <v>15</v>
      </c>
      <c r="F528" s="195" t="n">
        <v>69</v>
      </c>
      <c r="G528" s="119"/>
      <c r="H528" s="119"/>
      <c r="J528" s="118"/>
      <c r="K528" s="118"/>
      <c r="L528" s="181"/>
      <c r="N528" s="182"/>
      <c r="O528" s="182"/>
      <c r="S528" s="184" t="n">
        <v>1379</v>
      </c>
      <c r="T528" s="185" t="n">
        <v>40725</v>
      </c>
      <c r="U528" s="182"/>
      <c r="V528" s="182"/>
      <c r="W528" s="183"/>
      <c r="X528" s="183"/>
      <c r="Y528" s="184" t="n">
        <v>441</v>
      </c>
      <c r="Z528" s="185" t="n">
        <v>40725</v>
      </c>
      <c r="AA528" s="184" t="n">
        <v>58788</v>
      </c>
      <c r="AB528" s="185" t="n">
        <v>40725</v>
      </c>
      <c r="AC528" s="184" t="n">
        <v>26.7</v>
      </c>
      <c r="AD528" s="185" t="n">
        <v>40725</v>
      </c>
      <c r="AE528" s="196"/>
      <c r="AF528" s="185"/>
      <c r="AG528" s="184" t="n">
        <v>4.54</v>
      </c>
      <c r="AH528" s="185" t="n">
        <v>40725</v>
      </c>
      <c r="AI528" s="183"/>
      <c r="AJ528" s="183"/>
      <c r="AK528" s="182"/>
      <c r="AL528" s="182"/>
      <c r="AM528" s="184" t="n">
        <v>82</v>
      </c>
      <c r="AN528" s="183" t="n">
        <v>40630</v>
      </c>
      <c r="AO528" s="182"/>
      <c r="AP528" s="182"/>
      <c r="AQ528" s="183"/>
      <c r="AR528" s="183"/>
      <c r="AS528" s="182"/>
      <c r="AT528" s="182"/>
      <c r="AU528" s="183"/>
      <c r="AV528" s="183"/>
      <c r="AW528" s="182"/>
      <c r="AX528" s="182"/>
      <c r="AY528" s="183"/>
      <c r="AZ528" s="183"/>
      <c r="BA528" s="182"/>
      <c r="BB528" s="182"/>
      <c r="BK528" s="183"/>
      <c r="BL528" s="183"/>
      <c r="BM528" s="182"/>
      <c r="BN528" s="182"/>
      <c r="BO528" s="183"/>
      <c r="BP528" s="183"/>
      <c r="BQ528" s="182"/>
      <c r="BR528" s="182"/>
      <c r="BS528" s="184" t="n">
        <v>51.7</v>
      </c>
      <c r="BT528" s="185" t="n">
        <v>40725</v>
      </c>
      <c r="BU528" s="184" t="n">
        <v>16.5</v>
      </c>
      <c r="BV528" s="185" t="n">
        <v>40725</v>
      </c>
      <c r="CL528" s="182"/>
      <c r="CM528" s="182"/>
    </row>
    <row r="529" customFormat="false" ht="12.75" hidden="false" customHeight="false" outlineLevel="0" collapsed="false">
      <c r="A529" s="204" t="s">
        <v>687</v>
      </c>
      <c r="B529" s="193" t="s">
        <v>785</v>
      </c>
      <c r="C529" s="193" t="s">
        <v>875</v>
      </c>
      <c r="D529" s="193"/>
      <c r="E529" s="194" t="n">
        <v>8</v>
      </c>
      <c r="F529" s="195" t="n">
        <v>4</v>
      </c>
      <c r="G529" s="119"/>
      <c r="H529" s="119"/>
      <c r="J529" s="118"/>
      <c r="K529" s="118"/>
      <c r="L529" s="181"/>
      <c r="N529" s="182"/>
      <c r="O529" s="182"/>
      <c r="S529" s="184" t="n">
        <v>2260</v>
      </c>
      <c r="T529" s="185" t="n">
        <v>40725</v>
      </c>
      <c r="U529" s="182"/>
      <c r="V529" s="182"/>
      <c r="W529" s="183"/>
      <c r="X529" s="183"/>
      <c r="Y529" s="184" t="n">
        <v>659</v>
      </c>
      <c r="Z529" s="185" t="n">
        <v>40725</v>
      </c>
      <c r="AA529" s="184" t="n">
        <v>94081</v>
      </c>
      <c r="AB529" s="185" t="n">
        <v>40725</v>
      </c>
      <c r="AC529" s="184" t="n">
        <v>42.4</v>
      </c>
      <c r="AD529" s="185" t="n">
        <v>40725</v>
      </c>
      <c r="AE529" s="196"/>
      <c r="AF529" s="185"/>
      <c r="AG529" s="184" t="n">
        <v>4.51</v>
      </c>
      <c r="AH529" s="185" t="n">
        <v>40725</v>
      </c>
      <c r="AI529" s="183"/>
      <c r="AJ529" s="183"/>
      <c r="AK529" s="182"/>
      <c r="AL529" s="182"/>
      <c r="AM529" s="184" t="n">
        <v>82</v>
      </c>
      <c r="AN529" s="183" t="n">
        <v>40630</v>
      </c>
      <c r="AO529" s="182"/>
      <c r="AP529" s="182"/>
      <c r="AQ529" s="183"/>
      <c r="AR529" s="183"/>
      <c r="AS529" s="182"/>
      <c r="AT529" s="182"/>
      <c r="AU529" s="183"/>
      <c r="AV529" s="183"/>
      <c r="AW529" s="182"/>
      <c r="AX529" s="182"/>
      <c r="AY529" s="183"/>
      <c r="AZ529" s="183"/>
      <c r="BA529" s="182"/>
      <c r="BB529" s="182"/>
      <c r="BK529" s="183"/>
      <c r="BL529" s="183"/>
      <c r="BM529" s="182"/>
      <c r="BN529" s="182"/>
      <c r="BO529" s="183"/>
      <c r="BP529" s="183"/>
      <c r="BQ529" s="182"/>
      <c r="BR529" s="182"/>
      <c r="BS529" s="184" t="n">
        <v>53.3</v>
      </c>
      <c r="BT529" s="185" t="n">
        <v>40725</v>
      </c>
      <c r="BU529" s="184" t="n">
        <v>15.5</v>
      </c>
      <c r="BV529" s="185" t="n">
        <v>40725</v>
      </c>
      <c r="CL529" s="182"/>
      <c r="CM529" s="182"/>
    </row>
    <row r="530" customFormat="false" ht="12.75" hidden="false" customHeight="false" outlineLevel="0" collapsed="false">
      <c r="A530" s="204" t="s">
        <v>687</v>
      </c>
      <c r="B530" s="193" t="s">
        <v>785</v>
      </c>
      <c r="C530" s="193" t="s">
        <v>876</v>
      </c>
      <c r="D530" s="193"/>
      <c r="E530" s="194" t="n">
        <v>1</v>
      </c>
      <c r="F530" s="195" t="n">
        <v>64</v>
      </c>
      <c r="G530" s="119"/>
      <c r="H530" s="119"/>
      <c r="J530" s="118"/>
      <c r="K530" s="118"/>
      <c r="L530" s="181"/>
      <c r="N530" s="182"/>
      <c r="O530" s="182"/>
      <c r="S530" s="184" t="n">
        <v>1969</v>
      </c>
      <c r="T530" s="185" t="n">
        <v>40725</v>
      </c>
      <c r="U530" s="182"/>
      <c r="V530" s="182"/>
      <c r="W530" s="183"/>
      <c r="X530" s="183"/>
      <c r="Y530" s="184" t="n">
        <v>655</v>
      </c>
      <c r="Z530" s="185" t="n">
        <v>40725</v>
      </c>
      <c r="AA530" s="184" t="n">
        <v>79418</v>
      </c>
      <c r="AB530" s="185" t="n">
        <v>40725</v>
      </c>
      <c r="AC530" s="184" t="n">
        <v>37.9</v>
      </c>
      <c r="AD530" s="185" t="n">
        <v>40725</v>
      </c>
      <c r="AE530" s="196"/>
      <c r="AF530" s="185"/>
      <c r="AG530" s="184" t="n">
        <v>4.77</v>
      </c>
      <c r="AH530" s="185" t="n">
        <v>40725</v>
      </c>
      <c r="AI530" s="183"/>
      <c r="AJ530" s="183"/>
      <c r="AK530" s="182"/>
      <c r="AL530" s="182"/>
      <c r="AM530" s="184" t="n">
        <v>82</v>
      </c>
      <c r="AN530" s="183" t="n">
        <v>40630</v>
      </c>
      <c r="AO530" s="182"/>
      <c r="AP530" s="182"/>
      <c r="AQ530" s="183"/>
      <c r="AR530" s="183"/>
      <c r="AS530" s="182"/>
      <c r="AT530" s="182"/>
      <c r="AU530" s="183"/>
      <c r="AV530" s="183"/>
      <c r="AW530" s="182"/>
      <c r="AX530" s="182"/>
      <c r="AY530" s="183"/>
      <c r="AZ530" s="183"/>
      <c r="BA530" s="182"/>
      <c r="BB530" s="182"/>
      <c r="BK530" s="183"/>
      <c r="BL530" s="183"/>
      <c r="BM530" s="182"/>
      <c r="BN530" s="182"/>
      <c r="BO530" s="183"/>
      <c r="BP530" s="183"/>
      <c r="BQ530" s="182"/>
      <c r="BR530" s="182"/>
      <c r="BS530" s="184" t="n">
        <v>52</v>
      </c>
      <c r="BT530" s="185" t="n">
        <v>40725</v>
      </c>
      <c r="BU530" s="184" t="n">
        <v>17.3</v>
      </c>
      <c r="BV530" s="185" t="n">
        <v>40725</v>
      </c>
      <c r="CL530" s="182"/>
      <c r="CM530" s="182"/>
    </row>
    <row r="531" customFormat="false" ht="12.75" hidden="false" customHeight="false" outlineLevel="0" collapsed="false">
      <c r="A531" s="204" t="s">
        <v>687</v>
      </c>
      <c r="B531" s="193" t="s">
        <v>785</v>
      </c>
      <c r="C531" s="193" t="s">
        <v>877</v>
      </c>
      <c r="D531" s="193"/>
      <c r="E531" s="119" t="n">
        <v>23</v>
      </c>
      <c r="F531" s="195" t="n">
        <v>90</v>
      </c>
      <c r="G531" s="119"/>
      <c r="H531" s="119"/>
      <c r="J531" s="118"/>
      <c r="K531" s="118"/>
      <c r="L531" s="181"/>
      <c r="N531" s="182"/>
      <c r="O531" s="182"/>
      <c r="S531" s="184" t="n">
        <v>1912</v>
      </c>
      <c r="T531" s="185" t="n">
        <v>40725</v>
      </c>
      <c r="U531" s="182"/>
      <c r="V531" s="182"/>
      <c r="W531" s="183"/>
      <c r="X531" s="183"/>
      <c r="Y531" s="184" t="n">
        <v>622</v>
      </c>
      <c r="Z531" s="185" t="n">
        <v>40725</v>
      </c>
      <c r="AA531" s="184" t="n">
        <v>77819</v>
      </c>
      <c r="AB531" s="185" t="n">
        <v>40725</v>
      </c>
      <c r="AC531" s="184" t="n">
        <v>36.9</v>
      </c>
      <c r="AD531" s="185" t="n">
        <v>40725</v>
      </c>
      <c r="AE531" s="196"/>
      <c r="AF531" s="185"/>
      <c r="AG531" s="184" t="n">
        <v>4.74</v>
      </c>
      <c r="AH531" s="185" t="n">
        <v>40725</v>
      </c>
      <c r="AI531" s="183"/>
      <c r="AJ531" s="183"/>
      <c r="AK531" s="182"/>
      <c r="AL531" s="182"/>
      <c r="AM531" s="184" t="n">
        <v>82</v>
      </c>
      <c r="AN531" s="183" t="n">
        <v>40630</v>
      </c>
      <c r="AO531" s="182"/>
      <c r="AP531" s="182"/>
      <c r="AQ531" s="183"/>
      <c r="AR531" s="183"/>
      <c r="AS531" s="182"/>
      <c r="AT531" s="182"/>
      <c r="AU531" s="183"/>
      <c r="AV531" s="183"/>
      <c r="AW531" s="182"/>
      <c r="AX531" s="182"/>
      <c r="AY531" s="183"/>
      <c r="AZ531" s="183"/>
      <c r="BA531" s="182"/>
      <c r="BB531" s="182"/>
      <c r="BK531" s="183"/>
      <c r="BL531" s="183"/>
      <c r="BM531" s="182"/>
      <c r="BN531" s="182"/>
      <c r="BO531" s="183"/>
      <c r="BP531" s="183"/>
      <c r="BQ531" s="182"/>
      <c r="BR531" s="182"/>
      <c r="BS531" s="184" t="n">
        <v>51.8</v>
      </c>
      <c r="BT531" s="185" t="n">
        <v>40725</v>
      </c>
      <c r="BU531" s="184" t="n">
        <v>16.9</v>
      </c>
      <c r="BV531" s="185" t="n">
        <v>40725</v>
      </c>
      <c r="CL531" s="182"/>
      <c r="CM531" s="182"/>
    </row>
    <row r="532" customFormat="false" ht="12.75" hidden="false" customHeight="false" outlineLevel="0" collapsed="false">
      <c r="A532" s="204" t="s">
        <v>690</v>
      </c>
      <c r="B532" s="193" t="s">
        <v>782</v>
      </c>
      <c r="C532" s="193" t="s">
        <v>875</v>
      </c>
      <c r="D532" s="193"/>
      <c r="E532" s="194" t="n">
        <v>1</v>
      </c>
      <c r="F532" s="195" t="n">
        <v>4</v>
      </c>
      <c r="G532" s="119"/>
      <c r="H532" s="119"/>
      <c r="J532" s="118"/>
      <c r="K532" s="118"/>
      <c r="L532" s="181"/>
      <c r="N532" s="182"/>
      <c r="O532" s="182"/>
      <c r="S532" s="184" t="n">
        <v>2105</v>
      </c>
      <c r="T532" s="185" t="n">
        <v>40725</v>
      </c>
      <c r="U532" s="182"/>
      <c r="V532" s="182"/>
      <c r="W532" s="183"/>
      <c r="X532" s="183"/>
      <c r="Y532" s="184" t="n">
        <v>579</v>
      </c>
      <c r="Z532" s="185" t="n">
        <v>40725</v>
      </c>
      <c r="AA532" s="184" t="n">
        <v>87174</v>
      </c>
      <c r="AB532" s="185" t="n">
        <v>40725</v>
      </c>
      <c r="AC532" s="184" t="n">
        <v>37.5</v>
      </c>
      <c r="AD532" s="185" t="n">
        <v>40725</v>
      </c>
      <c r="AE532" s="196"/>
      <c r="AF532" s="185"/>
      <c r="AG532" s="184" t="n">
        <v>4.3</v>
      </c>
      <c r="AH532" s="185" t="n">
        <v>40725</v>
      </c>
      <c r="AI532" s="183"/>
      <c r="AJ532" s="183"/>
      <c r="AK532" s="182"/>
      <c r="AL532" s="182"/>
      <c r="AM532" s="184" t="n">
        <v>86</v>
      </c>
      <c r="AN532" s="183" t="n">
        <v>40630</v>
      </c>
      <c r="AO532" s="182"/>
      <c r="AP532" s="182"/>
      <c r="AQ532" s="183"/>
      <c r="AR532" s="183"/>
      <c r="AS532" s="182"/>
      <c r="AT532" s="182"/>
      <c r="AU532" s="183"/>
      <c r="AV532" s="183"/>
      <c r="AW532" s="182"/>
      <c r="AX532" s="182"/>
      <c r="AY532" s="183"/>
      <c r="AZ532" s="183"/>
      <c r="BA532" s="182"/>
      <c r="BB532" s="182"/>
      <c r="BK532" s="183"/>
      <c r="BL532" s="183"/>
      <c r="BM532" s="182"/>
      <c r="BN532" s="182"/>
      <c r="BO532" s="183"/>
      <c r="BP532" s="183"/>
      <c r="BQ532" s="182"/>
      <c r="BR532" s="182"/>
      <c r="BS532" s="184" t="n">
        <v>56.1</v>
      </c>
      <c r="BT532" s="185" t="n">
        <v>40725</v>
      </c>
      <c r="BU532" s="184" t="n">
        <v>15.4</v>
      </c>
      <c r="BV532" s="185" t="n">
        <v>40725</v>
      </c>
      <c r="CL532" s="182"/>
      <c r="CM532" s="182"/>
    </row>
    <row r="533" customFormat="false" ht="12.75" hidden="false" customHeight="false" outlineLevel="0" collapsed="false">
      <c r="A533" s="204" t="s">
        <v>690</v>
      </c>
      <c r="B533" s="193" t="s">
        <v>782</v>
      </c>
      <c r="C533" s="193" t="s">
        <v>876</v>
      </c>
      <c r="D533" s="193"/>
      <c r="E533" s="194" t="n">
        <v>8</v>
      </c>
      <c r="F533" s="195" t="n">
        <v>47</v>
      </c>
      <c r="G533" s="119"/>
      <c r="H533" s="119"/>
      <c r="J533" s="118"/>
      <c r="K533" s="118"/>
      <c r="L533" s="181"/>
      <c r="N533" s="182"/>
      <c r="O533" s="182"/>
      <c r="S533" s="184" t="n">
        <v>1820</v>
      </c>
      <c r="T533" s="185" t="n">
        <v>40725</v>
      </c>
      <c r="U533" s="182"/>
      <c r="V533" s="182"/>
      <c r="W533" s="183"/>
      <c r="X533" s="183"/>
      <c r="Y533" s="184" t="n">
        <v>499</v>
      </c>
      <c r="Z533" s="185" t="n">
        <v>40725</v>
      </c>
      <c r="AA533" s="184" t="n">
        <v>73702</v>
      </c>
      <c r="AB533" s="185" t="n">
        <v>40725</v>
      </c>
      <c r="AC533" s="184" t="n">
        <v>32.4</v>
      </c>
      <c r="AD533" s="185" t="n">
        <v>40725</v>
      </c>
      <c r="AE533" s="196"/>
      <c r="AF533" s="185"/>
      <c r="AG533" s="184" t="n">
        <v>4.39</v>
      </c>
      <c r="AH533" s="185" t="n">
        <v>40725</v>
      </c>
      <c r="AI533" s="183"/>
      <c r="AJ533" s="183"/>
      <c r="AK533" s="182"/>
      <c r="AL533" s="182"/>
      <c r="AM533" s="184" t="n">
        <v>86</v>
      </c>
      <c r="AN533" s="183" t="n">
        <v>40630</v>
      </c>
      <c r="AO533" s="182"/>
      <c r="AP533" s="182"/>
      <c r="AQ533" s="183"/>
      <c r="AR533" s="183"/>
      <c r="AS533" s="182"/>
      <c r="AT533" s="182"/>
      <c r="AU533" s="183"/>
      <c r="AV533" s="183"/>
      <c r="AW533" s="182"/>
      <c r="AX533" s="182"/>
      <c r="AY533" s="183"/>
      <c r="AZ533" s="183"/>
      <c r="BA533" s="182"/>
      <c r="BB533" s="182"/>
      <c r="BK533" s="183"/>
      <c r="BL533" s="183"/>
      <c r="BM533" s="182"/>
      <c r="BN533" s="182"/>
      <c r="BO533" s="183"/>
      <c r="BP533" s="183"/>
      <c r="BQ533" s="182"/>
      <c r="BR533" s="182"/>
      <c r="BS533" s="184" t="n">
        <v>56.2</v>
      </c>
      <c r="BT533" s="185" t="n">
        <v>40725</v>
      </c>
      <c r="BU533" s="184" t="n">
        <v>15.4</v>
      </c>
      <c r="BV533" s="185" t="n">
        <v>40725</v>
      </c>
      <c r="CL533" s="182"/>
      <c r="CM533" s="182"/>
    </row>
    <row r="534" customFormat="false" ht="12.75" hidden="false" customHeight="false" outlineLevel="0" collapsed="false">
      <c r="A534" s="204" t="s">
        <v>690</v>
      </c>
      <c r="B534" s="193" t="s">
        <v>782</v>
      </c>
      <c r="C534" s="193" t="s">
        <v>877</v>
      </c>
      <c r="D534" s="193"/>
      <c r="E534" s="194" t="n">
        <v>16</v>
      </c>
      <c r="F534" s="195" t="n">
        <v>81</v>
      </c>
      <c r="G534" s="119"/>
      <c r="H534" s="119"/>
      <c r="J534" s="118"/>
      <c r="K534" s="118"/>
      <c r="L534" s="181"/>
      <c r="N534" s="182"/>
      <c r="O534" s="182"/>
      <c r="S534" s="184" t="n">
        <v>1788</v>
      </c>
      <c r="T534" s="185" t="n">
        <v>40725</v>
      </c>
      <c r="U534" s="182"/>
      <c r="V534" s="182"/>
      <c r="W534" s="183"/>
      <c r="X534" s="183"/>
      <c r="Y534" s="184" t="n">
        <v>497</v>
      </c>
      <c r="Z534" s="185" t="n">
        <v>40725</v>
      </c>
      <c r="AA534" s="184" t="n">
        <v>70828</v>
      </c>
      <c r="AB534" s="185" t="n">
        <v>40725</v>
      </c>
      <c r="AC534" s="184" t="n">
        <v>32.1</v>
      </c>
      <c r="AD534" s="185" t="n">
        <v>40725</v>
      </c>
      <c r="AE534" s="196"/>
      <c r="AF534" s="185"/>
      <c r="AG534" s="184" t="n">
        <v>4.53</v>
      </c>
      <c r="AH534" s="185" t="n">
        <v>40725</v>
      </c>
      <c r="AI534" s="183"/>
      <c r="AJ534" s="183"/>
      <c r="AK534" s="182"/>
      <c r="AL534" s="182"/>
      <c r="AM534" s="184" t="n">
        <v>85</v>
      </c>
      <c r="AN534" s="183" t="n">
        <v>40630</v>
      </c>
      <c r="AO534" s="182"/>
      <c r="AP534" s="182"/>
      <c r="AQ534" s="183"/>
      <c r="AR534" s="183"/>
      <c r="AS534" s="182"/>
      <c r="AT534" s="182"/>
      <c r="AU534" s="183"/>
      <c r="AV534" s="183"/>
      <c r="AW534" s="182"/>
      <c r="AX534" s="182"/>
      <c r="AY534" s="183"/>
      <c r="AZ534" s="183"/>
      <c r="BA534" s="182"/>
      <c r="BB534" s="182"/>
      <c r="BK534" s="183"/>
      <c r="BL534" s="183"/>
      <c r="BM534" s="182"/>
      <c r="BN534" s="182"/>
      <c r="BO534" s="183"/>
      <c r="BP534" s="183"/>
      <c r="BQ534" s="182"/>
      <c r="BR534" s="182"/>
      <c r="BS534" s="184" t="n">
        <v>55.7</v>
      </c>
      <c r="BT534" s="185" t="n">
        <v>40725</v>
      </c>
      <c r="BU534" s="184" t="n">
        <v>15.5</v>
      </c>
      <c r="BV534" s="185" t="n">
        <v>40725</v>
      </c>
      <c r="CL534" s="182"/>
      <c r="CM534" s="182"/>
    </row>
    <row r="535" customFormat="false" ht="12.75" hidden="false" customHeight="false" outlineLevel="0" collapsed="false">
      <c r="A535" s="204" t="s">
        <v>690</v>
      </c>
      <c r="B535" s="193" t="s">
        <v>785</v>
      </c>
      <c r="C535" s="193" t="s">
        <v>875</v>
      </c>
      <c r="D535" s="193"/>
      <c r="E535" s="194" t="n">
        <v>8</v>
      </c>
      <c r="F535" s="195" t="n">
        <v>9</v>
      </c>
      <c r="G535" s="119"/>
      <c r="H535" s="119"/>
      <c r="J535" s="118"/>
      <c r="K535" s="118"/>
      <c r="L535" s="181"/>
      <c r="N535" s="182"/>
      <c r="O535" s="182"/>
      <c r="S535" s="184" t="n">
        <v>2657</v>
      </c>
      <c r="T535" s="185" t="n">
        <v>40725</v>
      </c>
      <c r="U535" s="182"/>
      <c r="V535" s="182"/>
      <c r="W535" s="183"/>
      <c r="X535" s="183"/>
      <c r="Y535" s="184" t="n">
        <v>783</v>
      </c>
      <c r="Z535" s="185" t="n">
        <v>40725</v>
      </c>
      <c r="AA535" s="184" t="n">
        <v>108604</v>
      </c>
      <c r="AB535" s="185" t="n">
        <v>40725</v>
      </c>
      <c r="AC535" s="184" t="n">
        <v>47.6</v>
      </c>
      <c r="AD535" s="185" t="n">
        <v>40725</v>
      </c>
      <c r="AE535" s="196"/>
      <c r="AF535" s="185"/>
      <c r="AG535" s="184" t="n">
        <v>4.38</v>
      </c>
      <c r="AH535" s="185" t="n">
        <v>40725</v>
      </c>
      <c r="AI535" s="183"/>
      <c r="AJ535" s="183"/>
      <c r="AK535" s="182"/>
      <c r="AL535" s="182"/>
      <c r="AM535" s="184" t="n">
        <v>87</v>
      </c>
      <c r="AN535" s="183" t="n">
        <v>40630</v>
      </c>
      <c r="AO535" s="182"/>
      <c r="AP535" s="182"/>
      <c r="AQ535" s="183"/>
      <c r="AR535" s="183"/>
      <c r="AS535" s="182"/>
      <c r="AT535" s="182"/>
      <c r="AU535" s="183"/>
      <c r="AV535" s="183"/>
      <c r="AW535" s="182"/>
      <c r="AX535" s="182"/>
      <c r="AY535" s="183"/>
      <c r="AZ535" s="183"/>
      <c r="BA535" s="182"/>
      <c r="BB535" s="182"/>
      <c r="BK535" s="183"/>
      <c r="BL535" s="183"/>
      <c r="BM535" s="182"/>
      <c r="BN535" s="182"/>
      <c r="BO535" s="183"/>
      <c r="BP535" s="183"/>
      <c r="BQ535" s="182"/>
      <c r="BR535" s="182"/>
      <c r="BS535" s="184" t="n">
        <v>55.8</v>
      </c>
      <c r="BT535" s="185" t="n">
        <v>40725</v>
      </c>
      <c r="BU535" s="184" t="n">
        <v>16.4</v>
      </c>
      <c r="BV535" s="185" t="n">
        <v>40725</v>
      </c>
      <c r="CL535" s="182"/>
      <c r="CM535" s="182"/>
    </row>
    <row r="536" customFormat="false" ht="12.75" hidden="false" customHeight="false" outlineLevel="0" collapsed="false">
      <c r="A536" s="204" t="s">
        <v>690</v>
      </c>
      <c r="B536" s="193" t="s">
        <v>785</v>
      </c>
      <c r="C536" s="193" t="s">
        <v>876</v>
      </c>
      <c r="D536" s="193"/>
      <c r="E536" s="194" t="n">
        <v>3</v>
      </c>
      <c r="F536" s="195" t="n">
        <v>64</v>
      </c>
      <c r="G536" s="119"/>
      <c r="H536" s="119"/>
      <c r="J536" s="118"/>
      <c r="K536" s="118"/>
      <c r="L536" s="181"/>
      <c r="N536" s="182"/>
      <c r="O536" s="182"/>
      <c r="S536" s="184" t="n">
        <v>2033</v>
      </c>
      <c r="T536" s="185" t="n">
        <v>40725</v>
      </c>
      <c r="U536" s="182"/>
      <c r="V536" s="182"/>
      <c r="W536" s="183"/>
      <c r="X536" s="183"/>
      <c r="Y536" s="184" t="n">
        <v>667</v>
      </c>
      <c r="Z536" s="185" t="n">
        <v>40725</v>
      </c>
      <c r="AA536" s="184" t="n">
        <v>83280</v>
      </c>
      <c r="AB536" s="185" t="n">
        <v>40725</v>
      </c>
      <c r="AC536" s="184" t="n">
        <v>37.7</v>
      </c>
      <c r="AD536" s="185" t="n">
        <v>40725</v>
      </c>
      <c r="AE536" s="196"/>
      <c r="AF536" s="185"/>
      <c r="AG536" s="184" t="n">
        <v>4.52</v>
      </c>
      <c r="AH536" s="185" t="n">
        <v>40725</v>
      </c>
      <c r="AI536" s="183"/>
      <c r="AJ536" s="183"/>
      <c r="AK536" s="182"/>
      <c r="AL536" s="182"/>
      <c r="AM536" s="184" t="n">
        <v>85</v>
      </c>
      <c r="AN536" s="183" t="n">
        <v>40630</v>
      </c>
      <c r="AO536" s="182"/>
      <c r="AP536" s="182"/>
      <c r="AQ536" s="183"/>
      <c r="AR536" s="183"/>
      <c r="AS536" s="182"/>
      <c r="AT536" s="182"/>
      <c r="AU536" s="183"/>
      <c r="AV536" s="183"/>
      <c r="AW536" s="182"/>
      <c r="AX536" s="182"/>
      <c r="AY536" s="183"/>
      <c r="AZ536" s="183"/>
      <c r="BA536" s="182"/>
      <c r="BB536" s="182"/>
      <c r="BK536" s="183"/>
      <c r="BL536" s="183"/>
      <c r="BM536" s="182"/>
      <c r="BN536" s="182"/>
      <c r="BO536" s="183"/>
      <c r="BP536" s="183"/>
      <c r="BQ536" s="182"/>
      <c r="BR536" s="182"/>
      <c r="BS536" s="184" t="n">
        <v>54</v>
      </c>
      <c r="BT536" s="185" t="n">
        <v>40725</v>
      </c>
      <c r="BU536" s="184" t="n">
        <v>17.7</v>
      </c>
      <c r="BV536" s="185" t="n">
        <v>40725</v>
      </c>
      <c r="CL536" s="182"/>
      <c r="CM536" s="182"/>
    </row>
    <row r="537" customFormat="false" ht="12.75" hidden="false" customHeight="false" outlineLevel="0" collapsed="false">
      <c r="A537" s="204" t="s">
        <v>690</v>
      </c>
      <c r="B537" s="193" t="s">
        <v>785</v>
      </c>
      <c r="C537" s="193" t="s">
        <v>877</v>
      </c>
      <c r="D537" s="193"/>
      <c r="E537" s="119" t="n">
        <v>24</v>
      </c>
      <c r="F537" s="195" t="n">
        <v>88</v>
      </c>
      <c r="G537" s="119"/>
      <c r="H537" s="119"/>
      <c r="J537" s="118"/>
      <c r="K537" s="118"/>
      <c r="L537" s="181"/>
      <c r="N537" s="182"/>
      <c r="O537" s="182"/>
      <c r="S537" s="184" t="n">
        <v>2254</v>
      </c>
      <c r="T537" s="185" t="n">
        <v>40725</v>
      </c>
      <c r="U537" s="182"/>
      <c r="V537" s="182"/>
      <c r="W537" s="183"/>
      <c r="X537" s="183"/>
      <c r="Y537" s="184" t="n">
        <v>703</v>
      </c>
      <c r="Z537" s="185" t="n">
        <v>40725</v>
      </c>
      <c r="AA537" s="184" t="n">
        <v>90864</v>
      </c>
      <c r="AB537" s="185" t="n">
        <v>40725</v>
      </c>
      <c r="AC537" s="184" t="n">
        <v>41.7</v>
      </c>
      <c r="AD537" s="185" t="n">
        <v>40725</v>
      </c>
      <c r="AE537" s="196"/>
      <c r="AF537" s="185"/>
      <c r="AG537" s="184" t="n">
        <v>4.59</v>
      </c>
      <c r="AH537" s="185" t="n">
        <v>40725</v>
      </c>
      <c r="AI537" s="183"/>
      <c r="AJ537" s="183"/>
      <c r="AK537" s="182"/>
      <c r="AL537" s="182"/>
      <c r="AM537" s="184" t="n">
        <v>87</v>
      </c>
      <c r="AN537" s="183" t="n">
        <v>40630</v>
      </c>
      <c r="AO537" s="182"/>
      <c r="AP537" s="182"/>
      <c r="AQ537" s="183"/>
      <c r="AR537" s="183"/>
      <c r="AS537" s="182"/>
      <c r="AT537" s="182"/>
      <c r="AU537" s="183"/>
      <c r="AV537" s="183"/>
      <c r="AW537" s="182"/>
      <c r="AX537" s="182"/>
      <c r="AY537" s="183"/>
      <c r="AZ537" s="183"/>
      <c r="BA537" s="182"/>
      <c r="BB537" s="182"/>
      <c r="BK537" s="183"/>
      <c r="BL537" s="183"/>
      <c r="BM537" s="182"/>
      <c r="BN537" s="182"/>
      <c r="BO537" s="183"/>
      <c r="BP537" s="183"/>
      <c r="BQ537" s="182"/>
      <c r="BR537" s="182"/>
      <c r="BS537" s="184" t="n">
        <v>54</v>
      </c>
      <c r="BT537" s="185" t="n">
        <v>40725</v>
      </c>
      <c r="BU537" s="184" t="n">
        <v>16.9</v>
      </c>
      <c r="BV537" s="185" t="n">
        <v>40725</v>
      </c>
      <c r="CL537" s="182"/>
      <c r="CM537" s="182"/>
    </row>
    <row r="538" customFormat="false" ht="12.75" hidden="false" customHeight="false" outlineLevel="0" collapsed="false">
      <c r="A538" s="204" t="s">
        <v>693</v>
      </c>
      <c r="B538" s="193" t="s">
        <v>782</v>
      </c>
      <c r="C538" s="193" t="s">
        <v>875</v>
      </c>
      <c r="D538" s="193"/>
      <c r="E538" s="194" t="n">
        <v>2</v>
      </c>
      <c r="F538" s="195" t="n">
        <v>22</v>
      </c>
      <c r="G538" s="119"/>
      <c r="H538" s="119"/>
      <c r="J538" s="118"/>
      <c r="K538" s="118"/>
      <c r="L538" s="181"/>
      <c r="N538" s="182"/>
      <c r="O538" s="182"/>
      <c r="S538" s="184" t="n">
        <v>1717</v>
      </c>
      <c r="T538" s="185" t="n">
        <v>40725</v>
      </c>
      <c r="U538" s="182"/>
      <c r="V538" s="182"/>
      <c r="W538" s="183"/>
      <c r="X538" s="183"/>
      <c r="Y538" s="184" t="n">
        <v>507</v>
      </c>
      <c r="Z538" s="185" t="n">
        <v>40725</v>
      </c>
      <c r="AA538" s="184" t="n">
        <v>79434</v>
      </c>
      <c r="AB538" s="185" t="n">
        <v>40725</v>
      </c>
      <c r="AC538" s="184" t="n">
        <v>32.4</v>
      </c>
      <c r="AD538" s="185" t="n">
        <v>40725</v>
      </c>
      <c r="AE538" s="196"/>
      <c r="AF538" s="185"/>
      <c r="AG538" s="184" t="n">
        <v>4.08</v>
      </c>
      <c r="AH538" s="185" t="n">
        <v>40725</v>
      </c>
      <c r="AI538" s="183"/>
      <c r="AJ538" s="183"/>
      <c r="AK538" s="182"/>
      <c r="AL538" s="182"/>
      <c r="AM538" s="184" t="n">
        <v>84</v>
      </c>
      <c r="AN538" s="183" t="n">
        <v>40630</v>
      </c>
      <c r="AO538" s="182"/>
      <c r="AP538" s="182"/>
      <c r="AQ538" s="183"/>
      <c r="AR538" s="183"/>
      <c r="AS538" s="182"/>
      <c r="AT538" s="182"/>
      <c r="AU538" s="183"/>
      <c r="AV538" s="183"/>
      <c r="AW538" s="182"/>
      <c r="AX538" s="182"/>
      <c r="AY538" s="183"/>
      <c r="AZ538" s="183"/>
      <c r="BA538" s="182"/>
      <c r="BB538" s="182"/>
      <c r="BK538" s="183"/>
      <c r="BL538" s="183"/>
      <c r="BM538" s="182"/>
      <c r="BN538" s="182"/>
      <c r="BO538" s="183"/>
      <c r="BP538" s="183"/>
      <c r="BQ538" s="182"/>
      <c r="BR538" s="182"/>
      <c r="BS538" s="184" t="n">
        <v>52.9</v>
      </c>
      <c r="BT538" s="185" t="n">
        <v>40725</v>
      </c>
      <c r="BU538" s="184" t="n">
        <v>15.6</v>
      </c>
      <c r="BV538" s="185" t="n">
        <v>40725</v>
      </c>
      <c r="CL538" s="182"/>
      <c r="CM538" s="182"/>
    </row>
    <row r="539" customFormat="false" ht="12.75" hidden="false" customHeight="false" outlineLevel="0" collapsed="false">
      <c r="A539" s="204" t="s">
        <v>693</v>
      </c>
      <c r="B539" s="193" t="s">
        <v>782</v>
      </c>
      <c r="C539" s="193" t="s">
        <v>876</v>
      </c>
      <c r="D539" s="193"/>
      <c r="E539" s="194" t="n">
        <v>7</v>
      </c>
      <c r="F539" s="195" t="n">
        <v>47</v>
      </c>
      <c r="G539" s="119"/>
      <c r="H539" s="119"/>
      <c r="J539" s="118"/>
      <c r="K539" s="118"/>
      <c r="L539" s="181"/>
      <c r="N539" s="182"/>
      <c r="O539" s="182"/>
      <c r="S539" s="184" t="n">
        <v>1828</v>
      </c>
      <c r="T539" s="185" t="n">
        <v>40725</v>
      </c>
      <c r="U539" s="182"/>
      <c r="V539" s="182"/>
      <c r="W539" s="183"/>
      <c r="X539" s="183"/>
      <c r="Y539" s="184" t="n">
        <v>545</v>
      </c>
      <c r="Z539" s="185" t="n">
        <v>40725</v>
      </c>
      <c r="AA539" s="184" t="n">
        <v>80855</v>
      </c>
      <c r="AB539" s="185" t="n">
        <v>40725</v>
      </c>
      <c r="AC539" s="184" t="n">
        <v>34.9</v>
      </c>
      <c r="AD539" s="185" t="n">
        <v>40725</v>
      </c>
      <c r="AE539" s="196"/>
      <c r="AF539" s="185"/>
      <c r="AG539" s="184" t="n">
        <v>4.32</v>
      </c>
      <c r="AH539" s="185" t="n">
        <v>40725</v>
      </c>
      <c r="AI539" s="183"/>
      <c r="AJ539" s="183"/>
      <c r="AK539" s="182"/>
      <c r="AL539" s="182"/>
      <c r="AM539" s="184" t="n">
        <v>81</v>
      </c>
      <c r="AN539" s="183" t="n">
        <v>40630</v>
      </c>
      <c r="AO539" s="182"/>
      <c r="AP539" s="182"/>
      <c r="AQ539" s="183"/>
      <c r="AR539" s="183"/>
      <c r="AS539" s="182"/>
      <c r="AT539" s="182"/>
      <c r="AU539" s="183"/>
      <c r="AV539" s="183"/>
      <c r="AW539" s="182"/>
      <c r="AX539" s="182"/>
      <c r="AY539" s="183"/>
      <c r="AZ539" s="183"/>
      <c r="BA539" s="182"/>
      <c r="BB539" s="182"/>
      <c r="BK539" s="183"/>
      <c r="BL539" s="183"/>
      <c r="BM539" s="182"/>
      <c r="BN539" s="182"/>
      <c r="BO539" s="183"/>
      <c r="BP539" s="183"/>
      <c r="BQ539" s="182"/>
      <c r="BR539" s="182"/>
      <c r="BS539" s="184" t="n">
        <v>52.4</v>
      </c>
      <c r="BT539" s="185" t="n">
        <v>40725</v>
      </c>
      <c r="BU539" s="184" t="n">
        <v>15.6</v>
      </c>
      <c r="BV539" s="185" t="n">
        <v>40725</v>
      </c>
      <c r="CL539" s="182"/>
      <c r="CM539" s="182"/>
    </row>
    <row r="540" customFormat="false" ht="12.75" hidden="false" customHeight="false" outlineLevel="0" collapsed="false">
      <c r="A540" s="204" t="s">
        <v>693</v>
      </c>
      <c r="B540" s="193" t="s">
        <v>782</v>
      </c>
      <c r="C540" s="193" t="s">
        <v>877</v>
      </c>
      <c r="D540" s="193"/>
      <c r="E540" s="194" t="n">
        <v>16</v>
      </c>
      <c r="F540" s="195" t="n">
        <v>74</v>
      </c>
      <c r="G540" s="119"/>
      <c r="H540" s="119"/>
      <c r="J540" s="118"/>
      <c r="K540" s="118"/>
      <c r="L540" s="181"/>
      <c r="N540" s="182"/>
      <c r="O540" s="182"/>
      <c r="S540" s="184" t="n">
        <v>1635</v>
      </c>
      <c r="T540" s="185" t="n">
        <v>40725</v>
      </c>
      <c r="U540" s="182"/>
      <c r="V540" s="182"/>
      <c r="W540" s="183"/>
      <c r="X540" s="183"/>
      <c r="Y540" s="184" t="n">
        <v>515</v>
      </c>
      <c r="Z540" s="185" t="n">
        <v>40725</v>
      </c>
      <c r="AA540" s="184" t="n">
        <v>73680</v>
      </c>
      <c r="AB540" s="185" t="n">
        <v>40725</v>
      </c>
      <c r="AC540" s="184" t="n">
        <v>31.2</v>
      </c>
      <c r="AD540" s="185" t="n">
        <v>40725</v>
      </c>
      <c r="AE540" s="196"/>
      <c r="AF540" s="185"/>
      <c r="AG540" s="184" t="n">
        <v>4.23</v>
      </c>
      <c r="AH540" s="185" t="n">
        <v>40725</v>
      </c>
      <c r="AI540" s="183"/>
      <c r="AJ540" s="183"/>
      <c r="AK540" s="182"/>
      <c r="AL540" s="182"/>
      <c r="AM540" s="184" t="n">
        <v>82</v>
      </c>
      <c r="AN540" s="183" t="n">
        <v>40630</v>
      </c>
      <c r="AO540" s="182"/>
      <c r="AP540" s="182"/>
      <c r="AQ540" s="183"/>
      <c r="AR540" s="183"/>
      <c r="AS540" s="182"/>
      <c r="AT540" s="182"/>
      <c r="AU540" s="183"/>
      <c r="AV540" s="183"/>
      <c r="AW540" s="182"/>
      <c r="AX540" s="182"/>
      <c r="AY540" s="183"/>
      <c r="AZ540" s="183"/>
      <c r="BA540" s="182"/>
      <c r="BB540" s="182"/>
      <c r="BK540" s="183"/>
      <c r="BL540" s="183"/>
      <c r="BM540" s="182"/>
      <c r="BN540" s="182"/>
      <c r="BO540" s="183"/>
      <c r="BP540" s="183"/>
      <c r="BQ540" s="182"/>
      <c r="BR540" s="182"/>
      <c r="BS540" s="184" t="n">
        <v>52.5</v>
      </c>
      <c r="BT540" s="185" t="n">
        <v>40725</v>
      </c>
      <c r="BU540" s="184" t="n">
        <v>16.5</v>
      </c>
      <c r="BV540" s="185" t="n">
        <v>40725</v>
      </c>
      <c r="CL540" s="182"/>
      <c r="CM540" s="182"/>
    </row>
    <row r="541" customFormat="false" ht="12.75" hidden="false" customHeight="false" outlineLevel="0" collapsed="false">
      <c r="A541" s="204" t="s">
        <v>693</v>
      </c>
      <c r="B541" s="193" t="s">
        <v>785</v>
      </c>
      <c r="C541" s="193" t="s">
        <v>875</v>
      </c>
      <c r="D541" s="193"/>
      <c r="E541" s="194" t="n">
        <v>7</v>
      </c>
      <c r="F541" s="195" t="n">
        <v>32</v>
      </c>
      <c r="G541" s="119"/>
      <c r="H541" s="119"/>
      <c r="J541" s="118"/>
      <c r="K541" s="118"/>
      <c r="L541" s="181"/>
      <c r="N541" s="182"/>
      <c r="O541" s="182"/>
      <c r="S541" s="184" t="n">
        <v>2411</v>
      </c>
      <c r="T541" s="185" t="n">
        <v>40725</v>
      </c>
      <c r="U541" s="182"/>
      <c r="V541" s="182"/>
      <c r="W541" s="183"/>
      <c r="X541" s="183"/>
      <c r="Y541" s="184" t="n">
        <v>721</v>
      </c>
      <c r="Z541" s="185" t="n">
        <v>40725</v>
      </c>
      <c r="AA541" s="184" t="n">
        <v>105675</v>
      </c>
      <c r="AB541" s="185" t="n">
        <v>40725</v>
      </c>
      <c r="AC541" s="184" t="n">
        <v>45.2</v>
      </c>
      <c r="AD541" s="185" t="n">
        <v>40725</v>
      </c>
      <c r="AE541" s="196"/>
      <c r="AF541" s="185"/>
      <c r="AG541" s="184" t="n">
        <v>4.28</v>
      </c>
      <c r="AH541" s="185" t="n">
        <v>40725</v>
      </c>
      <c r="AI541" s="183"/>
      <c r="AJ541" s="183"/>
      <c r="AK541" s="182"/>
      <c r="AL541" s="182"/>
      <c r="AM541" s="184" t="n">
        <v>85</v>
      </c>
      <c r="AN541" s="183" t="n">
        <v>40630</v>
      </c>
      <c r="AO541" s="182"/>
      <c r="AP541" s="182"/>
      <c r="AQ541" s="183"/>
      <c r="AR541" s="183"/>
      <c r="AS541" s="182"/>
      <c r="AT541" s="182"/>
      <c r="AU541" s="183"/>
      <c r="AV541" s="183"/>
      <c r="AW541" s="182"/>
      <c r="AX541" s="182"/>
      <c r="AY541" s="183"/>
      <c r="AZ541" s="183"/>
      <c r="BA541" s="182"/>
      <c r="BB541" s="182"/>
      <c r="BK541" s="183"/>
      <c r="BL541" s="183"/>
      <c r="BM541" s="182"/>
      <c r="BN541" s="182"/>
      <c r="BO541" s="183"/>
      <c r="BP541" s="183"/>
      <c r="BQ541" s="182"/>
      <c r="BR541" s="182"/>
      <c r="BS541" s="184" t="n">
        <v>53.3</v>
      </c>
      <c r="BT541" s="185" t="n">
        <v>40725</v>
      </c>
      <c r="BU541" s="184" t="n">
        <v>15.9</v>
      </c>
      <c r="BV541" s="185" t="n">
        <v>40725</v>
      </c>
      <c r="CL541" s="182"/>
      <c r="CM541" s="182"/>
    </row>
    <row r="542" customFormat="false" ht="12.75" hidden="false" customHeight="false" outlineLevel="0" collapsed="false">
      <c r="A542" s="204" t="s">
        <v>693</v>
      </c>
      <c r="B542" s="193" t="s">
        <v>785</v>
      </c>
      <c r="C542" s="193" t="s">
        <v>876</v>
      </c>
      <c r="D542" s="193"/>
      <c r="E542" s="194" t="n">
        <v>1</v>
      </c>
      <c r="F542" s="195" t="n">
        <v>34</v>
      </c>
      <c r="G542" s="119"/>
      <c r="H542" s="119"/>
      <c r="J542" s="118"/>
      <c r="K542" s="118"/>
      <c r="L542" s="181"/>
      <c r="N542" s="182"/>
      <c r="O542" s="182"/>
      <c r="S542" s="184" t="s">
        <v>879</v>
      </c>
      <c r="T542" s="185" t="n">
        <v>40725</v>
      </c>
      <c r="U542" s="182"/>
      <c r="V542" s="182"/>
      <c r="W542" s="183"/>
      <c r="X542" s="183"/>
      <c r="Y542" s="184" t="s">
        <v>879</v>
      </c>
      <c r="Z542" s="185" t="n">
        <v>40725</v>
      </c>
      <c r="AA542" s="184" t="s">
        <v>879</v>
      </c>
      <c r="AB542" s="185" t="n">
        <v>40725</v>
      </c>
      <c r="AC542" s="184" t="s">
        <v>879</v>
      </c>
      <c r="AD542" s="185" t="n">
        <v>40725</v>
      </c>
      <c r="AE542" s="196"/>
      <c r="AF542" s="185"/>
      <c r="AG542" s="184" t="s">
        <v>879</v>
      </c>
      <c r="AH542" s="185" t="n">
        <v>40725</v>
      </c>
      <c r="AI542" s="183"/>
      <c r="AJ542" s="183"/>
      <c r="AK542" s="182"/>
      <c r="AL542" s="182"/>
      <c r="AM542" s="184" t="n">
        <v>82</v>
      </c>
      <c r="AN542" s="183" t="n">
        <v>40630</v>
      </c>
      <c r="AO542" s="182"/>
      <c r="AP542" s="182"/>
      <c r="AQ542" s="183"/>
      <c r="AR542" s="183"/>
      <c r="AS542" s="182"/>
      <c r="AT542" s="182"/>
      <c r="AU542" s="183"/>
      <c r="AV542" s="183"/>
      <c r="AW542" s="182"/>
      <c r="AX542" s="182"/>
      <c r="AY542" s="183"/>
      <c r="AZ542" s="183"/>
      <c r="BA542" s="182"/>
      <c r="BB542" s="182"/>
      <c r="BK542" s="183"/>
      <c r="BL542" s="183"/>
      <c r="BM542" s="182"/>
      <c r="BN542" s="182"/>
      <c r="BO542" s="183"/>
      <c r="BP542" s="183"/>
      <c r="BQ542" s="182"/>
      <c r="BR542" s="182"/>
      <c r="BS542" s="184" t="s">
        <v>879</v>
      </c>
      <c r="BT542" s="185" t="n">
        <v>40725</v>
      </c>
      <c r="BU542" s="184" t="s">
        <v>879</v>
      </c>
      <c r="BV542" s="185" t="n">
        <v>40725</v>
      </c>
      <c r="CL542" s="182"/>
      <c r="CM542" s="182"/>
    </row>
    <row r="543" customFormat="false" ht="12.75" hidden="false" customHeight="false" outlineLevel="0" collapsed="false">
      <c r="A543" s="204" t="s">
        <v>693</v>
      </c>
      <c r="B543" s="193" t="s">
        <v>785</v>
      </c>
      <c r="C543" s="193" t="s">
        <v>877</v>
      </c>
      <c r="D543" s="193"/>
      <c r="E543" s="119" t="n">
        <v>20</v>
      </c>
      <c r="F543" s="195" t="n">
        <v>90</v>
      </c>
      <c r="G543" s="119"/>
      <c r="H543" s="119"/>
      <c r="J543" s="118"/>
      <c r="K543" s="118"/>
      <c r="L543" s="181"/>
      <c r="N543" s="182"/>
      <c r="O543" s="182"/>
      <c r="S543" s="184" t="n">
        <v>2019</v>
      </c>
      <c r="T543" s="185" t="n">
        <v>40725</v>
      </c>
      <c r="U543" s="182"/>
      <c r="V543" s="182"/>
      <c r="W543" s="183"/>
      <c r="X543" s="183"/>
      <c r="Y543" s="184" t="n">
        <v>683</v>
      </c>
      <c r="Z543" s="185" t="n">
        <v>40725</v>
      </c>
      <c r="AA543" s="184" t="n">
        <v>87038</v>
      </c>
      <c r="AB543" s="185" t="n">
        <v>40725</v>
      </c>
      <c r="AC543" s="184" t="n">
        <v>39.1</v>
      </c>
      <c r="AD543" s="185" t="n">
        <v>40725</v>
      </c>
      <c r="AE543" s="196"/>
      <c r="AF543" s="185"/>
      <c r="AG543" s="184" t="n">
        <v>4.49</v>
      </c>
      <c r="AH543" s="185" t="n">
        <v>40725</v>
      </c>
      <c r="AI543" s="183"/>
      <c r="AJ543" s="183"/>
      <c r="AK543" s="182"/>
      <c r="AL543" s="182"/>
      <c r="AM543" s="184" t="n">
        <v>84</v>
      </c>
      <c r="AN543" s="183" t="n">
        <v>40630</v>
      </c>
      <c r="AO543" s="182"/>
      <c r="AP543" s="182"/>
      <c r="AQ543" s="183"/>
      <c r="AR543" s="183"/>
      <c r="AS543" s="182"/>
      <c r="AT543" s="182"/>
      <c r="AU543" s="183"/>
      <c r="AV543" s="183"/>
      <c r="AW543" s="182"/>
      <c r="AX543" s="182"/>
      <c r="AY543" s="183"/>
      <c r="AZ543" s="183"/>
      <c r="BA543" s="182"/>
      <c r="BB543" s="182"/>
      <c r="BK543" s="183"/>
      <c r="BL543" s="183"/>
      <c r="BM543" s="182"/>
      <c r="BN543" s="182"/>
      <c r="BO543" s="183"/>
      <c r="BP543" s="183"/>
      <c r="BQ543" s="182"/>
      <c r="BR543" s="182"/>
      <c r="BS543" s="184" t="n">
        <v>51.6</v>
      </c>
      <c r="BT543" s="185" t="n">
        <v>40725</v>
      </c>
      <c r="BU543" s="184" t="n">
        <v>17.5</v>
      </c>
      <c r="BV543" s="185" t="n">
        <v>40725</v>
      </c>
      <c r="CL543" s="182"/>
      <c r="CM543" s="182"/>
    </row>
    <row r="544" customFormat="false" ht="12.75" hidden="false" customHeight="false" outlineLevel="0" collapsed="false">
      <c r="A544" s="204" t="s">
        <v>696</v>
      </c>
      <c r="B544" s="193" t="s">
        <v>782</v>
      </c>
      <c r="C544" s="193" t="s">
        <v>875</v>
      </c>
      <c r="D544" s="193"/>
      <c r="E544" s="194" t="n">
        <v>2</v>
      </c>
      <c r="F544" s="195" t="n">
        <v>20</v>
      </c>
      <c r="G544" s="119"/>
      <c r="H544" s="119"/>
      <c r="J544" s="118"/>
      <c r="K544" s="118"/>
      <c r="L544" s="181"/>
      <c r="N544" s="182"/>
      <c r="O544" s="182"/>
      <c r="S544" s="184" t="n">
        <v>1544</v>
      </c>
      <c r="T544" s="185" t="n">
        <v>40725</v>
      </c>
      <c r="U544" s="182"/>
      <c r="V544" s="182"/>
      <c r="W544" s="183"/>
      <c r="X544" s="183"/>
      <c r="Y544" s="184" t="n">
        <v>446</v>
      </c>
      <c r="Z544" s="185" t="n">
        <v>40725</v>
      </c>
      <c r="AA544" s="184" t="n">
        <v>72110</v>
      </c>
      <c r="AB544" s="185" t="n">
        <v>40725</v>
      </c>
      <c r="AC544" s="184" t="n">
        <v>28.6</v>
      </c>
      <c r="AD544" s="185" t="n">
        <v>40725</v>
      </c>
      <c r="AE544" s="196"/>
      <c r="AF544" s="185"/>
      <c r="AG544" s="184" t="n">
        <v>3.96</v>
      </c>
      <c r="AH544" s="185" t="n">
        <v>40725</v>
      </c>
      <c r="AI544" s="183"/>
      <c r="AJ544" s="183"/>
      <c r="AK544" s="182"/>
      <c r="AL544" s="182"/>
      <c r="AM544" s="184" t="n">
        <v>87</v>
      </c>
      <c r="AN544" s="183" t="n">
        <v>40630</v>
      </c>
      <c r="AO544" s="182"/>
      <c r="AP544" s="182"/>
      <c r="AQ544" s="183"/>
      <c r="AR544" s="183"/>
      <c r="AS544" s="182"/>
      <c r="AT544" s="182"/>
      <c r="AU544" s="183"/>
      <c r="AV544" s="183"/>
      <c r="AW544" s="182"/>
      <c r="AX544" s="182"/>
      <c r="AY544" s="183"/>
      <c r="AZ544" s="183"/>
      <c r="BA544" s="182"/>
      <c r="BB544" s="182"/>
      <c r="BK544" s="183"/>
      <c r="BL544" s="183"/>
      <c r="BM544" s="182"/>
      <c r="BN544" s="182"/>
      <c r="BO544" s="183"/>
      <c r="BP544" s="183"/>
      <c r="BQ544" s="182"/>
      <c r="BR544" s="182"/>
      <c r="BS544" s="184" t="n">
        <v>54</v>
      </c>
      <c r="BT544" s="185" t="n">
        <v>40725</v>
      </c>
      <c r="BU544" s="184" t="n">
        <v>15.6</v>
      </c>
      <c r="BV544" s="185" t="n">
        <v>40725</v>
      </c>
      <c r="CL544" s="182"/>
      <c r="CM544" s="182"/>
    </row>
    <row r="545" customFormat="false" ht="12.75" hidden="false" customHeight="false" outlineLevel="0" collapsed="false">
      <c r="A545" s="204" t="s">
        <v>696</v>
      </c>
      <c r="B545" s="193" t="s">
        <v>782</v>
      </c>
      <c r="C545" s="193" t="s">
        <v>876</v>
      </c>
      <c r="D545" s="193"/>
      <c r="E545" s="194" t="n">
        <v>5</v>
      </c>
      <c r="F545" s="195" t="n">
        <v>43</v>
      </c>
      <c r="G545" s="119"/>
      <c r="H545" s="119"/>
      <c r="J545" s="118"/>
      <c r="K545" s="118"/>
      <c r="L545" s="181"/>
      <c r="N545" s="182"/>
      <c r="O545" s="182"/>
      <c r="S545" s="184" t="s">
        <v>879</v>
      </c>
      <c r="T545" s="185" t="n">
        <v>40725</v>
      </c>
      <c r="U545" s="182"/>
      <c r="V545" s="182"/>
      <c r="W545" s="183"/>
      <c r="X545" s="183"/>
      <c r="Y545" s="184" t="s">
        <v>879</v>
      </c>
      <c r="Z545" s="185" t="n">
        <v>40725</v>
      </c>
      <c r="AA545" s="184" t="n">
        <v>68953</v>
      </c>
      <c r="AB545" s="185" t="n">
        <v>40725</v>
      </c>
      <c r="AC545" s="184" t="n">
        <v>28.4</v>
      </c>
      <c r="AD545" s="185" t="n">
        <v>40725</v>
      </c>
      <c r="AE545" s="196"/>
      <c r="AF545" s="185"/>
      <c r="AG545" s="184" t="n">
        <v>4.11</v>
      </c>
      <c r="AH545" s="185" t="n">
        <v>40725</v>
      </c>
      <c r="AI545" s="183"/>
      <c r="AJ545" s="183"/>
      <c r="AK545" s="182"/>
      <c r="AL545" s="182"/>
      <c r="AM545" s="184" t="n">
        <v>85</v>
      </c>
      <c r="AN545" s="183" t="n">
        <v>40630</v>
      </c>
      <c r="AO545" s="182"/>
      <c r="AP545" s="182"/>
      <c r="AQ545" s="183"/>
      <c r="AR545" s="183"/>
      <c r="AS545" s="182"/>
      <c r="AT545" s="182"/>
      <c r="AU545" s="183"/>
      <c r="AV545" s="183"/>
      <c r="AW545" s="182"/>
      <c r="AX545" s="182"/>
      <c r="AY545" s="183"/>
      <c r="AZ545" s="183"/>
      <c r="BA545" s="182"/>
      <c r="BB545" s="182"/>
      <c r="BK545" s="183"/>
      <c r="BL545" s="183"/>
      <c r="BM545" s="182"/>
      <c r="BN545" s="182"/>
      <c r="BO545" s="183"/>
      <c r="BP545" s="183"/>
      <c r="BQ545" s="182"/>
      <c r="BR545" s="182"/>
      <c r="BS545" s="184" t="s">
        <v>879</v>
      </c>
      <c r="BT545" s="185" t="n">
        <v>40725</v>
      </c>
      <c r="BU545" s="184" t="s">
        <v>879</v>
      </c>
      <c r="BV545" s="185" t="n">
        <v>40725</v>
      </c>
      <c r="CL545" s="182"/>
      <c r="CM545" s="182"/>
    </row>
    <row r="546" customFormat="false" ht="12.75" hidden="false" customHeight="false" outlineLevel="0" collapsed="false">
      <c r="A546" s="204" t="s">
        <v>696</v>
      </c>
      <c r="B546" s="193" t="s">
        <v>782</v>
      </c>
      <c r="C546" s="193" t="s">
        <v>877</v>
      </c>
      <c r="D546" s="193"/>
      <c r="E546" s="119" t="n">
        <v>15</v>
      </c>
      <c r="F546" s="195" t="n">
        <v>88</v>
      </c>
      <c r="G546" s="119"/>
      <c r="H546" s="119"/>
      <c r="J546" s="118"/>
      <c r="K546" s="118"/>
      <c r="L546" s="181"/>
      <c r="N546" s="182"/>
      <c r="O546" s="182"/>
      <c r="S546" s="184" t="n">
        <v>1596</v>
      </c>
      <c r="T546" s="185" t="n">
        <v>40725</v>
      </c>
      <c r="U546" s="182"/>
      <c r="V546" s="182"/>
      <c r="W546" s="183"/>
      <c r="X546" s="183"/>
      <c r="Y546" s="184" t="n">
        <v>521</v>
      </c>
      <c r="Z546" s="185" t="n">
        <v>40725</v>
      </c>
      <c r="AA546" s="184" t="n">
        <v>71159</v>
      </c>
      <c r="AB546" s="185" t="n">
        <v>40725</v>
      </c>
      <c r="AC546" s="184" t="n">
        <v>30.4</v>
      </c>
      <c r="AD546" s="185" t="n">
        <v>40725</v>
      </c>
      <c r="AE546" s="196"/>
      <c r="AF546" s="185"/>
      <c r="AG546" s="184" t="n">
        <v>4.27</v>
      </c>
      <c r="AH546" s="185" t="n">
        <v>40725</v>
      </c>
      <c r="AI546" s="183"/>
      <c r="AJ546" s="183"/>
      <c r="AK546" s="182"/>
      <c r="AL546" s="182"/>
      <c r="AM546" s="184" t="n">
        <v>84</v>
      </c>
      <c r="AN546" s="183" t="n">
        <v>40630</v>
      </c>
      <c r="AO546" s="182"/>
      <c r="AP546" s="182"/>
      <c r="AQ546" s="183"/>
      <c r="AR546" s="183"/>
      <c r="AS546" s="182"/>
      <c r="AT546" s="182"/>
      <c r="AU546" s="183"/>
      <c r="AV546" s="183"/>
      <c r="AW546" s="182"/>
      <c r="AX546" s="182"/>
      <c r="AY546" s="183"/>
      <c r="AZ546" s="183"/>
      <c r="BA546" s="182"/>
      <c r="BB546" s="182"/>
      <c r="BK546" s="183"/>
      <c r="BL546" s="183"/>
      <c r="BM546" s="182"/>
      <c r="BN546" s="182"/>
      <c r="BO546" s="183"/>
      <c r="BP546" s="183"/>
      <c r="BQ546" s="182"/>
      <c r="BR546" s="182"/>
      <c r="BS546" s="184" t="n">
        <v>52.5</v>
      </c>
      <c r="BT546" s="185" t="n">
        <v>40725</v>
      </c>
      <c r="BU546" s="184" t="n">
        <v>17.2</v>
      </c>
      <c r="BV546" s="185" t="n">
        <v>40725</v>
      </c>
      <c r="CL546" s="182"/>
      <c r="CM546" s="182"/>
    </row>
    <row r="547" customFormat="false" ht="12.75" hidden="false" customHeight="false" outlineLevel="0" collapsed="false">
      <c r="A547" s="204" t="s">
        <v>696</v>
      </c>
      <c r="B547" s="193" t="s">
        <v>785</v>
      </c>
      <c r="C547" s="193" t="s">
        <v>875</v>
      </c>
      <c r="D547" s="193"/>
      <c r="E547" s="194" t="n">
        <v>7</v>
      </c>
      <c r="F547" s="195" t="n">
        <v>26</v>
      </c>
      <c r="G547" s="119"/>
      <c r="H547" s="119"/>
      <c r="J547" s="118"/>
      <c r="K547" s="118"/>
      <c r="L547" s="181"/>
      <c r="N547" s="182"/>
      <c r="O547" s="182"/>
      <c r="S547" s="184" t="n">
        <v>1915</v>
      </c>
      <c r="T547" s="185" t="n">
        <v>40725</v>
      </c>
      <c r="U547" s="182"/>
      <c r="V547" s="182"/>
      <c r="W547" s="183"/>
      <c r="X547" s="183"/>
      <c r="Y547" s="184" t="n">
        <v>602</v>
      </c>
      <c r="Z547" s="185" t="n">
        <v>40725</v>
      </c>
      <c r="AA547" s="184" t="n">
        <v>89250</v>
      </c>
      <c r="AB547" s="185" t="n">
        <v>40725</v>
      </c>
      <c r="AC547" s="184" t="n">
        <v>36.1</v>
      </c>
      <c r="AD547" s="185" t="n">
        <v>40725</v>
      </c>
      <c r="AE547" s="196"/>
      <c r="AF547" s="185"/>
      <c r="AG547" s="184" t="n">
        <v>4.04</v>
      </c>
      <c r="AH547" s="185" t="n">
        <v>40725</v>
      </c>
      <c r="AI547" s="183"/>
      <c r="AJ547" s="183"/>
      <c r="AK547" s="182"/>
      <c r="AL547" s="182"/>
      <c r="AM547" s="184" t="n">
        <v>87</v>
      </c>
      <c r="AN547" s="183" t="n">
        <v>40630</v>
      </c>
      <c r="AO547" s="182"/>
      <c r="AP547" s="182"/>
      <c r="AQ547" s="183"/>
      <c r="AR547" s="183"/>
      <c r="AS547" s="182"/>
      <c r="AT547" s="182"/>
      <c r="AU547" s="183"/>
      <c r="AV547" s="183"/>
      <c r="AW547" s="182"/>
      <c r="AX547" s="182"/>
      <c r="AY547" s="183"/>
      <c r="AZ547" s="183"/>
      <c r="BA547" s="182"/>
      <c r="BB547" s="182"/>
      <c r="BK547" s="183"/>
      <c r="BL547" s="183"/>
      <c r="BM547" s="182"/>
      <c r="BN547" s="182"/>
      <c r="BO547" s="183"/>
      <c r="BP547" s="183"/>
      <c r="BQ547" s="182"/>
      <c r="BR547" s="182"/>
      <c r="BS547" s="184" t="n">
        <v>53.1</v>
      </c>
      <c r="BT547" s="185" t="n">
        <v>40725</v>
      </c>
      <c r="BU547" s="184" t="n">
        <v>16.7</v>
      </c>
      <c r="BV547" s="185" t="n">
        <v>40725</v>
      </c>
      <c r="CL547" s="182"/>
      <c r="CM547" s="182"/>
    </row>
    <row r="548" customFormat="false" ht="12.75" hidden="false" customHeight="false" outlineLevel="0" collapsed="false">
      <c r="A548" s="204" t="s">
        <v>696</v>
      </c>
      <c r="B548" s="193" t="s">
        <v>785</v>
      </c>
      <c r="C548" s="193" t="s">
        <v>876</v>
      </c>
      <c r="D548" s="193"/>
      <c r="E548" s="194" t="n">
        <v>1</v>
      </c>
      <c r="F548" s="195" t="n">
        <v>56</v>
      </c>
      <c r="G548" s="119"/>
      <c r="H548" s="119"/>
      <c r="J548" s="118"/>
      <c r="K548" s="118"/>
      <c r="L548" s="181"/>
      <c r="N548" s="182"/>
      <c r="O548" s="182"/>
      <c r="S548" s="184" t="n">
        <v>1925</v>
      </c>
      <c r="T548" s="185" t="n">
        <v>40725</v>
      </c>
      <c r="U548" s="182"/>
      <c r="V548" s="182"/>
      <c r="W548" s="183"/>
      <c r="X548" s="183"/>
      <c r="Y548" s="184" t="n">
        <v>599</v>
      </c>
      <c r="Z548" s="185" t="n">
        <v>40725</v>
      </c>
      <c r="AA548" s="184" t="n">
        <v>87223</v>
      </c>
      <c r="AB548" s="185" t="n">
        <v>40725</v>
      </c>
      <c r="AC548" s="184" t="n">
        <v>36</v>
      </c>
      <c r="AD548" s="185" t="n">
        <v>40725</v>
      </c>
      <c r="AE548" s="196"/>
      <c r="AF548" s="185"/>
      <c r="AG548" s="184" t="n">
        <v>4.13</v>
      </c>
      <c r="AH548" s="185" t="n">
        <v>40725</v>
      </c>
      <c r="AI548" s="183"/>
      <c r="AJ548" s="183"/>
      <c r="AK548" s="182"/>
      <c r="AL548" s="182"/>
      <c r="AM548" s="184" t="n">
        <v>85</v>
      </c>
      <c r="AN548" s="183" t="n">
        <v>40630</v>
      </c>
      <c r="AO548" s="182"/>
      <c r="AP548" s="182"/>
      <c r="AQ548" s="183"/>
      <c r="AR548" s="183"/>
      <c r="AS548" s="182"/>
      <c r="AT548" s="182"/>
      <c r="AU548" s="183"/>
      <c r="AV548" s="183"/>
      <c r="AW548" s="182"/>
      <c r="AX548" s="182"/>
      <c r="AY548" s="183"/>
      <c r="AZ548" s="183"/>
      <c r="BA548" s="182"/>
      <c r="BB548" s="182"/>
      <c r="BK548" s="183"/>
      <c r="BL548" s="183"/>
      <c r="BM548" s="182"/>
      <c r="BN548" s="182"/>
      <c r="BO548" s="183"/>
      <c r="BP548" s="183"/>
      <c r="BQ548" s="182"/>
      <c r="BR548" s="182"/>
      <c r="BS548" s="184" t="n">
        <v>53.5</v>
      </c>
      <c r="BT548" s="185" t="n">
        <v>40725</v>
      </c>
      <c r="BU548" s="184" t="n">
        <v>16.6</v>
      </c>
      <c r="BV548" s="185" t="n">
        <v>40725</v>
      </c>
      <c r="CL548" s="182"/>
      <c r="CM548" s="182"/>
    </row>
    <row r="549" customFormat="false" ht="12.75" hidden="false" customHeight="false" outlineLevel="0" collapsed="false">
      <c r="A549" s="204" t="s">
        <v>696</v>
      </c>
      <c r="B549" s="193" t="s">
        <v>785</v>
      </c>
      <c r="C549" s="193" t="s">
        <v>877</v>
      </c>
      <c r="D549" s="193"/>
      <c r="E549" s="119" t="n">
        <v>23</v>
      </c>
      <c r="F549" s="195" t="n">
        <v>65</v>
      </c>
      <c r="G549" s="119"/>
      <c r="H549" s="119"/>
      <c r="J549" s="118"/>
      <c r="K549" s="118"/>
      <c r="L549" s="181"/>
      <c r="N549" s="182"/>
      <c r="O549" s="182"/>
      <c r="S549" s="184" t="n">
        <v>1701</v>
      </c>
      <c r="T549" s="185" t="n">
        <v>40725</v>
      </c>
      <c r="U549" s="182"/>
      <c r="V549" s="182"/>
      <c r="W549" s="183"/>
      <c r="X549" s="183"/>
      <c r="Y549" s="184" t="n">
        <v>576</v>
      </c>
      <c r="Z549" s="185" t="n">
        <v>40725</v>
      </c>
      <c r="AA549" s="184" t="n">
        <v>75830</v>
      </c>
      <c r="AB549" s="185" t="n">
        <v>40725</v>
      </c>
      <c r="AC549" s="184" t="n">
        <v>32.3</v>
      </c>
      <c r="AD549" s="185" t="n">
        <v>40725</v>
      </c>
      <c r="AE549" s="196"/>
      <c r="AF549" s="185"/>
      <c r="AG549" s="184" t="n">
        <v>4.26</v>
      </c>
      <c r="AH549" s="185" t="n">
        <v>40725</v>
      </c>
      <c r="AI549" s="183"/>
      <c r="AJ549" s="183"/>
      <c r="AK549" s="182"/>
      <c r="AL549" s="182"/>
      <c r="AM549" s="184" t="n">
        <v>85</v>
      </c>
      <c r="AN549" s="183" t="n">
        <v>40630</v>
      </c>
      <c r="AO549" s="182"/>
      <c r="AP549" s="182"/>
      <c r="AQ549" s="183"/>
      <c r="AR549" s="183"/>
      <c r="AS549" s="182"/>
      <c r="AT549" s="182"/>
      <c r="AU549" s="183"/>
      <c r="AV549" s="183"/>
      <c r="AW549" s="182"/>
      <c r="AX549" s="182"/>
      <c r="AY549" s="183"/>
      <c r="AZ549" s="183"/>
      <c r="BA549" s="182"/>
      <c r="BB549" s="182"/>
      <c r="BK549" s="183"/>
      <c r="BL549" s="183"/>
      <c r="BM549" s="182"/>
      <c r="BN549" s="182"/>
      <c r="BO549" s="183"/>
      <c r="BP549" s="183"/>
      <c r="BQ549" s="182"/>
      <c r="BR549" s="182"/>
      <c r="BS549" s="184" t="n">
        <v>52.6</v>
      </c>
      <c r="BT549" s="185" t="n">
        <v>40725</v>
      </c>
      <c r="BU549" s="184" t="n">
        <v>17.8</v>
      </c>
      <c r="BV549" s="185" t="n">
        <v>40725</v>
      </c>
      <c r="CL549" s="182"/>
      <c r="CM549" s="182"/>
    </row>
    <row r="550" customFormat="false" ht="12.75" hidden="false" customHeight="false" outlineLevel="0" collapsed="false">
      <c r="A550" s="204" t="s">
        <v>699</v>
      </c>
      <c r="B550" s="193" t="s">
        <v>782</v>
      </c>
      <c r="C550" s="193" t="s">
        <v>875</v>
      </c>
      <c r="D550" s="193"/>
      <c r="E550" s="194" t="n">
        <v>4</v>
      </c>
      <c r="F550" s="195" t="n">
        <v>9</v>
      </c>
      <c r="G550" s="119"/>
      <c r="H550" s="119"/>
      <c r="J550" s="118"/>
      <c r="K550" s="118"/>
      <c r="L550" s="181"/>
      <c r="N550" s="182"/>
      <c r="O550" s="182"/>
      <c r="S550" s="184" t="n">
        <v>1759</v>
      </c>
      <c r="T550" s="185" t="n">
        <v>40725</v>
      </c>
      <c r="U550" s="182"/>
      <c r="V550" s="182"/>
      <c r="W550" s="183"/>
      <c r="X550" s="183"/>
      <c r="Y550" s="184" t="n">
        <v>547</v>
      </c>
      <c r="Z550" s="185" t="n">
        <v>40725</v>
      </c>
      <c r="AA550" s="184" t="n">
        <v>92139</v>
      </c>
      <c r="AB550" s="185" t="n">
        <v>40725</v>
      </c>
      <c r="AC550" s="184" t="n">
        <v>33.3</v>
      </c>
      <c r="AD550" s="185" t="n">
        <v>40725</v>
      </c>
      <c r="AE550" s="196"/>
      <c r="AF550" s="185"/>
      <c r="AG550" s="184" t="n">
        <v>3.62</v>
      </c>
      <c r="AH550" s="185" t="n">
        <v>40725</v>
      </c>
      <c r="AI550" s="183"/>
      <c r="AJ550" s="183"/>
      <c r="AK550" s="182"/>
      <c r="AL550" s="182"/>
      <c r="AM550" s="184" t="n">
        <v>85</v>
      </c>
      <c r="AN550" s="183" t="n">
        <v>40630</v>
      </c>
      <c r="AO550" s="182"/>
      <c r="AP550" s="182"/>
      <c r="AQ550" s="183"/>
      <c r="AR550" s="183"/>
      <c r="AS550" s="182"/>
      <c r="AT550" s="182"/>
      <c r="AU550" s="183"/>
      <c r="AV550" s="183"/>
      <c r="AW550" s="182"/>
      <c r="AX550" s="182"/>
      <c r="AY550" s="183"/>
      <c r="AZ550" s="183"/>
      <c r="BA550" s="182"/>
      <c r="BB550" s="182"/>
      <c r="BK550" s="183"/>
      <c r="BL550" s="183"/>
      <c r="BM550" s="182"/>
      <c r="BN550" s="182"/>
      <c r="BO550" s="183"/>
      <c r="BP550" s="183"/>
      <c r="BQ550" s="182"/>
      <c r="BR550" s="182"/>
      <c r="BS550" s="184" t="n">
        <v>52.8</v>
      </c>
      <c r="BT550" s="185" t="n">
        <v>40725</v>
      </c>
      <c r="BU550" s="184" t="n">
        <v>16.4</v>
      </c>
      <c r="BV550" s="185" t="n">
        <v>40725</v>
      </c>
      <c r="CL550" s="182"/>
      <c r="CM550" s="182"/>
    </row>
    <row r="551" customFormat="false" ht="12.75" hidden="false" customHeight="false" outlineLevel="0" collapsed="false">
      <c r="A551" s="204" t="s">
        <v>699</v>
      </c>
      <c r="B551" s="193" t="s">
        <v>782</v>
      </c>
      <c r="C551" s="193" t="s">
        <v>876</v>
      </c>
      <c r="D551" s="193"/>
      <c r="E551" s="194" t="n">
        <v>7</v>
      </c>
      <c r="F551" s="195" t="n">
        <v>39</v>
      </c>
      <c r="G551" s="119"/>
      <c r="H551" s="119"/>
      <c r="J551" s="118"/>
      <c r="K551" s="118"/>
      <c r="L551" s="181"/>
      <c r="N551" s="182"/>
      <c r="O551" s="182"/>
      <c r="S551" s="184" t="n">
        <v>1481</v>
      </c>
      <c r="T551" s="185" t="n">
        <v>40725</v>
      </c>
      <c r="U551" s="182"/>
      <c r="V551" s="182"/>
      <c r="W551" s="183"/>
      <c r="X551" s="183"/>
      <c r="Y551" s="184" t="n">
        <v>466</v>
      </c>
      <c r="Z551" s="185" t="n">
        <v>40725</v>
      </c>
      <c r="AA551" s="184" t="n">
        <v>68862</v>
      </c>
      <c r="AB551" s="185" t="n">
        <v>40725</v>
      </c>
      <c r="AC551" s="184" t="n">
        <v>28.3</v>
      </c>
      <c r="AD551" s="185" t="n">
        <v>40725</v>
      </c>
      <c r="AE551" s="196"/>
      <c r="AF551" s="185"/>
      <c r="AG551" s="184" t="n">
        <v>4.11</v>
      </c>
      <c r="AH551" s="185" t="n">
        <v>40725</v>
      </c>
      <c r="AI551" s="183"/>
      <c r="AJ551" s="183"/>
      <c r="AK551" s="182"/>
      <c r="AL551" s="182"/>
      <c r="AM551" s="184" t="n">
        <v>84</v>
      </c>
      <c r="AN551" s="183" t="n">
        <v>40630</v>
      </c>
      <c r="AO551" s="182"/>
      <c r="AP551" s="182"/>
      <c r="AQ551" s="183"/>
      <c r="AR551" s="183"/>
      <c r="AS551" s="182"/>
      <c r="AT551" s="182"/>
      <c r="AU551" s="183"/>
      <c r="AV551" s="183"/>
      <c r="AW551" s="182"/>
      <c r="AX551" s="182"/>
      <c r="AY551" s="183"/>
      <c r="AZ551" s="183"/>
      <c r="BA551" s="182"/>
      <c r="BB551" s="182"/>
      <c r="BK551" s="183"/>
      <c r="BL551" s="183"/>
      <c r="BM551" s="182"/>
      <c r="BN551" s="182"/>
      <c r="BO551" s="183"/>
      <c r="BP551" s="183"/>
      <c r="BQ551" s="182"/>
      <c r="BR551" s="182"/>
      <c r="BS551" s="184" t="n">
        <v>52.3</v>
      </c>
      <c r="BT551" s="185" t="n">
        <v>40725</v>
      </c>
      <c r="BU551" s="184" t="n">
        <v>16.5</v>
      </c>
      <c r="BV551" s="185" t="n">
        <v>40725</v>
      </c>
      <c r="CL551" s="182"/>
      <c r="CM551" s="182"/>
    </row>
    <row r="552" customFormat="false" ht="12.75" hidden="false" customHeight="false" outlineLevel="0" collapsed="false">
      <c r="A552" s="204" t="s">
        <v>699</v>
      </c>
      <c r="B552" s="193" t="s">
        <v>782</v>
      </c>
      <c r="C552" s="193" t="s">
        <v>877</v>
      </c>
      <c r="D552" s="193"/>
      <c r="E552" s="119" t="n">
        <v>15</v>
      </c>
      <c r="F552" s="195" t="n">
        <v>82</v>
      </c>
      <c r="G552" s="119"/>
      <c r="H552" s="119"/>
      <c r="J552" s="118"/>
      <c r="K552" s="118"/>
      <c r="L552" s="181"/>
      <c r="N552" s="182"/>
      <c r="O552" s="182"/>
      <c r="S552" s="184" t="n">
        <v>1640</v>
      </c>
      <c r="T552" s="185" t="n">
        <v>40725</v>
      </c>
      <c r="U552" s="182"/>
      <c r="V552" s="182"/>
      <c r="W552" s="183"/>
      <c r="X552" s="183"/>
      <c r="Y552" s="184" t="n">
        <v>501</v>
      </c>
      <c r="Z552" s="185" t="n">
        <v>40725</v>
      </c>
      <c r="AA552" s="184" t="n">
        <v>85711</v>
      </c>
      <c r="AB552" s="185" t="n">
        <v>40725</v>
      </c>
      <c r="AC552" s="184" t="n">
        <v>31.2</v>
      </c>
      <c r="AD552" s="185" t="n">
        <v>40725</v>
      </c>
      <c r="AE552" s="196"/>
      <c r="AF552" s="185"/>
      <c r="AG552" s="184" t="n">
        <v>3.64</v>
      </c>
      <c r="AH552" s="185" t="n">
        <v>40725</v>
      </c>
      <c r="AI552" s="183"/>
      <c r="AJ552" s="183"/>
      <c r="AK552" s="182"/>
      <c r="AL552" s="182"/>
      <c r="AM552" s="184" t="n">
        <v>84</v>
      </c>
      <c r="AN552" s="183" t="n">
        <v>40630</v>
      </c>
      <c r="AO552" s="182"/>
      <c r="AP552" s="182"/>
      <c r="AQ552" s="183"/>
      <c r="AR552" s="183"/>
      <c r="AS552" s="182"/>
      <c r="AT552" s="182"/>
      <c r="AU552" s="183"/>
      <c r="AV552" s="183"/>
      <c r="AW552" s="182"/>
      <c r="AX552" s="182"/>
      <c r="AY552" s="183"/>
      <c r="AZ552" s="183"/>
      <c r="BA552" s="182"/>
      <c r="BB552" s="182"/>
      <c r="BK552" s="183"/>
      <c r="BL552" s="183"/>
      <c r="BM552" s="182"/>
      <c r="BN552" s="182"/>
      <c r="BO552" s="183"/>
      <c r="BP552" s="183"/>
      <c r="BQ552" s="182"/>
      <c r="BR552" s="182"/>
      <c r="BS552" s="184" t="n">
        <v>52.6</v>
      </c>
      <c r="BT552" s="185" t="n">
        <v>40725</v>
      </c>
      <c r="BU552" s="184" t="n">
        <v>16.1</v>
      </c>
      <c r="BV552" s="185" t="n">
        <v>40725</v>
      </c>
      <c r="CL552" s="182"/>
      <c r="CM552" s="182"/>
    </row>
    <row r="553" customFormat="false" ht="12.75" hidden="false" customHeight="false" outlineLevel="0" collapsed="false">
      <c r="A553" s="204" t="s">
        <v>699</v>
      </c>
      <c r="B553" s="193" t="s">
        <v>785</v>
      </c>
      <c r="C553" s="193" t="s">
        <v>875</v>
      </c>
      <c r="D553" s="193"/>
      <c r="E553" s="194" t="n">
        <v>5</v>
      </c>
      <c r="F553" s="195" t="n">
        <v>25</v>
      </c>
      <c r="G553" s="119"/>
      <c r="H553" s="119"/>
      <c r="J553" s="118"/>
      <c r="K553" s="118"/>
      <c r="L553" s="181"/>
      <c r="N553" s="182"/>
      <c r="O553" s="182"/>
      <c r="S553" s="184" t="n">
        <v>2087</v>
      </c>
      <c r="T553" s="185" t="n">
        <v>40725</v>
      </c>
      <c r="U553" s="182"/>
      <c r="V553" s="182"/>
      <c r="W553" s="183"/>
      <c r="X553" s="183"/>
      <c r="Y553" s="184" t="n">
        <v>722</v>
      </c>
      <c r="Z553" s="185" t="n">
        <v>40725</v>
      </c>
      <c r="AA553" s="184" t="n">
        <v>108472</v>
      </c>
      <c r="AB553" s="185" t="n">
        <v>40725</v>
      </c>
      <c r="AC553" s="184" t="n">
        <v>40.4</v>
      </c>
      <c r="AD553" s="185" t="n">
        <v>40725</v>
      </c>
      <c r="AE553" s="196"/>
      <c r="AF553" s="185"/>
      <c r="AG553" s="184" t="n">
        <v>3.72</v>
      </c>
      <c r="AH553" s="185" t="n">
        <v>40725</v>
      </c>
      <c r="AI553" s="183"/>
      <c r="AJ553" s="183"/>
      <c r="AK553" s="182"/>
      <c r="AL553" s="182"/>
      <c r="AM553" s="184" t="n">
        <v>86</v>
      </c>
      <c r="AN553" s="183" t="n">
        <v>40630</v>
      </c>
      <c r="AO553" s="182"/>
      <c r="AP553" s="182"/>
      <c r="AQ553" s="183"/>
      <c r="AR553" s="183"/>
      <c r="AS553" s="182"/>
      <c r="AT553" s="182"/>
      <c r="AU553" s="183"/>
      <c r="AV553" s="183"/>
      <c r="AW553" s="182"/>
      <c r="AX553" s="182"/>
      <c r="AY553" s="183"/>
      <c r="AZ553" s="183"/>
      <c r="BA553" s="182"/>
      <c r="BB553" s="182"/>
      <c r="BK553" s="183"/>
      <c r="BL553" s="183"/>
      <c r="BM553" s="182"/>
      <c r="BN553" s="182"/>
      <c r="BO553" s="183"/>
      <c r="BP553" s="183"/>
      <c r="BQ553" s="182"/>
      <c r="BR553" s="182"/>
      <c r="BS553" s="184" t="n">
        <v>51.7</v>
      </c>
      <c r="BT553" s="185" t="n">
        <v>40725</v>
      </c>
      <c r="BU553" s="184" t="n">
        <v>17.9</v>
      </c>
      <c r="BV553" s="185" t="n">
        <v>40725</v>
      </c>
      <c r="CL553" s="182"/>
      <c r="CM553" s="182"/>
    </row>
    <row r="554" customFormat="false" ht="12.75" hidden="false" customHeight="false" outlineLevel="0" collapsed="false">
      <c r="A554" s="204" t="s">
        <v>699</v>
      </c>
      <c r="B554" s="193" t="s">
        <v>785</v>
      </c>
      <c r="C554" s="193" t="s">
        <v>876</v>
      </c>
      <c r="D554" s="193"/>
      <c r="E554" s="194" t="n">
        <v>2</v>
      </c>
      <c r="F554" s="195" t="n">
        <v>36</v>
      </c>
      <c r="G554" s="119"/>
      <c r="H554" s="119"/>
      <c r="J554" s="118"/>
      <c r="K554" s="118"/>
      <c r="L554" s="181"/>
      <c r="N554" s="182"/>
      <c r="O554" s="182"/>
      <c r="S554" s="184" t="n">
        <v>1718</v>
      </c>
      <c r="T554" s="185" t="n">
        <v>40725</v>
      </c>
      <c r="U554" s="182"/>
      <c r="V554" s="182"/>
      <c r="W554" s="183"/>
      <c r="X554" s="183"/>
      <c r="Y554" s="184" t="n">
        <v>648</v>
      </c>
      <c r="Z554" s="185" t="n">
        <v>40725</v>
      </c>
      <c r="AA554" s="184" t="n">
        <v>87421</v>
      </c>
      <c r="AB554" s="185" t="n">
        <v>40725</v>
      </c>
      <c r="AC554" s="184" t="n">
        <v>33.9</v>
      </c>
      <c r="AD554" s="185" t="n">
        <v>40725</v>
      </c>
      <c r="AE554" s="196"/>
      <c r="AF554" s="185"/>
      <c r="AG554" s="184" t="n">
        <v>3.88</v>
      </c>
      <c r="AH554" s="185" t="n">
        <v>40725</v>
      </c>
      <c r="AI554" s="183"/>
      <c r="AJ554" s="183"/>
      <c r="AK554" s="182"/>
      <c r="AL554" s="182"/>
      <c r="AM554" s="184" t="n">
        <v>86</v>
      </c>
      <c r="AN554" s="183" t="n">
        <v>40630</v>
      </c>
      <c r="AO554" s="182"/>
      <c r="AP554" s="182"/>
      <c r="AQ554" s="183"/>
      <c r="AR554" s="183"/>
      <c r="AS554" s="182"/>
      <c r="AT554" s="182"/>
      <c r="AU554" s="183"/>
      <c r="AV554" s="183"/>
      <c r="AW554" s="182"/>
      <c r="AX554" s="182"/>
      <c r="AY554" s="183"/>
      <c r="AZ554" s="183"/>
      <c r="BA554" s="182"/>
      <c r="BB554" s="182"/>
      <c r="BK554" s="183"/>
      <c r="BL554" s="183"/>
      <c r="BM554" s="182"/>
      <c r="BN554" s="182"/>
      <c r="BO554" s="183"/>
      <c r="BP554" s="183"/>
      <c r="BQ554" s="182"/>
      <c r="BR554" s="182"/>
      <c r="BS554" s="184" t="n">
        <v>50.6</v>
      </c>
      <c r="BT554" s="185" t="n">
        <v>40725</v>
      </c>
      <c r="BU554" s="184" t="n">
        <v>19.1</v>
      </c>
      <c r="BV554" s="185" t="n">
        <v>40725</v>
      </c>
      <c r="CL554" s="182"/>
      <c r="CM554" s="182"/>
    </row>
    <row r="555" customFormat="false" ht="12.75" hidden="false" customHeight="false" outlineLevel="0" collapsed="false">
      <c r="A555" s="204" t="s">
        <v>699</v>
      </c>
      <c r="B555" s="193" t="s">
        <v>785</v>
      </c>
      <c r="C555" s="193" t="s">
        <v>877</v>
      </c>
      <c r="D555" s="193"/>
      <c r="E555" s="119" t="n">
        <v>21</v>
      </c>
      <c r="F555" s="195" t="n">
        <v>88</v>
      </c>
      <c r="G555" s="119"/>
      <c r="H555" s="119"/>
      <c r="J555" s="118"/>
      <c r="K555" s="118"/>
      <c r="L555" s="181"/>
      <c r="N555" s="182"/>
      <c r="O555" s="182"/>
      <c r="S555" s="184" t="n">
        <v>1762</v>
      </c>
      <c r="T555" s="185" t="n">
        <v>40725</v>
      </c>
      <c r="U555" s="182"/>
      <c r="V555" s="182"/>
      <c r="W555" s="183"/>
      <c r="X555" s="183"/>
      <c r="Y555" s="184" t="n">
        <v>623</v>
      </c>
      <c r="Z555" s="185" t="n">
        <v>40725</v>
      </c>
      <c r="AA555" s="184" t="n">
        <v>86016</v>
      </c>
      <c r="AB555" s="185" t="n">
        <v>40725</v>
      </c>
      <c r="AC555" s="184" t="n">
        <v>34.5</v>
      </c>
      <c r="AD555" s="185" t="n">
        <v>40725</v>
      </c>
      <c r="AE555" s="196"/>
      <c r="AF555" s="185"/>
      <c r="AG555" s="184" t="n">
        <v>4.01</v>
      </c>
      <c r="AH555" s="185" t="n">
        <v>40725</v>
      </c>
      <c r="AI555" s="183"/>
      <c r="AJ555" s="183"/>
      <c r="AK555" s="182"/>
      <c r="AL555" s="182"/>
      <c r="AM555" s="184" t="n">
        <v>87</v>
      </c>
      <c r="AN555" s="183" t="n">
        <v>40630</v>
      </c>
      <c r="AO555" s="182"/>
      <c r="AP555" s="182"/>
      <c r="AQ555" s="183"/>
      <c r="AR555" s="183"/>
      <c r="AS555" s="182"/>
      <c r="AT555" s="182"/>
      <c r="AU555" s="183"/>
      <c r="AV555" s="183"/>
      <c r="AW555" s="182"/>
      <c r="AX555" s="182"/>
      <c r="AY555" s="183"/>
      <c r="AZ555" s="183"/>
      <c r="BA555" s="182"/>
      <c r="BB555" s="182"/>
      <c r="BK555" s="183"/>
      <c r="BL555" s="183"/>
      <c r="BM555" s="182"/>
      <c r="BN555" s="182"/>
      <c r="BO555" s="183"/>
      <c r="BP555" s="183"/>
      <c r="BQ555" s="182"/>
      <c r="BR555" s="182"/>
      <c r="BS555" s="184" t="n">
        <v>51.1</v>
      </c>
      <c r="BT555" s="185" t="n">
        <v>40725</v>
      </c>
      <c r="BU555" s="184" t="n">
        <v>18.1</v>
      </c>
      <c r="BV555" s="185" t="n">
        <v>40725</v>
      </c>
      <c r="CL555" s="182"/>
      <c r="CM555" s="182"/>
    </row>
    <row r="556" customFormat="false" ht="12.75" hidden="false" customHeight="false" outlineLevel="0" collapsed="false">
      <c r="A556" s="204" t="s">
        <v>702</v>
      </c>
      <c r="B556" s="193" t="s">
        <v>782</v>
      </c>
      <c r="C556" s="193" t="s">
        <v>875</v>
      </c>
      <c r="D556" s="193"/>
      <c r="E556" s="194" t="n">
        <v>1</v>
      </c>
      <c r="F556" s="195" t="n">
        <v>23</v>
      </c>
      <c r="G556" s="119"/>
      <c r="H556" s="119"/>
      <c r="J556" s="118"/>
      <c r="K556" s="118"/>
      <c r="L556" s="181"/>
      <c r="N556" s="182"/>
      <c r="O556" s="182"/>
      <c r="S556" s="184" t="n">
        <v>1767</v>
      </c>
      <c r="T556" s="185" t="n">
        <v>40725</v>
      </c>
      <c r="U556" s="182"/>
      <c r="V556" s="182"/>
      <c r="W556" s="183"/>
      <c r="X556" s="183"/>
      <c r="Y556" s="184" t="n">
        <v>522</v>
      </c>
      <c r="Z556" s="185" t="n">
        <v>40725</v>
      </c>
      <c r="AA556" s="184" t="n">
        <v>81026</v>
      </c>
      <c r="AB556" s="185" t="n">
        <v>40725</v>
      </c>
      <c r="AC556" s="184" t="n">
        <v>33.2</v>
      </c>
      <c r="AD556" s="185" t="n">
        <v>40725</v>
      </c>
      <c r="AE556" s="196"/>
      <c r="AF556" s="185"/>
      <c r="AG556" s="184" t="n">
        <v>4.1</v>
      </c>
      <c r="AH556" s="185" t="n">
        <v>40725</v>
      </c>
      <c r="AI556" s="183"/>
      <c r="AJ556" s="183"/>
      <c r="AK556" s="182"/>
      <c r="AL556" s="182"/>
      <c r="AM556" s="184" t="n">
        <v>86</v>
      </c>
      <c r="AN556" s="183" t="n">
        <v>40630</v>
      </c>
      <c r="AO556" s="182"/>
      <c r="AP556" s="182"/>
      <c r="AQ556" s="183"/>
      <c r="AR556" s="183"/>
      <c r="AS556" s="182"/>
      <c r="AT556" s="182"/>
      <c r="AU556" s="183"/>
      <c r="AV556" s="183"/>
      <c r="AW556" s="182"/>
      <c r="AX556" s="182"/>
      <c r="AY556" s="183"/>
      <c r="AZ556" s="183"/>
      <c r="BA556" s="182"/>
      <c r="BB556" s="182"/>
      <c r="BK556" s="183"/>
      <c r="BL556" s="183"/>
      <c r="BM556" s="182"/>
      <c r="BN556" s="182"/>
      <c r="BO556" s="183"/>
      <c r="BP556" s="183"/>
      <c r="BQ556" s="182"/>
      <c r="BR556" s="182"/>
      <c r="BS556" s="184" t="n">
        <v>53.2</v>
      </c>
      <c r="BT556" s="185" t="n">
        <v>40725</v>
      </c>
      <c r="BU556" s="184" t="n">
        <v>15.7</v>
      </c>
      <c r="BV556" s="185" t="n">
        <v>40725</v>
      </c>
      <c r="CL556" s="182"/>
      <c r="CM556" s="182"/>
    </row>
    <row r="557" customFormat="false" ht="12.75" hidden="false" customHeight="false" outlineLevel="0" collapsed="false">
      <c r="A557" s="204" t="s">
        <v>702</v>
      </c>
      <c r="B557" s="193" t="s">
        <v>782</v>
      </c>
      <c r="C557" s="193" t="s">
        <v>876</v>
      </c>
      <c r="D557" s="193"/>
      <c r="E557" s="194" t="n">
        <v>5</v>
      </c>
      <c r="F557" s="195" t="n">
        <v>48</v>
      </c>
      <c r="G557" s="119"/>
      <c r="H557" s="119"/>
      <c r="J557" s="118"/>
      <c r="K557" s="118"/>
      <c r="L557" s="181"/>
      <c r="N557" s="182"/>
      <c r="O557" s="182"/>
      <c r="S557" s="184" t="n">
        <v>1619</v>
      </c>
      <c r="T557" s="185" t="n">
        <v>40725</v>
      </c>
      <c r="U557" s="182"/>
      <c r="V557" s="182"/>
      <c r="W557" s="183"/>
      <c r="X557" s="183"/>
      <c r="Y557" s="184" t="n">
        <v>512</v>
      </c>
      <c r="Z557" s="185" t="n">
        <v>40725</v>
      </c>
      <c r="AA557" s="184" t="n">
        <v>73537</v>
      </c>
      <c r="AB557" s="185" t="n">
        <v>40725</v>
      </c>
      <c r="AC557" s="184" t="n">
        <v>31.5</v>
      </c>
      <c r="AD557" s="185" t="n">
        <v>40725</v>
      </c>
      <c r="AE557" s="196"/>
      <c r="AF557" s="185"/>
      <c r="AG557" s="184" t="n">
        <v>4.28</v>
      </c>
      <c r="AH557" s="185" t="n">
        <v>40725</v>
      </c>
      <c r="AI557" s="183"/>
      <c r="AJ557" s="183"/>
      <c r="AK557" s="182"/>
      <c r="AL557" s="182"/>
      <c r="AM557" s="184" t="n">
        <v>84</v>
      </c>
      <c r="AN557" s="183" t="n">
        <v>40630</v>
      </c>
      <c r="AO557" s="182"/>
      <c r="AP557" s="182"/>
      <c r="AQ557" s="183"/>
      <c r="AR557" s="183"/>
      <c r="AS557" s="182"/>
      <c r="AT557" s="182"/>
      <c r="AU557" s="183"/>
      <c r="AV557" s="183"/>
      <c r="AW557" s="182"/>
      <c r="AX557" s="182"/>
      <c r="AY557" s="183"/>
      <c r="AZ557" s="183"/>
      <c r="BA557" s="182"/>
      <c r="BB557" s="182"/>
      <c r="BK557" s="183"/>
      <c r="BL557" s="183"/>
      <c r="BM557" s="182"/>
      <c r="BN557" s="182"/>
      <c r="BO557" s="183"/>
      <c r="BP557" s="183"/>
      <c r="BQ557" s="182"/>
      <c r="BR557" s="182"/>
      <c r="BS557" s="184" t="n">
        <v>51.4</v>
      </c>
      <c r="BT557" s="185" t="n">
        <v>40725</v>
      </c>
      <c r="BU557" s="184" t="n">
        <v>16.3</v>
      </c>
      <c r="BV557" s="185" t="n">
        <v>40725</v>
      </c>
      <c r="CL557" s="182"/>
      <c r="CM557" s="182"/>
    </row>
    <row r="558" customFormat="false" ht="12.75" hidden="false" customHeight="false" outlineLevel="0" collapsed="false">
      <c r="A558" s="204" t="s">
        <v>702</v>
      </c>
      <c r="B558" s="193" t="s">
        <v>782</v>
      </c>
      <c r="C558" s="193" t="s">
        <v>877</v>
      </c>
      <c r="D558" s="193"/>
      <c r="E558" s="119" t="n">
        <v>18</v>
      </c>
      <c r="F558" s="195" t="n">
        <v>82</v>
      </c>
      <c r="G558" s="119"/>
      <c r="H558" s="119"/>
      <c r="J558" s="118"/>
      <c r="K558" s="118"/>
      <c r="L558" s="181"/>
      <c r="N558" s="182"/>
      <c r="O558" s="182"/>
      <c r="S558" s="184" t="n">
        <v>1511</v>
      </c>
      <c r="T558" s="185" t="n">
        <v>40725</v>
      </c>
      <c r="U558" s="182"/>
      <c r="V558" s="182"/>
      <c r="W558" s="183"/>
      <c r="X558" s="183"/>
      <c r="Y558" s="184" t="n">
        <v>489</v>
      </c>
      <c r="Z558" s="185" t="n">
        <v>40725</v>
      </c>
      <c r="AA558" s="184" t="n">
        <v>68443</v>
      </c>
      <c r="AB558" s="185" t="n">
        <v>40725</v>
      </c>
      <c r="AC558" s="184" t="n">
        <v>29.3</v>
      </c>
      <c r="AD558" s="185" t="n">
        <v>40725</v>
      </c>
      <c r="AE558" s="196"/>
      <c r="AF558" s="185"/>
      <c r="AG558" s="184" t="n">
        <v>4.27</v>
      </c>
      <c r="AH558" s="185" t="n">
        <v>40725</v>
      </c>
      <c r="AI558" s="183"/>
      <c r="AJ558" s="183"/>
      <c r="AK558" s="182"/>
      <c r="AL558" s="182"/>
      <c r="AM558" s="184" t="n">
        <v>85</v>
      </c>
      <c r="AN558" s="183" t="n">
        <v>40630</v>
      </c>
      <c r="AO558" s="182"/>
      <c r="AP558" s="182"/>
      <c r="AQ558" s="183"/>
      <c r="AR558" s="183"/>
      <c r="AS558" s="182"/>
      <c r="AT558" s="182"/>
      <c r="AU558" s="183"/>
      <c r="AV558" s="183"/>
      <c r="AW558" s="182"/>
      <c r="AX558" s="182"/>
      <c r="AY558" s="183"/>
      <c r="AZ558" s="183"/>
      <c r="BA558" s="182"/>
      <c r="BB558" s="182"/>
      <c r="BK558" s="183"/>
      <c r="BL558" s="183"/>
      <c r="BM558" s="182"/>
      <c r="BN558" s="182"/>
      <c r="BO558" s="183"/>
      <c r="BP558" s="183"/>
      <c r="BQ558" s="182"/>
      <c r="BR558" s="182"/>
      <c r="BS558" s="184" t="n">
        <v>51.6</v>
      </c>
      <c r="BT558" s="185" t="n">
        <v>40725</v>
      </c>
      <c r="BU558" s="184" t="n">
        <v>16.7</v>
      </c>
      <c r="BV558" s="185" t="n">
        <v>40725</v>
      </c>
      <c r="CL558" s="182"/>
      <c r="CM558" s="182"/>
    </row>
    <row r="559" customFormat="false" ht="12.75" hidden="false" customHeight="false" outlineLevel="0" collapsed="false">
      <c r="A559" s="204" t="s">
        <v>702</v>
      </c>
      <c r="B559" s="193" t="s">
        <v>785</v>
      </c>
      <c r="C559" s="193" t="s">
        <v>875</v>
      </c>
      <c r="D559" s="193"/>
      <c r="E559" s="194" t="n">
        <v>8</v>
      </c>
      <c r="F559" s="195" t="n">
        <v>20</v>
      </c>
      <c r="G559" s="119"/>
      <c r="H559" s="119"/>
      <c r="J559" s="118"/>
      <c r="K559" s="118"/>
      <c r="L559" s="181"/>
      <c r="N559" s="182"/>
      <c r="O559" s="182"/>
      <c r="S559" s="184" t="n">
        <v>2518</v>
      </c>
      <c r="T559" s="185" t="n">
        <v>40725</v>
      </c>
      <c r="U559" s="182"/>
      <c r="V559" s="182"/>
      <c r="W559" s="183"/>
      <c r="X559" s="183"/>
      <c r="Y559" s="184" t="n">
        <v>747</v>
      </c>
      <c r="Z559" s="185" t="n">
        <v>40725</v>
      </c>
      <c r="AA559" s="184" t="n">
        <v>114082</v>
      </c>
      <c r="AB559" s="185" t="n">
        <v>40725</v>
      </c>
      <c r="AC559" s="184" t="n">
        <v>47.4</v>
      </c>
      <c r="AD559" s="185" t="n">
        <v>40725</v>
      </c>
      <c r="AE559" s="196"/>
      <c r="AF559" s="185"/>
      <c r="AG559" s="184" t="n">
        <v>4.15</v>
      </c>
      <c r="AH559" s="185" t="n">
        <v>40725</v>
      </c>
      <c r="AI559" s="183"/>
      <c r="AJ559" s="183"/>
      <c r="AK559" s="182"/>
      <c r="AL559" s="182"/>
      <c r="AM559" s="184" t="n">
        <v>87</v>
      </c>
      <c r="AN559" s="183" t="n">
        <v>40630</v>
      </c>
      <c r="AO559" s="182"/>
      <c r="AP559" s="182"/>
      <c r="AQ559" s="183"/>
      <c r="AR559" s="183"/>
      <c r="AS559" s="182"/>
      <c r="AT559" s="182"/>
      <c r="AU559" s="183"/>
      <c r="AV559" s="183"/>
      <c r="AW559" s="182"/>
      <c r="AX559" s="182"/>
      <c r="AY559" s="183"/>
      <c r="AZ559" s="183"/>
      <c r="BA559" s="182"/>
      <c r="BB559" s="182"/>
      <c r="BK559" s="183"/>
      <c r="BL559" s="183"/>
      <c r="BM559" s="182"/>
      <c r="BN559" s="182"/>
      <c r="BO559" s="183"/>
      <c r="BP559" s="183"/>
      <c r="BQ559" s="182"/>
      <c r="BR559" s="182"/>
      <c r="BS559" s="184" t="n">
        <v>53.2</v>
      </c>
      <c r="BT559" s="185" t="n">
        <v>40725</v>
      </c>
      <c r="BU559" s="184" t="n">
        <v>15.8</v>
      </c>
      <c r="BV559" s="185" t="n">
        <v>40725</v>
      </c>
      <c r="CL559" s="182"/>
      <c r="CM559" s="182"/>
    </row>
    <row r="560" customFormat="false" ht="12.75" hidden="false" customHeight="false" outlineLevel="0" collapsed="false">
      <c r="A560" s="204" t="s">
        <v>702</v>
      </c>
      <c r="B560" s="193" t="s">
        <v>785</v>
      </c>
      <c r="C560" s="193" t="s">
        <v>876</v>
      </c>
      <c r="D560" s="193"/>
      <c r="E560" s="194" t="n">
        <v>1</v>
      </c>
      <c r="F560" s="195" t="n">
        <v>37</v>
      </c>
      <c r="G560" s="119"/>
      <c r="H560" s="119"/>
      <c r="J560" s="118"/>
      <c r="K560" s="118"/>
      <c r="L560" s="181"/>
      <c r="N560" s="182"/>
      <c r="O560" s="182"/>
      <c r="S560" s="184" t="n">
        <v>1802</v>
      </c>
      <c r="T560" s="185" t="n">
        <v>40725</v>
      </c>
      <c r="U560" s="182"/>
      <c r="V560" s="182"/>
      <c r="W560" s="183"/>
      <c r="X560" s="183"/>
      <c r="Y560" s="184" t="n">
        <v>604</v>
      </c>
      <c r="Z560" s="185" t="n">
        <v>40725</v>
      </c>
      <c r="AA560" s="184" t="n">
        <v>76914</v>
      </c>
      <c r="AB560" s="185" t="n">
        <v>40725</v>
      </c>
      <c r="AC560" s="184" t="n">
        <v>34.8</v>
      </c>
      <c r="AD560" s="185" t="n">
        <v>40725</v>
      </c>
      <c r="AE560" s="196"/>
      <c r="AF560" s="185"/>
      <c r="AG560" s="184" t="n">
        <v>4.52</v>
      </c>
      <c r="AH560" s="185" t="n">
        <v>40725</v>
      </c>
      <c r="AI560" s="183"/>
      <c r="AJ560" s="183"/>
      <c r="AK560" s="182"/>
      <c r="AL560" s="182"/>
      <c r="AM560" s="184" t="n">
        <v>86</v>
      </c>
      <c r="AN560" s="183" t="n">
        <v>40630</v>
      </c>
      <c r="AO560" s="182"/>
      <c r="AP560" s="182"/>
      <c r="AQ560" s="183"/>
      <c r="AR560" s="183"/>
      <c r="AS560" s="182"/>
      <c r="AT560" s="182"/>
      <c r="AU560" s="183"/>
      <c r="AV560" s="183"/>
      <c r="AW560" s="182"/>
      <c r="AX560" s="182"/>
      <c r="AY560" s="183"/>
      <c r="AZ560" s="183"/>
      <c r="BA560" s="182"/>
      <c r="BB560" s="182"/>
      <c r="BK560" s="183"/>
      <c r="BL560" s="183"/>
      <c r="BM560" s="182"/>
      <c r="BN560" s="182"/>
      <c r="BO560" s="183"/>
      <c r="BP560" s="183"/>
      <c r="BQ560" s="182"/>
      <c r="BR560" s="182"/>
      <c r="BS560" s="184" t="n">
        <v>51.8</v>
      </c>
      <c r="BT560" s="185" t="n">
        <v>40725</v>
      </c>
      <c r="BU560" s="184" t="n">
        <v>17.4</v>
      </c>
      <c r="BV560" s="185" t="n">
        <v>40725</v>
      </c>
      <c r="CL560" s="182"/>
      <c r="CM560" s="182"/>
    </row>
    <row r="561" customFormat="false" ht="12.75" hidden="false" customHeight="false" outlineLevel="0" collapsed="false">
      <c r="A561" s="204" t="s">
        <v>702</v>
      </c>
      <c r="B561" s="193" t="s">
        <v>785</v>
      </c>
      <c r="C561" s="193" t="s">
        <v>877</v>
      </c>
      <c r="D561" s="193"/>
      <c r="E561" s="119" t="n">
        <v>20</v>
      </c>
      <c r="F561" s="195" t="n">
        <v>80</v>
      </c>
      <c r="G561" s="119"/>
      <c r="H561" s="119"/>
      <c r="J561" s="118"/>
      <c r="K561" s="118"/>
      <c r="L561" s="181"/>
      <c r="N561" s="182"/>
      <c r="O561" s="182"/>
      <c r="S561" s="184" t="n">
        <v>2353</v>
      </c>
      <c r="T561" s="185" t="n">
        <v>40725</v>
      </c>
      <c r="U561" s="182"/>
      <c r="V561" s="182"/>
      <c r="W561" s="183"/>
      <c r="X561" s="183"/>
      <c r="Y561" s="184" t="n">
        <v>809</v>
      </c>
      <c r="Z561" s="185" t="n">
        <v>40725</v>
      </c>
      <c r="AA561" s="184" t="n">
        <v>97487</v>
      </c>
      <c r="AB561" s="185" t="n">
        <v>40725</v>
      </c>
      <c r="AC561" s="184" t="n">
        <v>45.7</v>
      </c>
      <c r="AD561" s="185" t="n">
        <v>40725</v>
      </c>
      <c r="AE561" s="196"/>
      <c r="AF561" s="185"/>
      <c r="AG561" s="184" t="n">
        <v>4.69</v>
      </c>
      <c r="AH561" s="185" t="n">
        <v>40725</v>
      </c>
      <c r="AI561" s="183"/>
      <c r="AJ561" s="183"/>
      <c r="AK561" s="182"/>
      <c r="AL561" s="182"/>
      <c r="AM561" s="184" t="n">
        <v>86</v>
      </c>
      <c r="AN561" s="183" t="n">
        <v>40630</v>
      </c>
      <c r="AO561" s="182"/>
      <c r="AP561" s="182"/>
      <c r="AQ561" s="183"/>
      <c r="AR561" s="183"/>
      <c r="AS561" s="182"/>
      <c r="AT561" s="182"/>
      <c r="AU561" s="183"/>
      <c r="AV561" s="183"/>
      <c r="AW561" s="182"/>
      <c r="AX561" s="182"/>
      <c r="AY561" s="183"/>
      <c r="AZ561" s="183"/>
      <c r="BA561" s="182"/>
      <c r="BB561" s="182"/>
      <c r="BK561" s="183"/>
      <c r="BL561" s="183"/>
      <c r="BM561" s="182"/>
      <c r="BN561" s="182"/>
      <c r="BO561" s="183"/>
      <c r="BP561" s="183"/>
      <c r="BQ561" s="182"/>
      <c r="BR561" s="182"/>
      <c r="BS561" s="184" t="n">
        <v>51.5</v>
      </c>
      <c r="BT561" s="185" t="n">
        <v>40725</v>
      </c>
      <c r="BU561" s="184" t="n">
        <v>17.7</v>
      </c>
      <c r="BV561" s="185" t="n">
        <v>40725</v>
      </c>
      <c r="CL561" s="182"/>
      <c r="CM561" s="182"/>
    </row>
    <row r="562" customFormat="false" ht="12.75" hidden="false" customHeight="false" outlineLevel="0" collapsed="false">
      <c r="A562" s="204" t="s">
        <v>705</v>
      </c>
      <c r="B562" s="193" t="s">
        <v>782</v>
      </c>
      <c r="C562" s="193" t="s">
        <v>875</v>
      </c>
      <c r="D562" s="193"/>
      <c r="E562" s="194" t="n">
        <v>3</v>
      </c>
      <c r="F562" s="195" t="n">
        <v>25</v>
      </c>
      <c r="G562" s="119"/>
      <c r="H562" s="119"/>
      <c r="J562" s="118"/>
      <c r="K562" s="118"/>
      <c r="L562" s="181"/>
      <c r="N562" s="182"/>
      <c r="O562" s="182"/>
      <c r="S562" s="184" t="n">
        <v>1686</v>
      </c>
      <c r="T562" s="185" t="n">
        <v>40725</v>
      </c>
      <c r="U562" s="182"/>
      <c r="V562" s="182"/>
      <c r="W562" s="183"/>
      <c r="X562" s="183"/>
      <c r="Y562" s="184" t="n">
        <v>541</v>
      </c>
      <c r="Z562" s="185" t="n">
        <v>40725</v>
      </c>
      <c r="AA562" s="184" t="n">
        <v>82617</v>
      </c>
      <c r="AB562" s="185" t="n">
        <v>40725</v>
      </c>
      <c r="AC562" s="184" t="n">
        <v>33.1</v>
      </c>
      <c r="AD562" s="185" t="n">
        <v>40725</v>
      </c>
      <c r="AE562" s="196"/>
      <c r="AF562" s="185"/>
      <c r="AG562" s="184" t="n">
        <v>4</v>
      </c>
      <c r="AH562" s="185" t="n">
        <v>40725</v>
      </c>
      <c r="AI562" s="183"/>
      <c r="AJ562" s="183"/>
      <c r="AK562" s="182"/>
      <c r="AL562" s="182"/>
      <c r="AM562" s="184" t="n">
        <v>85</v>
      </c>
      <c r="AN562" s="183" t="n">
        <v>40630</v>
      </c>
      <c r="AO562" s="182"/>
      <c r="AP562" s="182"/>
      <c r="AQ562" s="183"/>
      <c r="AR562" s="183"/>
      <c r="AS562" s="182"/>
      <c r="AT562" s="182"/>
      <c r="AU562" s="183"/>
      <c r="AV562" s="183"/>
      <c r="AW562" s="182"/>
      <c r="AX562" s="182"/>
      <c r="AY562" s="183"/>
      <c r="AZ562" s="183"/>
      <c r="BA562" s="182"/>
      <c r="BB562" s="182"/>
      <c r="BK562" s="183"/>
      <c r="BL562" s="183"/>
      <c r="BM562" s="182"/>
      <c r="BN562" s="182"/>
      <c r="BO562" s="183"/>
      <c r="BP562" s="183"/>
      <c r="BQ562" s="182"/>
      <c r="BR562" s="182"/>
      <c r="BS562" s="184" t="n">
        <v>51</v>
      </c>
      <c r="BT562" s="185" t="n">
        <v>40725</v>
      </c>
      <c r="BU562" s="184" t="n">
        <v>16.4</v>
      </c>
      <c r="BV562" s="185" t="n">
        <v>40725</v>
      </c>
      <c r="CL562" s="182"/>
      <c r="CM562" s="182"/>
    </row>
    <row r="563" customFormat="false" ht="12.75" hidden="false" customHeight="false" outlineLevel="0" collapsed="false">
      <c r="A563" s="204" t="s">
        <v>705</v>
      </c>
      <c r="B563" s="193" t="s">
        <v>782</v>
      </c>
      <c r="C563" s="193" t="s">
        <v>876</v>
      </c>
      <c r="D563" s="193"/>
      <c r="E563" s="194" t="n">
        <v>6</v>
      </c>
      <c r="F563" s="195" t="n">
        <v>39</v>
      </c>
      <c r="G563" s="119"/>
      <c r="H563" s="119"/>
      <c r="J563" s="118"/>
      <c r="K563" s="118"/>
      <c r="L563" s="181"/>
      <c r="N563" s="182"/>
      <c r="O563" s="182"/>
      <c r="S563" s="184" t="n">
        <v>1676</v>
      </c>
      <c r="T563" s="185" t="n">
        <v>40725</v>
      </c>
      <c r="U563" s="182"/>
      <c r="V563" s="182"/>
      <c r="W563" s="183"/>
      <c r="X563" s="183"/>
      <c r="Y563" s="184" t="n">
        <v>518</v>
      </c>
      <c r="Z563" s="185" t="n">
        <v>40725</v>
      </c>
      <c r="AA563" s="184" t="n">
        <v>80789</v>
      </c>
      <c r="AB563" s="185" t="n">
        <v>40725</v>
      </c>
      <c r="AC563" s="184" t="n">
        <v>32.2</v>
      </c>
      <c r="AD563" s="185" t="n">
        <v>40725</v>
      </c>
      <c r="AE563" s="196"/>
      <c r="AF563" s="185"/>
      <c r="AG563" s="184" t="n">
        <v>3.99</v>
      </c>
      <c r="AH563" s="185" t="n">
        <v>40725</v>
      </c>
      <c r="AI563" s="183"/>
      <c r="AJ563" s="183"/>
      <c r="AK563" s="182"/>
      <c r="AL563" s="182"/>
      <c r="AM563" s="184" t="n">
        <v>84</v>
      </c>
      <c r="AN563" s="183" t="n">
        <v>40630</v>
      </c>
      <c r="AO563" s="182"/>
      <c r="AP563" s="182"/>
      <c r="AQ563" s="183"/>
      <c r="AR563" s="183"/>
      <c r="AS563" s="182"/>
      <c r="AT563" s="182"/>
      <c r="AU563" s="183"/>
      <c r="AV563" s="183"/>
      <c r="AW563" s="182"/>
      <c r="AX563" s="182"/>
      <c r="AY563" s="183"/>
      <c r="AZ563" s="183"/>
      <c r="BA563" s="182"/>
      <c r="BB563" s="182"/>
      <c r="BK563" s="183"/>
      <c r="BL563" s="183"/>
      <c r="BM563" s="182"/>
      <c r="BN563" s="182"/>
      <c r="BO563" s="183"/>
      <c r="BP563" s="183"/>
      <c r="BQ563" s="182"/>
      <c r="BR563" s="182"/>
      <c r="BS563" s="184" t="n">
        <v>52</v>
      </c>
      <c r="BT563" s="185" t="n">
        <v>40725</v>
      </c>
      <c r="BU563" s="184" t="n">
        <v>16.1</v>
      </c>
      <c r="BV563" s="185" t="n">
        <v>40725</v>
      </c>
      <c r="CL563" s="182"/>
      <c r="CM563" s="182"/>
    </row>
    <row r="564" customFormat="false" ht="12.75" hidden="false" customHeight="false" outlineLevel="0" collapsed="false">
      <c r="A564" s="204" t="s">
        <v>705</v>
      </c>
      <c r="B564" s="193" t="s">
        <v>782</v>
      </c>
      <c r="C564" s="193" t="s">
        <v>877</v>
      </c>
      <c r="D564" s="193"/>
      <c r="E564" s="119" t="n">
        <v>17</v>
      </c>
      <c r="F564" s="195" t="n">
        <v>76</v>
      </c>
      <c r="G564" s="119"/>
      <c r="H564" s="119"/>
      <c r="J564" s="118"/>
      <c r="K564" s="118"/>
      <c r="L564" s="181"/>
      <c r="N564" s="182"/>
      <c r="O564" s="182"/>
      <c r="S564" s="184" t="n">
        <v>1641</v>
      </c>
      <c r="T564" s="185" t="n">
        <v>40725</v>
      </c>
      <c r="U564" s="182"/>
      <c r="V564" s="182"/>
      <c r="W564" s="183"/>
      <c r="X564" s="183"/>
      <c r="Y564" s="184" t="n">
        <v>556</v>
      </c>
      <c r="Z564" s="185" t="n">
        <v>40725</v>
      </c>
      <c r="AA564" s="184" t="n">
        <v>77811</v>
      </c>
      <c r="AB564" s="185" t="n">
        <v>40725</v>
      </c>
      <c r="AC564" s="184" t="n">
        <v>32.3</v>
      </c>
      <c r="AD564" s="185" t="n">
        <v>40725</v>
      </c>
      <c r="AE564" s="196"/>
      <c r="AF564" s="185"/>
      <c r="AG564" s="184" t="n">
        <v>4.15</v>
      </c>
      <c r="AH564" s="185" t="n">
        <v>40725</v>
      </c>
      <c r="AI564" s="183"/>
      <c r="AJ564" s="183"/>
      <c r="AK564" s="182"/>
      <c r="AL564" s="182"/>
      <c r="AM564" s="184" t="n">
        <v>84</v>
      </c>
      <c r="AN564" s="183" t="n">
        <v>40630</v>
      </c>
      <c r="AO564" s="182"/>
      <c r="AP564" s="182"/>
      <c r="AQ564" s="183"/>
      <c r="AR564" s="183"/>
      <c r="AS564" s="182"/>
      <c r="AT564" s="182"/>
      <c r="AU564" s="183"/>
      <c r="AV564" s="183"/>
      <c r="AW564" s="182"/>
      <c r="AX564" s="182"/>
      <c r="AY564" s="183"/>
      <c r="AZ564" s="183"/>
      <c r="BA564" s="182"/>
      <c r="BB564" s="182"/>
      <c r="BK564" s="183"/>
      <c r="BL564" s="183"/>
      <c r="BM564" s="182"/>
      <c r="BN564" s="182"/>
      <c r="BO564" s="183"/>
      <c r="BP564" s="183"/>
      <c r="BQ564" s="182"/>
      <c r="BR564" s="182"/>
      <c r="BS564" s="184" t="n">
        <v>50.8</v>
      </c>
      <c r="BT564" s="185" t="n">
        <v>40725</v>
      </c>
      <c r="BU564" s="184" t="n">
        <v>17.2</v>
      </c>
      <c r="BV564" s="185" t="n">
        <v>40725</v>
      </c>
      <c r="CL564" s="182"/>
      <c r="CM564" s="182"/>
    </row>
    <row r="565" customFormat="false" ht="12.75" hidden="false" customHeight="false" outlineLevel="0" collapsed="false">
      <c r="A565" s="204" t="s">
        <v>705</v>
      </c>
      <c r="B565" s="193" t="s">
        <v>785</v>
      </c>
      <c r="C565" s="193" t="s">
        <v>875</v>
      </c>
      <c r="D565" s="193"/>
      <c r="E565" s="194" t="n">
        <v>6</v>
      </c>
      <c r="F565" s="195" t="n">
        <v>24</v>
      </c>
      <c r="G565" s="119"/>
      <c r="H565" s="119"/>
      <c r="J565" s="118"/>
      <c r="K565" s="118"/>
      <c r="L565" s="181"/>
      <c r="N565" s="182"/>
      <c r="O565" s="182"/>
      <c r="S565" s="184" t="n">
        <v>2294</v>
      </c>
      <c r="T565" s="185" t="n">
        <v>40725</v>
      </c>
      <c r="U565" s="182"/>
      <c r="V565" s="182"/>
      <c r="W565" s="183"/>
      <c r="X565" s="183"/>
      <c r="Y565" s="184" t="n">
        <v>747</v>
      </c>
      <c r="Z565" s="185" t="n">
        <v>40725</v>
      </c>
      <c r="AA565" s="184" t="n">
        <v>113159</v>
      </c>
      <c r="AB565" s="185" t="n">
        <v>40725</v>
      </c>
      <c r="AC565" s="184" t="n">
        <v>44.3</v>
      </c>
      <c r="AD565" s="185" t="n">
        <v>40725</v>
      </c>
      <c r="AE565" s="196"/>
      <c r="AF565" s="185"/>
      <c r="AG565" s="184" t="n">
        <v>3.92</v>
      </c>
      <c r="AH565" s="185" t="n">
        <v>40725</v>
      </c>
      <c r="AI565" s="183"/>
      <c r="AJ565" s="183"/>
      <c r="AK565" s="182"/>
      <c r="AL565" s="182"/>
      <c r="AM565" s="184" t="n">
        <v>87</v>
      </c>
      <c r="AN565" s="183" t="n">
        <v>40630</v>
      </c>
      <c r="AO565" s="182"/>
      <c r="AP565" s="182"/>
      <c r="AQ565" s="183"/>
      <c r="AR565" s="183"/>
      <c r="AS565" s="182"/>
      <c r="AT565" s="182"/>
      <c r="AU565" s="183"/>
      <c r="AV565" s="183"/>
      <c r="AW565" s="182"/>
      <c r="AX565" s="182"/>
      <c r="AY565" s="183"/>
      <c r="AZ565" s="183"/>
      <c r="BA565" s="182"/>
      <c r="BB565" s="182"/>
      <c r="BK565" s="183"/>
      <c r="BL565" s="183"/>
      <c r="BM565" s="182"/>
      <c r="BN565" s="182"/>
      <c r="BO565" s="183"/>
      <c r="BP565" s="183"/>
      <c r="BQ565" s="182"/>
      <c r="BR565" s="182"/>
      <c r="BS565" s="184" t="n">
        <v>51.7</v>
      </c>
      <c r="BT565" s="185" t="n">
        <v>40725</v>
      </c>
      <c r="BU565" s="184" t="n">
        <v>16.8</v>
      </c>
      <c r="BV565" s="185" t="n">
        <v>40725</v>
      </c>
      <c r="CL565" s="182"/>
      <c r="CM565" s="182"/>
    </row>
    <row r="566" customFormat="false" ht="12.75" hidden="false" customHeight="false" outlineLevel="0" collapsed="false">
      <c r="A566" s="204" t="s">
        <v>705</v>
      </c>
      <c r="B566" s="193" t="s">
        <v>785</v>
      </c>
      <c r="C566" s="193" t="s">
        <v>876</v>
      </c>
      <c r="D566" s="193"/>
      <c r="E566" s="194" t="n">
        <v>1</v>
      </c>
      <c r="F566" s="195" t="n">
        <v>42</v>
      </c>
      <c r="G566" s="119"/>
      <c r="H566" s="119"/>
      <c r="J566" s="118"/>
      <c r="K566" s="118"/>
      <c r="L566" s="181"/>
      <c r="N566" s="182"/>
      <c r="O566" s="182"/>
      <c r="S566" s="184" t="n">
        <v>1940</v>
      </c>
      <c r="T566" s="185" t="n">
        <v>40725</v>
      </c>
      <c r="U566" s="182"/>
      <c r="V566" s="182"/>
      <c r="W566" s="183"/>
      <c r="X566" s="183"/>
      <c r="Y566" s="184" t="n">
        <v>702</v>
      </c>
      <c r="Z566" s="185" t="n">
        <v>40725</v>
      </c>
      <c r="AA566" s="184" t="n">
        <v>93150</v>
      </c>
      <c r="AB566" s="185" t="n">
        <v>40725</v>
      </c>
      <c r="AC566" s="184" t="n">
        <v>38.5</v>
      </c>
      <c r="AD566" s="185" t="n">
        <v>40725</v>
      </c>
      <c r="AE566" s="196"/>
      <c r="AF566" s="185"/>
      <c r="AG566" s="184" t="n">
        <v>4.14</v>
      </c>
      <c r="AH566" s="185" t="n">
        <v>40725</v>
      </c>
      <c r="AI566" s="183"/>
      <c r="AJ566" s="183"/>
      <c r="AK566" s="182"/>
      <c r="AL566" s="182"/>
      <c r="AM566" s="184" t="n">
        <v>85</v>
      </c>
      <c r="AN566" s="183" t="n">
        <v>40630</v>
      </c>
      <c r="AO566" s="182"/>
      <c r="AP566" s="182"/>
      <c r="AQ566" s="183"/>
      <c r="AR566" s="183"/>
      <c r="AS566" s="182"/>
      <c r="AT566" s="182"/>
      <c r="AU566" s="183"/>
      <c r="AV566" s="183"/>
      <c r="AW566" s="182"/>
      <c r="AX566" s="182"/>
      <c r="AY566" s="183"/>
      <c r="AZ566" s="183"/>
      <c r="BA566" s="182"/>
      <c r="BB566" s="182"/>
      <c r="BK566" s="183"/>
      <c r="BL566" s="183"/>
      <c r="BM566" s="182"/>
      <c r="BN566" s="182"/>
      <c r="BO566" s="183"/>
      <c r="BP566" s="183"/>
      <c r="BQ566" s="182"/>
      <c r="BR566" s="182"/>
      <c r="BS566" s="184" t="n">
        <v>50.4</v>
      </c>
      <c r="BT566" s="185" t="n">
        <v>40725</v>
      </c>
      <c r="BU566" s="184" t="n">
        <v>18.2</v>
      </c>
      <c r="BV566" s="185" t="n">
        <v>40725</v>
      </c>
      <c r="CL566" s="182"/>
      <c r="CM566" s="182"/>
    </row>
    <row r="567" customFormat="false" ht="12.75" hidden="false" customHeight="false" outlineLevel="0" collapsed="false">
      <c r="A567" s="204" t="s">
        <v>705</v>
      </c>
      <c r="B567" s="193" t="s">
        <v>785</v>
      </c>
      <c r="C567" s="193" t="s">
        <v>877</v>
      </c>
      <c r="D567" s="193"/>
      <c r="E567" s="119" t="n">
        <v>23</v>
      </c>
      <c r="F567" s="195" t="n">
        <v>76</v>
      </c>
      <c r="G567" s="119"/>
      <c r="H567" s="119"/>
      <c r="J567" s="118"/>
      <c r="K567" s="118"/>
      <c r="L567" s="181"/>
      <c r="N567" s="182"/>
      <c r="O567" s="182"/>
      <c r="S567" s="184" t="n">
        <v>1825</v>
      </c>
      <c r="T567" s="185" t="n">
        <v>40725</v>
      </c>
      <c r="U567" s="182"/>
      <c r="V567" s="182"/>
      <c r="W567" s="183"/>
      <c r="X567" s="183"/>
      <c r="Y567" s="184" t="n">
        <v>683</v>
      </c>
      <c r="Z567" s="185" t="n">
        <v>40725</v>
      </c>
      <c r="AA567" s="184" t="n">
        <v>87869</v>
      </c>
      <c r="AB567" s="185" t="n">
        <v>40725</v>
      </c>
      <c r="AC567" s="184" t="n">
        <v>36.5</v>
      </c>
      <c r="AD567" s="185" t="n">
        <v>40725</v>
      </c>
      <c r="AE567" s="196"/>
      <c r="AF567" s="185"/>
      <c r="AG567" s="184" t="n">
        <v>4.16</v>
      </c>
      <c r="AH567" s="185" t="n">
        <v>40725</v>
      </c>
      <c r="AI567" s="183"/>
      <c r="AJ567" s="183"/>
      <c r="AK567" s="182"/>
      <c r="AL567" s="182"/>
      <c r="AM567" s="184" t="n">
        <v>85</v>
      </c>
      <c r="AN567" s="183" t="n">
        <v>40630</v>
      </c>
      <c r="AO567" s="182"/>
      <c r="AP567" s="182"/>
      <c r="AQ567" s="183"/>
      <c r="AR567" s="183"/>
      <c r="AS567" s="182"/>
      <c r="AT567" s="182"/>
      <c r="AU567" s="183"/>
      <c r="AV567" s="183"/>
      <c r="AW567" s="182"/>
      <c r="AX567" s="182"/>
      <c r="AY567" s="183"/>
      <c r="AZ567" s="183"/>
      <c r="BA567" s="182"/>
      <c r="BB567" s="182"/>
      <c r="BK567" s="183"/>
      <c r="BL567" s="183"/>
      <c r="BM567" s="182"/>
      <c r="BN567" s="182"/>
      <c r="BO567" s="183"/>
      <c r="BP567" s="183"/>
      <c r="BQ567" s="182"/>
      <c r="BR567" s="182"/>
      <c r="BS567" s="184" t="n">
        <v>49.9</v>
      </c>
      <c r="BT567" s="185" t="n">
        <v>40725</v>
      </c>
      <c r="BU567" s="184" t="n">
        <v>18.7</v>
      </c>
      <c r="BV567" s="185" t="n">
        <v>40725</v>
      </c>
      <c r="CL567" s="182"/>
      <c r="CM567" s="182"/>
    </row>
    <row r="568" customFormat="false" ht="12.75" hidden="false" customHeight="false" outlineLevel="0" collapsed="false">
      <c r="A568" s="204" t="s">
        <v>708</v>
      </c>
      <c r="B568" s="193" t="s">
        <v>782</v>
      </c>
      <c r="C568" s="193" t="s">
        <v>875</v>
      </c>
      <c r="D568" s="193"/>
      <c r="E568" s="194" t="n">
        <v>4</v>
      </c>
      <c r="F568" s="195" t="n">
        <v>13</v>
      </c>
      <c r="G568" s="119"/>
      <c r="H568" s="119"/>
      <c r="J568" s="118"/>
      <c r="K568" s="118"/>
      <c r="L568" s="181"/>
      <c r="N568" s="182"/>
      <c r="O568" s="182"/>
      <c r="S568" s="184" t="n">
        <v>1819</v>
      </c>
      <c r="T568" s="185" t="n">
        <v>40725</v>
      </c>
      <c r="U568" s="182"/>
      <c r="V568" s="182"/>
      <c r="W568" s="183"/>
      <c r="X568" s="183"/>
      <c r="Y568" s="184" t="n">
        <v>555</v>
      </c>
      <c r="Z568" s="185" t="n">
        <v>40725</v>
      </c>
      <c r="AA568" s="184" t="n">
        <v>90324</v>
      </c>
      <c r="AB568" s="185" t="n">
        <v>40725</v>
      </c>
      <c r="AC568" s="184" t="n">
        <v>35.1</v>
      </c>
      <c r="AD568" s="185" t="n">
        <v>40725</v>
      </c>
      <c r="AE568" s="196"/>
      <c r="AF568" s="185"/>
      <c r="AG568" s="184" t="n">
        <v>3.88</v>
      </c>
      <c r="AH568" s="185" t="n">
        <v>40725</v>
      </c>
      <c r="AI568" s="183"/>
      <c r="AJ568" s="183"/>
      <c r="AK568" s="182"/>
      <c r="AL568" s="182"/>
      <c r="AM568" s="184" t="n">
        <v>85</v>
      </c>
      <c r="AN568" s="183" t="n">
        <v>40630</v>
      </c>
      <c r="AO568" s="182"/>
      <c r="AP568" s="182"/>
      <c r="AQ568" s="183"/>
      <c r="AR568" s="183"/>
      <c r="AS568" s="182"/>
      <c r="AT568" s="182"/>
      <c r="AU568" s="183"/>
      <c r="AV568" s="183"/>
      <c r="AW568" s="182"/>
      <c r="AX568" s="182"/>
      <c r="AY568" s="183"/>
      <c r="AZ568" s="183"/>
      <c r="BA568" s="182"/>
      <c r="BB568" s="182"/>
      <c r="BK568" s="183"/>
      <c r="BL568" s="183"/>
      <c r="BM568" s="182"/>
      <c r="BN568" s="182"/>
      <c r="BO568" s="183"/>
      <c r="BP568" s="183"/>
      <c r="BQ568" s="182"/>
      <c r="BR568" s="182"/>
      <c r="BS568" s="184" t="n">
        <v>51.9</v>
      </c>
      <c r="BT568" s="185" t="n">
        <v>40725</v>
      </c>
      <c r="BU568" s="184" t="n">
        <v>15.8</v>
      </c>
      <c r="BV568" s="185" t="n">
        <v>40725</v>
      </c>
      <c r="CL568" s="182"/>
      <c r="CM568" s="182"/>
    </row>
    <row r="569" customFormat="false" ht="12.75" hidden="false" customHeight="false" outlineLevel="0" collapsed="false">
      <c r="A569" s="204" t="s">
        <v>708</v>
      </c>
      <c r="B569" s="193" t="s">
        <v>782</v>
      </c>
      <c r="C569" s="193" t="s">
        <v>876</v>
      </c>
      <c r="D569" s="193"/>
      <c r="E569" s="194" t="n">
        <v>6</v>
      </c>
      <c r="F569" s="195" t="n">
        <v>44</v>
      </c>
      <c r="G569" s="119"/>
      <c r="H569" s="119"/>
      <c r="J569" s="118"/>
      <c r="K569" s="118"/>
      <c r="L569" s="181"/>
      <c r="N569" s="182"/>
      <c r="O569" s="182"/>
      <c r="S569" s="184" t="n">
        <v>1749</v>
      </c>
      <c r="T569" s="185" t="n">
        <v>40725</v>
      </c>
      <c r="U569" s="182"/>
      <c r="V569" s="182"/>
      <c r="W569" s="183"/>
      <c r="X569" s="183"/>
      <c r="Y569" s="184" t="n">
        <v>535</v>
      </c>
      <c r="Z569" s="185" t="n">
        <v>40725</v>
      </c>
      <c r="AA569" s="184" t="n">
        <v>86134</v>
      </c>
      <c r="AB569" s="185" t="n">
        <v>40725</v>
      </c>
      <c r="AC569" s="184" t="n">
        <v>33.7</v>
      </c>
      <c r="AD569" s="185" t="n">
        <v>40725</v>
      </c>
      <c r="AE569" s="196"/>
      <c r="AF569" s="185"/>
      <c r="AG569" s="184" t="n">
        <v>3.91</v>
      </c>
      <c r="AH569" s="185" t="n">
        <v>40725</v>
      </c>
      <c r="AI569" s="183"/>
      <c r="AJ569" s="183"/>
      <c r="AK569" s="182"/>
      <c r="AL569" s="182"/>
      <c r="AM569" s="184" t="n">
        <v>85</v>
      </c>
      <c r="AN569" s="183" t="n">
        <v>40630</v>
      </c>
      <c r="AO569" s="182"/>
      <c r="AP569" s="182"/>
      <c r="AQ569" s="183"/>
      <c r="AR569" s="183"/>
      <c r="AS569" s="182"/>
      <c r="AT569" s="182"/>
      <c r="AU569" s="183"/>
      <c r="AV569" s="183"/>
      <c r="AW569" s="182"/>
      <c r="AX569" s="182"/>
      <c r="AY569" s="183"/>
      <c r="AZ569" s="183"/>
      <c r="BA569" s="182"/>
      <c r="BB569" s="182"/>
      <c r="BK569" s="183"/>
      <c r="BL569" s="183"/>
      <c r="BM569" s="182"/>
      <c r="BN569" s="182"/>
      <c r="BO569" s="183"/>
      <c r="BP569" s="183"/>
      <c r="BQ569" s="182"/>
      <c r="BR569" s="182"/>
      <c r="BS569" s="184" t="n">
        <v>52</v>
      </c>
      <c r="BT569" s="185" t="n">
        <v>40725</v>
      </c>
      <c r="BU569" s="184" t="n">
        <v>15.9</v>
      </c>
      <c r="BV569" s="185" t="n">
        <v>40725</v>
      </c>
      <c r="CL569" s="182"/>
      <c r="CM569" s="182"/>
    </row>
    <row r="570" customFormat="false" ht="12.75" hidden="false" customHeight="false" outlineLevel="0" collapsed="false">
      <c r="A570" s="204" t="s">
        <v>708</v>
      </c>
      <c r="B570" s="193" t="s">
        <v>782</v>
      </c>
      <c r="C570" s="193" t="s">
        <v>877</v>
      </c>
      <c r="D570" s="193"/>
      <c r="E570" s="119" t="n">
        <v>15</v>
      </c>
      <c r="F570" s="195" t="n">
        <v>79</v>
      </c>
      <c r="G570" s="119"/>
      <c r="H570" s="119"/>
      <c r="J570" s="118"/>
      <c r="K570" s="118"/>
      <c r="L570" s="181"/>
      <c r="N570" s="182"/>
      <c r="O570" s="182"/>
      <c r="S570" s="184" t="n">
        <v>1138</v>
      </c>
      <c r="T570" s="185" t="n">
        <v>40725</v>
      </c>
      <c r="U570" s="182"/>
      <c r="V570" s="182"/>
      <c r="W570" s="183"/>
      <c r="X570" s="183"/>
      <c r="Y570" s="184" t="n">
        <v>360</v>
      </c>
      <c r="Z570" s="185" t="n">
        <v>40725</v>
      </c>
      <c r="AA570" s="184" t="n">
        <v>53826</v>
      </c>
      <c r="AB570" s="185" t="n">
        <v>40725</v>
      </c>
      <c r="AC570" s="184" t="n">
        <v>22</v>
      </c>
      <c r="AD570" s="185" t="n">
        <v>40725</v>
      </c>
      <c r="AE570" s="196"/>
      <c r="AF570" s="185"/>
      <c r="AG570" s="184" t="n">
        <v>4.08</v>
      </c>
      <c r="AH570" s="185" t="n">
        <v>40725</v>
      </c>
      <c r="AI570" s="183"/>
      <c r="AJ570" s="183"/>
      <c r="AK570" s="182"/>
      <c r="AL570" s="182"/>
      <c r="AM570" s="184" t="n">
        <v>85</v>
      </c>
      <c r="AN570" s="183" t="n">
        <v>40630</v>
      </c>
      <c r="AO570" s="182"/>
      <c r="AP570" s="182"/>
      <c r="AQ570" s="183"/>
      <c r="AR570" s="183"/>
      <c r="AS570" s="182"/>
      <c r="AT570" s="182"/>
      <c r="AU570" s="183"/>
      <c r="AV570" s="183"/>
      <c r="AW570" s="182"/>
      <c r="AX570" s="182"/>
      <c r="AY570" s="183"/>
      <c r="AZ570" s="183"/>
      <c r="BA570" s="182"/>
      <c r="BB570" s="182"/>
      <c r="BK570" s="183"/>
      <c r="BL570" s="183"/>
      <c r="BM570" s="182"/>
      <c r="BN570" s="182"/>
      <c r="BO570" s="183"/>
      <c r="BP570" s="183"/>
      <c r="BQ570" s="182"/>
      <c r="BR570" s="182"/>
      <c r="BS570" s="184" t="n">
        <v>51.8</v>
      </c>
      <c r="BT570" s="185" t="n">
        <v>40725</v>
      </c>
      <c r="BU570" s="184" t="n">
        <v>16.4</v>
      </c>
      <c r="BV570" s="185" t="n">
        <v>40725</v>
      </c>
      <c r="CL570" s="182"/>
      <c r="CM570" s="182"/>
    </row>
    <row r="571" customFormat="false" ht="12.75" hidden="false" customHeight="false" outlineLevel="0" collapsed="false">
      <c r="A571" s="204" t="s">
        <v>708</v>
      </c>
      <c r="B571" s="193" t="s">
        <v>785</v>
      </c>
      <c r="C571" s="193" t="s">
        <v>875</v>
      </c>
      <c r="D571" s="193"/>
      <c r="E571" s="194" t="n">
        <v>5</v>
      </c>
      <c r="F571" s="195" t="n">
        <v>7</v>
      </c>
      <c r="G571" s="119"/>
      <c r="H571" s="119"/>
      <c r="J571" s="118"/>
      <c r="K571" s="118"/>
      <c r="L571" s="181"/>
      <c r="N571" s="182"/>
      <c r="O571" s="182"/>
      <c r="S571" s="184" t="n">
        <v>2276</v>
      </c>
      <c r="T571" s="185" t="n">
        <v>40725</v>
      </c>
      <c r="U571" s="182"/>
      <c r="V571" s="182"/>
      <c r="W571" s="183"/>
      <c r="X571" s="183"/>
      <c r="Y571" s="184" t="n">
        <v>830</v>
      </c>
      <c r="Z571" s="185" t="n">
        <v>40725</v>
      </c>
      <c r="AA571" s="184" t="n">
        <v>110273</v>
      </c>
      <c r="AB571" s="185" t="n">
        <v>40725</v>
      </c>
      <c r="AC571" s="184" t="n">
        <v>45.5</v>
      </c>
      <c r="AD571" s="185" t="n">
        <v>40725</v>
      </c>
      <c r="AE571" s="196"/>
      <c r="AF571" s="185"/>
      <c r="AG571" s="184" t="n">
        <v>4.13</v>
      </c>
      <c r="AH571" s="185" t="n">
        <v>40725</v>
      </c>
      <c r="AI571" s="183"/>
      <c r="AJ571" s="183"/>
      <c r="AK571" s="182"/>
      <c r="AL571" s="182"/>
      <c r="AM571" s="184" t="n">
        <v>87</v>
      </c>
      <c r="AN571" s="183" t="n">
        <v>40630</v>
      </c>
      <c r="AO571" s="182"/>
      <c r="AP571" s="182"/>
      <c r="AQ571" s="183"/>
      <c r="AR571" s="183"/>
      <c r="AS571" s="182"/>
      <c r="AT571" s="182"/>
      <c r="AU571" s="183"/>
      <c r="AV571" s="183"/>
      <c r="AW571" s="182"/>
      <c r="AX571" s="182"/>
      <c r="AY571" s="183"/>
      <c r="AZ571" s="183"/>
      <c r="BA571" s="182"/>
      <c r="BB571" s="182"/>
      <c r="BK571" s="183"/>
      <c r="BL571" s="183"/>
      <c r="BM571" s="182"/>
      <c r="BN571" s="182"/>
      <c r="BO571" s="183"/>
      <c r="BP571" s="183"/>
      <c r="BQ571" s="182"/>
      <c r="BR571" s="182"/>
      <c r="BS571" s="184" t="n">
        <v>50</v>
      </c>
      <c r="BT571" s="185" t="n">
        <v>40725</v>
      </c>
      <c r="BU571" s="184" t="n">
        <v>18.2</v>
      </c>
      <c r="BV571" s="185" t="n">
        <v>40725</v>
      </c>
      <c r="CL571" s="182"/>
      <c r="CM571" s="182"/>
    </row>
    <row r="572" customFormat="false" ht="12.75" hidden="false" customHeight="false" outlineLevel="0" collapsed="false">
      <c r="A572" s="204" t="s">
        <v>708</v>
      </c>
      <c r="B572" s="193" t="s">
        <v>785</v>
      </c>
      <c r="C572" s="193" t="s">
        <v>876</v>
      </c>
      <c r="D572" s="193"/>
      <c r="E572" s="194" t="n">
        <v>1</v>
      </c>
      <c r="F572" s="195" t="n">
        <v>51</v>
      </c>
      <c r="G572" s="119"/>
      <c r="H572" s="119"/>
      <c r="J572" s="118"/>
      <c r="K572" s="118"/>
      <c r="L572" s="181"/>
      <c r="N572" s="182"/>
      <c r="O572" s="182"/>
      <c r="S572" s="184" t="n">
        <v>1846</v>
      </c>
      <c r="T572" s="185" t="n">
        <v>40725</v>
      </c>
      <c r="U572" s="182"/>
      <c r="V572" s="182"/>
      <c r="W572" s="183"/>
      <c r="X572" s="183"/>
      <c r="Y572" s="184" t="n">
        <v>691</v>
      </c>
      <c r="Z572" s="185" t="n">
        <v>40725</v>
      </c>
      <c r="AA572" s="184" t="n">
        <v>91493</v>
      </c>
      <c r="AB572" s="185" t="n">
        <v>40725</v>
      </c>
      <c r="AC572" s="184" t="n">
        <v>37.4</v>
      </c>
      <c r="AD572" s="185" t="n">
        <v>40725</v>
      </c>
      <c r="AE572" s="196"/>
      <c r="AF572" s="185"/>
      <c r="AG572" s="184" t="n">
        <v>4.08</v>
      </c>
      <c r="AH572" s="185" t="n">
        <v>40725</v>
      </c>
      <c r="AI572" s="183"/>
      <c r="AJ572" s="183"/>
      <c r="AK572" s="182"/>
      <c r="AL572" s="182"/>
      <c r="AM572" s="184" t="n">
        <v>87</v>
      </c>
      <c r="AN572" s="183" t="n">
        <v>40630</v>
      </c>
      <c r="AO572" s="182"/>
      <c r="AP572" s="182"/>
      <c r="AQ572" s="183"/>
      <c r="AR572" s="183"/>
      <c r="AS572" s="182"/>
      <c r="AT572" s="182"/>
      <c r="AU572" s="183"/>
      <c r="AV572" s="183"/>
      <c r="AW572" s="182"/>
      <c r="AX572" s="182"/>
      <c r="AY572" s="183"/>
      <c r="AZ572" s="183"/>
      <c r="BA572" s="182"/>
      <c r="BB572" s="182"/>
      <c r="BK572" s="183"/>
      <c r="BL572" s="183"/>
      <c r="BM572" s="182"/>
      <c r="BN572" s="182"/>
      <c r="BO572" s="183"/>
      <c r="BP572" s="183"/>
      <c r="BQ572" s="182"/>
      <c r="BR572" s="182"/>
      <c r="BS572" s="184" t="n">
        <v>49.4</v>
      </c>
      <c r="BT572" s="185" t="n">
        <v>40725</v>
      </c>
      <c r="BU572" s="184" t="n">
        <v>18.5</v>
      </c>
      <c r="BV572" s="185" t="n">
        <v>40725</v>
      </c>
      <c r="CL572" s="182"/>
      <c r="CM572" s="182"/>
    </row>
    <row r="573" customFormat="false" ht="12.75" hidden="false" customHeight="false" outlineLevel="0" collapsed="false">
      <c r="A573" s="204" t="s">
        <v>708</v>
      </c>
      <c r="B573" s="193" t="s">
        <v>785</v>
      </c>
      <c r="C573" s="193" t="s">
        <v>877</v>
      </c>
      <c r="D573" s="193"/>
      <c r="E573" s="119" t="n">
        <v>23</v>
      </c>
      <c r="F573" s="195" t="n">
        <v>68</v>
      </c>
      <c r="G573" s="119"/>
      <c r="H573" s="119"/>
      <c r="J573" s="118"/>
      <c r="K573" s="118"/>
      <c r="L573" s="181"/>
      <c r="N573" s="182"/>
      <c r="O573" s="182"/>
      <c r="S573" s="184" t="n">
        <v>1607</v>
      </c>
      <c r="T573" s="185" t="n">
        <v>40725</v>
      </c>
      <c r="U573" s="182"/>
      <c r="V573" s="182"/>
      <c r="W573" s="183"/>
      <c r="X573" s="183"/>
      <c r="Y573" s="184" t="n">
        <v>576</v>
      </c>
      <c r="Z573" s="185" t="n">
        <v>40725</v>
      </c>
      <c r="AA573" s="184" t="n">
        <v>74415</v>
      </c>
      <c r="AB573" s="185" t="n">
        <v>40725</v>
      </c>
      <c r="AC573" s="184" t="n">
        <v>32</v>
      </c>
      <c r="AD573" s="185" t="n">
        <v>40725</v>
      </c>
      <c r="AE573" s="196"/>
      <c r="AF573" s="185"/>
      <c r="AG573" s="184" t="n">
        <v>4.3</v>
      </c>
      <c r="AH573" s="185" t="n">
        <v>40725</v>
      </c>
      <c r="AI573" s="183"/>
      <c r="AJ573" s="183"/>
      <c r="AK573" s="182"/>
      <c r="AL573" s="182"/>
      <c r="AM573" s="184" t="n">
        <v>87</v>
      </c>
      <c r="AN573" s="183" t="n">
        <v>40630</v>
      </c>
      <c r="AO573" s="182"/>
      <c r="AP573" s="182"/>
      <c r="AQ573" s="183"/>
      <c r="AR573" s="183"/>
      <c r="AS573" s="182"/>
      <c r="AT573" s="182"/>
      <c r="AU573" s="183"/>
      <c r="AV573" s="183"/>
      <c r="AW573" s="182"/>
      <c r="AX573" s="182"/>
      <c r="AY573" s="183"/>
      <c r="AZ573" s="183"/>
      <c r="BA573" s="182"/>
      <c r="BB573" s="182"/>
      <c r="BK573" s="183"/>
      <c r="BL573" s="183"/>
      <c r="BM573" s="182"/>
      <c r="BN573" s="182"/>
      <c r="BO573" s="183"/>
      <c r="BP573" s="183"/>
      <c r="BQ573" s="182"/>
      <c r="BR573" s="182"/>
      <c r="BS573" s="184" t="n">
        <v>50.2</v>
      </c>
      <c r="BT573" s="185" t="n">
        <v>40725</v>
      </c>
      <c r="BU573" s="184" t="n">
        <v>18</v>
      </c>
      <c r="BV573" s="185" t="n">
        <v>40725</v>
      </c>
      <c r="CL573" s="182"/>
      <c r="CM573" s="182"/>
    </row>
    <row r="574" customFormat="false" ht="12.75" hidden="false" customHeight="false" outlineLevel="0" collapsed="false">
      <c r="A574" s="204" t="s">
        <v>711</v>
      </c>
      <c r="B574" s="193" t="s">
        <v>782</v>
      </c>
      <c r="C574" s="193" t="s">
        <v>875</v>
      </c>
      <c r="D574" s="193"/>
      <c r="E574" s="194" t="n">
        <v>3</v>
      </c>
      <c r="F574" s="195" t="n">
        <v>14</v>
      </c>
      <c r="G574" s="119"/>
      <c r="H574" s="119"/>
      <c r="J574" s="118"/>
      <c r="K574" s="118"/>
      <c r="L574" s="181"/>
      <c r="N574" s="182"/>
      <c r="O574" s="182"/>
      <c r="S574" s="184" t="n">
        <v>1505</v>
      </c>
      <c r="T574" s="185" t="n">
        <v>40725</v>
      </c>
      <c r="U574" s="182"/>
      <c r="V574" s="182"/>
      <c r="W574" s="183"/>
      <c r="X574" s="183"/>
      <c r="Y574" s="184" t="n">
        <v>446</v>
      </c>
      <c r="Z574" s="185" t="n">
        <v>40725</v>
      </c>
      <c r="AA574" s="184" t="n">
        <v>77965</v>
      </c>
      <c r="AB574" s="185" t="n">
        <v>40725</v>
      </c>
      <c r="AC574" s="184" t="n">
        <v>28.6</v>
      </c>
      <c r="AD574" s="185" t="n">
        <v>40725</v>
      </c>
      <c r="AE574" s="196"/>
      <c r="AF574" s="185"/>
      <c r="AG574" s="184" t="n">
        <v>3.67</v>
      </c>
      <c r="AH574" s="185" t="n">
        <v>40725</v>
      </c>
      <c r="AI574" s="183"/>
      <c r="AJ574" s="183"/>
      <c r="AK574" s="182"/>
      <c r="AL574" s="182"/>
      <c r="AM574" s="184" t="n">
        <v>85</v>
      </c>
      <c r="AN574" s="183" t="n">
        <v>40630</v>
      </c>
      <c r="AO574" s="182"/>
      <c r="AP574" s="182"/>
      <c r="AQ574" s="183"/>
      <c r="AR574" s="183"/>
      <c r="AS574" s="182"/>
      <c r="AT574" s="182"/>
      <c r="AU574" s="183"/>
      <c r="AV574" s="183"/>
      <c r="AW574" s="182"/>
      <c r="AX574" s="182"/>
      <c r="AY574" s="183"/>
      <c r="AZ574" s="183"/>
      <c r="BA574" s="182"/>
      <c r="BB574" s="182"/>
      <c r="BK574" s="183"/>
      <c r="BL574" s="183"/>
      <c r="BM574" s="182"/>
      <c r="BN574" s="182"/>
      <c r="BO574" s="183"/>
      <c r="BP574" s="183"/>
      <c r="BQ574" s="182"/>
      <c r="BR574" s="182"/>
      <c r="BS574" s="184" t="n">
        <v>52.6</v>
      </c>
      <c r="BT574" s="185" t="n">
        <v>40725</v>
      </c>
      <c r="BU574" s="184" t="n">
        <v>15.6</v>
      </c>
      <c r="BV574" s="185" t="n">
        <v>40725</v>
      </c>
      <c r="CL574" s="182"/>
      <c r="CM574" s="182"/>
    </row>
    <row r="575" customFormat="false" ht="12.75" hidden="false" customHeight="false" outlineLevel="0" collapsed="false">
      <c r="A575" s="204" t="s">
        <v>711</v>
      </c>
      <c r="B575" s="193" t="s">
        <v>782</v>
      </c>
      <c r="C575" s="193" t="s">
        <v>876</v>
      </c>
      <c r="D575" s="193"/>
      <c r="E575" s="194" t="n">
        <v>5</v>
      </c>
      <c r="F575" s="195" t="n">
        <v>59</v>
      </c>
      <c r="G575" s="119"/>
      <c r="H575" s="119"/>
      <c r="J575" s="118"/>
      <c r="K575" s="118"/>
      <c r="L575" s="181"/>
      <c r="N575" s="182"/>
      <c r="O575" s="182"/>
      <c r="S575" s="184" t="n">
        <v>1535</v>
      </c>
      <c r="T575" s="185" t="n">
        <v>40725</v>
      </c>
      <c r="U575" s="182"/>
      <c r="V575" s="182"/>
      <c r="W575" s="183"/>
      <c r="X575" s="183"/>
      <c r="Y575" s="184" t="n">
        <v>442</v>
      </c>
      <c r="Z575" s="185" t="n">
        <v>40725</v>
      </c>
      <c r="AA575" s="184" t="n">
        <v>77410</v>
      </c>
      <c r="AB575" s="185" t="n">
        <v>40725</v>
      </c>
      <c r="AC575" s="184" t="n">
        <v>29.2</v>
      </c>
      <c r="AD575" s="185" t="n">
        <v>40725</v>
      </c>
      <c r="AE575" s="196"/>
      <c r="AF575" s="185"/>
      <c r="AG575" s="184" t="n">
        <v>3.77</v>
      </c>
      <c r="AH575" s="185" t="n">
        <v>40725</v>
      </c>
      <c r="AI575" s="183"/>
      <c r="AJ575" s="183"/>
      <c r="AK575" s="182"/>
      <c r="AL575" s="182"/>
      <c r="AM575" s="184" t="n">
        <v>84</v>
      </c>
      <c r="AN575" s="183" t="n">
        <v>40630</v>
      </c>
      <c r="AO575" s="182"/>
      <c r="AP575" s="182"/>
      <c r="AQ575" s="183"/>
      <c r="AR575" s="183"/>
      <c r="AS575" s="182"/>
      <c r="AT575" s="182"/>
      <c r="AU575" s="183"/>
      <c r="AV575" s="183"/>
      <c r="AW575" s="182"/>
      <c r="AX575" s="182"/>
      <c r="AY575" s="183"/>
      <c r="AZ575" s="183"/>
      <c r="BA575" s="182"/>
      <c r="BB575" s="182"/>
      <c r="BK575" s="183"/>
      <c r="BL575" s="183"/>
      <c r="BM575" s="182"/>
      <c r="BN575" s="182"/>
      <c r="BO575" s="183"/>
      <c r="BP575" s="183"/>
      <c r="BQ575" s="182"/>
      <c r="BR575" s="182"/>
      <c r="BS575" s="184" t="n">
        <v>52.6</v>
      </c>
      <c r="BT575" s="185" t="n">
        <v>40725</v>
      </c>
      <c r="BU575" s="184" t="n">
        <v>15.1</v>
      </c>
      <c r="BV575" s="185" t="n">
        <v>40725</v>
      </c>
      <c r="CL575" s="182"/>
      <c r="CM575" s="182"/>
    </row>
    <row r="576" customFormat="false" ht="12.75" hidden="false" customHeight="false" outlineLevel="0" collapsed="false">
      <c r="A576" s="204" t="s">
        <v>711</v>
      </c>
      <c r="B576" s="193" t="s">
        <v>782</v>
      </c>
      <c r="C576" s="193" t="s">
        <v>877</v>
      </c>
      <c r="D576" s="193"/>
      <c r="E576" s="194" t="n">
        <v>16</v>
      </c>
      <c r="F576" s="195" t="n">
        <v>73</v>
      </c>
      <c r="G576" s="119"/>
      <c r="H576" s="119"/>
      <c r="J576" s="118"/>
      <c r="K576" s="118"/>
      <c r="L576" s="181"/>
      <c r="N576" s="182"/>
      <c r="O576" s="182"/>
      <c r="S576" s="184" t="n">
        <v>1445</v>
      </c>
      <c r="T576" s="185" t="n">
        <v>40725</v>
      </c>
      <c r="U576" s="182"/>
      <c r="V576" s="182"/>
      <c r="W576" s="183"/>
      <c r="X576" s="183"/>
      <c r="Y576" s="184" t="n">
        <v>437</v>
      </c>
      <c r="Z576" s="185" t="n">
        <v>40725</v>
      </c>
      <c r="AA576" s="184" t="n">
        <v>72483</v>
      </c>
      <c r="AB576" s="185" t="n">
        <v>40725</v>
      </c>
      <c r="AC576" s="184" t="n">
        <v>27.6</v>
      </c>
      <c r="AD576" s="185" t="n">
        <v>40725</v>
      </c>
      <c r="AE576" s="196"/>
      <c r="AF576" s="185"/>
      <c r="AG576" s="184" t="n">
        <v>3.8</v>
      </c>
      <c r="AH576" s="185" t="n">
        <v>40725</v>
      </c>
      <c r="AI576" s="183"/>
      <c r="AJ576" s="183"/>
      <c r="AK576" s="182"/>
      <c r="AL576" s="182"/>
      <c r="AM576" s="184" t="n">
        <v>84</v>
      </c>
      <c r="AN576" s="183" t="n">
        <v>40630</v>
      </c>
      <c r="AO576" s="182"/>
      <c r="AP576" s="182"/>
      <c r="AQ576" s="183"/>
      <c r="AR576" s="183"/>
      <c r="AS576" s="182"/>
      <c r="AT576" s="182"/>
      <c r="AU576" s="183"/>
      <c r="AV576" s="183"/>
      <c r="AW576" s="182"/>
      <c r="AX576" s="182"/>
      <c r="AY576" s="183"/>
      <c r="AZ576" s="183"/>
      <c r="BA576" s="182"/>
      <c r="BB576" s="182"/>
      <c r="BK576" s="183"/>
      <c r="BL576" s="183"/>
      <c r="BM576" s="182"/>
      <c r="BN576" s="182"/>
      <c r="BO576" s="183"/>
      <c r="BP576" s="183"/>
      <c r="BQ576" s="182"/>
      <c r="BR576" s="182"/>
      <c r="BS576" s="184" t="n">
        <v>52.4</v>
      </c>
      <c r="BT576" s="185" t="n">
        <v>40725</v>
      </c>
      <c r="BU576" s="184" t="n">
        <v>15.9</v>
      </c>
      <c r="BV576" s="185" t="n">
        <v>40725</v>
      </c>
      <c r="CL576" s="182"/>
      <c r="CM576" s="182"/>
    </row>
    <row r="577" customFormat="false" ht="12.75" hidden="false" customHeight="false" outlineLevel="0" collapsed="false">
      <c r="A577" s="204" t="s">
        <v>711</v>
      </c>
      <c r="B577" s="193" t="s">
        <v>785</v>
      </c>
      <c r="C577" s="193" t="s">
        <v>875</v>
      </c>
      <c r="D577" s="193"/>
      <c r="E577" s="194" t="n">
        <v>6</v>
      </c>
      <c r="F577" s="195" t="n">
        <v>8</v>
      </c>
      <c r="G577" s="119"/>
      <c r="H577" s="119"/>
      <c r="J577" s="118"/>
      <c r="K577" s="118"/>
      <c r="L577" s="181"/>
      <c r="N577" s="182"/>
      <c r="O577" s="182"/>
      <c r="S577" s="184" t="n">
        <v>1944</v>
      </c>
      <c r="T577" s="185" t="n">
        <v>40725</v>
      </c>
      <c r="U577" s="182"/>
      <c r="V577" s="182"/>
      <c r="W577" s="183"/>
      <c r="X577" s="183"/>
      <c r="Y577" s="184" t="n">
        <v>678</v>
      </c>
      <c r="Z577" s="185" t="n">
        <v>40725</v>
      </c>
      <c r="AA577" s="184" t="n">
        <v>98186</v>
      </c>
      <c r="AB577" s="185" t="n">
        <v>40725</v>
      </c>
      <c r="AC577" s="184" t="n">
        <v>38.3</v>
      </c>
      <c r="AD577" s="185" t="n">
        <v>40725</v>
      </c>
      <c r="AE577" s="196"/>
      <c r="AF577" s="185"/>
      <c r="AG577" s="184" t="n">
        <v>3.9</v>
      </c>
      <c r="AH577" s="185" t="n">
        <v>40725</v>
      </c>
      <c r="AI577" s="183"/>
      <c r="AJ577" s="183"/>
      <c r="AK577" s="182"/>
      <c r="AL577" s="182"/>
      <c r="AM577" s="184" t="n">
        <v>85</v>
      </c>
      <c r="AN577" s="183" t="n">
        <v>40630</v>
      </c>
      <c r="AO577" s="182"/>
      <c r="AP577" s="182"/>
      <c r="AQ577" s="183"/>
      <c r="AR577" s="183"/>
      <c r="AS577" s="182"/>
      <c r="AT577" s="182"/>
      <c r="AU577" s="183"/>
      <c r="AV577" s="183"/>
      <c r="AW577" s="182"/>
      <c r="AX577" s="182"/>
      <c r="AY577" s="183"/>
      <c r="AZ577" s="183"/>
      <c r="BA577" s="182"/>
      <c r="BB577" s="182"/>
      <c r="BK577" s="183"/>
      <c r="BL577" s="183"/>
      <c r="BM577" s="182"/>
      <c r="BN577" s="182"/>
      <c r="BO577" s="183"/>
      <c r="BP577" s="183"/>
      <c r="BQ577" s="182"/>
      <c r="BR577" s="182"/>
      <c r="BS577" s="184" t="n">
        <v>50.8</v>
      </c>
      <c r="BT577" s="185" t="n">
        <v>40725</v>
      </c>
      <c r="BU577" s="184" t="n">
        <v>17.7</v>
      </c>
      <c r="BV577" s="185" t="n">
        <v>40725</v>
      </c>
      <c r="CL577" s="182"/>
      <c r="CM577" s="182"/>
    </row>
    <row r="578" customFormat="false" ht="12.75" hidden="false" customHeight="false" outlineLevel="0" collapsed="false">
      <c r="A578" s="204" t="s">
        <v>711</v>
      </c>
      <c r="B578" s="193" t="s">
        <v>785</v>
      </c>
      <c r="C578" s="193" t="s">
        <v>876</v>
      </c>
      <c r="D578" s="193"/>
      <c r="E578" s="194" t="n">
        <v>2</v>
      </c>
      <c r="F578" s="195" t="n">
        <v>49</v>
      </c>
      <c r="G578" s="119"/>
      <c r="H578" s="119"/>
      <c r="J578" s="118"/>
      <c r="K578" s="118"/>
      <c r="L578" s="181"/>
      <c r="N578" s="182"/>
      <c r="O578" s="182"/>
      <c r="S578" s="184" t="n">
        <v>1777</v>
      </c>
      <c r="T578" s="185" t="n">
        <v>40725</v>
      </c>
      <c r="U578" s="182"/>
      <c r="V578" s="182"/>
      <c r="W578" s="183"/>
      <c r="X578" s="183"/>
      <c r="Y578" s="184" t="n">
        <v>576</v>
      </c>
      <c r="Z578" s="185" t="n">
        <v>40725</v>
      </c>
      <c r="AA578" s="184" t="n">
        <v>87876</v>
      </c>
      <c r="AB578" s="185" t="n">
        <v>40725</v>
      </c>
      <c r="AC578" s="184" t="n">
        <v>34.3</v>
      </c>
      <c r="AD578" s="185" t="n">
        <v>40725</v>
      </c>
      <c r="AE578" s="196"/>
      <c r="AF578" s="185"/>
      <c r="AG578" s="184" t="n">
        <v>3.9</v>
      </c>
      <c r="AH578" s="185" t="n">
        <v>40725</v>
      </c>
      <c r="AI578" s="183"/>
      <c r="AJ578" s="183"/>
      <c r="AK578" s="182"/>
      <c r="AL578" s="182"/>
      <c r="AM578" s="184" t="n">
        <v>85</v>
      </c>
      <c r="AN578" s="183" t="n">
        <v>40630</v>
      </c>
      <c r="AO578" s="182"/>
      <c r="AP578" s="182"/>
      <c r="AQ578" s="183"/>
      <c r="AR578" s="183"/>
      <c r="AS578" s="182"/>
      <c r="AT578" s="182"/>
      <c r="AU578" s="183"/>
      <c r="AV578" s="183"/>
      <c r="AW578" s="182"/>
      <c r="AX578" s="182"/>
      <c r="AY578" s="183"/>
      <c r="AZ578" s="183"/>
      <c r="BA578" s="182"/>
      <c r="BB578" s="182"/>
      <c r="BK578" s="183"/>
      <c r="BL578" s="183"/>
      <c r="BM578" s="182"/>
      <c r="BN578" s="182"/>
      <c r="BO578" s="183"/>
      <c r="BP578" s="183"/>
      <c r="BQ578" s="182"/>
      <c r="BR578" s="182"/>
      <c r="BS578" s="184" t="n">
        <v>51.8</v>
      </c>
      <c r="BT578" s="185" t="n">
        <v>40725</v>
      </c>
      <c r="BU578" s="184" t="n">
        <v>16.8</v>
      </c>
      <c r="BV578" s="185" t="n">
        <v>40725</v>
      </c>
      <c r="CL578" s="182"/>
      <c r="CM578" s="182"/>
    </row>
    <row r="579" customFormat="false" ht="12.75" hidden="false" customHeight="false" outlineLevel="0" collapsed="false">
      <c r="A579" s="204" t="s">
        <v>711</v>
      </c>
      <c r="B579" s="193" t="s">
        <v>785</v>
      </c>
      <c r="C579" s="193" t="s">
        <v>877</v>
      </c>
      <c r="D579" s="193"/>
      <c r="E579" s="119" t="n">
        <v>22</v>
      </c>
      <c r="F579" s="195" t="n">
        <v>89</v>
      </c>
      <c r="G579" s="119"/>
      <c r="H579" s="119"/>
      <c r="J579" s="118"/>
      <c r="K579" s="118"/>
      <c r="L579" s="181"/>
      <c r="N579" s="182"/>
      <c r="O579" s="182"/>
      <c r="S579" s="184" t="n">
        <v>1645</v>
      </c>
      <c r="T579" s="185" t="n">
        <v>40725</v>
      </c>
      <c r="U579" s="182"/>
      <c r="V579" s="182"/>
      <c r="W579" s="183"/>
      <c r="X579" s="183"/>
      <c r="Y579" s="184" t="n">
        <v>556</v>
      </c>
      <c r="Z579" s="185" t="n">
        <v>40725</v>
      </c>
      <c r="AA579" s="184" t="n">
        <v>80508</v>
      </c>
      <c r="AB579" s="185" t="n">
        <v>40725</v>
      </c>
      <c r="AC579" s="184" t="n">
        <v>32.1</v>
      </c>
      <c r="AD579" s="185" t="n">
        <v>40725</v>
      </c>
      <c r="AE579" s="196"/>
      <c r="AF579" s="185"/>
      <c r="AG579" s="184" t="n">
        <v>3.99</v>
      </c>
      <c r="AH579" s="185" t="n">
        <v>40725</v>
      </c>
      <c r="AI579" s="183"/>
      <c r="AJ579" s="183"/>
      <c r="AK579" s="182"/>
      <c r="AL579" s="182"/>
      <c r="AM579" s="184" t="n">
        <v>84</v>
      </c>
      <c r="AN579" s="183" t="n">
        <v>40630</v>
      </c>
      <c r="AO579" s="182"/>
      <c r="AP579" s="182"/>
      <c r="AQ579" s="183"/>
      <c r="AR579" s="183"/>
      <c r="AS579" s="182"/>
      <c r="AT579" s="182"/>
      <c r="AU579" s="183"/>
      <c r="AV579" s="183"/>
      <c r="AW579" s="182"/>
      <c r="AX579" s="182"/>
      <c r="AY579" s="183"/>
      <c r="AZ579" s="183"/>
      <c r="BA579" s="182"/>
      <c r="BB579" s="182"/>
      <c r="BK579" s="183"/>
      <c r="BL579" s="183"/>
      <c r="BM579" s="182"/>
      <c r="BN579" s="182"/>
      <c r="BO579" s="183"/>
      <c r="BP579" s="183"/>
      <c r="BQ579" s="182"/>
      <c r="BR579" s="182"/>
      <c r="BS579" s="184" t="n">
        <v>51.2</v>
      </c>
      <c r="BT579" s="185" t="n">
        <v>40725</v>
      </c>
      <c r="BU579" s="184" t="n">
        <v>17.3</v>
      </c>
      <c r="BV579" s="185" t="n">
        <v>40725</v>
      </c>
      <c r="CL579" s="182"/>
      <c r="CM579" s="182"/>
    </row>
    <row r="580" customFormat="false" ht="12.75" hidden="false" customHeight="false" outlineLevel="0" collapsed="false">
      <c r="A580" s="204" t="s">
        <v>714</v>
      </c>
      <c r="B580" s="193" t="s">
        <v>782</v>
      </c>
      <c r="C580" s="193" t="s">
        <v>875</v>
      </c>
      <c r="D580" s="193"/>
      <c r="E580" s="194" t="n">
        <v>4</v>
      </c>
      <c r="F580" s="195" t="n">
        <v>28</v>
      </c>
      <c r="G580" s="119"/>
      <c r="H580" s="119"/>
      <c r="J580" s="118"/>
      <c r="K580" s="118"/>
      <c r="L580" s="181"/>
      <c r="N580" s="182"/>
      <c r="O580" s="182"/>
      <c r="S580" s="184" t="n">
        <v>1772</v>
      </c>
      <c r="T580" s="185" t="n">
        <v>40725</v>
      </c>
      <c r="U580" s="182"/>
      <c r="V580" s="182"/>
      <c r="W580" s="183"/>
      <c r="X580" s="183"/>
      <c r="Y580" s="184" t="n">
        <v>538</v>
      </c>
      <c r="Z580" s="185" t="n">
        <v>40725</v>
      </c>
      <c r="AA580" s="184" t="n">
        <v>70483</v>
      </c>
      <c r="AB580" s="185" t="n">
        <v>40725</v>
      </c>
      <c r="AC580" s="184" t="n">
        <v>33.5</v>
      </c>
      <c r="AD580" s="185" t="n">
        <v>40725</v>
      </c>
      <c r="AE580" s="196"/>
      <c r="AF580" s="185"/>
      <c r="AG580" s="184" t="n">
        <v>4.76</v>
      </c>
      <c r="AH580" s="185" t="n">
        <v>40725</v>
      </c>
      <c r="AI580" s="183"/>
      <c r="AJ580" s="183"/>
      <c r="AK580" s="182"/>
      <c r="AL580" s="182"/>
      <c r="AM580" s="184" t="n">
        <v>82</v>
      </c>
      <c r="AN580" s="183" t="n">
        <v>40630</v>
      </c>
      <c r="AO580" s="182"/>
      <c r="AP580" s="182"/>
      <c r="AQ580" s="183"/>
      <c r="AR580" s="183"/>
      <c r="AS580" s="182"/>
      <c r="AT580" s="182"/>
      <c r="AU580" s="183"/>
      <c r="AV580" s="183"/>
      <c r="AW580" s="182"/>
      <c r="AX580" s="182"/>
      <c r="AY580" s="183"/>
      <c r="AZ580" s="183"/>
      <c r="BA580" s="182"/>
      <c r="BB580" s="182"/>
      <c r="BK580" s="183"/>
      <c r="BL580" s="183"/>
      <c r="BM580" s="182"/>
      <c r="BN580" s="182"/>
      <c r="BO580" s="183"/>
      <c r="BP580" s="183"/>
      <c r="BQ580" s="182"/>
      <c r="BR580" s="182"/>
      <c r="BS580" s="184" t="n">
        <v>52.9</v>
      </c>
      <c r="BT580" s="185" t="n">
        <v>40725</v>
      </c>
      <c r="BU580" s="184" t="n">
        <v>16</v>
      </c>
      <c r="BV580" s="185" t="n">
        <v>40725</v>
      </c>
      <c r="CL580" s="182"/>
      <c r="CM580" s="182"/>
    </row>
    <row r="581" customFormat="false" ht="12.75" hidden="false" customHeight="false" outlineLevel="0" collapsed="false">
      <c r="A581" s="204" t="s">
        <v>714</v>
      </c>
      <c r="B581" s="193" t="s">
        <v>782</v>
      </c>
      <c r="C581" s="193" t="s">
        <v>876</v>
      </c>
      <c r="D581" s="193"/>
      <c r="E581" s="194" t="n">
        <v>7</v>
      </c>
      <c r="F581" s="195" t="n">
        <v>35</v>
      </c>
      <c r="G581" s="119"/>
      <c r="H581" s="119"/>
      <c r="J581" s="118"/>
      <c r="K581" s="118"/>
      <c r="L581" s="181"/>
      <c r="N581" s="182"/>
      <c r="O581" s="182"/>
      <c r="S581" s="184" t="n">
        <v>1670</v>
      </c>
      <c r="T581" s="185" t="n">
        <v>40725</v>
      </c>
      <c r="U581" s="182"/>
      <c r="V581" s="182"/>
      <c r="W581" s="183"/>
      <c r="X581" s="183"/>
      <c r="Y581" s="184" t="n">
        <v>490</v>
      </c>
      <c r="Z581" s="185" t="n">
        <v>40725</v>
      </c>
      <c r="AA581" s="184" t="n">
        <v>65117</v>
      </c>
      <c r="AB581" s="185" t="n">
        <v>40725</v>
      </c>
      <c r="AC581" s="184" t="n">
        <v>31.2</v>
      </c>
      <c r="AD581" s="185" t="n">
        <v>40725</v>
      </c>
      <c r="AE581" s="196"/>
      <c r="AF581" s="185"/>
      <c r="AG581" s="184" t="n">
        <v>4.79</v>
      </c>
      <c r="AH581" s="185" t="n">
        <v>40725</v>
      </c>
      <c r="AI581" s="183"/>
      <c r="AJ581" s="183"/>
      <c r="AK581" s="182"/>
      <c r="AL581" s="182"/>
      <c r="AM581" s="184" t="n">
        <v>82</v>
      </c>
      <c r="AN581" s="183" t="n">
        <v>40630</v>
      </c>
      <c r="AO581" s="182"/>
      <c r="AP581" s="182"/>
      <c r="AQ581" s="183"/>
      <c r="AR581" s="183"/>
      <c r="AS581" s="182"/>
      <c r="AT581" s="182"/>
      <c r="AU581" s="183"/>
      <c r="AV581" s="183"/>
      <c r="AW581" s="182"/>
      <c r="AX581" s="182"/>
      <c r="AY581" s="183"/>
      <c r="AZ581" s="183"/>
      <c r="BA581" s="182"/>
      <c r="BB581" s="182"/>
      <c r="BK581" s="183"/>
      <c r="BL581" s="183"/>
      <c r="BM581" s="182"/>
      <c r="BN581" s="182"/>
      <c r="BO581" s="183"/>
      <c r="BP581" s="183"/>
      <c r="BQ581" s="182"/>
      <c r="BR581" s="182"/>
      <c r="BS581" s="184" t="n">
        <v>53.5</v>
      </c>
      <c r="BT581" s="185" t="n">
        <v>40725</v>
      </c>
      <c r="BU581" s="184" t="n">
        <v>15.7</v>
      </c>
      <c r="BV581" s="185" t="n">
        <v>40725</v>
      </c>
      <c r="CL581" s="182"/>
      <c r="CM581" s="182"/>
    </row>
    <row r="582" customFormat="false" ht="12.75" hidden="false" customHeight="false" outlineLevel="0" collapsed="false">
      <c r="A582" s="204" t="s">
        <v>714</v>
      </c>
      <c r="B582" s="193" t="s">
        <v>782</v>
      </c>
      <c r="C582" s="193" t="s">
        <v>877</v>
      </c>
      <c r="D582" s="193"/>
      <c r="E582" s="119" t="n">
        <v>19</v>
      </c>
      <c r="F582" s="195" t="n">
        <v>72</v>
      </c>
      <c r="G582" s="119"/>
      <c r="H582" s="119"/>
      <c r="J582" s="118"/>
      <c r="K582" s="118"/>
      <c r="L582" s="181"/>
      <c r="N582" s="182"/>
      <c r="O582" s="182"/>
      <c r="S582" s="184" t="n">
        <v>1307</v>
      </c>
      <c r="T582" s="185" t="n">
        <v>40725</v>
      </c>
      <c r="U582" s="182"/>
      <c r="V582" s="182"/>
      <c r="W582" s="183"/>
      <c r="X582" s="183"/>
      <c r="Y582" s="184" t="n">
        <v>427</v>
      </c>
      <c r="Z582" s="185" t="n">
        <v>40725</v>
      </c>
      <c r="AA582" s="184" t="n">
        <v>50173</v>
      </c>
      <c r="AB582" s="185" t="n">
        <v>40725</v>
      </c>
      <c r="AC582" s="184" t="n">
        <v>25.2</v>
      </c>
      <c r="AD582" s="185" t="n">
        <v>40725</v>
      </c>
      <c r="AE582" s="196"/>
      <c r="AF582" s="185"/>
      <c r="AG582" s="184" t="n">
        <v>5.03</v>
      </c>
      <c r="AH582" s="185" t="n">
        <v>40725</v>
      </c>
      <c r="AI582" s="183"/>
      <c r="AJ582" s="183"/>
      <c r="AK582" s="182"/>
      <c r="AL582" s="182"/>
      <c r="AM582" s="184" t="n">
        <v>83</v>
      </c>
      <c r="AN582" s="183" t="n">
        <v>40630</v>
      </c>
      <c r="AO582" s="182"/>
      <c r="AP582" s="182"/>
      <c r="AQ582" s="183"/>
      <c r="AR582" s="183"/>
      <c r="AS582" s="182"/>
      <c r="AT582" s="182"/>
      <c r="AU582" s="183"/>
      <c r="AV582" s="183"/>
      <c r="AW582" s="182"/>
      <c r="AX582" s="182"/>
      <c r="AY582" s="183"/>
      <c r="AZ582" s="183"/>
      <c r="BA582" s="182"/>
      <c r="BB582" s="182"/>
      <c r="BK582" s="183"/>
      <c r="BL582" s="183"/>
      <c r="BM582" s="182"/>
      <c r="BN582" s="182"/>
      <c r="BO582" s="183"/>
      <c r="BP582" s="183"/>
      <c r="BQ582" s="182"/>
      <c r="BR582" s="182"/>
      <c r="BS582" s="184" t="n">
        <v>51.8</v>
      </c>
      <c r="BT582" s="185" t="n">
        <v>40725</v>
      </c>
      <c r="BU582" s="184" t="n">
        <v>16.9</v>
      </c>
      <c r="BV582" s="185" t="n">
        <v>40725</v>
      </c>
      <c r="CL582" s="182"/>
      <c r="CM582" s="182"/>
    </row>
    <row r="583" customFormat="false" ht="12.75" hidden="false" customHeight="false" outlineLevel="0" collapsed="false">
      <c r="A583" s="204" t="s">
        <v>714</v>
      </c>
      <c r="B583" s="193" t="s">
        <v>785</v>
      </c>
      <c r="C583" s="193" t="s">
        <v>875</v>
      </c>
      <c r="D583" s="193"/>
      <c r="E583" s="194" t="n">
        <v>8</v>
      </c>
      <c r="F583" s="195" t="n">
        <v>2</v>
      </c>
      <c r="G583" s="119"/>
      <c r="H583" s="119"/>
      <c r="J583" s="118"/>
      <c r="K583" s="118"/>
      <c r="L583" s="181"/>
      <c r="N583" s="182"/>
      <c r="O583" s="182"/>
      <c r="S583" s="184" t="n">
        <v>2225</v>
      </c>
      <c r="T583" s="185" t="n">
        <v>40725</v>
      </c>
      <c r="U583" s="182"/>
      <c r="V583" s="182"/>
      <c r="W583" s="183"/>
      <c r="X583" s="183"/>
      <c r="Y583" s="184" t="n">
        <v>707</v>
      </c>
      <c r="Z583" s="185" t="n">
        <v>40725</v>
      </c>
      <c r="AA583" s="184" t="n">
        <v>92171</v>
      </c>
      <c r="AB583" s="185" t="n">
        <v>40725</v>
      </c>
      <c r="AC583" s="184" t="n">
        <v>42.1</v>
      </c>
      <c r="AD583" s="185" t="n">
        <v>40725</v>
      </c>
      <c r="AE583" s="196"/>
      <c r="AF583" s="185"/>
      <c r="AG583" s="184" t="n">
        <v>4.57</v>
      </c>
      <c r="AH583" s="185" t="n">
        <v>40725</v>
      </c>
      <c r="AI583" s="183"/>
      <c r="AJ583" s="183"/>
      <c r="AK583" s="182"/>
      <c r="AL583" s="182"/>
      <c r="AM583" s="184" t="n">
        <v>84</v>
      </c>
      <c r="AN583" s="183" t="n">
        <v>40630</v>
      </c>
      <c r="AO583" s="182"/>
      <c r="AP583" s="182"/>
      <c r="AQ583" s="183"/>
      <c r="AR583" s="183"/>
      <c r="AS583" s="182"/>
      <c r="AT583" s="182"/>
      <c r="AU583" s="183"/>
      <c r="AV583" s="183"/>
      <c r="AW583" s="182"/>
      <c r="AX583" s="182"/>
      <c r="AY583" s="183"/>
      <c r="AZ583" s="183"/>
      <c r="BA583" s="182"/>
      <c r="BB583" s="182"/>
      <c r="BK583" s="183"/>
      <c r="BL583" s="183"/>
      <c r="BM583" s="182"/>
      <c r="BN583" s="182"/>
      <c r="BO583" s="183"/>
      <c r="BP583" s="183"/>
      <c r="BQ583" s="182"/>
      <c r="BR583" s="182"/>
      <c r="BS583" s="184" t="n">
        <v>52.8</v>
      </c>
      <c r="BT583" s="185" t="n">
        <v>40725</v>
      </c>
      <c r="BU583" s="184" t="n">
        <v>16.8</v>
      </c>
      <c r="BV583" s="185" t="n">
        <v>40725</v>
      </c>
      <c r="CL583" s="182"/>
      <c r="CM583" s="182"/>
    </row>
    <row r="584" customFormat="false" ht="12.75" hidden="false" customHeight="false" outlineLevel="0" collapsed="false">
      <c r="A584" s="204" t="s">
        <v>714</v>
      </c>
      <c r="B584" s="193" t="s">
        <v>785</v>
      </c>
      <c r="C584" s="193" t="s">
        <v>876</v>
      </c>
      <c r="D584" s="193"/>
      <c r="E584" s="194" t="n">
        <v>1</v>
      </c>
      <c r="F584" s="195" t="n">
        <v>44</v>
      </c>
      <c r="G584" s="119"/>
      <c r="H584" s="119"/>
      <c r="J584" s="118"/>
      <c r="K584" s="118"/>
      <c r="L584" s="181"/>
      <c r="N584" s="182"/>
      <c r="O584" s="182"/>
      <c r="S584" s="184" t="n">
        <v>1903</v>
      </c>
      <c r="T584" s="185" t="n">
        <v>40725</v>
      </c>
      <c r="U584" s="182"/>
      <c r="V584" s="182"/>
      <c r="W584" s="183"/>
      <c r="X584" s="183"/>
      <c r="Y584" s="184" t="n">
        <v>634</v>
      </c>
      <c r="Z584" s="185" t="n">
        <v>40725</v>
      </c>
      <c r="AA584" s="184" t="n">
        <v>78825</v>
      </c>
      <c r="AB584" s="185" t="n">
        <v>40725</v>
      </c>
      <c r="AC584" s="184" t="n">
        <v>36.3</v>
      </c>
      <c r="AD584" s="185" t="n">
        <v>40725</v>
      </c>
      <c r="AE584" s="196"/>
      <c r="AF584" s="185"/>
      <c r="AG584" s="184" t="n">
        <v>4.61</v>
      </c>
      <c r="AH584" s="185" t="n">
        <v>40725</v>
      </c>
      <c r="AI584" s="183"/>
      <c r="AJ584" s="183"/>
      <c r="AK584" s="182"/>
      <c r="AL584" s="182"/>
      <c r="AM584" s="184" t="n">
        <v>82</v>
      </c>
      <c r="AN584" s="183" t="n">
        <v>40630</v>
      </c>
      <c r="AO584" s="182"/>
      <c r="AP584" s="182"/>
      <c r="AQ584" s="183"/>
      <c r="AR584" s="183"/>
      <c r="AS584" s="182"/>
      <c r="AT584" s="182"/>
      <c r="AU584" s="183"/>
      <c r="AV584" s="183"/>
      <c r="AW584" s="182"/>
      <c r="AX584" s="182"/>
      <c r="AY584" s="183"/>
      <c r="AZ584" s="183"/>
      <c r="BA584" s="182"/>
      <c r="BB584" s="182"/>
      <c r="BK584" s="183"/>
      <c r="BL584" s="183"/>
      <c r="BM584" s="182"/>
      <c r="BN584" s="182"/>
      <c r="BO584" s="183"/>
      <c r="BP584" s="183"/>
      <c r="BQ584" s="182"/>
      <c r="BR584" s="182"/>
      <c r="BS584" s="184" t="n">
        <v>52.4</v>
      </c>
      <c r="BT584" s="185" t="n">
        <v>40725</v>
      </c>
      <c r="BU584" s="184" t="n">
        <v>17.5</v>
      </c>
      <c r="BV584" s="185" t="n">
        <v>40725</v>
      </c>
      <c r="CL584" s="182"/>
      <c r="CM584" s="182"/>
    </row>
    <row r="585" customFormat="false" ht="12.75" hidden="false" customHeight="false" outlineLevel="0" collapsed="false">
      <c r="A585" s="204" t="s">
        <v>714</v>
      </c>
      <c r="B585" s="193" t="s">
        <v>785</v>
      </c>
      <c r="C585" s="193" t="s">
        <v>877</v>
      </c>
      <c r="D585" s="193"/>
      <c r="E585" s="119" t="n">
        <v>20</v>
      </c>
      <c r="F585" s="195" t="n">
        <v>86</v>
      </c>
      <c r="G585" s="119"/>
      <c r="H585" s="119"/>
      <c r="J585" s="118"/>
      <c r="K585" s="118"/>
      <c r="L585" s="181"/>
      <c r="N585" s="182"/>
      <c r="O585" s="182"/>
      <c r="S585" s="184" t="n">
        <v>1993</v>
      </c>
      <c r="T585" s="185" t="n">
        <v>40725</v>
      </c>
      <c r="U585" s="182"/>
      <c r="V585" s="182"/>
      <c r="W585" s="183"/>
      <c r="X585" s="183"/>
      <c r="Y585" s="184" t="n">
        <v>718</v>
      </c>
      <c r="Z585" s="185" t="n">
        <v>40725</v>
      </c>
      <c r="AA585" s="184" t="n">
        <v>81682</v>
      </c>
      <c r="AB585" s="185" t="n">
        <v>40725</v>
      </c>
      <c r="AC585" s="184" t="n">
        <v>39</v>
      </c>
      <c r="AD585" s="185" t="n">
        <v>40725</v>
      </c>
      <c r="AE585" s="196"/>
      <c r="AF585" s="185"/>
      <c r="AG585" s="184" t="n">
        <v>4.77</v>
      </c>
      <c r="AH585" s="185" t="n">
        <v>40725</v>
      </c>
      <c r="AI585" s="183"/>
      <c r="AJ585" s="183"/>
      <c r="AK585" s="182"/>
      <c r="AL585" s="182"/>
      <c r="AM585" s="184" t="n">
        <v>84</v>
      </c>
      <c r="AN585" s="183" t="n">
        <v>40630</v>
      </c>
      <c r="AO585" s="182"/>
      <c r="AP585" s="182"/>
      <c r="AQ585" s="183"/>
      <c r="AR585" s="183"/>
      <c r="AS585" s="182"/>
      <c r="AT585" s="182"/>
      <c r="AU585" s="183"/>
      <c r="AV585" s="183"/>
      <c r="AW585" s="182"/>
      <c r="AX585" s="182"/>
      <c r="AY585" s="183"/>
      <c r="AZ585" s="183"/>
      <c r="BA585" s="182"/>
      <c r="BB585" s="182"/>
      <c r="BK585" s="183"/>
      <c r="BL585" s="183"/>
      <c r="BM585" s="182"/>
      <c r="BN585" s="182"/>
      <c r="BO585" s="183"/>
      <c r="BP585" s="183"/>
      <c r="BQ585" s="182"/>
      <c r="BR585" s="182"/>
      <c r="BS585" s="184" t="n">
        <v>51.1</v>
      </c>
      <c r="BT585" s="185" t="n">
        <v>40725</v>
      </c>
      <c r="BU585" s="184" t="n">
        <v>18.4</v>
      </c>
      <c r="BV585" s="185" t="n">
        <v>40725</v>
      </c>
      <c r="CL585" s="182"/>
      <c r="CM585" s="182"/>
    </row>
    <row r="586" customFormat="false" ht="12.75" hidden="false" customHeight="false" outlineLevel="0" collapsed="false">
      <c r="A586" s="204" t="s">
        <v>717</v>
      </c>
      <c r="B586" s="193" t="s">
        <v>782</v>
      </c>
      <c r="C586" s="193" t="s">
        <v>875</v>
      </c>
      <c r="D586" s="193"/>
      <c r="E586" s="194" t="n">
        <v>2</v>
      </c>
      <c r="F586" s="195" t="n">
        <v>26</v>
      </c>
      <c r="G586" s="119"/>
      <c r="H586" s="119"/>
      <c r="J586" s="118"/>
      <c r="K586" s="118"/>
      <c r="L586" s="181"/>
      <c r="N586" s="182"/>
      <c r="O586" s="182"/>
      <c r="S586" s="184" t="n">
        <v>2070</v>
      </c>
      <c r="T586" s="185" t="n">
        <v>40725</v>
      </c>
      <c r="U586" s="182"/>
      <c r="V586" s="182"/>
      <c r="W586" s="183"/>
      <c r="X586" s="183"/>
      <c r="Y586" s="184" t="n">
        <v>613</v>
      </c>
      <c r="Z586" s="185" t="n">
        <v>40725</v>
      </c>
      <c r="AA586" s="184" t="n">
        <v>95444</v>
      </c>
      <c r="AB586" s="185" t="n">
        <v>40725</v>
      </c>
      <c r="AC586" s="184" t="n">
        <v>39.1</v>
      </c>
      <c r="AD586" s="185" t="n">
        <v>40725</v>
      </c>
      <c r="AE586" s="196"/>
      <c r="AF586" s="185"/>
      <c r="AG586" s="184" t="n">
        <v>4.09</v>
      </c>
      <c r="AH586" s="185" t="n">
        <v>40725</v>
      </c>
      <c r="AI586" s="183"/>
      <c r="AJ586" s="183"/>
      <c r="AK586" s="182"/>
      <c r="AL586" s="182"/>
      <c r="AM586" s="184" t="n">
        <v>88</v>
      </c>
      <c r="AN586" s="183" t="n">
        <v>40630</v>
      </c>
      <c r="AO586" s="182"/>
      <c r="AP586" s="182"/>
      <c r="AQ586" s="183"/>
      <c r="AR586" s="183"/>
      <c r="AS586" s="182"/>
      <c r="AT586" s="182"/>
      <c r="AU586" s="183"/>
      <c r="AV586" s="183"/>
      <c r="AW586" s="182"/>
      <c r="AX586" s="182"/>
      <c r="AY586" s="183"/>
      <c r="AZ586" s="183"/>
      <c r="BA586" s="182"/>
      <c r="BB586" s="182"/>
      <c r="BK586" s="183"/>
      <c r="BL586" s="183"/>
      <c r="BM586" s="182"/>
      <c r="BN586" s="182"/>
      <c r="BO586" s="183"/>
      <c r="BP586" s="183"/>
      <c r="BQ586" s="182"/>
      <c r="BR586" s="182"/>
      <c r="BS586" s="184" t="n">
        <v>53</v>
      </c>
      <c r="BT586" s="185" t="n">
        <v>40725</v>
      </c>
      <c r="BU586" s="184" t="n">
        <v>15.7</v>
      </c>
      <c r="BV586" s="185" t="n">
        <v>40725</v>
      </c>
      <c r="CL586" s="182"/>
      <c r="CM586" s="182"/>
    </row>
    <row r="587" customFormat="false" ht="12.75" hidden="false" customHeight="false" outlineLevel="0" collapsed="false">
      <c r="A587" s="204" t="s">
        <v>717</v>
      </c>
      <c r="B587" s="193" t="s">
        <v>782</v>
      </c>
      <c r="C587" s="193" t="s">
        <v>876</v>
      </c>
      <c r="D587" s="193"/>
      <c r="E587" s="194" t="n">
        <v>7</v>
      </c>
      <c r="F587" s="195" t="n">
        <v>44</v>
      </c>
      <c r="G587" s="119"/>
      <c r="H587" s="119"/>
      <c r="J587" s="118"/>
      <c r="K587" s="118"/>
      <c r="L587" s="181"/>
      <c r="N587" s="182"/>
      <c r="O587" s="182"/>
      <c r="S587" s="184" t="n">
        <v>1832</v>
      </c>
      <c r="T587" s="185" t="n">
        <v>40725</v>
      </c>
      <c r="U587" s="182"/>
      <c r="V587" s="182"/>
      <c r="W587" s="183"/>
      <c r="X587" s="183"/>
      <c r="Y587" s="184" t="n">
        <v>502</v>
      </c>
      <c r="Z587" s="185" t="n">
        <v>40725</v>
      </c>
      <c r="AA587" s="184" t="n">
        <v>87048</v>
      </c>
      <c r="AB587" s="185" t="n">
        <v>40725</v>
      </c>
      <c r="AC587" s="184" t="n">
        <v>34.1</v>
      </c>
      <c r="AD587" s="185" t="n">
        <v>40725</v>
      </c>
      <c r="AE587" s="196"/>
      <c r="AF587" s="185"/>
      <c r="AG587" s="184" t="n">
        <v>3.91</v>
      </c>
      <c r="AH587" s="185" t="n">
        <v>40725</v>
      </c>
      <c r="AI587" s="183"/>
      <c r="AJ587" s="183"/>
      <c r="AK587" s="182"/>
      <c r="AL587" s="182"/>
      <c r="AM587" s="184" t="n">
        <v>85</v>
      </c>
      <c r="AN587" s="183" t="n">
        <v>40630</v>
      </c>
      <c r="AO587" s="182"/>
      <c r="AP587" s="182"/>
      <c r="AQ587" s="183"/>
      <c r="AR587" s="183"/>
      <c r="AS587" s="182"/>
      <c r="AT587" s="182"/>
      <c r="AU587" s="183"/>
      <c r="AV587" s="183"/>
      <c r="AW587" s="182"/>
      <c r="AX587" s="182"/>
      <c r="AY587" s="183"/>
      <c r="AZ587" s="183"/>
      <c r="BA587" s="182"/>
      <c r="BB587" s="182"/>
      <c r="BK587" s="183"/>
      <c r="BL587" s="183"/>
      <c r="BM587" s="182"/>
      <c r="BN587" s="182"/>
      <c r="BO587" s="183"/>
      <c r="BP587" s="183"/>
      <c r="BQ587" s="182"/>
      <c r="BR587" s="182"/>
      <c r="BS587" s="184" t="n">
        <v>53.8</v>
      </c>
      <c r="BT587" s="185" t="n">
        <v>40725</v>
      </c>
      <c r="BU587" s="184" t="n">
        <v>14.7</v>
      </c>
      <c r="BV587" s="185" t="n">
        <v>40725</v>
      </c>
      <c r="CL587" s="182"/>
      <c r="CM587" s="182"/>
    </row>
    <row r="588" customFormat="false" ht="12.75" hidden="false" customHeight="false" outlineLevel="0" collapsed="false">
      <c r="A588" s="204" t="s">
        <v>717</v>
      </c>
      <c r="B588" s="193" t="s">
        <v>782</v>
      </c>
      <c r="C588" s="193" t="s">
        <v>877</v>
      </c>
      <c r="D588" s="193"/>
      <c r="E588" s="119" t="n">
        <v>18</v>
      </c>
      <c r="F588" s="195" t="n">
        <v>88</v>
      </c>
      <c r="G588" s="119"/>
      <c r="H588" s="119"/>
      <c r="J588" s="118"/>
      <c r="K588" s="118"/>
      <c r="L588" s="181"/>
      <c r="N588" s="182"/>
      <c r="O588" s="182"/>
      <c r="S588" s="184" t="n">
        <v>1455</v>
      </c>
      <c r="T588" s="185" t="n">
        <v>40725</v>
      </c>
      <c r="U588" s="182"/>
      <c r="V588" s="182"/>
      <c r="W588" s="183"/>
      <c r="X588" s="183"/>
      <c r="Y588" s="184" t="n">
        <v>413</v>
      </c>
      <c r="Z588" s="185" t="n">
        <v>40725</v>
      </c>
      <c r="AA588" s="184" t="n">
        <v>67885</v>
      </c>
      <c r="AB588" s="185" t="n">
        <v>40725</v>
      </c>
      <c r="AC588" s="184" t="n">
        <v>27.2</v>
      </c>
      <c r="AD588" s="185" t="n">
        <v>40725</v>
      </c>
      <c r="AE588" s="196"/>
      <c r="AF588" s="185"/>
      <c r="AG588" s="184" t="n">
        <v>4.01</v>
      </c>
      <c r="AH588" s="185" t="n">
        <v>40725</v>
      </c>
      <c r="AI588" s="183"/>
      <c r="AJ588" s="183"/>
      <c r="AK588" s="182"/>
      <c r="AL588" s="182"/>
      <c r="AM588" s="184" t="n">
        <v>84</v>
      </c>
      <c r="AN588" s="183" t="n">
        <v>40630</v>
      </c>
      <c r="AO588" s="182"/>
      <c r="AP588" s="182"/>
      <c r="AQ588" s="183"/>
      <c r="AR588" s="183"/>
      <c r="AS588" s="182"/>
      <c r="AT588" s="182"/>
      <c r="AU588" s="183"/>
      <c r="AV588" s="183"/>
      <c r="AW588" s="182"/>
      <c r="AX588" s="182"/>
      <c r="AY588" s="183"/>
      <c r="AZ588" s="183"/>
      <c r="BA588" s="182"/>
      <c r="BB588" s="182"/>
      <c r="BK588" s="183"/>
      <c r="BL588" s="183"/>
      <c r="BM588" s="182"/>
      <c r="BN588" s="182"/>
      <c r="BO588" s="183"/>
      <c r="BP588" s="183"/>
      <c r="BQ588" s="182"/>
      <c r="BR588" s="182"/>
      <c r="BS588" s="184" t="n">
        <v>53.5</v>
      </c>
      <c r="BT588" s="185" t="n">
        <v>40725</v>
      </c>
      <c r="BU588" s="184" t="n">
        <v>15.2</v>
      </c>
      <c r="BV588" s="185" t="n">
        <v>40725</v>
      </c>
      <c r="CL588" s="182"/>
      <c r="CM588" s="182"/>
    </row>
    <row r="589" customFormat="false" ht="12.75" hidden="false" customHeight="false" outlineLevel="0" collapsed="false">
      <c r="A589" s="204" t="s">
        <v>717</v>
      </c>
      <c r="B589" s="193" t="s">
        <v>785</v>
      </c>
      <c r="C589" s="193" t="s">
        <v>875</v>
      </c>
      <c r="D589" s="193"/>
      <c r="E589" s="194" t="n">
        <v>8</v>
      </c>
      <c r="F589" s="195" t="n">
        <v>13</v>
      </c>
      <c r="G589" s="119"/>
      <c r="H589" s="119"/>
      <c r="J589" s="118"/>
      <c r="K589" s="118"/>
      <c r="L589" s="181"/>
      <c r="N589" s="182"/>
      <c r="O589" s="182"/>
      <c r="S589" s="184" t="n">
        <v>2360</v>
      </c>
      <c r="T589" s="185" t="n">
        <v>40725</v>
      </c>
      <c r="U589" s="182"/>
      <c r="V589" s="182"/>
      <c r="W589" s="183"/>
      <c r="X589" s="183"/>
      <c r="Y589" s="184" t="n">
        <v>710</v>
      </c>
      <c r="Z589" s="185" t="n">
        <v>40725</v>
      </c>
      <c r="AA589" s="184" t="n">
        <v>109322</v>
      </c>
      <c r="AB589" s="185" t="n">
        <v>40725</v>
      </c>
      <c r="AC589" s="184" t="n">
        <v>44.5</v>
      </c>
      <c r="AD589" s="185" t="n">
        <v>40725</v>
      </c>
      <c r="AE589" s="196"/>
      <c r="AF589" s="185"/>
      <c r="AG589" s="184" t="n">
        <v>4.07</v>
      </c>
      <c r="AH589" s="185" t="n">
        <v>40725</v>
      </c>
      <c r="AI589" s="183"/>
      <c r="AJ589" s="183"/>
      <c r="AK589" s="182"/>
      <c r="AL589" s="182"/>
      <c r="AM589" s="184" t="n">
        <v>88</v>
      </c>
      <c r="AN589" s="183" t="n">
        <v>40630</v>
      </c>
      <c r="AO589" s="182"/>
      <c r="AP589" s="182"/>
      <c r="AQ589" s="183"/>
      <c r="AR589" s="183"/>
      <c r="AS589" s="182"/>
      <c r="AT589" s="182"/>
      <c r="AU589" s="183"/>
      <c r="AV589" s="183"/>
      <c r="AW589" s="182"/>
      <c r="AX589" s="182"/>
      <c r="AY589" s="183"/>
      <c r="AZ589" s="183"/>
      <c r="BA589" s="182"/>
      <c r="BB589" s="182"/>
      <c r="BK589" s="183"/>
      <c r="BL589" s="183"/>
      <c r="BM589" s="182"/>
      <c r="BN589" s="182"/>
      <c r="BO589" s="183"/>
      <c r="BP589" s="183"/>
      <c r="BQ589" s="182"/>
      <c r="BR589" s="182"/>
      <c r="BS589" s="184" t="n">
        <v>53</v>
      </c>
      <c r="BT589" s="185" t="n">
        <v>40725</v>
      </c>
      <c r="BU589" s="184" t="n">
        <v>16</v>
      </c>
      <c r="BV589" s="185" t="n">
        <v>40725</v>
      </c>
      <c r="CL589" s="182"/>
      <c r="CM589" s="182"/>
    </row>
    <row r="590" customFormat="false" ht="12.75" hidden="false" customHeight="false" outlineLevel="0" collapsed="false">
      <c r="A590" s="204" t="s">
        <v>717</v>
      </c>
      <c r="B590" s="193" t="s">
        <v>785</v>
      </c>
      <c r="C590" s="193" t="s">
        <v>876</v>
      </c>
      <c r="D590" s="193"/>
      <c r="E590" s="194" t="n">
        <v>2</v>
      </c>
      <c r="F590" s="195" t="n">
        <v>45</v>
      </c>
      <c r="G590" s="119"/>
      <c r="H590" s="119"/>
      <c r="J590" s="118"/>
      <c r="K590" s="118"/>
      <c r="L590" s="181"/>
      <c r="N590" s="182"/>
      <c r="O590" s="182"/>
      <c r="S590" s="184" t="n">
        <v>2104</v>
      </c>
      <c r="T590" s="185" t="n">
        <v>40725</v>
      </c>
      <c r="U590" s="182"/>
      <c r="V590" s="182"/>
      <c r="W590" s="183"/>
      <c r="X590" s="183"/>
      <c r="Y590" s="184" t="n">
        <v>673</v>
      </c>
      <c r="Z590" s="185" t="n">
        <v>40725</v>
      </c>
      <c r="AA590" s="184" t="n">
        <v>98618</v>
      </c>
      <c r="AB590" s="185" t="n">
        <v>40725</v>
      </c>
      <c r="AC590" s="184" t="n">
        <v>40</v>
      </c>
      <c r="AD590" s="185" t="n">
        <v>40725</v>
      </c>
      <c r="AE590" s="196"/>
      <c r="AF590" s="185"/>
      <c r="AG590" s="184" t="n">
        <v>4.05</v>
      </c>
      <c r="AH590" s="185" t="n">
        <v>40725</v>
      </c>
      <c r="AI590" s="183"/>
      <c r="AJ590" s="183"/>
      <c r="AK590" s="182"/>
      <c r="AL590" s="182"/>
      <c r="AM590" s="184" t="n">
        <v>87</v>
      </c>
      <c r="AN590" s="183" t="n">
        <v>40630</v>
      </c>
      <c r="AO590" s="182"/>
      <c r="AP590" s="182"/>
      <c r="AQ590" s="183"/>
      <c r="AR590" s="183"/>
      <c r="AS590" s="182"/>
      <c r="AT590" s="182"/>
      <c r="AU590" s="183"/>
      <c r="AV590" s="183"/>
      <c r="AW590" s="182"/>
      <c r="AX590" s="182"/>
      <c r="AY590" s="183"/>
      <c r="AZ590" s="183"/>
      <c r="BA590" s="182"/>
      <c r="BB590" s="182"/>
      <c r="BK590" s="183"/>
      <c r="BL590" s="183"/>
      <c r="BM590" s="182"/>
      <c r="BN590" s="182"/>
      <c r="BO590" s="183"/>
      <c r="BP590" s="183"/>
      <c r="BQ590" s="182"/>
      <c r="BR590" s="182"/>
      <c r="BS590" s="184" t="n">
        <v>52.6</v>
      </c>
      <c r="BT590" s="185" t="n">
        <v>40725</v>
      </c>
      <c r="BU590" s="184" t="n">
        <v>16.8</v>
      </c>
      <c r="BV590" s="185" t="n">
        <v>40725</v>
      </c>
      <c r="CL590" s="182"/>
      <c r="CM590" s="182"/>
    </row>
    <row r="591" customFormat="false" ht="12.75" hidden="false" customHeight="false" outlineLevel="0" collapsed="false">
      <c r="A591" s="204" t="s">
        <v>717</v>
      </c>
      <c r="B591" s="193" t="s">
        <v>785</v>
      </c>
      <c r="C591" s="193" t="s">
        <v>877</v>
      </c>
      <c r="D591" s="193"/>
      <c r="E591" s="119" t="n">
        <v>23</v>
      </c>
      <c r="F591" s="195" t="n">
        <v>79</v>
      </c>
      <c r="G591" s="119"/>
      <c r="H591" s="119"/>
      <c r="J591" s="118"/>
      <c r="K591" s="118"/>
      <c r="L591" s="181"/>
      <c r="N591" s="182"/>
      <c r="O591" s="182"/>
      <c r="S591" s="184" t="n">
        <v>2077</v>
      </c>
      <c r="T591" s="185" t="n">
        <v>40725</v>
      </c>
      <c r="U591" s="182"/>
      <c r="V591" s="182"/>
      <c r="W591" s="183"/>
      <c r="X591" s="183"/>
      <c r="Y591" s="184" t="n">
        <v>682</v>
      </c>
      <c r="Z591" s="185" t="n">
        <v>40725</v>
      </c>
      <c r="AA591" s="184" t="n">
        <v>94282</v>
      </c>
      <c r="AB591" s="185" t="n">
        <v>40725</v>
      </c>
      <c r="AC591" s="184" t="n">
        <v>39.7</v>
      </c>
      <c r="AD591" s="185" t="n">
        <v>40725</v>
      </c>
      <c r="AE591" s="196"/>
      <c r="AF591" s="185"/>
      <c r="AG591" s="184" t="n">
        <v>4.22</v>
      </c>
      <c r="AH591" s="185" t="n">
        <v>40725</v>
      </c>
      <c r="AI591" s="183"/>
      <c r="AJ591" s="183"/>
      <c r="AK591" s="182"/>
      <c r="AL591" s="182"/>
      <c r="AM591" s="184" t="n">
        <v>87</v>
      </c>
      <c r="AN591" s="183" t="n">
        <v>40630</v>
      </c>
      <c r="AO591" s="182"/>
      <c r="AP591" s="182"/>
      <c r="AQ591" s="183"/>
      <c r="AR591" s="183"/>
      <c r="AS591" s="182"/>
      <c r="AT591" s="182"/>
      <c r="AU591" s="183"/>
      <c r="AV591" s="183"/>
      <c r="AW591" s="182"/>
      <c r="AX591" s="182"/>
      <c r="AY591" s="183"/>
      <c r="AZ591" s="183"/>
      <c r="BA591" s="182"/>
      <c r="BB591" s="182"/>
      <c r="BK591" s="183"/>
      <c r="BL591" s="183"/>
      <c r="BM591" s="182"/>
      <c r="BN591" s="182"/>
      <c r="BO591" s="183"/>
      <c r="BP591" s="183"/>
      <c r="BQ591" s="182"/>
      <c r="BR591" s="182"/>
      <c r="BS591" s="184" t="n">
        <v>52.2</v>
      </c>
      <c r="BT591" s="185" t="n">
        <v>40725</v>
      </c>
      <c r="BU591" s="184" t="n">
        <v>17.2</v>
      </c>
      <c r="BV591" s="185" t="n">
        <v>40725</v>
      </c>
      <c r="CL591" s="182"/>
      <c r="CM591" s="182"/>
    </row>
    <row r="592" customFormat="false" ht="12.75" hidden="false" customHeight="false" outlineLevel="0" collapsed="false">
      <c r="A592" s="204" t="s">
        <v>720</v>
      </c>
      <c r="B592" s="193" t="s">
        <v>782</v>
      </c>
      <c r="C592" s="193" t="s">
        <v>875</v>
      </c>
      <c r="D592" s="193"/>
      <c r="E592" s="194" t="n">
        <v>4</v>
      </c>
      <c r="F592" s="195" t="n">
        <v>24</v>
      </c>
      <c r="G592" s="119"/>
      <c r="H592" s="119"/>
      <c r="J592" s="118"/>
      <c r="K592" s="118"/>
      <c r="L592" s="181"/>
      <c r="N592" s="182"/>
      <c r="O592" s="182"/>
      <c r="S592" s="184" t="n">
        <v>2017</v>
      </c>
      <c r="T592" s="185" t="n">
        <v>40725</v>
      </c>
      <c r="U592" s="182"/>
      <c r="V592" s="182"/>
      <c r="W592" s="183"/>
      <c r="X592" s="183"/>
      <c r="Y592" s="184" t="n">
        <v>590</v>
      </c>
      <c r="Z592" s="185" t="n">
        <v>40725</v>
      </c>
      <c r="AA592" s="184" t="n">
        <v>89837</v>
      </c>
      <c r="AB592" s="185" t="n">
        <v>40725</v>
      </c>
      <c r="AC592" s="184" t="n">
        <v>37.6</v>
      </c>
      <c r="AD592" s="185" t="n">
        <v>40725</v>
      </c>
      <c r="AE592" s="196"/>
      <c r="AF592" s="185"/>
      <c r="AG592" s="184" t="n">
        <v>4.18</v>
      </c>
      <c r="AH592" s="185" t="n">
        <v>40725</v>
      </c>
      <c r="AI592" s="183"/>
      <c r="AJ592" s="183"/>
      <c r="AK592" s="182"/>
      <c r="AL592" s="182"/>
      <c r="AM592" s="184" t="n">
        <v>81</v>
      </c>
      <c r="AN592" s="183" t="n">
        <v>40630</v>
      </c>
      <c r="AO592" s="182"/>
      <c r="AP592" s="182"/>
      <c r="AQ592" s="183"/>
      <c r="AR592" s="183"/>
      <c r="AS592" s="182"/>
      <c r="AT592" s="182"/>
      <c r="AU592" s="183"/>
      <c r="AV592" s="183"/>
      <c r="AW592" s="182"/>
      <c r="AX592" s="182"/>
      <c r="AY592" s="183"/>
      <c r="AZ592" s="183"/>
      <c r="BA592" s="182"/>
      <c r="BB592" s="182"/>
      <c r="BK592" s="183"/>
      <c r="BL592" s="183"/>
      <c r="BM592" s="182"/>
      <c r="BN592" s="182"/>
      <c r="BO592" s="183"/>
      <c r="BP592" s="183"/>
      <c r="BQ592" s="182"/>
      <c r="BR592" s="182"/>
      <c r="BS592" s="184" t="n">
        <v>53.7</v>
      </c>
      <c r="BT592" s="185" t="n">
        <v>40725</v>
      </c>
      <c r="BU592" s="184" t="n">
        <v>15.7</v>
      </c>
      <c r="BV592" s="185" t="n">
        <v>40725</v>
      </c>
      <c r="CL592" s="182"/>
      <c r="CM592" s="182"/>
    </row>
    <row r="593" customFormat="false" ht="12.75" hidden="false" customHeight="false" outlineLevel="0" collapsed="false">
      <c r="A593" s="204" t="s">
        <v>720</v>
      </c>
      <c r="B593" s="193" t="s">
        <v>782</v>
      </c>
      <c r="C593" s="193" t="s">
        <v>876</v>
      </c>
      <c r="D593" s="193"/>
      <c r="E593" s="194" t="n">
        <v>8</v>
      </c>
      <c r="F593" s="195" t="n">
        <v>35</v>
      </c>
      <c r="G593" s="119"/>
      <c r="H593" s="119"/>
      <c r="J593" s="118"/>
      <c r="K593" s="118"/>
      <c r="L593" s="181"/>
      <c r="N593" s="182"/>
      <c r="O593" s="182"/>
      <c r="S593" s="184" t="n">
        <v>1691</v>
      </c>
      <c r="T593" s="185" t="n">
        <v>40725</v>
      </c>
      <c r="U593" s="182"/>
      <c r="V593" s="182"/>
      <c r="W593" s="183"/>
      <c r="X593" s="183"/>
      <c r="Y593" s="184" t="n">
        <v>499</v>
      </c>
      <c r="Z593" s="185" t="n">
        <v>40725</v>
      </c>
      <c r="AA593" s="184" t="n">
        <v>74026</v>
      </c>
      <c r="AB593" s="185" t="n">
        <v>40725</v>
      </c>
      <c r="AC593" s="184" t="n">
        <v>31.8</v>
      </c>
      <c r="AD593" s="185" t="n">
        <v>40725</v>
      </c>
      <c r="AE593" s="196"/>
      <c r="AF593" s="185"/>
      <c r="AG593" s="184" t="n">
        <v>4.3</v>
      </c>
      <c r="AH593" s="185" t="n">
        <v>40725</v>
      </c>
      <c r="AI593" s="183"/>
      <c r="AJ593" s="183"/>
      <c r="AK593" s="182"/>
      <c r="AL593" s="182"/>
      <c r="AM593" s="184" t="n">
        <v>81</v>
      </c>
      <c r="AN593" s="183" t="n">
        <v>40630</v>
      </c>
      <c r="AO593" s="182"/>
      <c r="AP593" s="182"/>
      <c r="AQ593" s="183"/>
      <c r="AR593" s="183"/>
      <c r="AS593" s="182"/>
      <c r="AT593" s="182"/>
      <c r="AU593" s="183"/>
      <c r="AV593" s="183"/>
      <c r="AW593" s="182"/>
      <c r="AX593" s="182"/>
      <c r="AY593" s="183"/>
      <c r="AZ593" s="183"/>
      <c r="BA593" s="182"/>
      <c r="BB593" s="182"/>
      <c r="BK593" s="183"/>
      <c r="BL593" s="183"/>
      <c r="BM593" s="182"/>
      <c r="BN593" s="182"/>
      <c r="BO593" s="183"/>
      <c r="BP593" s="183"/>
      <c r="BQ593" s="182"/>
      <c r="BR593" s="182"/>
      <c r="BS593" s="184" t="n">
        <v>53.2</v>
      </c>
      <c r="BT593" s="185" t="n">
        <v>40725</v>
      </c>
      <c r="BU593" s="184" t="n">
        <v>15.7</v>
      </c>
      <c r="BV593" s="185" t="n">
        <v>40725</v>
      </c>
      <c r="CL593" s="182"/>
      <c r="CM593" s="182"/>
    </row>
    <row r="594" customFormat="false" ht="12.75" hidden="false" customHeight="false" outlineLevel="0" collapsed="false">
      <c r="A594" s="204" t="s">
        <v>720</v>
      </c>
      <c r="B594" s="193" t="s">
        <v>782</v>
      </c>
      <c r="C594" s="193" t="s">
        <v>877</v>
      </c>
      <c r="D594" s="193"/>
      <c r="E594" s="119" t="n">
        <v>19</v>
      </c>
      <c r="F594" s="195" t="n">
        <v>85</v>
      </c>
      <c r="G594" s="119"/>
      <c r="H594" s="119"/>
      <c r="J594" s="118"/>
      <c r="K594" s="118"/>
      <c r="L594" s="181"/>
      <c r="N594" s="182"/>
      <c r="O594" s="182"/>
      <c r="S594" s="184" t="n">
        <v>1725</v>
      </c>
      <c r="T594" s="185" t="n">
        <v>40725</v>
      </c>
      <c r="U594" s="182"/>
      <c r="V594" s="182"/>
      <c r="W594" s="183"/>
      <c r="X594" s="183"/>
      <c r="Y594" s="184" t="n">
        <v>505</v>
      </c>
      <c r="Z594" s="185" t="n">
        <v>40725</v>
      </c>
      <c r="AA594" s="184" t="n">
        <v>74606</v>
      </c>
      <c r="AB594" s="185" t="n">
        <v>40725</v>
      </c>
      <c r="AC594" s="184" t="n">
        <v>32.4</v>
      </c>
      <c r="AD594" s="185" t="n">
        <v>40725</v>
      </c>
      <c r="AE594" s="196"/>
      <c r="AF594" s="185"/>
      <c r="AG594" s="184" t="n">
        <v>4.35</v>
      </c>
      <c r="AH594" s="185" t="n">
        <v>40725</v>
      </c>
      <c r="AI594" s="183"/>
      <c r="AJ594" s="183"/>
      <c r="AK594" s="182"/>
      <c r="AL594" s="182"/>
      <c r="AM594" s="184" t="n">
        <v>81</v>
      </c>
      <c r="AN594" s="183" t="n">
        <v>40630</v>
      </c>
      <c r="AO594" s="182"/>
      <c r="AP594" s="182"/>
      <c r="AQ594" s="183"/>
      <c r="AR594" s="183"/>
      <c r="AS594" s="182"/>
      <c r="AT594" s="182"/>
      <c r="AU594" s="183"/>
      <c r="AV594" s="183"/>
      <c r="AW594" s="182"/>
      <c r="AX594" s="182"/>
      <c r="AY594" s="183"/>
      <c r="AZ594" s="183"/>
      <c r="BA594" s="182"/>
      <c r="BB594" s="182"/>
      <c r="BK594" s="183"/>
      <c r="BL594" s="183"/>
      <c r="BM594" s="182"/>
      <c r="BN594" s="182"/>
      <c r="BO594" s="183"/>
      <c r="BP594" s="183"/>
      <c r="BQ594" s="182"/>
      <c r="BR594" s="182"/>
      <c r="BS594" s="184" t="n">
        <v>53.2</v>
      </c>
      <c r="BT594" s="185" t="n">
        <v>40725</v>
      </c>
      <c r="BU594" s="184" t="n">
        <v>15.6</v>
      </c>
      <c r="BV594" s="185" t="n">
        <v>40725</v>
      </c>
      <c r="CL594" s="182"/>
      <c r="CM594" s="182"/>
    </row>
    <row r="595" customFormat="false" ht="12.75" hidden="false" customHeight="false" outlineLevel="0" collapsed="false">
      <c r="A595" s="204" t="s">
        <v>720</v>
      </c>
      <c r="B595" s="193" t="s">
        <v>785</v>
      </c>
      <c r="C595" s="193" t="s">
        <v>875</v>
      </c>
      <c r="D595" s="193"/>
      <c r="E595" s="194" t="n">
        <v>7</v>
      </c>
      <c r="F595" s="195" t="n">
        <v>10</v>
      </c>
      <c r="G595" s="119"/>
      <c r="H595" s="119"/>
      <c r="J595" s="118"/>
      <c r="K595" s="118"/>
      <c r="L595" s="181"/>
      <c r="N595" s="182"/>
      <c r="O595" s="182"/>
      <c r="S595" s="184" t="n">
        <v>2204</v>
      </c>
      <c r="T595" s="185" t="n">
        <v>40725</v>
      </c>
      <c r="U595" s="182"/>
      <c r="V595" s="182"/>
      <c r="W595" s="183"/>
      <c r="X595" s="183"/>
      <c r="Y595" s="184" t="n">
        <v>651</v>
      </c>
      <c r="Z595" s="185" t="n">
        <v>40725</v>
      </c>
      <c r="AA595" s="184" t="n">
        <v>102444</v>
      </c>
      <c r="AB595" s="185" t="n">
        <v>40725</v>
      </c>
      <c r="AC595" s="184" t="n">
        <v>41.4</v>
      </c>
      <c r="AD595" s="185" t="n">
        <v>40725</v>
      </c>
      <c r="AE595" s="196"/>
      <c r="AF595" s="185"/>
      <c r="AG595" s="184" t="n">
        <v>4.04</v>
      </c>
      <c r="AH595" s="185" t="n">
        <v>40725</v>
      </c>
      <c r="AI595" s="183"/>
      <c r="AJ595" s="183"/>
      <c r="AK595" s="182"/>
      <c r="AL595" s="182"/>
      <c r="AM595" s="184" t="n">
        <v>83</v>
      </c>
      <c r="AN595" s="183" t="n">
        <v>40630</v>
      </c>
      <c r="AO595" s="182"/>
      <c r="AP595" s="182"/>
      <c r="AQ595" s="183"/>
      <c r="AR595" s="183"/>
      <c r="AS595" s="182"/>
      <c r="AT595" s="182"/>
      <c r="AU595" s="183"/>
      <c r="AV595" s="183"/>
      <c r="AW595" s="182"/>
      <c r="AX595" s="182"/>
      <c r="AY595" s="183"/>
      <c r="AZ595" s="183"/>
      <c r="BA595" s="182"/>
      <c r="BB595" s="182"/>
      <c r="BK595" s="183"/>
      <c r="BL595" s="183"/>
      <c r="BM595" s="182"/>
      <c r="BN595" s="182"/>
      <c r="BO595" s="183"/>
      <c r="BP595" s="183"/>
      <c r="BQ595" s="182"/>
      <c r="BR595" s="182"/>
      <c r="BS595" s="184" t="n">
        <v>53.2</v>
      </c>
      <c r="BT595" s="185" t="n">
        <v>40725</v>
      </c>
      <c r="BU595" s="184" t="n">
        <v>15.7</v>
      </c>
      <c r="BV595" s="185" t="n">
        <v>40725</v>
      </c>
      <c r="CL595" s="182"/>
      <c r="CM595" s="182"/>
    </row>
    <row r="596" customFormat="false" ht="12.75" hidden="false" customHeight="false" outlineLevel="0" collapsed="false">
      <c r="A596" s="204" t="s">
        <v>720</v>
      </c>
      <c r="B596" s="193" t="s">
        <v>785</v>
      </c>
      <c r="C596" s="193" t="s">
        <v>876</v>
      </c>
      <c r="D596" s="193"/>
      <c r="E596" s="194" t="n">
        <v>4</v>
      </c>
      <c r="F596" s="195" t="n">
        <v>58</v>
      </c>
      <c r="G596" s="119"/>
      <c r="H596" s="119"/>
      <c r="J596" s="118"/>
      <c r="K596" s="118"/>
      <c r="L596" s="181"/>
      <c r="N596" s="182"/>
      <c r="O596" s="182"/>
      <c r="S596" s="184" t="n">
        <v>2144</v>
      </c>
      <c r="T596" s="185" t="n">
        <v>40725</v>
      </c>
      <c r="U596" s="182"/>
      <c r="V596" s="182"/>
      <c r="W596" s="183"/>
      <c r="X596" s="183"/>
      <c r="Y596" s="184" t="n">
        <v>688</v>
      </c>
      <c r="Z596" s="185" t="n">
        <v>40725</v>
      </c>
      <c r="AA596" s="184" t="n">
        <v>97036</v>
      </c>
      <c r="AB596" s="185" t="n">
        <v>40725</v>
      </c>
      <c r="AC596" s="184" t="n">
        <v>41</v>
      </c>
      <c r="AD596" s="185" t="n">
        <v>40725</v>
      </c>
      <c r="AE596" s="196"/>
      <c r="AF596" s="185"/>
      <c r="AG596" s="184" t="n">
        <v>4.23</v>
      </c>
      <c r="AH596" s="185" t="n">
        <v>40725</v>
      </c>
      <c r="AI596" s="183"/>
      <c r="AJ596" s="183"/>
      <c r="AK596" s="182"/>
      <c r="AL596" s="182"/>
      <c r="AM596" s="184" t="n">
        <v>81</v>
      </c>
      <c r="AN596" s="183" t="n">
        <v>40630</v>
      </c>
      <c r="AO596" s="182"/>
      <c r="AP596" s="182"/>
      <c r="AQ596" s="183"/>
      <c r="AR596" s="183"/>
      <c r="AS596" s="182"/>
      <c r="AT596" s="182"/>
      <c r="AU596" s="183"/>
      <c r="AV596" s="183"/>
      <c r="AW596" s="182"/>
      <c r="AX596" s="182"/>
      <c r="AY596" s="183"/>
      <c r="AZ596" s="183"/>
      <c r="BA596" s="182"/>
      <c r="BB596" s="182"/>
      <c r="BK596" s="183"/>
      <c r="BL596" s="183"/>
      <c r="BM596" s="182"/>
      <c r="BN596" s="182"/>
      <c r="BO596" s="183"/>
      <c r="BP596" s="183"/>
      <c r="BQ596" s="182"/>
      <c r="BR596" s="182"/>
      <c r="BS596" s="184" t="n">
        <v>52.3</v>
      </c>
      <c r="BT596" s="185" t="n">
        <v>40725</v>
      </c>
      <c r="BU596" s="184" t="n">
        <v>16.8</v>
      </c>
      <c r="BV596" s="185" t="n">
        <v>40725</v>
      </c>
      <c r="CL596" s="182"/>
      <c r="CM596" s="182"/>
    </row>
    <row r="597" customFormat="false" ht="12.75" hidden="false" customHeight="false" outlineLevel="0" collapsed="false">
      <c r="A597" s="204" t="s">
        <v>720</v>
      </c>
      <c r="B597" s="193" t="s">
        <v>785</v>
      </c>
      <c r="C597" s="193" t="s">
        <v>877</v>
      </c>
      <c r="D597" s="193"/>
      <c r="E597" s="119" t="n">
        <v>24</v>
      </c>
      <c r="F597" s="195" t="n">
        <v>68</v>
      </c>
      <c r="G597" s="119"/>
      <c r="H597" s="119"/>
      <c r="J597" s="118"/>
      <c r="K597" s="118"/>
      <c r="L597" s="181"/>
      <c r="N597" s="182"/>
      <c r="O597" s="182"/>
      <c r="S597" s="184" t="n">
        <v>2154</v>
      </c>
      <c r="T597" s="185" t="n">
        <v>40725</v>
      </c>
      <c r="U597" s="182"/>
      <c r="V597" s="182"/>
      <c r="W597" s="183"/>
      <c r="X597" s="183"/>
      <c r="Y597" s="184" t="n">
        <v>704</v>
      </c>
      <c r="Z597" s="185" t="n">
        <v>40725</v>
      </c>
      <c r="AA597" s="184" t="n">
        <v>96378</v>
      </c>
      <c r="AB597" s="185" t="n">
        <v>40725</v>
      </c>
      <c r="AC597" s="184" t="n">
        <v>41</v>
      </c>
      <c r="AD597" s="185" t="n">
        <v>40725</v>
      </c>
      <c r="AE597" s="196"/>
      <c r="AF597" s="185"/>
      <c r="AG597" s="184" t="n">
        <v>4.25</v>
      </c>
      <c r="AH597" s="185" t="n">
        <v>40725</v>
      </c>
      <c r="AI597" s="183"/>
      <c r="AJ597" s="183"/>
      <c r="AK597" s="182"/>
      <c r="AL597" s="182"/>
      <c r="AM597" s="184" t="n">
        <v>82</v>
      </c>
      <c r="AN597" s="183" t="n">
        <v>40630</v>
      </c>
      <c r="AO597" s="182"/>
      <c r="AP597" s="182"/>
      <c r="AQ597" s="183"/>
      <c r="AR597" s="183"/>
      <c r="AS597" s="182"/>
      <c r="AT597" s="182"/>
      <c r="AU597" s="183"/>
      <c r="AV597" s="183"/>
      <c r="AW597" s="182"/>
      <c r="AX597" s="182"/>
      <c r="AY597" s="183"/>
      <c r="AZ597" s="183"/>
      <c r="BA597" s="182"/>
      <c r="BB597" s="182"/>
      <c r="BK597" s="183"/>
      <c r="BL597" s="183"/>
      <c r="BM597" s="182"/>
      <c r="BN597" s="182"/>
      <c r="BO597" s="183"/>
      <c r="BP597" s="183"/>
      <c r="BQ597" s="182"/>
      <c r="BR597" s="182"/>
      <c r="BS597" s="184" t="n">
        <v>52.6</v>
      </c>
      <c r="BT597" s="185" t="n">
        <v>40725</v>
      </c>
      <c r="BU597" s="184" t="n">
        <v>17.2</v>
      </c>
      <c r="BV597" s="185" t="n">
        <v>40725</v>
      </c>
      <c r="CL597" s="182"/>
      <c r="CM597" s="182"/>
    </row>
    <row r="598" customFormat="false" ht="12.75" hidden="false" customHeight="false" outlineLevel="0" collapsed="false">
      <c r="A598" s="204" t="s">
        <v>723</v>
      </c>
      <c r="B598" s="193" t="s">
        <v>782</v>
      </c>
      <c r="C598" s="193" t="s">
        <v>875</v>
      </c>
      <c r="D598" s="193"/>
      <c r="E598" s="194" t="n">
        <v>4</v>
      </c>
      <c r="F598" s="195" t="n">
        <v>18</v>
      </c>
      <c r="G598" s="119"/>
      <c r="H598" s="119"/>
      <c r="J598" s="118"/>
      <c r="K598" s="118"/>
      <c r="L598" s="181"/>
      <c r="N598" s="182"/>
      <c r="O598" s="182"/>
      <c r="S598" s="184" t="n">
        <v>1801</v>
      </c>
      <c r="T598" s="185" t="n">
        <v>40725</v>
      </c>
      <c r="U598" s="182"/>
      <c r="V598" s="182"/>
      <c r="W598" s="183"/>
      <c r="X598" s="183"/>
      <c r="Y598" s="184" t="n">
        <v>541</v>
      </c>
      <c r="Z598" s="185" t="n">
        <v>40725</v>
      </c>
      <c r="AA598" s="184" t="n">
        <v>82281</v>
      </c>
      <c r="AB598" s="185" t="n">
        <v>40725</v>
      </c>
      <c r="AC598" s="184" t="n">
        <v>33.7</v>
      </c>
      <c r="AD598" s="185" t="n">
        <v>40725</v>
      </c>
      <c r="AE598" s="196"/>
      <c r="AF598" s="185"/>
      <c r="AG598" s="184" t="n">
        <v>4.1</v>
      </c>
      <c r="AH598" s="185" t="n">
        <v>40725</v>
      </c>
      <c r="AI598" s="183"/>
      <c r="AJ598" s="183"/>
      <c r="AK598" s="182"/>
      <c r="AL598" s="182"/>
      <c r="AM598" s="184" t="n">
        <v>89</v>
      </c>
      <c r="AN598" s="183" t="n">
        <v>40630</v>
      </c>
      <c r="AO598" s="182"/>
      <c r="AP598" s="182"/>
      <c r="AQ598" s="183"/>
      <c r="AR598" s="183"/>
      <c r="AS598" s="182"/>
      <c r="AT598" s="182"/>
      <c r="AU598" s="183"/>
      <c r="AV598" s="183"/>
      <c r="AW598" s="182"/>
      <c r="AX598" s="182"/>
      <c r="AY598" s="183"/>
      <c r="AZ598" s="183"/>
      <c r="BA598" s="182"/>
      <c r="BB598" s="182"/>
      <c r="BK598" s="183"/>
      <c r="BL598" s="183"/>
      <c r="BM598" s="182"/>
      <c r="BN598" s="182"/>
      <c r="BO598" s="183"/>
      <c r="BP598" s="183"/>
      <c r="BQ598" s="182"/>
      <c r="BR598" s="182"/>
      <c r="BS598" s="184" t="n">
        <v>53.4</v>
      </c>
      <c r="BT598" s="185" t="n">
        <v>40725</v>
      </c>
      <c r="BU598" s="184" t="n">
        <v>16</v>
      </c>
      <c r="BV598" s="185" t="n">
        <v>40725</v>
      </c>
      <c r="CL598" s="182"/>
      <c r="CM598" s="182"/>
    </row>
    <row r="599" customFormat="false" ht="12.75" hidden="false" customHeight="false" outlineLevel="0" collapsed="false">
      <c r="A599" s="204" t="s">
        <v>723</v>
      </c>
      <c r="B599" s="193" t="s">
        <v>782</v>
      </c>
      <c r="C599" s="193" t="s">
        <v>876</v>
      </c>
      <c r="D599" s="193"/>
      <c r="E599" s="194" t="n">
        <v>8</v>
      </c>
      <c r="F599" s="195" t="n">
        <v>40</v>
      </c>
      <c r="G599" s="119"/>
      <c r="H599" s="119"/>
      <c r="J599" s="118"/>
      <c r="K599" s="118"/>
      <c r="L599" s="181"/>
      <c r="N599" s="182"/>
      <c r="O599" s="182"/>
      <c r="S599" s="184" t="n">
        <v>1816</v>
      </c>
      <c r="T599" s="185" t="n">
        <v>40725</v>
      </c>
      <c r="U599" s="182"/>
      <c r="V599" s="182"/>
      <c r="W599" s="183"/>
      <c r="X599" s="183"/>
      <c r="Y599" s="184" t="n">
        <v>617</v>
      </c>
      <c r="Z599" s="185" t="n">
        <v>40725</v>
      </c>
      <c r="AA599" s="184" t="n">
        <v>84538</v>
      </c>
      <c r="AB599" s="185" t="n">
        <v>40725</v>
      </c>
      <c r="AC599" s="184" t="n">
        <v>35</v>
      </c>
      <c r="AD599" s="185" t="n">
        <v>40725</v>
      </c>
      <c r="AE599" s="196"/>
      <c r="AF599" s="185"/>
      <c r="AG599" s="184" t="n">
        <v>4.13</v>
      </c>
      <c r="AH599" s="185" t="n">
        <v>40725</v>
      </c>
      <c r="AI599" s="183"/>
      <c r="AJ599" s="183"/>
      <c r="AK599" s="182"/>
      <c r="AL599" s="182"/>
      <c r="AM599" s="184" t="n">
        <v>88</v>
      </c>
      <c r="AN599" s="183" t="n">
        <v>40630</v>
      </c>
      <c r="AO599" s="182"/>
      <c r="AP599" s="182"/>
      <c r="AQ599" s="183"/>
      <c r="AR599" s="183"/>
      <c r="AS599" s="182"/>
      <c r="AT599" s="182"/>
      <c r="AU599" s="183"/>
      <c r="AV599" s="183"/>
      <c r="AW599" s="182"/>
      <c r="AX599" s="182"/>
      <c r="AY599" s="183"/>
      <c r="AZ599" s="183"/>
      <c r="BA599" s="182"/>
      <c r="BB599" s="182"/>
      <c r="BK599" s="183"/>
      <c r="BL599" s="183"/>
      <c r="BM599" s="182"/>
      <c r="BN599" s="182"/>
      <c r="BO599" s="183"/>
      <c r="BP599" s="183"/>
      <c r="BQ599" s="182"/>
      <c r="BR599" s="182"/>
      <c r="BS599" s="184" t="n">
        <v>52</v>
      </c>
      <c r="BT599" s="185" t="n">
        <v>40725</v>
      </c>
      <c r="BU599" s="184" t="n">
        <v>17.7</v>
      </c>
      <c r="BV599" s="185" t="n">
        <v>40725</v>
      </c>
      <c r="CL599" s="182"/>
      <c r="CM599" s="182"/>
    </row>
    <row r="600" customFormat="false" ht="12.75" hidden="false" customHeight="false" outlineLevel="0" collapsed="false">
      <c r="A600" s="204" t="s">
        <v>723</v>
      </c>
      <c r="B600" s="193" t="s">
        <v>782</v>
      </c>
      <c r="C600" s="193" t="s">
        <v>877</v>
      </c>
      <c r="D600" s="193"/>
      <c r="E600" s="194" t="n">
        <v>16</v>
      </c>
      <c r="F600" s="195" t="n">
        <v>86</v>
      </c>
      <c r="G600" s="119"/>
      <c r="H600" s="119"/>
      <c r="J600" s="118"/>
      <c r="K600" s="118"/>
      <c r="L600" s="181"/>
      <c r="N600" s="182"/>
      <c r="O600" s="182"/>
      <c r="S600" s="184" t="n">
        <v>1758</v>
      </c>
      <c r="T600" s="185" t="n">
        <v>40725</v>
      </c>
      <c r="U600" s="182"/>
      <c r="V600" s="182"/>
      <c r="W600" s="183"/>
      <c r="X600" s="183"/>
      <c r="Y600" s="184" t="n">
        <v>572</v>
      </c>
      <c r="Z600" s="185" t="n">
        <v>40725</v>
      </c>
      <c r="AA600" s="184" t="n">
        <v>82682</v>
      </c>
      <c r="AB600" s="185" t="n">
        <v>40725</v>
      </c>
      <c r="AC600" s="184" t="n">
        <v>33.8</v>
      </c>
      <c r="AD600" s="185" t="n">
        <v>40725</v>
      </c>
      <c r="AE600" s="196"/>
      <c r="AF600" s="185"/>
      <c r="AG600" s="184" t="n">
        <v>4.09</v>
      </c>
      <c r="AH600" s="185" t="n">
        <v>40725</v>
      </c>
      <c r="AI600" s="183"/>
      <c r="AJ600" s="183"/>
      <c r="AK600" s="182"/>
      <c r="AL600" s="182"/>
      <c r="AM600" s="184" t="n">
        <v>87</v>
      </c>
      <c r="AN600" s="183" t="n">
        <v>40630</v>
      </c>
      <c r="AO600" s="182"/>
      <c r="AP600" s="182"/>
      <c r="AQ600" s="183"/>
      <c r="AR600" s="183"/>
      <c r="AS600" s="182"/>
      <c r="AT600" s="182"/>
      <c r="AU600" s="183"/>
      <c r="AV600" s="183"/>
      <c r="AW600" s="182"/>
      <c r="AX600" s="182"/>
      <c r="AY600" s="183"/>
      <c r="AZ600" s="183"/>
      <c r="BA600" s="182"/>
      <c r="BB600" s="182"/>
      <c r="BK600" s="183"/>
      <c r="BL600" s="183"/>
      <c r="BM600" s="182"/>
      <c r="BN600" s="182"/>
      <c r="BO600" s="183"/>
      <c r="BP600" s="183"/>
      <c r="BQ600" s="182"/>
      <c r="BR600" s="182"/>
      <c r="BS600" s="184" t="n">
        <v>52</v>
      </c>
      <c r="BT600" s="185" t="n">
        <v>40725</v>
      </c>
      <c r="BU600" s="184" t="n">
        <v>16.9</v>
      </c>
      <c r="BV600" s="185" t="n">
        <v>40725</v>
      </c>
      <c r="CL600" s="182"/>
      <c r="CM600" s="182"/>
    </row>
    <row r="601" customFormat="false" ht="12.75" hidden="false" customHeight="false" outlineLevel="0" collapsed="false">
      <c r="A601" s="204" t="s">
        <v>723</v>
      </c>
      <c r="B601" s="193" t="s">
        <v>785</v>
      </c>
      <c r="C601" s="193" t="s">
        <v>875</v>
      </c>
      <c r="D601" s="193"/>
      <c r="E601" s="194" t="n">
        <v>7</v>
      </c>
      <c r="F601" s="195" t="n">
        <v>20</v>
      </c>
      <c r="G601" s="119"/>
      <c r="H601" s="119"/>
      <c r="J601" s="118"/>
      <c r="K601" s="118"/>
      <c r="L601" s="181"/>
      <c r="N601" s="182"/>
      <c r="O601" s="182"/>
      <c r="S601" s="184" t="n">
        <v>2227</v>
      </c>
      <c r="T601" s="185" t="n">
        <v>40725</v>
      </c>
      <c r="U601" s="182"/>
      <c r="V601" s="182"/>
      <c r="W601" s="183"/>
      <c r="X601" s="183"/>
      <c r="Y601" s="184" t="n">
        <v>709</v>
      </c>
      <c r="Z601" s="185" t="n">
        <v>40725</v>
      </c>
      <c r="AA601" s="184" t="n">
        <v>109378</v>
      </c>
      <c r="AB601" s="185" t="n">
        <v>40725</v>
      </c>
      <c r="AC601" s="184" t="n">
        <v>42.5</v>
      </c>
      <c r="AD601" s="185" t="n">
        <v>40725</v>
      </c>
      <c r="AE601" s="196"/>
      <c r="AF601" s="185"/>
      <c r="AG601" s="184" t="n">
        <v>3.88</v>
      </c>
      <c r="AH601" s="185" t="n">
        <v>40725</v>
      </c>
      <c r="AI601" s="183"/>
      <c r="AJ601" s="183"/>
      <c r="AK601" s="182"/>
      <c r="AL601" s="182"/>
      <c r="AM601" s="184" t="n">
        <v>92</v>
      </c>
      <c r="AN601" s="183" t="n">
        <v>40630</v>
      </c>
      <c r="AO601" s="182"/>
      <c r="AP601" s="182"/>
      <c r="AQ601" s="183"/>
      <c r="AR601" s="183"/>
      <c r="AS601" s="182"/>
      <c r="AT601" s="182"/>
      <c r="AU601" s="183"/>
      <c r="AV601" s="183"/>
      <c r="AW601" s="182"/>
      <c r="AX601" s="182"/>
      <c r="AY601" s="183"/>
      <c r="AZ601" s="183"/>
      <c r="BA601" s="182"/>
      <c r="BB601" s="182"/>
      <c r="BK601" s="183"/>
      <c r="BL601" s="183"/>
      <c r="BM601" s="182"/>
      <c r="BN601" s="182"/>
      <c r="BO601" s="183"/>
      <c r="BP601" s="183"/>
      <c r="BQ601" s="182"/>
      <c r="BR601" s="182"/>
      <c r="BS601" s="184" t="n">
        <v>52.4</v>
      </c>
      <c r="BT601" s="185" t="n">
        <v>40725</v>
      </c>
      <c r="BU601" s="184" t="n">
        <v>16.7</v>
      </c>
      <c r="BV601" s="185" t="n">
        <v>40725</v>
      </c>
      <c r="CL601" s="182"/>
      <c r="CM601" s="182"/>
    </row>
    <row r="602" customFormat="false" ht="12.75" hidden="false" customHeight="false" outlineLevel="0" collapsed="false">
      <c r="A602" s="204" t="s">
        <v>723</v>
      </c>
      <c r="B602" s="193" t="s">
        <v>785</v>
      </c>
      <c r="C602" s="193" t="s">
        <v>876</v>
      </c>
      <c r="D602" s="193"/>
      <c r="E602" s="194" t="n">
        <v>1</v>
      </c>
      <c r="F602" s="195" t="n">
        <v>36</v>
      </c>
      <c r="G602" s="119"/>
      <c r="H602" s="119"/>
      <c r="J602" s="118"/>
      <c r="K602" s="118"/>
      <c r="L602" s="181"/>
      <c r="N602" s="182"/>
      <c r="O602" s="182"/>
      <c r="S602" s="184" t="n">
        <v>1908</v>
      </c>
      <c r="T602" s="185" t="n">
        <v>40725</v>
      </c>
      <c r="U602" s="182"/>
      <c r="V602" s="182"/>
      <c r="W602" s="183"/>
      <c r="X602" s="183"/>
      <c r="Y602" s="184" t="n">
        <v>660</v>
      </c>
      <c r="Z602" s="185" t="n">
        <v>40725</v>
      </c>
      <c r="AA602" s="184" t="n">
        <v>88349</v>
      </c>
      <c r="AB602" s="185" t="n">
        <v>40725</v>
      </c>
      <c r="AC602" s="184" t="n">
        <v>36.9</v>
      </c>
      <c r="AD602" s="185" t="n">
        <v>40725</v>
      </c>
      <c r="AE602" s="196"/>
      <c r="AF602" s="185"/>
      <c r="AG602" s="184" t="n">
        <v>4.18</v>
      </c>
      <c r="AH602" s="185" t="n">
        <v>40725</v>
      </c>
      <c r="AI602" s="183"/>
      <c r="AJ602" s="183"/>
      <c r="AK602" s="182"/>
      <c r="AL602" s="182"/>
      <c r="AM602" s="184" t="n">
        <v>90</v>
      </c>
      <c r="AN602" s="183" t="n">
        <v>40630</v>
      </c>
      <c r="AO602" s="182"/>
      <c r="AP602" s="182"/>
      <c r="AQ602" s="183"/>
      <c r="AR602" s="183"/>
      <c r="AS602" s="182"/>
      <c r="AT602" s="182"/>
      <c r="AU602" s="183"/>
      <c r="AV602" s="183"/>
      <c r="AW602" s="182"/>
      <c r="AX602" s="182"/>
      <c r="AY602" s="183"/>
      <c r="AZ602" s="183"/>
      <c r="BA602" s="182"/>
      <c r="BB602" s="182"/>
      <c r="BK602" s="183"/>
      <c r="BL602" s="183"/>
      <c r="BM602" s="182"/>
      <c r="BN602" s="182"/>
      <c r="BO602" s="183"/>
      <c r="BP602" s="183"/>
      <c r="BQ602" s="182"/>
      <c r="BR602" s="182"/>
      <c r="BS602" s="184" t="n">
        <v>51.7</v>
      </c>
      <c r="BT602" s="185" t="n">
        <v>40725</v>
      </c>
      <c r="BU602" s="184" t="n">
        <v>17.9</v>
      </c>
      <c r="BV602" s="185" t="n">
        <v>40725</v>
      </c>
      <c r="CL602" s="182"/>
      <c r="CM602" s="182"/>
    </row>
    <row r="603" customFormat="false" ht="12.75" hidden="false" customHeight="false" outlineLevel="0" collapsed="false">
      <c r="A603" s="204" t="s">
        <v>723</v>
      </c>
      <c r="B603" s="193" t="s">
        <v>785</v>
      </c>
      <c r="C603" s="193" t="s">
        <v>877</v>
      </c>
      <c r="D603" s="193"/>
      <c r="E603" s="119" t="n">
        <v>20</v>
      </c>
      <c r="F603" s="195" t="n">
        <v>82</v>
      </c>
      <c r="G603" s="119"/>
      <c r="H603" s="119"/>
      <c r="J603" s="118"/>
      <c r="K603" s="118"/>
      <c r="L603" s="181"/>
      <c r="N603" s="182"/>
      <c r="O603" s="182"/>
      <c r="S603" s="184" t="n">
        <v>2154</v>
      </c>
      <c r="T603" s="185" t="n">
        <v>40725</v>
      </c>
      <c r="U603" s="182"/>
      <c r="V603" s="182"/>
      <c r="W603" s="183"/>
      <c r="X603" s="183"/>
      <c r="Y603" s="184" t="n">
        <v>744</v>
      </c>
      <c r="Z603" s="185" t="n">
        <v>40725</v>
      </c>
      <c r="AA603" s="184" t="n">
        <v>93338</v>
      </c>
      <c r="AB603" s="185" t="n">
        <v>40725</v>
      </c>
      <c r="AC603" s="184" t="n">
        <v>41.4</v>
      </c>
      <c r="AD603" s="185" t="n">
        <v>40725</v>
      </c>
      <c r="AE603" s="196"/>
      <c r="AF603" s="185"/>
      <c r="AG603" s="184" t="n">
        <v>4.43</v>
      </c>
      <c r="AH603" s="185" t="n">
        <v>40725</v>
      </c>
      <c r="AI603" s="183"/>
      <c r="AJ603" s="183"/>
      <c r="AK603" s="182"/>
      <c r="AL603" s="182"/>
      <c r="AM603" s="184" t="n">
        <v>91</v>
      </c>
      <c r="AN603" s="183" t="n">
        <v>40630</v>
      </c>
      <c r="AO603" s="182"/>
      <c r="AP603" s="182"/>
      <c r="AQ603" s="183"/>
      <c r="AR603" s="183"/>
      <c r="AS603" s="182"/>
      <c r="AT603" s="182"/>
      <c r="AU603" s="183"/>
      <c r="AV603" s="183"/>
      <c r="AW603" s="182"/>
      <c r="AX603" s="182"/>
      <c r="AY603" s="183"/>
      <c r="AZ603" s="183"/>
      <c r="BA603" s="182"/>
      <c r="BB603" s="182"/>
      <c r="BK603" s="183"/>
      <c r="BL603" s="183"/>
      <c r="BM603" s="182"/>
      <c r="BN603" s="182"/>
      <c r="BO603" s="183"/>
      <c r="BP603" s="183"/>
      <c r="BQ603" s="182"/>
      <c r="BR603" s="182"/>
      <c r="BS603" s="184" t="n">
        <v>52.1</v>
      </c>
      <c r="BT603" s="185" t="n">
        <v>40725</v>
      </c>
      <c r="BU603" s="184" t="n">
        <v>18</v>
      </c>
      <c r="BV603" s="185" t="n">
        <v>40725</v>
      </c>
      <c r="CL603" s="182"/>
      <c r="CM603" s="182"/>
    </row>
    <row r="604" customFormat="false" ht="12.75" hidden="false" customHeight="false" outlineLevel="0" collapsed="false">
      <c r="A604" s="204" t="s">
        <v>726</v>
      </c>
      <c r="B604" s="193" t="s">
        <v>782</v>
      </c>
      <c r="C604" s="193" t="s">
        <v>875</v>
      </c>
      <c r="D604" s="193"/>
      <c r="E604" s="194" t="n">
        <v>1</v>
      </c>
      <c r="F604" s="195" t="n">
        <v>20</v>
      </c>
      <c r="G604" s="119"/>
      <c r="H604" s="119"/>
      <c r="J604" s="118"/>
      <c r="K604" s="118"/>
      <c r="L604" s="181"/>
      <c r="N604" s="182"/>
      <c r="O604" s="182"/>
      <c r="S604" s="184" t="n">
        <v>1743</v>
      </c>
      <c r="T604" s="185" t="n">
        <v>40725</v>
      </c>
      <c r="U604" s="182"/>
      <c r="V604" s="182"/>
      <c r="W604" s="183"/>
      <c r="X604" s="183"/>
      <c r="Y604" s="184" t="n">
        <v>489</v>
      </c>
      <c r="Z604" s="185" t="n">
        <v>40725</v>
      </c>
      <c r="AA604" s="184" t="n">
        <v>77784</v>
      </c>
      <c r="AB604" s="185" t="n">
        <v>40725</v>
      </c>
      <c r="AC604" s="184" t="n">
        <v>32.6</v>
      </c>
      <c r="AD604" s="185" t="n">
        <v>40725</v>
      </c>
      <c r="AE604" s="196"/>
      <c r="AF604" s="185"/>
      <c r="AG604" s="184" t="n">
        <v>4.19</v>
      </c>
      <c r="AH604" s="185" t="n">
        <v>40725</v>
      </c>
      <c r="AI604" s="183"/>
      <c r="AJ604" s="183"/>
      <c r="AK604" s="182"/>
      <c r="AL604" s="182"/>
      <c r="AM604" s="184" t="n">
        <v>84</v>
      </c>
      <c r="AN604" s="183" t="n">
        <v>40630</v>
      </c>
      <c r="AO604" s="182"/>
      <c r="AP604" s="182"/>
      <c r="AQ604" s="183"/>
      <c r="AR604" s="183"/>
      <c r="AS604" s="182"/>
      <c r="AT604" s="182"/>
      <c r="AU604" s="183"/>
      <c r="AV604" s="183"/>
      <c r="AW604" s="182"/>
      <c r="AX604" s="182"/>
      <c r="AY604" s="183"/>
      <c r="AZ604" s="183"/>
      <c r="BA604" s="182"/>
      <c r="BB604" s="182"/>
      <c r="BK604" s="183"/>
      <c r="BL604" s="183"/>
      <c r="BM604" s="182"/>
      <c r="BN604" s="182"/>
      <c r="BO604" s="183"/>
      <c r="BP604" s="183"/>
      <c r="BQ604" s="182"/>
      <c r="BR604" s="182"/>
      <c r="BS604" s="184" t="n">
        <v>53.5</v>
      </c>
      <c r="BT604" s="185" t="n">
        <v>40725</v>
      </c>
      <c r="BU604" s="184" t="n">
        <v>15</v>
      </c>
      <c r="BV604" s="185" t="n">
        <v>40725</v>
      </c>
      <c r="CL604" s="182"/>
      <c r="CM604" s="182"/>
    </row>
    <row r="605" customFormat="false" ht="12.75" hidden="false" customHeight="false" outlineLevel="0" collapsed="false">
      <c r="A605" s="204" t="s">
        <v>726</v>
      </c>
      <c r="B605" s="193" t="s">
        <v>782</v>
      </c>
      <c r="C605" s="193" t="s">
        <v>876</v>
      </c>
      <c r="D605" s="193"/>
      <c r="E605" s="194" t="n">
        <v>6</v>
      </c>
      <c r="F605" s="195" t="n">
        <v>64</v>
      </c>
      <c r="G605" s="119"/>
      <c r="H605" s="119"/>
      <c r="J605" s="118"/>
      <c r="K605" s="118"/>
      <c r="L605" s="181"/>
      <c r="N605" s="182"/>
      <c r="O605" s="182"/>
      <c r="S605" s="184" t="n">
        <v>1433</v>
      </c>
      <c r="T605" s="185" t="n">
        <v>40725</v>
      </c>
      <c r="U605" s="182"/>
      <c r="V605" s="182"/>
      <c r="W605" s="183"/>
      <c r="X605" s="183"/>
      <c r="Y605" s="184" t="n">
        <v>432</v>
      </c>
      <c r="Z605" s="185" t="n">
        <v>40725</v>
      </c>
      <c r="AA605" s="184" t="n">
        <v>65687</v>
      </c>
      <c r="AB605" s="185" t="n">
        <v>40725</v>
      </c>
      <c r="AC605" s="184" t="n">
        <v>27.1</v>
      </c>
      <c r="AD605" s="185" t="n">
        <v>40725</v>
      </c>
      <c r="AE605" s="196"/>
      <c r="AF605" s="185"/>
      <c r="AG605" s="184" t="n">
        <v>4.12</v>
      </c>
      <c r="AH605" s="185" t="n">
        <v>40725</v>
      </c>
      <c r="AI605" s="183"/>
      <c r="AJ605" s="183"/>
      <c r="AK605" s="182"/>
      <c r="AL605" s="182"/>
      <c r="AM605" s="184" t="n">
        <v>81</v>
      </c>
      <c r="AN605" s="183" t="n">
        <v>40630</v>
      </c>
      <c r="AO605" s="182"/>
      <c r="AP605" s="182"/>
      <c r="AQ605" s="183"/>
      <c r="AR605" s="183"/>
      <c r="AS605" s="182"/>
      <c r="AT605" s="182"/>
      <c r="AU605" s="183"/>
      <c r="AV605" s="183"/>
      <c r="AW605" s="182"/>
      <c r="AX605" s="182"/>
      <c r="AY605" s="183"/>
      <c r="AZ605" s="183"/>
      <c r="BA605" s="182"/>
      <c r="BB605" s="182"/>
      <c r="BK605" s="183"/>
      <c r="BL605" s="183"/>
      <c r="BM605" s="182"/>
      <c r="BN605" s="182"/>
      <c r="BO605" s="183"/>
      <c r="BP605" s="183"/>
      <c r="BQ605" s="182"/>
      <c r="BR605" s="182"/>
      <c r="BS605" s="184" t="n">
        <v>52.9</v>
      </c>
      <c r="BT605" s="185" t="n">
        <v>40725</v>
      </c>
      <c r="BU605" s="184" t="n">
        <v>15.9</v>
      </c>
      <c r="BV605" s="185" t="n">
        <v>40725</v>
      </c>
      <c r="CL605" s="182"/>
      <c r="CM605" s="182"/>
    </row>
    <row r="606" customFormat="false" ht="12.75" hidden="false" customHeight="false" outlineLevel="0" collapsed="false">
      <c r="A606" s="204" t="s">
        <v>726</v>
      </c>
      <c r="B606" s="193" t="s">
        <v>782</v>
      </c>
      <c r="C606" s="193" t="s">
        <v>877</v>
      </c>
      <c r="D606" s="193"/>
      <c r="E606" s="119" t="n">
        <v>17</v>
      </c>
      <c r="F606" s="195" t="n">
        <v>78</v>
      </c>
      <c r="G606" s="119"/>
      <c r="H606" s="119"/>
      <c r="J606" s="118"/>
      <c r="K606" s="118"/>
      <c r="L606" s="181"/>
      <c r="N606" s="182"/>
      <c r="O606" s="182"/>
      <c r="S606" s="184" t="n">
        <v>1748</v>
      </c>
      <c r="T606" s="185" t="n">
        <v>40725</v>
      </c>
      <c r="U606" s="182"/>
      <c r="V606" s="182"/>
      <c r="W606" s="183"/>
      <c r="X606" s="183"/>
      <c r="Y606" s="184" t="n">
        <v>536</v>
      </c>
      <c r="Z606" s="185" t="n">
        <v>40725</v>
      </c>
      <c r="AA606" s="184" t="n">
        <v>77447</v>
      </c>
      <c r="AB606" s="185" t="n">
        <v>40725</v>
      </c>
      <c r="AC606" s="184" t="n">
        <v>32.9</v>
      </c>
      <c r="AD606" s="185" t="n">
        <v>40725</v>
      </c>
      <c r="AE606" s="196"/>
      <c r="AF606" s="185"/>
      <c r="AG606" s="184" t="n">
        <v>4.25</v>
      </c>
      <c r="AH606" s="185" t="n">
        <v>40725</v>
      </c>
      <c r="AI606" s="183"/>
      <c r="AJ606" s="183"/>
      <c r="AK606" s="182"/>
      <c r="AL606" s="182"/>
      <c r="AM606" s="184" t="n">
        <v>81</v>
      </c>
      <c r="AN606" s="183" t="n">
        <v>40630</v>
      </c>
      <c r="AO606" s="182"/>
      <c r="AP606" s="182"/>
      <c r="AQ606" s="183"/>
      <c r="AR606" s="183"/>
      <c r="AS606" s="182"/>
      <c r="AT606" s="182"/>
      <c r="AU606" s="183"/>
      <c r="AV606" s="183"/>
      <c r="AW606" s="182"/>
      <c r="AX606" s="182"/>
      <c r="AY606" s="183"/>
      <c r="AZ606" s="183"/>
      <c r="BA606" s="182"/>
      <c r="BB606" s="182"/>
      <c r="BK606" s="183"/>
      <c r="BL606" s="183"/>
      <c r="BM606" s="182"/>
      <c r="BN606" s="182"/>
      <c r="BO606" s="183"/>
      <c r="BP606" s="183"/>
      <c r="BQ606" s="182"/>
      <c r="BR606" s="182"/>
      <c r="BS606" s="184" t="n">
        <v>53</v>
      </c>
      <c r="BT606" s="185" t="n">
        <v>40725</v>
      </c>
      <c r="BU606" s="184" t="n">
        <v>16.3</v>
      </c>
      <c r="BV606" s="185" t="n">
        <v>40725</v>
      </c>
      <c r="CL606" s="182"/>
      <c r="CM606" s="182"/>
    </row>
    <row r="607" customFormat="false" ht="12.75" hidden="false" customHeight="false" outlineLevel="0" collapsed="false">
      <c r="A607" s="204" t="s">
        <v>726</v>
      </c>
      <c r="B607" s="193" t="s">
        <v>785</v>
      </c>
      <c r="C607" s="193" t="s">
        <v>875</v>
      </c>
      <c r="D607" s="193"/>
      <c r="E607" s="194" t="n">
        <v>7</v>
      </c>
      <c r="F607" s="195" t="n">
        <v>14</v>
      </c>
      <c r="G607" s="119"/>
      <c r="H607" s="119"/>
      <c r="J607" s="118"/>
      <c r="K607" s="118"/>
      <c r="L607" s="181"/>
      <c r="N607" s="182"/>
      <c r="O607" s="182"/>
      <c r="S607" s="184" t="n">
        <v>2218</v>
      </c>
      <c r="T607" s="185" t="n">
        <v>40725</v>
      </c>
      <c r="U607" s="182"/>
      <c r="V607" s="182"/>
      <c r="W607" s="183"/>
      <c r="X607" s="183"/>
      <c r="Y607" s="184" t="n">
        <v>690</v>
      </c>
      <c r="Z607" s="185" t="n">
        <v>40725</v>
      </c>
      <c r="AA607" s="184" t="n">
        <v>105326</v>
      </c>
      <c r="AB607" s="185" t="n">
        <v>40725</v>
      </c>
      <c r="AC607" s="184" t="n">
        <v>41.9</v>
      </c>
      <c r="AD607" s="185" t="n">
        <v>40725</v>
      </c>
      <c r="AE607" s="196"/>
      <c r="AF607" s="185"/>
      <c r="AG607" s="184" t="n">
        <v>3.98</v>
      </c>
      <c r="AH607" s="185" t="n">
        <v>40725</v>
      </c>
      <c r="AI607" s="183"/>
      <c r="AJ607" s="183"/>
      <c r="AK607" s="182"/>
      <c r="AL607" s="182"/>
      <c r="AM607" s="184" t="n">
        <v>84</v>
      </c>
      <c r="AN607" s="183" t="n">
        <v>40630</v>
      </c>
      <c r="AO607" s="182"/>
      <c r="AP607" s="182"/>
      <c r="AQ607" s="183"/>
      <c r="AR607" s="183"/>
      <c r="AS607" s="182"/>
      <c r="AT607" s="182"/>
      <c r="AU607" s="183"/>
      <c r="AV607" s="183"/>
      <c r="AW607" s="182"/>
      <c r="AX607" s="182"/>
      <c r="AY607" s="183"/>
      <c r="AZ607" s="183"/>
      <c r="BA607" s="182"/>
      <c r="BB607" s="182"/>
      <c r="BK607" s="183"/>
      <c r="BL607" s="183"/>
      <c r="BM607" s="182"/>
      <c r="BN607" s="182"/>
      <c r="BO607" s="183"/>
      <c r="BP607" s="183"/>
      <c r="BQ607" s="182"/>
      <c r="BR607" s="182"/>
      <c r="BS607" s="184" t="n">
        <v>53</v>
      </c>
      <c r="BT607" s="185" t="n">
        <v>40725</v>
      </c>
      <c r="BU607" s="184" t="n">
        <v>16.5</v>
      </c>
      <c r="BV607" s="185" t="n">
        <v>40725</v>
      </c>
      <c r="CL607" s="182"/>
      <c r="CM607" s="182"/>
    </row>
    <row r="608" customFormat="false" ht="12.75" hidden="false" customHeight="false" outlineLevel="0" collapsed="false">
      <c r="A608" s="204" t="s">
        <v>726</v>
      </c>
      <c r="B608" s="193" t="s">
        <v>785</v>
      </c>
      <c r="C608" s="193" t="s">
        <v>876</v>
      </c>
      <c r="D608" s="193"/>
      <c r="E608" s="194" t="n">
        <v>2</v>
      </c>
      <c r="F608" s="195" t="n">
        <v>42</v>
      </c>
      <c r="G608" s="119"/>
      <c r="H608" s="119"/>
      <c r="J608" s="118"/>
      <c r="K608" s="118"/>
      <c r="L608" s="181"/>
      <c r="N608" s="182"/>
      <c r="O608" s="182"/>
      <c r="S608" s="184" t="n">
        <v>1976</v>
      </c>
      <c r="T608" s="185" t="n">
        <v>40725</v>
      </c>
      <c r="U608" s="182"/>
      <c r="V608" s="182"/>
      <c r="W608" s="183"/>
      <c r="X608" s="183"/>
      <c r="Y608" s="184" t="n">
        <v>730</v>
      </c>
      <c r="Z608" s="185" t="n">
        <v>40725</v>
      </c>
      <c r="AA608" s="184" t="n">
        <v>91800</v>
      </c>
      <c r="AB608" s="185" t="n">
        <v>40725</v>
      </c>
      <c r="AC608" s="184" t="n">
        <v>39</v>
      </c>
      <c r="AD608" s="185" t="n">
        <v>40725</v>
      </c>
      <c r="AE608" s="196"/>
      <c r="AF608" s="185"/>
      <c r="AG608" s="184" t="n">
        <v>4.25</v>
      </c>
      <c r="AH608" s="185" t="n">
        <v>40725</v>
      </c>
      <c r="AI608" s="183"/>
      <c r="AJ608" s="183"/>
      <c r="AK608" s="182"/>
      <c r="AL608" s="182"/>
      <c r="AM608" s="184" t="n">
        <v>83</v>
      </c>
      <c r="AN608" s="183" t="n">
        <v>40630</v>
      </c>
      <c r="AO608" s="182"/>
      <c r="AP608" s="182"/>
      <c r="AQ608" s="183"/>
      <c r="AR608" s="183"/>
      <c r="AS608" s="182"/>
      <c r="AT608" s="182"/>
      <c r="AU608" s="183"/>
      <c r="AV608" s="183"/>
      <c r="AW608" s="182"/>
      <c r="AX608" s="182"/>
      <c r="AY608" s="183"/>
      <c r="AZ608" s="183"/>
      <c r="BA608" s="182"/>
      <c r="BB608" s="182"/>
      <c r="BK608" s="183"/>
      <c r="BL608" s="183"/>
      <c r="BM608" s="182"/>
      <c r="BN608" s="182"/>
      <c r="BO608" s="183"/>
      <c r="BP608" s="183"/>
      <c r="BQ608" s="182"/>
      <c r="BR608" s="182"/>
      <c r="BS608" s="184" t="n">
        <v>50.7</v>
      </c>
      <c r="BT608" s="185" t="n">
        <v>40725</v>
      </c>
      <c r="BU608" s="184" t="n">
        <v>18.7</v>
      </c>
      <c r="BV608" s="185" t="n">
        <v>40725</v>
      </c>
      <c r="CL608" s="182"/>
      <c r="CM608" s="182"/>
    </row>
    <row r="609" customFormat="false" ht="12.75" hidden="false" customHeight="false" outlineLevel="0" collapsed="false">
      <c r="A609" s="204" t="s">
        <v>726</v>
      </c>
      <c r="B609" s="193" t="s">
        <v>785</v>
      </c>
      <c r="C609" s="193" t="s">
        <v>877</v>
      </c>
      <c r="D609" s="193"/>
      <c r="E609" s="119" t="n">
        <v>20</v>
      </c>
      <c r="F609" s="195" t="n">
        <v>70</v>
      </c>
      <c r="G609" s="119"/>
      <c r="H609" s="119"/>
      <c r="J609" s="118"/>
      <c r="K609" s="118"/>
      <c r="L609" s="181"/>
      <c r="N609" s="182"/>
      <c r="O609" s="182"/>
      <c r="S609" s="184" t="n">
        <v>2118</v>
      </c>
      <c r="T609" s="185" t="n">
        <v>40725</v>
      </c>
      <c r="U609" s="182"/>
      <c r="V609" s="182"/>
      <c r="W609" s="183"/>
      <c r="X609" s="183"/>
      <c r="Y609" s="184" t="n">
        <v>759</v>
      </c>
      <c r="Z609" s="185" t="n">
        <v>40725</v>
      </c>
      <c r="AA609" s="184" t="n">
        <v>92567</v>
      </c>
      <c r="AB609" s="185" t="n">
        <v>40725</v>
      </c>
      <c r="AC609" s="184" t="n">
        <v>41.3</v>
      </c>
      <c r="AD609" s="185" t="n">
        <v>40725</v>
      </c>
      <c r="AE609" s="196"/>
      <c r="AF609" s="185"/>
      <c r="AG609" s="184" t="n">
        <v>4.46</v>
      </c>
      <c r="AH609" s="185" t="n">
        <v>40725</v>
      </c>
      <c r="AI609" s="183"/>
      <c r="AJ609" s="183"/>
      <c r="AK609" s="182"/>
      <c r="AL609" s="182"/>
      <c r="AM609" s="184" t="n">
        <v>84</v>
      </c>
      <c r="AN609" s="183" t="n">
        <v>40630</v>
      </c>
      <c r="AO609" s="182"/>
      <c r="AP609" s="182"/>
      <c r="AQ609" s="183"/>
      <c r="AR609" s="183"/>
      <c r="AS609" s="182"/>
      <c r="AT609" s="182"/>
      <c r="AU609" s="183"/>
      <c r="AV609" s="183"/>
      <c r="AW609" s="182"/>
      <c r="AX609" s="182"/>
      <c r="AY609" s="183"/>
      <c r="AZ609" s="183"/>
      <c r="BA609" s="182"/>
      <c r="BB609" s="182"/>
      <c r="BK609" s="183"/>
      <c r="BL609" s="183"/>
      <c r="BM609" s="182"/>
      <c r="BN609" s="182"/>
      <c r="BO609" s="183"/>
      <c r="BP609" s="183"/>
      <c r="BQ609" s="182"/>
      <c r="BR609" s="182"/>
      <c r="BS609" s="184" t="n">
        <v>51.3</v>
      </c>
      <c r="BT609" s="185" t="n">
        <v>40725</v>
      </c>
      <c r="BU609" s="184" t="n">
        <v>18.4</v>
      </c>
      <c r="BV609" s="185" t="n">
        <v>40725</v>
      </c>
      <c r="CL609" s="182"/>
      <c r="CM609" s="182"/>
    </row>
    <row r="610" customFormat="false" ht="12.75" hidden="false" customHeight="false" outlineLevel="0" collapsed="false">
      <c r="A610" s="204" t="s">
        <v>729</v>
      </c>
      <c r="B610" s="193" t="s">
        <v>782</v>
      </c>
      <c r="C610" s="193" t="s">
        <v>875</v>
      </c>
      <c r="D610" s="193"/>
      <c r="E610" s="194" t="n">
        <v>1</v>
      </c>
      <c r="F610" s="195" t="n">
        <v>1</v>
      </c>
      <c r="G610" s="119"/>
      <c r="H610" s="119"/>
      <c r="J610" s="118"/>
      <c r="K610" s="118"/>
      <c r="L610" s="181"/>
      <c r="N610" s="182"/>
      <c r="O610" s="182"/>
      <c r="S610" s="184" t="n">
        <v>2056</v>
      </c>
      <c r="T610" s="185" t="n">
        <v>40725</v>
      </c>
      <c r="U610" s="182"/>
      <c r="V610" s="182"/>
      <c r="W610" s="183"/>
      <c r="X610" s="183"/>
      <c r="Y610" s="184" t="n">
        <v>577</v>
      </c>
      <c r="Z610" s="185" t="n">
        <v>40725</v>
      </c>
      <c r="AA610" s="184" t="n">
        <v>100697</v>
      </c>
      <c r="AB610" s="185" t="n">
        <v>40725</v>
      </c>
      <c r="AC610" s="184" t="n">
        <v>38.1</v>
      </c>
      <c r="AD610" s="185" t="n">
        <v>40725</v>
      </c>
      <c r="AE610" s="196"/>
      <c r="AF610" s="185"/>
      <c r="AG610" s="184" t="n">
        <v>3.78</v>
      </c>
      <c r="AH610" s="185" t="n">
        <v>40725</v>
      </c>
      <c r="AI610" s="183"/>
      <c r="AJ610" s="183"/>
      <c r="AK610" s="182"/>
      <c r="AL610" s="182"/>
      <c r="AM610" s="184" t="n">
        <v>85</v>
      </c>
      <c r="AN610" s="183" t="n">
        <v>40630</v>
      </c>
      <c r="AO610" s="182"/>
      <c r="AP610" s="182"/>
      <c r="AQ610" s="183"/>
      <c r="AR610" s="183"/>
      <c r="AS610" s="182"/>
      <c r="AT610" s="182"/>
      <c r="AU610" s="183"/>
      <c r="AV610" s="183"/>
      <c r="AW610" s="182"/>
      <c r="AX610" s="182"/>
      <c r="AY610" s="183"/>
      <c r="AZ610" s="183"/>
      <c r="BA610" s="182"/>
      <c r="BB610" s="182"/>
      <c r="BK610" s="183"/>
      <c r="BL610" s="183"/>
      <c r="BM610" s="182"/>
      <c r="BN610" s="182"/>
      <c r="BO610" s="183"/>
      <c r="BP610" s="183"/>
      <c r="BQ610" s="182"/>
      <c r="BR610" s="182"/>
      <c r="BS610" s="184" t="n">
        <v>54</v>
      </c>
      <c r="BT610" s="185" t="n">
        <v>40725</v>
      </c>
      <c r="BU610" s="184" t="n">
        <v>15</v>
      </c>
      <c r="BV610" s="185" t="n">
        <v>40725</v>
      </c>
      <c r="CL610" s="182"/>
      <c r="CM610" s="182"/>
    </row>
    <row r="611" customFormat="false" ht="12.75" hidden="false" customHeight="false" outlineLevel="0" collapsed="false">
      <c r="A611" s="204" t="s">
        <v>729</v>
      </c>
      <c r="B611" s="193" t="s">
        <v>782</v>
      </c>
      <c r="C611" s="193" t="s">
        <v>876</v>
      </c>
      <c r="D611" s="193"/>
      <c r="E611" s="194" t="n">
        <v>8</v>
      </c>
      <c r="F611" s="195" t="n">
        <v>42</v>
      </c>
      <c r="G611" s="119"/>
      <c r="H611" s="119"/>
      <c r="J611" s="118"/>
      <c r="K611" s="118"/>
      <c r="L611" s="181"/>
      <c r="N611" s="182"/>
      <c r="O611" s="182"/>
      <c r="S611" s="184" t="n">
        <v>1780</v>
      </c>
      <c r="T611" s="185" t="n">
        <v>40725</v>
      </c>
      <c r="U611" s="182"/>
      <c r="V611" s="182"/>
      <c r="W611" s="183"/>
      <c r="X611" s="183"/>
      <c r="Y611" s="184" t="n">
        <v>537</v>
      </c>
      <c r="Z611" s="185" t="n">
        <v>40725</v>
      </c>
      <c r="AA611" s="184" t="n">
        <v>89118</v>
      </c>
      <c r="AB611" s="185" t="n">
        <v>40725</v>
      </c>
      <c r="AC611" s="184" t="n">
        <v>33.7</v>
      </c>
      <c r="AD611" s="185" t="n">
        <v>40725</v>
      </c>
      <c r="AE611" s="196"/>
      <c r="AF611" s="185"/>
      <c r="AG611" s="184" t="n">
        <v>3.78</v>
      </c>
      <c r="AH611" s="185" t="n">
        <v>40725</v>
      </c>
      <c r="AI611" s="183"/>
      <c r="AJ611" s="183"/>
      <c r="AK611" s="182"/>
      <c r="AL611" s="182"/>
      <c r="AM611" s="184" t="n">
        <v>85</v>
      </c>
      <c r="AN611" s="183" t="n">
        <v>40630</v>
      </c>
      <c r="AO611" s="182"/>
      <c r="AP611" s="182"/>
      <c r="AQ611" s="183"/>
      <c r="AR611" s="183"/>
      <c r="AS611" s="182"/>
      <c r="AT611" s="182"/>
      <c r="AU611" s="183"/>
      <c r="AV611" s="183"/>
      <c r="AW611" s="182"/>
      <c r="AX611" s="182"/>
      <c r="AY611" s="183"/>
      <c r="AZ611" s="183"/>
      <c r="BA611" s="182"/>
      <c r="BB611" s="182"/>
      <c r="BK611" s="183"/>
      <c r="BL611" s="183"/>
      <c r="BM611" s="182"/>
      <c r="BN611" s="182"/>
      <c r="BO611" s="183"/>
      <c r="BP611" s="183"/>
      <c r="BQ611" s="182"/>
      <c r="BR611" s="182"/>
      <c r="BS611" s="184" t="n">
        <v>52.8</v>
      </c>
      <c r="BT611" s="185" t="n">
        <v>40725</v>
      </c>
      <c r="BU611" s="184" t="n">
        <v>15.9</v>
      </c>
      <c r="BV611" s="185" t="n">
        <v>40725</v>
      </c>
      <c r="CL611" s="182"/>
      <c r="CM611" s="182"/>
    </row>
    <row r="612" customFormat="false" ht="12.75" hidden="false" customHeight="false" outlineLevel="0" collapsed="false">
      <c r="A612" s="204" t="s">
        <v>729</v>
      </c>
      <c r="B612" s="193" t="s">
        <v>782</v>
      </c>
      <c r="C612" s="193" t="s">
        <v>877</v>
      </c>
      <c r="D612" s="193"/>
      <c r="E612" s="119" t="n">
        <v>17</v>
      </c>
      <c r="F612" s="195" t="n">
        <v>82</v>
      </c>
      <c r="G612" s="119"/>
      <c r="H612" s="119"/>
      <c r="J612" s="118"/>
      <c r="K612" s="118"/>
      <c r="L612" s="181"/>
      <c r="N612" s="182"/>
      <c r="O612" s="182"/>
      <c r="S612" s="184" t="n">
        <v>1589</v>
      </c>
      <c r="T612" s="185" t="n">
        <v>40725</v>
      </c>
      <c r="U612" s="182"/>
      <c r="V612" s="182"/>
      <c r="W612" s="183"/>
      <c r="X612" s="183"/>
      <c r="Y612" s="184" t="n">
        <v>511</v>
      </c>
      <c r="Z612" s="185" t="n">
        <v>40725</v>
      </c>
      <c r="AA612" s="184" t="n">
        <v>78153</v>
      </c>
      <c r="AB612" s="185" t="n">
        <v>40725</v>
      </c>
      <c r="AC612" s="184" t="n">
        <v>30</v>
      </c>
      <c r="AD612" s="185" t="n">
        <v>40725</v>
      </c>
      <c r="AE612" s="196"/>
      <c r="AF612" s="185"/>
      <c r="AG612" s="184" t="n">
        <v>3.84</v>
      </c>
      <c r="AH612" s="185" t="n">
        <v>40725</v>
      </c>
      <c r="AI612" s="183"/>
      <c r="AJ612" s="183"/>
      <c r="AK612" s="182"/>
      <c r="AL612" s="182"/>
      <c r="AM612" s="184" t="n">
        <v>84</v>
      </c>
      <c r="AN612" s="183" t="n">
        <v>40630</v>
      </c>
      <c r="AO612" s="182"/>
      <c r="AP612" s="182"/>
      <c r="AQ612" s="183"/>
      <c r="AR612" s="183"/>
      <c r="AS612" s="182"/>
      <c r="AT612" s="182"/>
      <c r="AU612" s="183"/>
      <c r="AV612" s="183"/>
      <c r="AW612" s="182"/>
      <c r="AX612" s="182"/>
      <c r="AY612" s="183"/>
      <c r="AZ612" s="183"/>
      <c r="BA612" s="182"/>
      <c r="BB612" s="182"/>
      <c r="BK612" s="183"/>
      <c r="BL612" s="183"/>
      <c r="BM612" s="182"/>
      <c r="BN612" s="182"/>
      <c r="BO612" s="183"/>
      <c r="BP612" s="183"/>
      <c r="BQ612" s="182"/>
      <c r="BR612" s="182"/>
      <c r="BS612" s="184" t="n">
        <v>52.9</v>
      </c>
      <c r="BT612" s="185" t="n">
        <v>40725</v>
      </c>
      <c r="BU612" s="184" t="n">
        <v>17</v>
      </c>
      <c r="BV612" s="185" t="n">
        <v>40725</v>
      </c>
      <c r="CL612" s="182"/>
      <c r="CM612" s="182"/>
    </row>
    <row r="613" customFormat="false" ht="12.75" hidden="false" customHeight="false" outlineLevel="0" collapsed="false">
      <c r="A613" s="204" t="s">
        <v>729</v>
      </c>
      <c r="B613" s="193" t="s">
        <v>785</v>
      </c>
      <c r="C613" s="193" t="s">
        <v>875</v>
      </c>
      <c r="D613" s="193"/>
      <c r="E613" s="194" t="n">
        <v>8</v>
      </c>
      <c r="F613" s="195" t="n">
        <v>19</v>
      </c>
      <c r="G613" s="119"/>
      <c r="H613" s="119"/>
      <c r="J613" s="118"/>
      <c r="K613" s="118"/>
      <c r="L613" s="181"/>
      <c r="N613" s="182"/>
      <c r="O613" s="182"/>
      <c r="S613" s="184" t="n">
        <v>1813</v>
      </c>
      <c r="T613" s="185" t="n">
        <v>40725</v>
      </c>
      <c r="U613" s="182"/>
      <c r="V613" s="182"/>
      <c r="W613" s="183"/>
      <c r="X613" s="183"/>
      <c r="Y613" s="184" t="n">
        <v>573</v>
      </c>
      <c r="Z613" s="185" t="n">
        <v>40725</v>
      </c>
      <c r="AA613" s="184" t="n">
        <v>91083</v>
      </c>
      <c r="AB613" s="185" t="n">
        <v>40725</v>
      </c>
      <c r="AC613" s="184" t="n">
        <v>34.5</v>
      </c>
      <c r="AD613" s="185" t="n">
        <v>40725</v>
      </c>
      <c r="AE613" s="196"/>
      <c r="AF613" s="185"/>
      <c r="AG613" s="184" t="n">
        <v>3.79</v>
      </c>
      <c r="AH613" s="185" t="n">
        <v>40725</v>
      </c>
      <c r="AI613" s="183"/>
      <c r="AJ613" s="183"/>
      <c r="AK613" s="182"/>
      <c r="AL613" s="182"/>
      <c r="AM613" s="184" t="n">
        <v>87</v>
      </c>
      <c r="AN613" s="183" t="n">
        <v>40630</v>
      </c>
      <c r="AO613" s="182"/>
      <c r="AP613" s="182"/>
      <c r="AQ613" s="183"/>
      <c r="AR613" s="183"/>
      <c r="AS613" s="182"/>
      <c r="AT613" s="182"/>
      <c r="AU613" s="183"/>
      <c r="AV613" s="183"/>
      <c r="AW613" s="182"/>
      <c r="AX613" s="182"/>
      <c r="AY613" s="183"/>
      <c r="AZ613" s="183"/>
      <c r="BA613" s="182"/>
      <c r="BB613" s="182"/>
      <c r="BK613" s="183"/>
      <c r="BL613" s="183"/>
      <c r="BM613" s="182"/>
      <c r="BN613" s="182"/>
      <c r="BO613" s="183"/>
      <c r="BP613" s="183"/>
      <c r="BQ613" s="182"/>
      <c r="BR613" s="182"/>
      <c r="BS613" s="184" t="n">
        <v>52.5</v>
      </c>
      <c r="BT613" s="185" t="n">
        <v>40725</v>
      </c>
      <c r="BU613" s="184" t="n">
        <v>16.6</v>
      </c>
      <c r="BV613" s="185" t="n">
        <v>40725</v>
      </c>
      <c r="CL613" s="182"/>
      <c r="CM613" s="182"/>
    </row>
    <row r="614" customFormat="false" ht="12.75" hidden="false" customHeight="false" outlineLevel="0" collapsed="false">
      <c r="A614" s="204" t="s">
        <v>729</v>
      </c>
      <c r="B614" s="193" t="s">
        <v>785</v>
      </c>
      <c r="C614" s="193" t="s">
        <v>876</v>
      </c>
      <c r="D614" s="193"/>
      <c r="E614" s="194" t="n">
        <v>4</v>
      </c>
      <c r="F614" s="195" t="n">
        <v>42</v>
      </c>
      <c r="G614" s="119"/>
      <c r="H614" s="119"/>
      <c r="J614" s="118"/>
      <c r="K614" s="118"/>
      <c r="L614" s="181"/>
      <c r="N614" s="182"/>
      <c r="O614" s="182"/>
      <c r="S614" s="184" t="n">
        <v>2113</v>
      </c>
      <c r="T614" s="185" t="n">
        <v>40725</v>
      </c>
      <c r="U614" s="182"/>
      <c r="V614" s="182"/>
      <c r="W614" s="183"/>
      <c r="X614" s="183"/>
      <c r="Y614" s="184" t="n">
        <v>679</v>
      </c>
      <c r="Z614" s="185" t="n">
        <v>40725</v>
      </c>
      <c r="AA614" s="184" t="n">
        <v>109962</v>
      </c>
      <c r="AB614" s="185" t="n">
        <v>40725</v>
      </c>
      <c r="AC614" s="184" t="n">
        <v>40.2</v>
      </c>
      <c r="AD614" s="185" t="n">
        <v>40725</v>
      </c>
      <c r="AE614" s="196"/>
      <c r="AF614" s="185"/>
      <c r="AG614" s="184" t="n">
        <v>3.66</v>
      </c>
      <c r="AH614" s="185" t="n">
        <v>40725</v>
      </c>
      <c r="AI614" s="183"/>
      <c r="AJ614" s="183"/>
      <c r="AK614" s="182"/>
      <c r="AL614" s="182"/>
      <c r="AM614" s="184" t="n">
        <v>85</v>
      </c>
      <c r="AN614" s="183" t="n">
        <v>40630</v>
      </c>
      <c r="AO614" s="182"/>
      <c r="AP614" s="182"/>
      <c r="AQ614" s="183"/>
      <c r="AR614" s="183"/>
      <c r="AS614" s="182"/>
      <c r="AT614" s="182"/>
      <c r="AU614" s="183"/>
      <c r="AV614" s="183"/>
      <c r="AW614" s="182"/>
      <c r="AX614" s="182"/>
      <c r="AY614" s="183"/>
      <c r="AZ614" s="183"/>
      <c r="BA614" s="182"/>
      <c r="BB614" s="182"/>
      <c r="BK614" s="183"/>
      <c r="BL614" s="183"/>
      <c r="BM614" s="182"/>
      <c r="BN614" s="182"/>
      <c r="BO614" s="183"/>
      <c r="BP614" s="183"/>
      <c r="BQ614" s="182"/>
      <c r="BR614" s="182"/>
      <c r="BS614" s="184" t="n">
        <v>52.5</v>
      </c>
      <c r="BT614" s="185" t="n">
        <v>40725</v>
      </c>
      <c r="BU614" s="184" t="n">
        <v>16.9</v>
      </c>
      <c r="BV614" s="185" t="n">
        <v>40725</v>
      </c>
      <c r="CL614" s="182"/>
      <c r="CM614" s="182"/>
    </row>
    <row r="615" customFormat="false" ht="12.75" hidden="false" customHeight="false" outlineLevel="0" collapsed="false">
      <c r="A615" s="204" t="s">
        <v>729</v>
      </c>
      <c r="B615" s="193" t="s">
        <v>785</v>
      </c>
      <c r="C615" s="193" t="s">
        <v>877</v>
      </c>
      <c r="D615" s="193"/>
      <c r="E615" s="119" t="n">
        <v>22</v>
      </c>
      <c r="F615" s="195" t="n">
        <v>74</v>
      </c>
      <c r="G615" s="119"/>
      <c r="H615" s="119"/>
      <c r="J615" s="118"/>
      <c r="K615" s="118"/>
      <c r="L615" s="181"/>
      <c r="N615" s="182"/>
      <c r="O615" s="182"/>
      <c r="S615" s="184" t="n">
        <v>2039</v>
      </c>
      <c r="T615" s="185" t="n">
        <v>40725</v>
      </c>
      <c r="U615" s="182"/>
      <c r="V615" s="182"/>
      <c r="W615" s="183"/>
      <c r="X615" s="183"/>
      <c r="Y615" s="184" t="n">
        <v>640</v>
      </c>
      <c r="Z615" s="185" t="n">
        <v>40725</v>
      </c>
      <c r="AA615" s="184" t="n">
        <v>99170</v>
      </c>
      <c r="AB615" s="185" t="n">
        <v>40725</v>
      </c>
      <c r="AC615" s="184" t="n">
        <v>38.5</v>
      </c>
      <c r="AD615" s="185" t="n">
        <v>40725</v>
      </c>
      <c r="AE615" s="196"/>
      <c r="AF615" s="185"/>
      <c r="AG615" s="184" t="n">
        <v>3.88</v>
      </c>
      <c r="AH615" s="185" t="n">
        <v>40725</v>
      </c>
      <c r="AI615" s="183"/>
      <c r="AJ615" s="183"/>
      <c r="AK615" s="182"/>
      <c r="AL615" s="182"/>
      <c r="AM615" s="184" t="n">
        <v>82</v>
      </c>
      <c r="AN615" s="183" t="n">
        <v>40630</v>
      </c>
      <c r="AO615" s="182"/>
      <c r="AP615" s="182"/>
      <c r="AQ615" s="183"/>
      <c r="AR615" s="183"/>
      <c r="AS615" s="182"/>
      <c r="AT615" s="182"/>
      <c r="AU615" s="183"/>
      <c r="AV615" s="183"/>
      <c r="AW615" s="182"/>
      <c r="AX615" s="182"/>
      <c r="AY615" s="183"/>
      <c r="AZ615" s="183"/>
      <c r="BA615" s="182"/>
      <c r="BB615" s="182"/>
      <c r="BK615" s="183"/>
      <c r="BL615" s="183"/>
      <c r="BM615" s="182"/>
      <c r="BN615" s="182"/>
      <c r="BO615" s="183"/>
      <c r="BP615" s="183"/>
      <c r="BQ615" s="182"/>
      <c r="BR615" s="182"/>
      <c r="BS615" s="184" t="n">
        <v>52.9</v>
      </c>
      <c r="BT615" s="185" t="n">
        <v>40725</v>
      </c>
      <c r="BU615" s="184" t="n">
        <v>16.6</v>
      </c>
      <c r="BV615" s="185" t="n">
        <v>40725</v>
      </c>
      <c r="CL615" s="182"/>
      <c r="CM615" s="182"/>
    </row>
    <row r="616" customFormat="false" ht="12.75" hidden="false" customHeight="false" outlineLevel="0" collapsed="false">
      <c r="A616" s="204" t="s">
        <v>732</v>
      </c>
      <c r="B616" s="193" t="s">
        <v>782</v>
      </c>
      <c r="C616" s="193" t="s">
        <v>875</v>
      </c>
      <c r="D616" s="193"/>
      <c r="E616" s="194" t="n">
        <v>2</v>
      </c>
      <c r="F616" s="195" t="n">
        <v>4</v>
      </c>
      <c r="G616" s="119"/>
      <c r="H616" s="119"/>
      <c r="J616" s="118"/>
      <c r="K616" s="118"/>
      <c r="L616" s="181"/>
      <c r="N616" s="182"/>
      <c r="O616" s="182"/>
      <c r="S616" s="184" t="n">
        <v>1735</v>
      </c>
      <c r="T616" s="185" t="n">
        <v>40725</v>
      </c>
      <c r="U616" s="182"/>
      <c r="V616" s="182"/>
      <c r="W616" s="183"/>
      <c r="X616" s="183"/>
      <c r="Y616" s="184" t="n">
        <v>495</v>
      </c>
      <c r="Z616" s="185" t="n">
        <v>40725</v>
      </c>
      <c r="AA616" s="184" t="n">
        <v>79907</v>
      </c>
      <c r="AB616" s="185" t="n">
        <v>40725</v>
      </c>
      <c r="AC616" s="184" t="n">
        <v>32.3</v>
      </c>
      <c r="AD616" s="185" t="n">
        <v>40725</v>
      </c>
      <c r="AE616" s="196"/>
      <c r="AF616" s="185"/>
      <c r="AG616" s="184" t="n">
        <v>4.04</v>
      </c>
      <c r="AH616" s="185" t="n">
        <v>40725</v>
      </c>
      <c r="AI616" s="183"/>
      <c r="AJ616" s="183"/>
      <c r="AK616" s="182"/>
      <c r="AL616" s="182"/>
      <c r="AM616" s="184" t="n">
        <v>87</v>
      </c>
      <c r="AN616" s="183" t="n">
        <v>40630</v>
      </c>
      <c r="AO616" s="182"/>
      <c r="AP616" s="182"/>
      <c r="AQ616" s="183"/>
      <c r="AR616" s="183"/>
      <c r="AS616" s="182"/>
      <c r="AT616" s="182"/>
      <c r="AU616" s="183"/>
      <c r="AV616" s="183"/>
      <c r="AW616" s="182"/>
      <c r="AX616" s="182"/>
      <c r="AY616" s="183"/>
      <c r="AZ616" s="183"/>
      <c r="BA616" s="182"/>
      <c r="BB616" s="182"/>
      <c r="BK616" s="183"/>
      <c r="BL616" s="183"/>
      <c r="BM616" s="182"/>
      <c r="BN616" s="182"/>
      <c r="BO616" s="183"/>
      <c r="BP616" s="183"/>
      <c r="BQ616" s="182"/>
      <c r="BR616" s="182"/>
      <c r="BS616" s="184" t="n">
        <v>53.8</v>
      </c>
      <c r="BT616" s="185" t="n">
        <v>40725</v>
      </c>
      <c r="BU616" s="184" t="n">
        <v>15.3</v>
      </c>
      <c r="BV616" s="185" t="n">
        <v>40725</v>
      </c>
      <c r="CL616" s="182"/>
      <c r="CM616" s="182"/>
    </row>
    <row r="617" customFormat="false" ht="12.75" hidden="false" customHeight="false" outlineLevel="0" collapsed="false">
      <c r="A617" s="204" t="s">
        <v>732</v>
      </c>
      <c r="B617" s="193" t="s">
        <v>782</v>
      </c>
      <c r="C617" s="193" t="s">
        <v>876</v>
      </c>
      <c r="D617" s="193"/>
      <c r="E617" s="194" t="n">
        <v>6</v>
      </c>
      <c r="F617" s="195" t="n">
        <v>60</v>
      </c>
      <c r="G617" s="119"/>
      <c r="H617" s="119"/>
      <c r="J617" s="118"/>
      <c r="K617" s="118"/>
      <c r="L617" s="181"/>
      <c r="N617" s="182"/>
      <c r="O617" s="182"/>
      <c r="S617" s="184" t="n">
        <v>1406</v>
      </c>
      <c r="T617" s="185" t="n">
        <v>40725</v>
      </c>
      <c r="U617" s="182"/>
      <c r="V617" s="182"/>
      <c r="W617" s="183"/>
      <c r="X617" s="183"/>
      <c r="Y617" s="184" t="n">
        <v>439</v>
      </c>
      <c r="Z617" s="185" t="n">
        <v>40725</v>
      </c>
      <c r="AA617" s="184" t="n">
        <v>64448</v>
      </c>
      <c r="AB617" s="185" t="n">
        <v>40725</v>
      </c>
      <c r="AC617" s="184" t="n">
        <v>26.7</v>
      </c>
      <c r="AD617" s="185" t="n">
        <v>40725</v>
      </c>
      <c r="AE617" s="196"/>
      <c r="AF617" s="185"/>
      <c r="AG617" s="184" t="n">
        <v>4.15</v>
      </c>
      <c r="AH617" s="185" t="n">
        <v>40725</v>
      </c>
      <c r="AI617" s="183"/>
      <c r="AJ617" s="183"/>
      <c r="AK617" s="182"/>
      <c r="AL617" s="182"/>
      <c r="AM617" s="184" t="n">
        <v>85</v>
      </c>
      <c r="AN617" s="183" t="n">
        <v>40630</v>
      </c>
      <c r="AO617" s="182"/>
      <c r="AP617" s="182"/>
      <c r="AQ617" s="183"/>
      <c r="AR617" s="183"/>
      <c r="AS617" s="182"/>
      <c r="AT617" s="182"/>
      <c r="AU617" s="183"/>
      <c r="AV617" s="183"/>
      <c r="AW617" s="182"/>
      <c r="AX617" s="182"/>
      <c r="AY617" s="183"/>
      <c r="AZ617" s="183"/>
      <c r="BA617" s="182"/>
      <c r="BB617" s="182"/>
      <c r="BK617" s="183"/>
      <c r="BL617" s="183"/>
      <c r="BM617" s="182"/>
      <c r="BN617" s="182"/>
      <c r="BO617" s="183"/>
      <c r="BP617" s="183"/>
      <c r="BQ617" s="182"/>
      <c r="BR617" s="182"/>
      <c r="BS617" s="184" t="n">
        <v>52.6</v>
      </c>
      <c r="BT617" s="185" t="n">
        <v>40725</v>
      </c>
      <c r="BU617" s="184" t="n">
        <v>16.4</v>
      </c>
      <c r="BV617" s="185" t="n">
        <v>40725</v>
      </c>
      <c r="CL617" s="182"/>
      <c r="CM617" s="182"/>
    </row>
    <row r="618" customFormat="false" ht="12.75" hidden="false" customHeight="false" outlineLevel="0" collapsed="false">
      <c r="A618" s="204" t="s">
        <v>732</v>
      </c>
      <c r="B618" s="193" t="s">
        <v>782</v>
      </c>
      <c r="C618" s="193" t="s">
        <v>877</v>
      </c>
      <c r="D618" s="193"/>
      <c r="E618" s="119" t="n">
        <v>18</v>
      </c>
      <c r="F618" s="195" t="n">
        <v>89</v>
      </c>
      <c r="G618" s="119"/>
      <c r="H618" s="119"/>
      <c r="J618" s="118"/>
      <c r="K618" s="118"/>
      <c r="L618" s="181"/>
      <c r="N618" s="182"/>
      <c r="O618" s="182"/>
      <c r="S618" s="184" t="n">
        <v>1508</v>
      </c>
      <c r="T618" s="185" t="n">
        <v>40725</v>
      </c>
      <c r="U618" s="182"/>
      <c r="V618" s="182"/>
      <c r="W618" s="183"/>
      <c r="X618" s="183"/>
      <c r="Y618" s="184" t="n">
        <v>493</v>
      </c>
      <c r="Z618" s="185" t="n">
        <v>40725</v>
      </c>
      <c r="AA618" s="184" t="n">
        <v>67620</v>
      </c>
      <c r="AB618" s="185" t="n">
        <v>40725</v>
      </c>
      <c r="AC618" s="184" t="n">
        <v>29.2</v>
      </c>
      <c r="AD618" s="185" t="n">
        <v>40725</v>
      </c>
      <c r="AE618" s="196"/>
      <c r="AF618" s="185"/>
      <c r="AG618" s="184" t="n">
        <v>4.32</v>
      </c>
      <c r="AH618" s="185" t="n">
        <v>40725</v>
      </c>
      <c r="AI618" s="183"/>
      <c r="AJ618" s="183"/>
      <c r="AK618" s="182"/>
      <c r="AL618" s="182"/>
      <c r="AM618" s="184" t="n">
        <v>84</v>
      </c>
      <c r="AN618" s="183" t="n">
        <v>40630</v>
      </c>
      <c r="AO618" s="182"/>
      <c r="AP618" s="182"/>
      <c r="AQ618" s="183"/>
      <c r="AR618" s="183"/>
      <c r="AS618" s="182"/>
      <c r="AT618" s="182"/>
      <c r="AU618" s="183"/>
      <c r="AV618" s="183"/>
      <c r="AW618" s="182"/>
      <c r="AX618" s="182"/>
      <c r="AY618" s="183"/>
      <c r="AZ618" s="183"/>
      <c r="BA618" s="182"/>
      <c r="BB618" s="182"/>
      <c r="BK618" s="183"/>
      <c r="BL618" s="183"/>
      <c r="BM618" s="182"/>
      <c r="BN618" s="182"/>
      <c r="BO618" s="183"/>
      <c r="BP618" s="183"/>
      <c r="BQ618" s="182"/>
      <c r="BR618" s="182"/>
      <c r="BS618" s="184" t="n">
        <v>51.6</v>
      </c>
      <c r="BT618" s="185" t="n">
        <v>40725</v>
      </c>
      <c r="BU618" s="184" t="n">
        <v>16.9</v>
      </c>
      <c r="BV618" s="185" t="n">
        <v>40725</v>
      </c>
      <c r="CL618" s="182"/>
      <c r="CM618" s="182"/>
    </row>
    <row r="619" customFormat="false" ht="12.75" hidden="false" customHeight="false" outlineLevel="0" collapsed="false">
      <c r="A619" s="204" t="s">
        <v>732</v>
      </c>
      <c r="B619" s="193" t="s">
        <v>785</v>
      </c>
      <c r="C619" s="193" t="s">
        <v>875</v>
      </c>
      <c r="D619" s="193"/>
      <c r="E619" s="194" t="n">
        <v>7</v>
      </c>
      <c r="F619" s="195" t="n">
        <v>23</v>
      </c>
      <c r="G619" s="119"/>
      <c r="H619" s="119"/>
      <c r="J619" s="118"/>
      <c r="K619" s="118"/>
      <c r="L619" s="181"/>
      <c r="N619" s="182"/>
      <c r="O619" s="182"/>
      <c r="S619" s="184" t="n">
        <v>2110</v>
      </c>
      <c r="T619" s="185" t="n">
        <v>40725</v>
      </c>
      <c r="U619" s="182"/>
      <c r="V619" s="182"/>
      <c r="W619" s="183"/>
      <c r="X619" s="183"/>
      <c r="Y619" s="184" t="n">
        <v>656</v>
      </c>
      <c r="Z619" s="185" t="n">
        <v>40725</v>
      </c>
      <c r="AA619" s="184" t="n">
        <v>94705</v>
      </c>
      <c r="AB619" s="185" t="n">
        <v>40725</v>
      </c>
      <c r="AC619" s="184" t="n">
        <v>40.2</v>
      </c>
      <c r="AD619" s="185" t="n">
        <v>40725</v>
      </c>
      <c r="AE619" s="196"/>
      <c r="AF619" s="185"/>
      <c r="AG619" s="184" t="n">
        <v>4.25</v>
      </c>
      <c r="AH619" s="185" t="n">
        <v>40725</v>
      </c>
      <c r="AI619" s="183"/>
      <c r="AJ619" s="183"/>
      <c r="AK619" s="182"/>
      <c r="AL619" s="182"/>
      <c r="AM619" s="184" t="n">
        <v>90</v>
      </c>
      <c r="AN619" s="183" t="n">
        <v>40630</v>
      </c>
      <c r="AO619" s="182"/>
      <c r="AP619" s="182"/>
      <c r="AQ619" s="183"/>
      <c r="AR619" s="183"/>
      <c r="AS619" s="182"/>
      <c r="AT619" s="182"/>
      <c r="AU619" s="183"/>
      <c r="AV619" s="183"/>
      <c r="AW619" s="182"/>
      <c r="AX619" s="182"/>
      <c r="AY619" s="183"/>
      <c r="AZ619" s="183"/>
      <c r="BA619" s="182"/>
      <c r="BB619" s="182"/>
      <c r="BK619" s="183"/>
      <c r="BL619" s="183"/>
      <c r="BM619" s="182"/>
      <c r="BN619" s="182"/>
      <c r="BO619" s="183"/>
      <c r="BP619" s="183"/>
      <c r="BQ619" s="182"/>
      <c r="BR619" s="182"/>
      <c r="BS619" s="184" t="n">
        <v>52.5</v>
      </c>
      <c r="BT619" s="185" t="n">
        <v>40725</v>
      </c>
      <c r="BU619" s="184" t="n">
        <v>16.3</v>
      </c>
      <c r="BV619" s="185" t="n">
        <v>40725</v>
      </c>
      <c r="CL619" s="182"/>
      <c r="CM619" s="182"/>
    </row>
    <row r="620" customFormat="false" ht="12.75" hidden="false" customHeight="false" outlineLevel="0" collapsed="false">
      <c r="A620" s="204" t="s">
        <v>732</v>
      </c>
      <c r="B620" s="193" t="s">
        <v>785</v>
      </c>
      <c r="C620" s="193" t="s">
        <v>876</v>
      </c>
      <c r="D620" s="193"/>
      <c r="E620" s="194" t="n">
        <v>2</v>
      </c>
      <c r="F620" s="195" t="n">
        <v>56</v>
      </c>
      <c r="G620" s="119"/>
      <c r="H620" s="119"/>
      <c r="J620" s="118"/>
      <c r="K620" s="118"/>
      <c r="L620" s="181"/>
      <c r="N620" s="182"/>
      <c r="O620" s="182"/>
      <c r="S620" s="184" t="n">
        <v>1963</v>
      </c>
      <c r="T620" s="185" t="n">
        <v>40725</v>
      </c>
      <c r="U620" s="182"/>
      <c r="V620" s="182"/>
      <c r="W620" s="183"/>
      <c r="X620" s="183"/>
      <c r="Y620" s="184" t="n">
        <v>689</v>
      </c>
      <c r="Z620" s="185" t="n">
        <v>40725</v>
      </c>
      <c r="AA620" s="184" t="n">
        <v>89715</v>
      </c>
      <c r="AB620" s="185" t="n">
        <v>40725</v>
      </c>
      <c r="AC620" s="184" t="n">
        <v>38</v>
      </c>
      <c r="AD620" s="185" t="n">
        <v>40725</v>
      </c>
      <c r="AE620" s="196"/>
      <c r="AF620" s="185"/>
      <c r="AG620" s="184" t="n">
        <v>4.23</v>
      </c>
      <c r="AH620" s="185" t="n">
        <v>40725</v>
      </c>
      <c r="AI620" s="183"/>
      <c r="AJ620" s="183"/>
      <c r="AK620" s="182"/>
      <c r="AL620" s="182"/>
      <c r="AM620" s="184" t="n">
        <v>87</v>
      </c>
      <c r="AN620" s="183" t="n">
        <v>40630</v>
      </c>
      <c r="AO620" s="182"/>
      <c r="AP620" s="182"/>
      <c r="AQ620" s="183"/>
      <c r="AR620" s="183"/>
      <c r="AS620" s="182"/>
      <c r="AT620" s="182"/>
      <c r="AU620" s="183"/>
      <c r="AV620" s="183"/>
      <c r="AW620" s="182"/>
      <c r="AX620" s="182"/>
      <c r="AY620" s="183"/>
      <c r="AZ620" s="183"/>
      <c r="BA620" s="182"/>
      <c r="BB620" s="182"/>
      <c r="BK620" s="183"/>
      <c r="BL620" s="183"/>
      <c r="BM620" s="182"/>
      <c r="BN620" s="182"/>
      <c r="BO620" s="183"/>
      <c r="BP620" s="183"/>
      <c r="BQ620" s="182"/>
      <c r="BR620" s="182"/>
      <c r="BS620" s="184" t="n">
        <v>51.7</v>
      </c>
      <c r="BT620" s="185" t="n">
        <v>40725</v>
      </c>
      <c r="BU620" s="184" t="n">
        <v>18.1</v>
      </c>
      <c r="BV620" s="185" t="n">
        <v>40725</v>
      </c>
      <c r="CL620" s="182"/>
      <c r="CM620" s="182"/>
    </row>
    <row r="621" customFormat="false" ht="12.75" hidden="false" customHeight="false" outlineLevel="0" collapsed="false">
      <c r="A621" s="204" t="s">
        <v>732</v>
      </c>
      <c r="B621" s="193" t="s">
        <v>785</v>
      </c>
      <c r="C621" s="193" t="s">
        <v>877</v>
      </c>
      <c r="D621" s="193"/>
      <c r="E621" s="119" t="n">
        <v>22</v>
      </c>
      <c r="F621" s="195" t="n">
        <v>72</v>
      </c>
      <c r="G621" s="119"/>
      <c r="H621" s="119"/>
      <c r="J621" s="118"/>
      <c r="K621" s="118"/>
      <c r="L621" s="181"/>
      <c r="N621" s="182"/>
      <c r="O621" s="182"/>
      <c r="S621" s="184" t="n">
        <v>1757</v>
      </c>
      <c r="T621" s="185" t="n">
        <v>40725</v>
      </c>
      <c r="U621" s="182"/>
      <c r="V621" s="182"/>
      <c r="W621" s="183"/>
      <c r="X621" s="183"/>
      <c r="Y621" s="184" t="n">
        <v>595</v>
      </c>
      <c r="Z621" s="185" t="n">
        <v>40725</v>
      </c>
      <c r="AA621" s="184" t="n">
        <v>79611</v>
      </c>
      <c r="AB621" s="185" t="n">
        <v>40725</v>
      </c>
      <c r="AC621" s="184" t="n">
        <v>33.8</v>
      </c>
      <c r="AD621" s="185" t="n">
        <v>40725</v>
      </c>
      <c r="AE621" s="196"/>
      <c r="AF621" s="185"/>
      <c r="AG621" s="184" t="n">
        <v>4.25</v>
      </c>
      <c r="AH621" s="185" t="n">
        <v>40725</v>
      </c>
      <c r="AI621" s="183"/>
      <c r="AJ621" s="183"/>
      <c r="AK621" s="182"/>
      <c r="AL621" s="182"/>
      <c r="AM621" s="184" t="n">
        <v>87</v>
      </c>
      <c r="AN621" s="183" t="n">
        <v>40630</v>
      </c>
      <c r="AO621" s="182"/>
      <c r="AP621" s="182"/>
      <c r="AQ621" s="183"/>
      <c r="AR621" s="183"/>
      <c r="AS621" s="182"/>
      <c r="AT621" s="182"/>
      <c r="AU621" s="183"/>
      <c r="AV621" s="183"/>
      <c r="AW621" s="182"/>
      <c r="AX621" s="182"/>
      <c r="AY621" s="183"/>
      <c r="AZ621" s="183"/>
      <c r="BA621" s="182"/>
      <c r="BB621" s="182"/>
      <c r="BK621" s="183"/>
      <c r="BL621" s="183"/>
      <c r="BM621" s="182"/>
      <c r="BN621" s="182"/>
      <c r="BO621" s="183"/>
      <c r="BP621" s="183"/>
      <c r="BQ621" s="182"/>
      <c r="BR621" s="182"/>
      <c r="BS621" s="184" t="n">
        <v>52</v>
      </c>
      <c r="BT621" s="185" t="n">
        <v>40725</v>
      </c>
      <c r="BU621" s="184" t="n">
        <v>17.6</v>
      </c>
      <c r="BV621" s="185" t="n">
        <v>40725</v>
      </c>
      <c r="CL621" s="182"/>
      <c r="CM621" s="182"/>
    </row>
    <row r="622" customFormat="false" ht="12.75" hidden="false" customHeight="false" outlineLevel="0" collapsed="false">
      <c r="A622" s="204" t="s">
        <v>735</v>
      </c>
      <c r="B622" s="193" t="s">
        <v>782</v>
      </c>
      <c r="C622" s="193" t="s">
        <v>875</v>
      </c>
      <c r="D622" s="193"/>
      <c r="E622" s="194" t="n">
        <v>3</v>
      </c>
      <c r="F622" s="195" t="n">
        <v>26</v>
      </c>
      <c r="G622" s="119"/>
      <c r="H622" s="119"/>
      <c r="J622" s="118"/>
      <c r="K622" s="118"/>
      <c r="L622" s="181"/>
      <c r="N622" s="182"/>
      <c r="O622" s="182"/>
      <c r="S622" s="184" t="n">
        <v>1794</v>
      </c>
      <c r="T622" s="185" t="n">
        <v>40725</v>
      </c>
      <c r="U622" s="182"/>
      <c r="V622" s="182"/>
      <c r="W622" s="183"/>
      <c r="X622" s="183"/>
      <c r="Y622" s="184" t="n">
        <v>549</v>
      </c>
      <c r="Z622" s="185" t="n">
        <v>40725</v>
      </c>
      <c r="AA622" s="184" t="n">
        <v>80976</v>
      </c>
      <c r="AB622" s="185" t="n">
        <v>40725</v>
      </c>
      <c r="AC622" s="184" t="n">
        <v>34.5</v>
      </c>
      <c r="AD622" s="185" t="n">
        <v>40725</v>
      </c>
      <c r="AE622" s="196"/>
      <c r="AF622" s="185"/>
      <c r="AG622" s="184" t="n">
        <v>4.26</v>
      </c>
      <c r="AH622" s="185" t="n">
        <v>40725</v>
      </c>
      <c r="AI622" s="183"/>
      <c r="AJ622" s="183"/>
      <c r="AK622" s="182"/>
      <c r="AL622" s="182"/>
      <c r="AM622" s="184" t="n">
        <v>83</v>
      </c>
      <c r="AN622" s="183" t="n">
        <v>40630</v>
      </c>
      <c r="AO622" s="182"/>
      <c r="AP622" s="182"/>
      <c r="AQ622" s="183"/>
      <c r="AR622" s="183"/>
      <c r="AS622" s="182"/>
      <c r="AT622" s="182"/>
      <c r="AU622" s="183"/>
      <c r="AV622" s="183"/>
      <c r="AW622" s="182"/>
      <c r="AX622" s="182"/>
      <c r="AY622" s="183"/>
      <c r="AZ622" s="183"/>
      <c r="BA622" s="182"/>
      <c r="BB622" s="182"/>
      <c r="BK622" s="183"/>
      <c r="BL622" s="183"/>
      <c r="BM622" s="182"/>
      <c r="BN622" s="182"/>
      <c r="BO622" s="183"/>
      <c r="BP622" s="183"/>
      <c r="BQ622" s="182"/>
      <c r="BR622" s="182"/>
      <c r="BS622" s="184" t="n">
        <v>52</v>
      </c>
      <c r="BT622" s="185" t="n">
        <v>40725</v>
      </c>
      <c r="BU622" s="184" t="n">
        <v>15.9</v>
      </c>
      <c r="BV622" s="185" t="n">
        <v>40725</v>
      </c>
      <c r="CL622" s="182"/>
      <c r="CM622" s="182"/>
    </row>
    <row r="623" customFormat="false" ht="12.75" hidden="false" customHeight="false" outlineLevel="0" collapsed="false">
      <c r="A623" s="204" t="s">
        <v>735</v>
      </c>
      <c r="B623" s="193" t="s">
        <v>782</v>
      </c>
      <c r="C623" s="193" t="s">
        <v>876</v>
      </c>
      <c r="D623" s="193"/>
      <c r="E623" s="194" t="n">
        <v>5</v>
      </c>
      <c r="F623" s="195" t="n">
        <v>61</v>
      </c>
      <c r="G623" s="119"/>
      <c r="H623" s="119"/>
      <c r="J623" s="118"/>
      <c r="K623" s="118"/>
      <c r="L623" s="181"/>
      <c r="N623" s="182"/>
      <c r="O623" s="182"/>
      <c r="S623" s="184" t="n">
        <v>1434</v>
      </c>
      <c r="T623" s="185" t="n">
        <v>40725</v>
      </c>
      <c r="U623" s="182"/>
      <c r="V623" s="182"/>
      <c r="W623" s="183"/>
      <c r="X623" s="183"/>
      <c r="Y623" s="184" t="n">
        <v>426</v>
      </c>
      <c r="Z623" s="185" t="n">
        <v>40725</v>
      </c>
      <c r="AA623" s="184" t="n">
        <v>60422</v>
      </c>
      <c r="AB623" s="185" t="n">
        <v>40725</v>
      </c>
      <c r="AC623" s="184" t="n">
        <v>27.7</v>
      </c>
      <c r="AD623" s="185" t="n">
        <v>40725</v>
      </c>
      <c r="AE623" s="196"/>
      <c r="AF623" s="185"/>
      <c r="AG623" s="184" t="n">
        <v>4.58</v>
      </c>
      <c r="AH623" s="185" t="n">
        <v>40725</v>
      </c>
      <c r="AI623" s="183"/>
      <c r="AJ623" s="183"/>
      <c r="AK623" s="182"/>
      <c r="AL623" s="182"/>
      <c r="AM623" s="184" t="n">
        <v>83</v>
      </c>
      <c r="AN623" s="183" t="n">
        <v>40630</v>
      </c>
      <c r="AO623" s="182"/>
      <c r="AP623" s="182"/>
      <c r="AQ623" s="183"/>
      <c r="AR623" s="183"/>
      <c r="AS623" s="182"/>
      <c r="AT623" s="182"/>
      <c r="AU623" s="183"/>
      <c r="AV623" s="183"/>
      <c r="AW623" s="182"/>
      <c r="AX623" s="182"/>
      <c r="AY623" s="183"/>
      <c r="AZ623" s="183"/>
      <c r="BA623" s="182"/>
      <c r="BB623" s="182"/>
      <c r="BK623" s="183"/>
      <c r="BL623" s="183"/>
      <c r="BM623" s="182"/>
      <c r="BN623" s="182"/>
      <c r="BO623" s="183"/>
      <c r="BP623" s="183"/>
      <c r="BQ623" s="182"/>
      <c r="BR623" s="182"/>
      <c r="BS623" s="184" t="n">
        <v>51.8</v>
      </c>
      <c r="BT623" s="185" t="n">
        <v>40725</v>
      </c>
      <c r="BU623" s="184" t="n">
        <v>15.4</v>
      </c>
      <c r="BV623" s="185" t="n">
        <v>40725</v>
      </c>
      <c r="CL623" s="182"/>
      <c r="CM623" s="182"/>
    </row>
    <row r="624" customFormat="false" ht="12.75" hidden="false" customHeight="false" outlineLevel="0" collapsed="false">
      <c r="A624" s="204" t="s">
        <v>735</v>
      </c>
      <c r="B624" s="193" t="s">
        <v>782</v>
      </c>
      <c r="C624" s="193" t="s">
        <v>877</v>
      </c>
      <c r="D624" s="193"/>
      <c r="E624" s="119" t="n">
        <v>17</v>
      </c>
      <c r="F624" s="195" t="n">
        <v>83</v>
      </c>
      <c r="G624" s="119"/>
      <c r="H624" s="119"/>
      <c r="J624" s="118"/>
      <c r="K624" s="118"/>
      <c r="L624" s="181"/>
      <c r="N624" s="182"/>
      <c r="O624" s="182"/>
      <c r="S624" s="184" t="n">
        <v>1379</v>
      </c>
      <c r="T624" s="185" t="n">
        <v>40725</v>
      </c>
      <c r="U624" s="182"/>
      <c r="V624" s="182"/>
      <c r="W624" s="183"/>
      <c r="X624" s="183"/>
      <c r="Y624" s="184" t="n">
        <v>437</v>
      </c>
      <c r="Z624" s="185" t="n">
        <v>40725</v>
      </c>
      <c r="AA624" s="184" t="n">
        <v>57512</v>
      </c>
      <c r="AB624" s="185" t="n">
        <v>40725</v>
      </c>
      <c r="AC624" s="184" t="n">
        <v>26.8</v>
      </c>
      <c r="AD624" s="185" t="n">
        <v>40725</v>
      </c>
      <c r="AE624" s="196"/>
      <c r="AF624" s="185"/>
      <c r="AG624" s="184" t="n">
        <v>4.67</v>
      </c>
      <c r="AH624" s="185" t="n">
        <v>40725</v>
      </c>
      <c r="AI624" s="183"/>
      <c r="AJ624" s="183"/>
      <c r="AK624" s="182"/>
      <c r="AL624" s="182"/>
      <c r="AM624" s="184" t="n">
        <v>83</v>
      </c>
      <c r="AN624" s="183" t="n">
        <v>40630</v>
      </c>
      <c r="AO624" s="182"/>
      <c r="AP624" s="182"/>
      <c r="AQ624" s="183"/>
      <c r="AR624" s="183"/>
      <c r="AS624" s="182"/>
      <c r="AT624" s="182"/>
      <c r="AU624" s="183"/>
      <c r="AV624" s="183"/>
      <c r="AW624" s="182"/>
      <c r="AX624" s="182"/>
      <c r="AY624" s="183"/>
      <c r="AZ624" s="183"/>
      <c r="BA624" s="182"/>
      <c r="BB624" s="182"/>
      <c r="BK624" s="183"/>
      <c r="BL624" s="183"/>
      <c r="BM624" s="182"/>
      <c r="BN624" s="182"/>
      <c r="BO624" s="183"/>
      <c r="BP624" s="183"/>
      <c r="BQ624" s="182"/>
      <c r="BR624" s="182"/>
      <c r="BS624" s="184" t="n">
        <v>51.4</v>
      </c>
      <c r="BT624" s="185" t="n">
        <v>40725</v>
      </c>
      <c r="BU624" s="184" t="n">
        <v>16.3</v>
      </c>
      <c r="BV624" s="185" t="n">
        <v>40725</v>
      </c>
      <c r="CL624" s="182"/>
      <c r="CM624" s="182"/>
    </row>
    <row r="625" customFormat="false" ht="12.75" hidden="false" customHeight="false" outlineLevel="0" collapsed="false">
      <c r="A625" s="204" t="s">
        <v>735</v>
      </c>
      <c r="B625" s="193" t="s">
        <v>785</v>
      </c>
      <c r="C625" s="193" t="s">
        <v>875</v>
      </c>
      <c r="D625" s="193"/>
      <c r="E625" s="194" t="n">
        <v>7</v>
      </c>
      <c r="F625" s="195" t="n">
        <v>18</v>
      </c>
      <c r="G625" s="119"/>
      <c r="H625" s="119"/>
      <c r="J625" s="118"/>
      <c r="K625" s="118"/>
      <c r="L625" s="181"/>
      <c r="N625" s="182"/>
      <c r="O625" s="182"/>
      <c r="S625" s="184" t="n">
        <v>1990</v>
      </c>
      <c r="T625" s="185" t="n">
        <v>40725</v>
      </c>
      <c r="U625" s="182"/>
      <c r="V625" s="182"/>
      <c r="W625" s="183"/>
      <c r="X625" s="183"/>
      <c r="Y625" s="184" t="n">
        <v>659</v>
      </c>
      <c r="Z625" s="185" t="n">
        <v>40725</v>
      </c>
      <c r="AA625" s="184" t="n">
        <v>89557</v>
      </c>
      <c r="AB625" s="185" t="n">
        <v>40725</v>
      </c>
      <c r="AC625" s="184" t="n">
        <v>38.8</v>
      </c>
      <c r="AD625" s="185" t="n">
        <v>40725</v>
      </c>
      <c r="AE625" s="196"/>
      <c r="AF625" s="185"/>
      <c r="AG625" s="184" t="n">
        <v>4.33</v>
      </c>
      <c r="AH625" s="185" t="n">
        <v>40725</v>
      </c>
      <c r="AI625" s="183"/>
      <c r="AJ625" s="183"/>
      <c r="AK625" s="182"/>
      <c r="AL625" s="182"/>
      <c r="AM625" s="184" t="n">
        <v>85</v>
      </c>
      <c r="AN625" s="183" t="n">
        <v>40630</v>
      </c>
      <c r="AO625" s="182"/>
      <c r="AP625" s="182"/>
      <c r="AQ625" s="183"/>
      <c r="AR625" s="183"/>
      <c r="AS625" s="182"/>
      <c r="AT625" s="182"/>
      <c r="AU625" s="183"/>
      <c r="AV625" s="183"/>
      <c r="AW625" s="182"/>
      <c r="AX625" s="182"/>
      <c r="AY625" s="183"/>
      <c r="AZ625" s="183"/>
      <c r="BA625" s="182"/>
      <c r="BB625" s="182"/>
      <c r="BK625" s="183"/>
      <c r="BL625" s="183"/>
      <c r="BM625" s="182"/>
      <c r="BN625" s="182"/>
      <c r="BO625" s="183"/>
      <c r="BP625" s="183"/>
      <c r="BQ625" s="182"/>
      <c r="BR625" s="182"/>
      <c r="BS625" s="184" t="n">
        <v>51.3</v>
      </c>
      <c r="BT625" s="185" t="n">
        <v>40725</v>
      </c>
      <c r="BU625" s="184" t="n">
        <v>17</v>
      </c>
      <c r="BV625" s="185" t="n">
        <v>40725</v>
      </c>
      <c r="CL625" s="182"/>
      <c r="CM625" s="182"/>
    </row>
    <row r="626" customFormat="false" ht="12.75" hidden="false" customHeight="false" outlineLevel="0" collapsed="false">
      <c r="A626" s="204" t="s">
        <v>735</v>
      </c>
      <c r="B626" s="193" t="s">
        <v>785</v>
      </c>
      <c r="C626" s="193" t="s">
        <v>876</v>
      </c>
      <c r="D626" s="193"/>
      <c r="E626" s="194" t="n">
        <v>1</v>
      </c>
      <c r="F626" s="195" t="n">
        <v>47</v>
      </c>
      <c r="G626" s="119"/>
      <c r="H626" s="119"/>
      <c r="J626" s="118"/>
      <c r="K626" s="118"/>
      <c r="L626" s="181"/>
      <c r="N626" s="182"/>
      <c r="O626" s="182"/>
      <c r="S626" s="184" t="n">
        <v>1882</v>
      </c>
      <c r="T626" s="185" t="n">
        <v>40725</v>
      </c>
      <c r="U626" s="182"/>
      <c r="V626" s="182"/>
      <c r="W626" s="183"/>
      <c r="X626" s="183"/>
      <c r="Y626" s="184" t="n">
        <v>640</v>
      </c>
      <c r="Z626" s="185" t="n">
        <v>40725</v>
      </c>
      <c r="AA626" s="184" t="n">
        <v>79920</v>
      </c>
      <c r="AB626" s="185" t="n">
        <v>40725</v>
      </c>
      <c r="AC626" s="184" t="n">
        <v>36.8</v>
      </c>
      <c r="AD626" s="185" t="n">
        <v>40725</v>
      </c>
      <c r="AE626" s="196"/>
      <c r="AF626" s="185"/>
      <c r="AG626" s="184" t="n">
        <v>4.6</v>
      </c>
      <c r="AH626" s="185" t="n">
        <v>40725</v>
      </c>
      <c r="AI626" s="183"/>
      <c r="AJ626" s="183"/>
      <c r="AK626" s="182"/>
      <c r="AL626" s="182"/>
      <c r="AM626" s="184" t="n">
        <v>85</v>
      </c>
      <c r="AN626" s="183" t="n">
        <v>40630</v>
      </c>
      <c r="AO626" s="182"/>
      <c r="AP626" s="182"/>
      <c r="AQ626" s="183"/>
      <c r="AR626" s="183"/>
      <c r="AS626" s="182"/>
      <c r="AT626" s="182"/>
      <c r="AU626" s="183"/>
      <c r="AV626" s="183"/>
      <c r="AW626" s="182"/>
      <c r="AX626" s="182"/>
      <c r="AY626" s="183"/>
      <c r="AZ626" s="183"/>
      <c r="BA626" s="182"/>
      <c r="BB626" s="182"/>
      <c r="BK626" s="183"/>
      <c r="BL626" s="183"/>
      <c r="BM626" s="182"/>
      <c r="BN626" s="182"/>
      <c r="BO626" s="183"/>
      <c r="BP626" s="183"/>
      <c r="BQ626" s="182"/>
      <c r="BR626" s="182"/>
      <c r="BS626" s="184" t="n">
        <v>51.2</v>
      </c>
      <c r="BT626" s="185" t="n">
        <v>40725</v>
      </c>
      <c r="BU626" s="184" t="n">
        <v>17.4</v>
      </c>
      <c r="BV626" s="185" t="n">
        <v>40725</v>
      </c>
      <c r="CL626" s="182"/>
      <c r="CM626" s="182"/>
    </row>
    <row r="627" customFormat="false" ht="12.75" hidden="false" customHeight="false" outlineLevel="0" collapsed="false">
      <c r="A627" s="204" t="s">
        <v>735</v>
      </c>
      <c r="B627" s="193" t="s">
        <v>785</v>
      </c>
      <c r="C627" s="193" t="s">
        <v>877</v>
      </c>
      <c r="D627" s="193"/>
      <c r="E627" s="119" t="n">
        <v>21</v>
      </c>
      <c r="F627" s="195" t="n">
        <v>69</v>
      </c>
      <c r="G627" s="119"/>
      <c r="H627" s="119"/>
      <c r="J627" s="118"/>
      <c r="K627" s="118"/>
      <c r="L627" s="181"/>
      <c r="N627" s="182"/>
      <c r="O627" s="182"/>
      <c r="S627" s="184" t="n">
        <v>1941</v>
      </c>
      <c r="T627" s="185" t="n">
        <v>40725</v>
      </c>
      <c r="U627" s="182"/>
      <c r="V627" s="182"/>
      <c r="W627" s="183"/>
      <c r="X627" s="183"/>
      <c r="Y627" s="184" t="n">
        <v>650</v>
      </c>
      <c r="Z627" s="185" t="n">
        <v>40725</v>
      </c>
      <c r="AA627" s="184" t="n">
        <v>85636</v>
      </c>
      <c r="AB627" s="185" t="n">
        <v>40725</v>
      </c>
      <c r="AC627" s="184" t="n">
        <v>37.9</v>
      </c>
      <c r="AD627" s="185" t="n">
        <v>40725</v>
      </c>
      <c r="AE627" s="196"/>
      <c r="AF627" s="185"/>
      <c r="AG627" s="184" t="n">
        <v>4.43</v>
      </c>
      <c r="AH627" s="185" t="n">
        <v>40725</v>
      </c>
      <c r="AI627" s="183"/>
      <c r="AJ627" s="183"/>
      <c r="AK627" s="182"/>
      <c r="AL627" s="182"/>
      <c r="AM627" s="184" t="n">
        <v>85</v>
      </c>
      <c r="AN627" s="183" t="n">
        <v>40630</v>
      </c>
      <c r="AO627" s="182"/>
      <c r="AP627" s="182"/>
      <c r="AQ627" s="183"/>
      <c r="AR627" s="183"/>
      <c r="AS627" s="182"/>
      <c r="AT627" s="182"/>
      <c r="AU627" s="183"/>
      <c r="AV627" s="183"/>
      <c r="AW627" s="182"/>
      <c r="AX627" s="182"/>
      <c r="AY627" s="183"/>
      <c r="AZ627" s="183"/>
      <c r="BA627" s="182"/>
      <c r="BB627" s="182"/>
      <c r="BK627" s="183"/>
      <c r="BL627" s="183"/>
      <c r="BM627" s="182"/>
      <c r="BN627" s="182"/>
      <c r="BO627" s="183"/>
      <c r="BP627" s="183"/>
      <c r="BQ627" s="182"/>
      <c r="BR627" s="182"/>
      <c r="BS627" s="184" t="n">
        <v>51.2</v>
      </c>
      <c r="BT627" s="185" t="n">
        <v>40725</v>
      </c>
      <c r="BU627" s="184" t="n">
        <v>17.2</v>
      </c>
      <c r="BV627" s="185" t="n">
        <v>40725</v>
      </c>
      <c r="CL627" s="182"/>
      <c r="CM627" s="182"/>
    </row>
    <row r="628" customFormat="false" ht="12.75" hidden="false" customHeight="false" outlineLevel="0" collapsed="false">
      <c r="A628" s="204" t="s">
        <v>738</v>
      </c>
      <c r="B628" s="193" t="s">
        <v>782</v>
      </c>
      <c r="C628" s="193" t="s">
        <v>875</v>
      </c>
      <c r="D628" s="193"/>
      <c r="E628" s="194" t="n">
        <v>2</v>
      </c>
      <c r="F628" s="195" t="n">
        <v>21</v>
      </c>
      <c r="G628" s="119"/>
      <c r="H628" s="119"/>
      <c r="J628" s="118"/>
      <c r="K628" s="118"/>
      <c r="L628" s="181"/>
      <c r="N628" s="182"/>
      <c r="O628" s="182"/>
      <c r="S628" s="184" t="n">
        <v>1275</v>
      </c>
      <c r="T628" s="185" t="n">
        <v>40725</v>
      </c>
      <c r="U628" s="182"/>
      <c r="V628" s="182"/>
      <c r="W628" s="183"/>
      <c r="X628" s="183"/>
      <c r="Y628" s="184" t="n">
        <v>393</v>
      </c>
      <c r="Z628" s="185" t="n">
        <v>40725</v>
      </c>
      <c r="AA628" s="184" t="n">
        <v>55810</v>
      </c>
      <c r="AB628" s="185" t="n">
        <v>40725</v>
      </c>
      <c r="AC628" s="184" t="n">
        <v>24.2</v>
      </c>
      <c r="AD628" s="185" t="n">
        <v>40725</v>
      </c>
      <c r="AE628" s="196"/>
      <c r="AF628" s="185"/>
      <c r="AG628" s="184" t="n">
        <v>4.33</v>
      </c>
      <c r="AH628" s="185" t="n">
        <v>40725</v>
      </c>
      <c r="AI628" s="183"/>
      <c r="AJ628" s="183"/>
      <c r="AK628" s="182"/>
      <c r="AL628" s="182"/>
      <c r="AM628" s="184" t="n">
        <v>83</v>
      </c>
      <c r="AN628" s="183" t="n">
        <v>40630</v>
      </c>
      <c r="AO628" s="182"/>
      <c r="AP628" s="182"/>
      <c r="AQ628" s="183"/>
      <c r="AR628" s="183"/>
      <c r="AS628" s="182"/>
      <c r="AT628" s="182"/>
      <c r="AU628" s="183"/>
      <c r="AV628" s="183"/>
      <c r="AW628" s="182"/>
      <c r="AX628" s="182"/>
      <c r="AY628" s="183"/>
      <c r="AZ628" s="183"/>
      <c r="BA628" s="182"/>
      <c r="BB628" s="182"/>
      <c r="BK628" s="183"/>
      <c r="BL628" s="183"/>
      <c r="BM628" s="182"/>
      <c r="BN628" s="182"/>
      <c r="BO628" s="183"/>
      <c r="BP628" s="183"/>
      <c r="BQ628" s="182"/>
      <c r="BR628" s="182"/>
      <c r="BS628" s="184" t="n">
        <v>52.7</v>
      </c>
      <c r="BT628" s="185" t="n">
        <v>40725</v>
      </c>
      <c r="BU628" s="184" t="n">
        <v>16.3</v>
      </c>
      <c r="BV628" s="185" t="n">
        <v>40725</v>
      </c>
      <c r="CL628" s="182"/>
      <c r="CM628" s="182"/>
    </row>
    <row r="629" customFormat="false" ht="12.75" hidden="false" customHeight="false" outlineLevel="0" collapsed="false">
      <c r="A629" s="204" t="s">
        <v>738</v>
      </c>
      <c r="B629" s="193" t="s">
        <v>782</v>
      </c>
      <c r="C629" s="193" t="s">
        <v>876</v>
      </c>
      <c r="D629" s="193"/>
      <c r="E629" s="194" t="n">
        <v>8</v>
      </c>
      <c r="F629" s="195" t="n">
        <v>44</v>
      </c>
      <c r="G629" s="119"/>
      <c r="H629" s="119"/>
      <c r="J629" s="118"/>
      <c r="K629" s="118"/>
      <c r="L629" s="181"/>
      <c r="N629" s="182"/>
      <c r="O629" s="182"/>
      <c r="S629" s="184" t="n">
        <v>1561</v>
      </c>
      <c r="T629" s="185" t="n">
        <v>40725</v>
      </c>
      <c r="U629" s="182"/>
      <c r="V629" s="182"/>
      <c r="W629" s="183"/>
      <c r="X629" s="183"/>
      <c r="Y629" s="184" t="n">
        <v>509</v>
      </c>
      <c r="Z629" s="185" t="n">
        <v>40725</v>
      </c>
      <c r="AA629" s="184" t="n">
        <v>64607</v>
      </c>
      <c r="AB629" s="185" t="n">
        <v>40725</v>
      </c>
      <c r="AC629" s="184" t="n">
        <v>29.8</v>
      </c>
      <c r="AD629" s="185" t="n">
        <v>40725</v>
      </c>
      <c r="AE629" s="196"/>
      <c r="AF629" s="185"/>
      <c r="AG629" s="184" t="n">
        <v>4.62</v>
      </c>
      <c r="AH629" s="185" t="n">
        <v>40725</v>
      </c>
      <c r="AI629" s="183"/>
      <c r="AJ629" s="183"/>
      <c r="AK629" s="182"/>
      <c r="AL629" s="182"/>
      <c r="AM629" s="184" t="n">
        <v>81</v>
      </c>
      <c r="AN629" s="183" t="n">
        <v>40630</v>
      </c>
      <c r="AO629" s="182"/>
      <c r="AP629" s="182"/>
      <c r="AQ629" s="183"/>
      <c r="AR629" s="183"/>
      <c r="AS629" s="182"/>
      <c r="AT629" s="182"/>
      <c r="AU629" s="183"/>
      <c r="AV629" s="183"/>
      <c r="AW629" s="182"/>
      <c r="AX629" s="182"/>
      <c r="AY629" s="183"/>
      <c r="AZ629" s="183"/>
      <c r="BA629" s="182"/>
      <c r="BB629" s="182"/>
      <c r="BK629" s="183"/>
      <c r="BL629" s="183"/>
      <c r="BM629" s="182"/>
      <c r="BN629" s="182"/>
      <c r="BO629" s="183"/>
      <c r="BP629" s="183"/>
      <c r="BQ629" s="182"/>
      <c r="BR629" s="182"/>
      <c r="BS629" s="184" t="n">
        <v>52.3</v>
      </c>
      <c r="BT629" s="185" t="n">
        <v>40725</v>
      </c>
      <c r="BU629" s="184" t="n">
        <v>17.1</v>
      </c>
      <c r="BV629" s="185" t="n">
        <v>40725</v>
      </c>
      <c r="CL629" s="182"/>
      <c r="CM629" s="182"/>
    </row>
    <row r="630" customFormat="false" ht="12.75" hidden="false" customHeight="false" outlineLevel="0" collapsed="false">
      <c r="A630" s="204" t="s">
        <v>738</v>
      </c>
      <c r="B630" s="193" t="s">
        <v>782</v>
      </c>
      <c r="C630" s="193" t="s">
        <v>877</v>
      </c>
      <c r="D630" s="193"/>
      <c r="E630" s="119" t="n">
        <v>18</v>
      </c>
      <c r="F630" s="195" t="n">
        <v>75</v>
      </c>
      <c r="G630" s="119"/>
      <c r="H630" s="119"/>
      <c r="J630" s="118"/>
      <c r="K630" s="118"/>
      <c r="L630" s="181"/>
      <c r="N630" s="182"/>
      <c r="O630" s="182"/>
      <c r="S630" s="184" t="n">
        <v>1577</v>
      </c>
      <c r="T630" s="185" t="n">
        <v>40725</v>
      </c>
      <c r="U630" s="182"/>
      <c r="V630" s="182"/>
      <c r="W630" s="183"/>
      <c r="X630" s="183"/>
      <c r="Y630" s="184" t="n">
        <v>530</v>
      </c>
      <c r="Z630" s="185" t="n">
        <v>40725</v>
      </c>
      <c r="AA630" s="184" t="n">
        <v>65384</v>
      </c>
      <c r="AB630" s="185" t="n">
        <v>40725</v>
      </c>
      <c r="AC630" s="184" t="n">
        <v>30.4</v>
      </c>
      <c r="AD630" s="185" t="n">
        <v>40725</v>
      </c>
      <c r="AE630" s="196"/>
      <c r="AF630" s="185"/>
      <c r="AG630" s="184" t="n">
        <v>4.65</v>
      </c>
      <c r="AH630" s="185" t="n">
        <v>40725</v>
      </c>
      <c r="AI630" s="183"/>
      <c r="AJ630" s="183"/>
      <c r="AK630" s="182"/>
      <c r="AL630" s="182"/>
      <c r="AM630" s="184" t="n">
        <v>81</v>
      </c>
      <c r="AN630" s="183" t="n">
        <v>40630</v>
      </c>
      <c r="AO630" s="182"/>
      <c r="AP630" s="182"/>
      <c r="AQ630" s="183"/>
      <c r="AR630" s="183"/>
      <c r="AS630" s="182"/>
      <c r="AT630" s="182"/>
      <c r="AU630" s="183"/>
      <c r="AV630" s="183"/>
      <c r="AW630" s="182"/>
      <c r="AX630" s="182"/>
      <c r="AY630" s="183"/>
      <c r="AZ630" s="183"/>
      <c r="BA630" s="182"/>
      <c r="BB630" s="182"/>
      <c r="BK630" s="183"/>
      <c r="BL630" s="183"/>
      <c r="BM630" s="182"/>
      <c r="BN630" s="182"/>
      <c r="BO630" s="183"/>
      <c r="BP630" s="183"/>
      <c r="BQ630" s="182"/>
      <c r="BR630" s="182"/>
      <c r="BS630" s="184" t="n">
        <v>51.9</v>
      </c>
      <c r="BT630" s="185" t="n">
        <v>40725</v>
      </c>
      <c r="BU630" s="184" t="n">
        <v>17.5</v>
      </c>
      <c r="BV630" s="185" t="n">
        <v>40725</v>
      </c>
      <c r="CL630" s="182"/>
      <c r="CM630" s="182"/>
    </row>
    <row r="631" customFormat="false" ht="12.75" hidden="false" customHeight="false" outlineLevel="0" collapsed="false">
      <c r="A631" s="204" t="s">
        <v>738</v>
      </c>
      <c r="B631" s="193" t="s">
        <v>785</v>
      </c>
      <c r="C631" s="193" t="s">
        <v>875</v>
      </c>
      <c r="D631" s="193"/>
      <c r="E631" s="194" t="n">
        <v>6</v>
      </c>
      <c r="F631" s="195" t="n">
        <v>4</v>
      </c>
      <c r="G631" s="119"/>
      <c r="H631" s="119"/>
      <c r="J631" s="118"/>
      <c r="K631" s="118"/>
      <c r="L631" s="181"/>
      <c r="N631" s="182"/>
      <c r="O631" s="182"/>
      <c r="S631" s="184" t="n">
        <v>2107</v>
      </c>
      <c r="T631" s="185" t="n">
        <v>40725</v>
      </c>
      <c r="U631" s="182"/>
      <c r="V631" s="182"/>
      <c r="W631" s="183"/>
      <c r="X631" s="183"/>
      <c r="Y631" s="184" t="n">
        <v>768</v>
      </c>
      <c r="Z631" s="185" t="n">
        <v>40725</v>
      </c>
      <c r="AA631" s="184" t="n">
        <v>89524</v>
      </c>
      <c r="AB631" s="185" t="n">
        <v>40725</v>
      </c>
      <c r="AC631" s="184" t="n">
        <v>41</v>
      </c>
      <c r="AD631" s="185" t="n">
        <v>40725</v>
      </c>
      <c r="AE631" s="196"/>
      <c r="AF631" s="185"/>
      <c r="AG631" s="184" t="n">
        <v>4.58</v>
      </c>
      <c r="AH631" s="185" t="n">
        <v>40725</v>
      </c>
      <c r="AI631" s="183"/>
      <c r="AJ631" s="183"/>
      <c r="AK631" s="182"/>
      <c r="AL631" s="182"/>
      <c r="AM631" s="184" t="n">
        <v>82</v>
      </c>
      <c r="AN631" s="183" t="n">
        <v>40630</v>
      </c>
      <c r="AO631" s="182"/>
      <c r="AP631" s="182"/>
      <c r="AQ631" s="183"/>
      <c r="AR631" s="183"/>
      <c r="AS631" s="182"/>
      <c r="AT631" s="182"/>
      <c r="AU631" s="183"/>
      <c r="AV631" s="183"/>
      <c r="AW631" s="182"/>
      <c r="AX631" s="182"/>
      <c r="AY631" s="183"/>
      <c r="AZ631" s="183"/>
      <c r="BA631" s="182"/>
      <c r="BB631" s="182"/>
      <c r="BK631" s="183"/>
      <c r="BL631" s="183"/>
      <c r="BM631" s="182"/>
      <c r="BN631" s="182"/>
      <c r="BO631" s="183"/>
      <c r="BP631" s="183"/>
      <c r="BQ631" s="182"/>
      <c r="BR631" s="182"/>
      <c r="BS631" s="184" t="n">
        <v>51.4</v>
      </c>
      <c r="BT631" s="185" t="n">
        <v>40725</v>
      </c>
      <c r="BU631" s="184" t="n">
        <v>18.7</v>
      </c>
      <c r="BV631" s="185" t="n">
        <v>40725</v>
      </c>
      <c r="CL631" s="182"/>
      <c r="CM631" s="182"/>
    </row>
    <row r="632" customFormat="false" ht="12.75" hidden="false" customHeight="false" outlineLevel="0" collapsed="false">
      <c r="A632" s="204" t="s">
        <v>738</v>
      </c>
      <c r="B632" s="193" t="s">
        <v>785</v>
      </c>
      <c r="C632" s="193" t="s">
        <v>876</v>
      </c>
      <c r="D632" s="193"/>
      <c r="E632" s="194" t="n">
        <v>1</v>
      </c>
      <c r="F632" s="195" t="n">
        <v>41</v>
      </c>
      <c r="G632" s="119"/>
      <c r="H632" s="119"/>
      <c r="J632" s="118"/>
      <c r="K632" s="118"/>
      <c r="L632" s="181"/>
      <c r="N632" s="182"/>
      <c r="O632" s="182"/>
      <c r="S632" s="184" t="n">
        <v>2052</v>
      </c>
      <c r="T632" s="185" t="n">
        <v>40725</v>
      </c>
      <c r="U632" s="182"/>
      <c r="V632" s="182"/>
      <c r="W632" s="183"/>
      <c r="X632" s="183"/>
      <c r="Y632" s="184" t="n">
        <v>689</v>
      </c>
      <c r="Z632" s="185" t="n">
        <v>40725</v>
      </c>
      <c r="AA632" s="184" t="n">
        <v>87518</v>
      </c>
      <c r="AB632" s="185" t="n">
        <v>40725</v>
      </c>
      <c r="AC632" s="184" t="n">
        <v>39.3</v>
      </c>
      <c r="AD632" s="185" t="n">
        <v>40725</v>
      </c>
      <c r="AE632" s="196"/>
      <c r="AF632" s="185"/>
      <c r="AG632" s="184" t="n">
        <v>4.49</v>
      </c>
      <c r="AH632" s="185" t="n">
        <v>40725</v>
      </c>
      <c r="AI632" s="183"/>
      <c r="AJ632" s="183"/>
      <c r="AK632" s="182"/>
      <c r="AL632" s="182"/>
      <c r="AM632" s="184" t="n">
        <v>82</v>
      </c>
      <c r="AN632" s="183" t="n">
        <v>40630</v>
      </c>
      <c r="AO632" s="182"/>
      <c r="AP632" s="182"/>
      <c r="AQ632" s="183"/>
      <c r="AR632" s="183"/>
      <c r="AS632" s="182"/>
      <c r="AT632" s="182"/>
      <c r="AU632" s="183"/>
      <c r="AV632" s="183"/>
      <c r="AW632" s="182"/>
      <c r="AX632" s="182"/>
      <c r="AY632" s="183"/>
      <c r="AZ632" s="183"/>
      <c r="BA632" s="182"/>
      <c r="BB632" s="182"/>
      <c r="BK632" s="183"/>
      <c r="BL632" s="183"/>
      <c r="BM632" s="182"/>
      <c r="BN632" s="182"/>
      <c r="BO632" s="183"/>
      <c r="BP632" s="183"/>
      <c r="BQ632" s="182"/>
      <c r="BR632" s="182"/>
      <c r="BS632" s="184" t="n">
        <v>52.3</v>
      </c>
      <c r="BT632" s="185" t="n">
        <v>40725</v>
      </c>
      <c r="BU632" s="184" t="n">
        <v>17.5</v>
      </c>
      <c r="BV632" s="185" t="n">
        <v>40725</v>
      </c>
      <c r="CL632" s="182"/>
      <c r="CM632" s="182"/>
    </row>
    <row r="633" customFormat="false" ht="12.75" hidden="false" customHeight="false" outlineLevel="0" collapsed="false">
      <c r="A633" s="204" t="s">
        <v>738</v>
      </c>
      <c r="B633" s="193" t="s">
        <v>785</v>
      </c>
      <c r="C633" s="193" t="s">
        <v>877</v>
      </c>
      <c r="D633" s="193"/>
      <c r="E633" s="119" t="n">
        <v>24</v>
      </c>
      <c r="F633" s="195" t="n">
        <v>67</v>
      </c>
      <c r="G633" s="119"/>
      <c r="H633" s="119"/>
      <c r="J633" s="118"/>
      <c r="K633" s="118"/>
      <c r="L633" s="181"/>
      <c r="N633" s="182"/>
      <c r="O633" s="182"/>
      <c r="S633" s="184" t="n">
        <v>1929</v>
      </c>
      <c r="T633" s="185" t="n">
        <v>40725</v>
      </c>
      <c r="U633" s="182"/>
      <c r="V633" s="182"/>
      <c r="W633" s="183"/>
      <c r="X633" s="183"/>
      <c r="Y633" s="184" t="n">
        <v>691</v>
      </c>
      <c r="Z633" s="185" t="n">
        <v>40725</v>
      </c>
      <c r="AA633" s="184" t="n">
        <v>77968</v>
      </c>
      <c r="AB633" s="185" t="n">
        <v>40725</v>
      </c>
      <c r="AC633" s="184" t="n">
        <v>37.3</v>
      </c>
      <c r="AD633" s="185" t="n">
        <v>40725</v>
      </c>
      <c r="AE633" s="196"/>
      <c r="AF633" s="185"/>
      <c r="AG633" s="184" t="n">
        <v>4.79</v>
      </c>
      <c r="AH633" s="185" t="n">
        <v>40725</v>
      </c>
      <c r="AI633" s="183"/>
      <c r="AJ633" s="183"/>
      <c r="AK633" s="182"/>
      <c r="AL633" s="182"/>
      <c r="AM633" s="184" t="n">
        <v>82</v>
      </c>
      <c r="AN633" s="183" t="n">
        <v>40630</v>
      </c>
      <c r="AO633" s="182"/>
      <c r="AP633" s="182"/>
      <c r="AQ633" s="183"/>
      <c r="AR633" s="183"/>
      <c r="AS633" s="182"/>
      <c r="AT633" s="182"/>
      <c r="AU633" s="183"/>
      <c r="AV633" s="183"/>
      <c r="AW633" s="182"/>
      <c r="AX633" s="182"/>
      <c r="AY633" s="183"/>
      <c r="AZ633" s="183"/>
      <c r="BA633" s="182"/>
      <c r="BB633" s="182"/>
      <c r="BK633" s="183"/>
      <c r="BL633" s="183"/>
      <c r="BM633" s="182"/>
      <c r="BN633" s="182"/>
      <c r="BO633" s="183"/>
      <c r="BP633" s="183"/>
      <c r="BQ633" s="182"/>
      <c r="BR633" s="182"/>
      <c r="BS633" s="184" t="n">
        <v>51.7</v>
      </c>
      <c r="BT633" s="185" t="n">
        <v>40725</v>
      </c>
      <c r="BU633" s="184" t="n">
        <v>18.5</v>
      </c>
      <c r="BV633" s="185" t="n">
        <v>40725</v>
      </c>
      <c r="CL633" s="182"/>
      <c r="CM633" s="182"/>
    </row>
    <row r="634" customFormat="false" ht="12.75" hidden="false" customHeight="false" outlineLevel="0" collapsed="false">
      <c r="A634" s="204" t="s">
        <v>741</v>
      </c>
      <c r="B634" s="193" t="s">
        <v>782</v>
      </c>
      <c r="C634" s="193" t="s">
        <v>875</v>
      </c>
      <c r="D634" s="193"/>
      <c r="E634" s="194" t="n">
        <v>4</v>
      </c>
      <c r="F634" s="195" t="n">
        <v>3</v>
      </c>
      <c r="G634" s="119"/>
      <c r="H634" s="119"/>
      <c r="J634" s="118"/>
      <c r="K634" s="118"/>
      <c r="L634" s="181"/>
      <c r="N634" s="182"/>
      <c r="O634" s="182"/>
      <c r="S634" s="184" t="n">
        <v>1874</v>
      </c>
      <c r="T634" s="185" t="n">
        <v>40725</v>
      </c>
      <c r="U634" s="182"/>
      <c r="V634" s="182"/>
      <c r="W634" s="183"/>
      <c r="X634" s="183"/>
      <c r="Y634" s="184" t="n">
        <v>568</v>
      </c>
      <c r="Z634" s="185" t="n">
        <v>40725</v>
      </c>
      <c r="AA634" s="184" t="n">
        <v>86440</v>
      </c>
      <c r="AB634" s="185" t="n">
        <v>40725</v>
      </c>
      <c r="AC634" s="184" t="n">
        <v>35.3</v>
      </c>
      <c r="AD634" s="185" t="n">
        <v>40725</v>
      </c>
      <c r="AE634" s="196"/>
      <c r="AF634" s="185"/>
      <c r="AG634" s="184" t="n">
        <v>4.09</v>
      </c>
      <c r="AH634" s="185" t="n">
        <v>40725</v>
      </c>
      <c r="AI634" s="183"/>
      <c r="AJ634" s="183"/>
      <c r="AK634" s="182"/>
      <c r="AL634" s="182"/>
      <c r="AM634" s="184" t="n">
        <v>89</v>
      </c>
      <c r="AN634" s="183" t="n">
        <v>40630</v>
      </c>
      <c r="AO634" s="182"/>
      <c r="AP634" s="182"/>
      <c r="AQ634" s="183"/>
      <c r="AR634" s="183"/>
      <c r="AS634" s="182"/>
      <c r="AT634" s="182"/>
      <c r="AU634" s="183"/>
      <c r="AV634" s="183"/>
      <c r="AW634" s="182"/>
      <c r="AX634" s="182"/>
      <c r="AY634" s="183"/>
      <c r="AZ634" s="183"/>
      <c r="BA634" s="182"/>
      <c r="BB634" s="182"/>
      <c r="BK634" s="183"/>
      <c r="BL634" s="183"/>
      <c r="BM634" s="182"/>
      <c r="BN634" s="182"/>
      <c r="BO634" s="183"/>
      <c r="BP634" s="183"/>
      <c r="BQ634" s="182"/>
      <c r="BR634" s="182"/>
      <c r="BS634" s="184" t="n">
        <v>53</v>
      </c>
      <c r="BT634" s="185" t="n">
        <v>40725</v>
      </c>
      <c r="BU634" s="184" t="n">
        <v>16.1</v>
      </c>
      <c r="BV634" s="185" t="n">
        <v>40725</v>
      </c>
      <c r="CL634" s="182"/>
      <c r="CM634" s="182"/>
    </row>
    <row r="635" customFormat="false" ht="12.75" hidden="false" customHeight="false" outlineLevel="0" collapsed="false">
      <c r="A635" s="204" t="s">
        <v>741</v>
      </c>
      <c r="B635" s="193" t="s">
        <v>782</v>
      </c>
      <c r="C635" s="193" t="s">
        <v>876</v>
      </c>
      <c r="D635" s="193"/>
      <c r="E635" s="194" t="n">
        <v>7</v>
      </c>
      <c r="F635" s="195" t="n">
        <v>63</v>
      </c>
      <c r="G635" s="119"/>
      <c r="H635" s="119"/>
      <c r="J635" s="118"/>
      <c r="K635" s="118"/>
      <c r="L635" s="181"/>
      <c r="N635" s="182"/>
      <c r="O635" s="182"/>
      <c r="S635" s="184" t="n">
        <v>1413</v>
      </c>
      <c r="T635" s="185" t="n">
        <v>40725</v>
      </c>
      <c r="U635" s="182"/>
      <c r="V635" s="182"/>
      <c r="W635" s="183"/>
      <c r="X635" s="183"/>
      <c r="Y635" s="184" t="n">
        <v>445</v>
      </c>
      <c r="Z635" s="185" t="n">
        <v>40725</v>
      </c>
      <c r="AA635" s="184" t="n">
        <v>75549</v>
      </c>
      <c r="AB635" s="185" t="n">
        <v>40725</v>
      </c>
      <c r="AC635" s="184" t="n">
        <v>27</v>
      </c>
      <c r="AD635" s="185" t="n">
        <v>40725</v>
      </c>
      <c r="AE635" s="196"/>
      <c r="AF635" s="185"/>
      <c r="AG635" s="184" t="n">
        <v>3.57</v>
      </c>
      <c r="AH635" s="185" t="n">
        <v>40725</v>
      </c>
      <c r="AI635" s="183"/>
      <c r="AJ635" s="183"/>
      <c r="AK635" s="182"/>
      <c r="AL635" s="182"/>
      <c r="AM635" s="184" t="n">
        <v>88</v>
      </c>
      <c r="AN635" s="183" t="n">
        <v>40630</v>
      </c>
      <c r="AO635" s="182"/>
      <c r="AP635" s="182"/>
      <c r="AQ635" s="183"/>
      <c r="AR635" s="183"/>
      <c r="AS635" s="182"/>
      <c r="AT635" s="182"/>
      <c r="AU635" s="183"/>
      <c r="AV635" s="183"/>
      <c r="AW635" s="182"/>
      <c r="AX635" s="182"/>
      <c r="AY635" s="183"/>
      <c r="AZ635" s="183"/>
      <c r="BA635" s="182"/>
      <c r="BB635" s="182"/>
      <c r="BK635" s="183"/>
      <c r="BL635" s="183"/>
      <c r="BM635" s="182"/>
      <c r="BN635" s="182"/>
      <c r="BO635" s="183"/>
      <c r="BP635" s="183"/>
      <c r="BQ635" s="182"/>
      <c r="BR635" s="182"/>
      <c r="BS635" s="184" t="n">
        <v>52.4</v>
      </c>
      <c r="BT635" s="185" t="n">
        <v>40725</v>
      </c>
      <c r="BU635" s="184" t="n">
        <v>16.5</v>
      </c>
      <c r="BV635" s="185" t="n">
        <v>40725</v>
      </c>
      <c r="CL635" s="182"/>
      <c r="CM635" s="182"/>
    </row>
    <row r="636" customFormat="false" ht="12.75" hidden="false" customHeight="false" outlineLevel="0" collapsed="false">
      <c r="A636" s="204" t="s">
        <v>741</v>
      </c>
      <c r="B636" s="193" t="s">
        <v>782</v>
      </c>
      <c r="C636" s="193" t="s">
        <v>877</v>
      </c>
      <c r="D636" s="193"/>
      <c r="E636" s="119" t="n">
        <v>17</v>
      </c>
      <c r="F636" s="195" t="n">
        <v>90</v>
      </c>
      <c r="G636" s="119"/>
      <c r="H636" s="119"/>
      <c r="J636" s="118"/>
      <c r="K636" s="118"/>
      <c r="L636" s="181"/>
      <c r="N636" s="182"/>
      <c r="O636" s="182"/>
      <c r="S636" s="184" t="n">
        <v>1542</v>
      </c>
      <c r="T636" s="185" t="n">
        <v>40725</v>
      </c>
      <c r="U636" s="182"/>
      <c r="V636" s="182"/>
      <c r="W636" s="183"/>
      <c r="X636" s="183"/>
      <c r="Y636" s="184" t="n">
        <v>507</v>
      </c>
      <c r="Z636" s="185" t="n">
        <v>40725</v>
      </c>
      <c r="AA636" s="184" t="n">
        <v>81470</v>
      </c>
      <c r="AB636" s="185" t="n">
        <v>40725</v>
      </c>
      <c r="AC636" s="184" t="n">
        <v>29.5</v>
      </c>
      <c r="AD636" s="185" t="n">
        <v>40725</v>
      </c>
      <c r="AE636" s="196"/>
      <c r="AF636" s="185"/>
      <c r="AG636" s="184" t="n">
        <v>3.63</v>
      </c>
      <c r="AH636" s="185" t="n">
        <v>40725</v>
      </c>
      <c r="AI636" s="183"/>
      <c r="AJ636" s="183"/>
      <c r="AK636" s="182"/>
      <c r="AL636" s="182"/>
      <c r="AM636" s="184" t="n">
        <v>89</v>
      </c>
      <c r="AN636" s="183" t="n">
        <v>40630</v>
      </c>
      <c r="AO636" s="182"/>
      <c r="AP636" s="182"/>
      <c r="AQ636" s="183"/>
      <c r="AR636" s="183"/>
      <c r="AS636" s="182"/>
      <c r="AT636" s="182"/>
      <c r="AU636" s="183"/>
      <c r="AV636" s="183"/>
      <c r="AW636" s="182"/>
      <c r="AX636" s="182"/>
      <c r="AY636" s="183"/>
      <c r="AZ636" s="183"/>
      <c r="BA636" s="182"/>
      <c r="BB636" s="182"/>
      <c r="BK636" s="183"/>
      <c r="BL636" s="183"/>
      <c r="BM636" s="182"/>
      <c r="BN636" s="182"/>
      <c r="BO636" s="183"/>
      <c r="BP636" s="183"/>
      <c r="BQ636" s="182"/>
      <c r="BR636" s="182"/>
      <c r="BS636" s="184" t="n">
        <v>52.2</v>
      </c>
      <c r="BT636" s="185" t="n">
        <v>40725</v>
      </c>
      <c r="BU636" s="184" t="n">
        <v>17.2</v>
      </c>
      <c r="BV636" s="185" t="n">
        <v>40725</v>
      </c>
      <c r="CL636" s="182"/>
      <c r="CM636" s="182"/>
    </row>
    <row r="637" customFormat="false" ht="12.75" hidden="false" customHeight="false" outlineLevel="0" collapsed="false">
      <c r="A637" s="204" t="s">
        <v>741</v>
      </c>
      <c r="B637" s="193" t="s">
        <v>785</v>
      </c>
      <c r="C637" s="193" t="s">
        <v>875</v>
      </c>
      <c r="D637" s="193"/>
      <c r="E637" s="194" t="n">
        <v>6</v>
      </c>
      <c r="F637" s="195" t="n">
        <v>11</v>
      </c>
      <c r="G637" s="119"/>
      <c r="H637" s="119"/>
      <c r="J637" s="118"/>
      <c r="K637" s="118"/>
      <c r="L637" s="181"/>
      <c r="N637" s="182"/>
      <c r="O637" s="182"/>
      <c r="S637" s="184" t="n">
        <v>2053</v>
      </c>
      <c r="T637" s="185" t="n">
        <v>40725</v>
      </c>
      <c r="U637" s="182"/>
      <c r="V637" s="182"/>
      <c r="W637" s="183"/>
      <c r="X637" s="183"/>
      <c r="Y637" s="184" t="n">
        <v>655</v>
      </c>
      <c r="Z637" s="185" t="n">
        <v>40725</v>
      </c>
      <c r="AA637" s="184" t="n">
        <v>110646</v>
      </c>
      <c r="AB637" s="185" t="n">
        <v>40725</v>
      </c>
      <c r="AC637" s="184" t="n">
        <v>39.4</v>
      </c>
      <c r="AD637" s="185" t="n">
        <v>40725</v>
      </c>
      <c r="AE637" s="196"/>
      <c r="AF637" s="185"/>
      <c r="AG637" s="184" t="n">
        <v>3.56</v>
      </c>
      <c r="AH637" s="185" t="n">
        <v>40725</v>
      </c>
      <c r="AI637" s="183"/>
      <c r="AJ637" s="183"/>
      <c r="AK637" s="182"/>
      <c r="AL637" s="182"/>
      <c r="AM637" s="184" t="n">
        <v>92</v>
      </c>
      <c r="AN637" s="183" t="n">
        <v>40630</v>
      </c>
      <c r="AO637" s="182"/>
      <c r="AP637" s="182"/>
      <c r="AQ637" s="183"/>
      <c r="AR637" s="183"/>
      <c r="AS637" s="182"/>
      <c r="AT637" s="182"/>
      <c r="AU637" s="183"/>
      <c r="AV637" s="183"/>
      <c r="AW637" s="182"/>
      <c r="AX637" s="182"/>
      <c r="AY637" s="183"/>
      <c r="AZ637" s="183"/>
      <c r="BA637" s="182"/>
      <c r="BB637" s="182"/>
      <c r="BK637" s="183"/>
      <c r="BL637" s="183"/>
      <c r="BM637" s="182"/>
      <c r="BN637" s="182"/>
      <c r="BO637" s="183"/>
      <c r="BP637" s="183"/>
      <c r="BQ637" s="182"/>
      <c r="BR637" s="182"/>
      <c r="BS637" s="184" t="n">
        <v>52.2</v>
      </c>
      <c r="BT637" s="185" t="n">
        <v>40725</v>
      </c>
      <c r="BU637" s="184" t="n">
        <v>16.7</v>
      </c>
      <c r="BV637" s="185" t="n">
        <v>40725</v>
      </c>
      <c r="CL637" s="182"/>
      <c r="CM637" s="182"/>
    </row>
    <row r="638" customFormat="false" ht="12.75" hidden="false" customHeight="false" outlineLevel="0" collapsed="false">
      <c r="A638" s="204" t="s">
        <v>741</v>
      </c>
      <c r="B638" s="193" t="s">
        <v>785</v>
      </c>
      <c r="C638" s="193" t="s">
        <v>876</v>
      </c>
      <c r="D638" s="193"/>
      <c r="E638" s="194" t="n">
        <v>4</v>
      </c>
      <c r="F638" s="195" t="n">
        <v>34</v>
      </c>
      <c r="G638" s="119"/>
      <c r="H638" s="119"/>
      <c r="J638" s="118"/>
      <c r="K638" s="118"/>
      <c r="L638" s="181"/>
      <c r="N638" s="182"/>
      <c r="O638" s="182"/>
      <c r="S638" s="184" t="n">
        <v>2000</v>
      </c>
      <c r="T638" s="185" t="n">
        <v>40725</v>
      </c>
      <c r="U638" s="182"/>
      <c r="V638" s="182"/>
      <c r="W638" s="183"/>
      <c r="X638" s="183"/>
      <c r="Y638" s="184" t="n">
        <v>665</v>
      </c>
      <c r="Z638" s="185" t="n">
        <v>40725</v>
      </c>
      <c r="AA638" s="184" t="n">
        <v>105937</v>
      </c>
      <c r="AB638" s="185" t="n">
        <v>40725</v>
      </c>
      <c r="AC638" s="184" t="n">
        <v>38.8</v>
      </c>
      <c r="AD638" s="185" t="n">
        <v>40725</v>
      </c>
      <c r="AE638" s="196"/>
      <c r="AF638" s="185"/>
      <c r="AG638" s="184" t="n">
        <v>3.66</v>
      </c>
      <c r="AH638" s="185" t="n">
        <v>40725</v>
      </c>
      <c r="AI638" s="183"/>
      <c r="AJ638" s="183"/>
      <c r="AK638" s="182"/>
      <c r="AL638" s="182"/>
      <c r="AM638" s="184" t="n">
        <v>90</v>
      </c>
      <c r="AN638" s="183" t="n">
        <v>40630</v>
      </c>
      <c r="AO638" s="182"/>
      <c r="AP638" s="182"/>
      <c r="AQ638" s="183"/>
      <c r="AR638" s="183"/>
      <c r="AS638" s="182"/>
      <c r="AT638" s="182"/>
      <c r="AU638" s="183"/>
      <c r="AV638" s="183"/>
      <c r="AW638" s="182"/>
      <c r="AX638" s="182"/>
      <c r="AY638" s="183"/>
      <c r="AZ638" s="183"/>
      <c r="BA638" s="182"/>
      <c r="BB638" s="182"/>
      <c r="BK638" s="183"/>
      <c r="BL638" s="183"/>
      <c r="BM638" s="182"/>
      <c r="BN638" s="182"/>
      <c r="BO638" s="183"/>
      <c r="BP638" s="183"/>
      <c r="BQ638" s="182"/>
      <c r="BR638" s="182"/>
      <c r="BS638" s="184" t="n">
        <v>51.6</v>
      </c>
      <c r="BT638" s="185" t="n">
        <v>40725</v>
      </c>
      <c r="BU638" s="184" t="n">
        <v>17.1</v>
      </c>
      <c r="BV638" s="185" t="n">
        <v>40725</v>
      </c>
      <c r="CL638" s="182"/>
      <c r="CM638" s="182"/>
    </row>
    <row r="639" customFormat="false" ht="12.75" hidden="false" customHeight="false" outlineLevel="0" collapsed="false">
      <c r="A639" s="204" t="s">
        <v>741</v>
      </c>
      <c r="B639" s="193" t="s">
        <v>785</v>
      </c>
      <c r="C639" s="193" t="s">
        <v>877</v>
      </c>
      <c r="D639" s="193"/>
      <c r="E639" s="119" t="n">
        <v>23</v>
      </c>
      <c r="F639" s="195" t="n">
        <v>81</v>
      </c>
      <c r="G639" s="119"/>
      <c r="H639" s="119"/>
      <c r="J639" s="118"/>
      <c r="K639" s="118"/>
      <c r="L639" s="181"/>
      <c r="N639" s="182"/>
      <c r="O639" s="182"/>
      <c r="S639" s="184" t="n">
        <v>1568</v>
      </c>
      <c r="T639" s="185" t="n">
        <v>40725</v>
      </c>
      <c r="U639" s="182"/>
      <c r="V639" s="182"/>
      <c r="W639" s="183"/>
      <c r="X639" s="183"/>
      <c r="Y639" s="184" t="n">
        <v>557</v>
      </c>
      <c r="Z639" s="185" t="n">
        <v>40725</v>
      </c>
      <c r="AA639" s="184" t="n">
        <v>83959</v>
      </c>
      <c r="AB639" s="185" t="n">
        <v>40725</v>
      </c>
      <c r="AC639" s="184" t="n">
        <v>30.7</v>
      </c>
      <c r="AD639" s="185" t="n">
        <v>40725</v>
      </c>
      <c r="AE639" s="196"/>
      <c r="AF639" s="185"/>
      <c r="AG639" s="184" t="n">
        <v>3.65</v>
      </c>
      <c r="AH639" s="185" t="n">
        <v>40725</v>
      </c>
      <c r="AI639" s="183"/>
      <c r="AJ639" s="183"/>
      <c r="AK639" s="182"/>
      <c r="AL639" s="182"/>
      <c r="AM639" s="184" t="n">
        <v>91</v>
      </c>
      <c r="AN639" s="183" t="n">
        <v>40630</v>
      </c>
      <c r="AO639" s="182"/>
      <c r="AP639" s="182"/>
      <c r="AQ639" s="183"/>
      <c r="AR639" s="183"/>
      <c r="AS639" s="182"/>
      <c r="AT639" s="182"/>
      <c r="AU639" s="183"/>
      <c r="AV639" s="183"/>
      <c r="AW639" s="182"/>
      <c r="AX639" s="182"/>
      <c r="AY639" s="183"/>
      <c r="AZ639" s="183"/>
      <c r="BA639" s="182"/>
      <c r="BB639" s="182"/>
      <c r="BK639" s="183"/>
      <c r="BL639" s="183"/>
      <c r="BM639" s="182"/>
      <c r="BN639" s="182"/>
      <c r="BO639" s="183"/>
      <c r="BP639" s="183"/>
      <c r="BQ639" s="182"/>
      <c r="BR639" s="182"/>
      <c r="BS639" s="184" t="n">
        <v>51.1</v>
      </c>
      <c r="BT639" s="185" t="n">
        <v>40725</v>
      </c>
      <c r="BU639" s="184" t="n">
        <v>18.1</v>
      </c>
      <c r="BV639" s="185" t="n">
        <v>40725</v>
      </c>
      <c r="CL639" s="182"/>
      <c r="CM639" s="182"/>
    </row>
    <row r="640" customFormat="false" ht="12.75" hidden="false" customHeight="false" outlineLevel="0" collapsed="false">
      <c r="A640" s="204" t="s">
        <v>744</v>
      </c>
      <c r="B640" s="193" t="s">
        <v>782</v>
      </c>
      <c r="C640" s="193" t="s">
        <v>875</v>
      </c>
      <c r="D640" s="193"/>
      <c r="E640" s="194" t="n">
        <v>4</v>
      </c>
      <c r="F640" s="195" t="n">
        <v>15</v>
      </c>
      <c r="G640" s="119"/>
      <c r="H640" s="119"/>
      <c r="J640" s="118"/>
      <c r="K640" s="118"/>
      <c r="L640" s="181"/>
      <c r="N640" s="182"/>
      <c r="O640" s="182"/>
      <c r="S640" s="184" t="n">
        <v>1543</v>
      </c>
      <c r="T640" s="185" t="n">
        <v>40725</v>
      </c>
      <c r="U640" s="182"/>
      <c r="V640" s="182"/>
      <c r="W640" s="183"/>
      <c r="X640" s="183"/>
      <c r="Y640" s="184" t="n">
        <v>435</v>
      </c>
      <c r="Z640" s="185" t="n">
        <v>40725</v>
      </c>
      <c r="AA640" s="184" t="n">
        <v>65923</v>
      </c>
      <c r="AB640" s="185" t="n">
        <v>40725</v>
      </c>
      <c r="AC640" s="184" t="n">
        <v>29</v>
      </c>
      <c r="AD640" s="185" t="n">
        <v>40725</v>
      </c>
      <c r="AE640" s="196"/>
      <c r="AF640" s="185"/>
      <c r="AG640" s="184" t="n">
        <v>4.4</v>
      </c>
      <c r="AH640" s="185" t="n">
        <v>40725</v>
      </c>
      <c r="AI640" s="183"/>
      <c r="AJ640" s="183"/>
      <c r="AK640" s="182"/>
      <c r="AL640" s="182"/>
      <c r="AM640" s="184" t="n">
        <v>78</v>
      </c>
      <c r="AN640" s="183" t="n">
        <v>40630</v>
      </c>
      <c r="AO640" s="182"/>
      <c r="AP640" s="182"/>
      <c r="AQ640" s="183"/>
      <c r="AR640" s="183"/>
      <c r="AS640" s="182"/>
      <c r="AT640" s="182"/>
      <c r="AU640" s="183"/>
      <c r="AV640" s="183"/>
      <c r="AW640" s="182"/>
      <c r="AX640" s="182"/>
      <c r="AY640" s="183"/>
      <c r="AZ640" s="183"/>
      <c r="BA640" s="182"/>
      <c r="BB640" s="182"/>
      <c r="BK640" s="183"/>
      <c r="BL640" s="183"/>
      <c r="BM640" s="182"/>
      <c r="BN640" s="182"/>
      <c r="BO640" s="183"/>
      <c r="BP640" s="183"/>
      <c r="BQ640" s="182"/>
      <c r="BR640" s="182"/>
      <c r="BS640" s="184" t="n">
        <v>53.1</v>
      </c>
      <c r="BT640" s="185" t="n">
        <v>40725</v>
      </c>
      <c r="BU640" s="184" t="n">
        <v>15</v>
      </c>
      <c r="BV640" s="185" t="n">
        <v>40725</v>
      </c>
      <c r="CL640" s="182"/>
      <c r="CM640" s="182"/>
    </row>
    <row r="641" customFormat="false" ht="12.75" hidden="false" customHeight="false" outlineLevel="0" collapsed="false">
      <c r="A641" s="204" t="s">
        <v>744</v>
      </c>
      <c r="B641" s="193" t="s">
        <v>782</v>
      </c>
      <c r="C641" s="193" t="s">
        <v>876</v>
      </c>
      <c r="D641" s="193"/>
      <c r="E641" s="194" t="n">
        <v>5</v>
      </c>
      <c r="F641" s="195" t="n">
        <v>34</v>
      </c>
      <c r="G641" s="119"/>
      <c r="H641" s="119"/>
      <c r="J641" s="118"/>
      <c r="K641" s="118"/>
      <c r="L641" s="181"/>
      <c r="N641" s="182"/>
      <c r="O641" s="182"/>
      <c r="S641" s="184" t="n">
        <v>1627</v>
      </c>
      <c r="T641" s="185" t="n">
        <v>40725</v>
      </c>
      <c r="U641" s="182"/>
      <c r="V641" s="182"/>
      <c r="W641" s="183"/>
      <c r="X641" s="183"/>
      <c r="Y641" s="184" t="n">
        <v>484</v>
      </c>
      <c r="Z641" s="185" t="n">
        <v>40725</v>
      </c>
      <c r="AA641" s="184" t="n">
        <v>73014</v>
      </c>
      <c r="AB641" s="185" t="n">
        <v>40725</v>
      </c>
      <c r="AC641" s="184" t="n">
        <v>31.3</v>
      </c>
      <c r="AD641" s="185" t="n">
        <v>40725</v>
      </c>
      <c r="AE641" s="196"/>
      <c r="AF641" s="185"/>
      <c r="AG641" s="184" t="n">
        <v>4.29</v>
      </c>
      <c r="AH641" s="185" t="n">
        <v>40725</v>
      </c>
      <c r="AI641" s="183"/>
      <c r="AJ641" s="183"/>
      <c r="AK641" s="182"/>
      <c r="AL641" s="182"/>
      <c r="AM641" s="184" t="n">
        <v>77</v>
      </c>
      <c r="AN641" s="183" t="n">
        <v>40630</v>
      </c>
      <c r="AO641" s="182"/>
      <c r="AP641" s="182"/>
      <c r="AQ641" s="183"/>
      <c r="AR641" s="183"/>
      <c r="AS641" s="182"/>
      <c r="AT641" s="182"/>
      <c r="AU641" s="183"/>
      <c r="AV641" s="183"/>
      <c r="AW641" s="182"/>
      <c r="AX641" s="182"/>
      <c r="AY641" s="183"/>
      <c r="AZ641" s="183"/>
      <c r="BA641" s="182"/>
      <c r="BB641" s="182"/>
      <c r="BK641" s="183"/>
      <c r="BL641" s="183"/>
      <c r="BM641" s="182"/>
      <c r="BN641" s="182"/>
      <c r="BO641" s="183"/>
      <c r="BP641" s="183"/>
      <c r="BQ641" s="182"/>
      <c r="BR641" s="182"/>
      <c r="BS641" s="184" t="n">
        <v>51.9</v>
      </c>
      <c r="BT641" s="185" t="n">
        <v>40725</v>
      </c>
      <c r="BU641" s="184" t="n">
        <v>15.5</v>
      </c>
      <c r="BV641" s="185" t="n">
        <v>40725</v>
      </c>
      <c r="CL641" s="182"/>
      <c r="CM641" s="182"/>
    </row>
    <row r="642" customFormat="false" ht="12.75" hidden="false" customHeight="false" outlineLevel="0" collapsed="false">
      <c r="A642" s="204" t="s">
        <v>744</v>
      </c>
      <c r="B642" s="193" t="s">
        <v>782</v>
      </c>
      <c r="C642" s="193" t="s">
        <v>877</v>
      </c>
      <c r="D642" s="193"/>
      <c r="E642" s="119" t="n">
        <v>19</v>
      </c>
      <c r="F642" s="195" t="n">
        <v>90</v>
      </c>
      <c r="G642" s="119"/>
      <c r="H642" s="119"/>
      <c r="J642" s="118"/>
      <c r="K642" s="118"/>
      <c r="L642" s="181"/>
      <c r="N642" s="182"/>
      <c r="O642" s="182"/>
      <c r="S642" s="184" t="n">
        <v>1335</v>
      </c>
      <c r="T642" s="185" t="n">
        <v>40725</v>
      </c>
      <c r="U642" s="182"/>
      <c r="V642" s="182"/>
      <c r="W642" s="183"/>
      <c r="X642" s="183"/>
      <c r="Y642" s="184" t="n">
        <v>391</v>
      </c>
      <c r="Z642" s="185" t="n">
        <v>40725</v>
      </c>
      <c r="AA642" s="184" t="n">
        <v>56446</v>
      </c>
      <c r="AB642" s="185" t="n">
        <v>40725</v>
      </c>
      <c r="AC642" s="184" t="n">
        <v>25.2</v>
      </c>
      <c r="AD642" s="185" t="n">
        <v>40725</v>
      </c>
      <c r="AE642" s="196"/>
      <c r="AF642" s="185"/>
      <c r="AG642" s="184" t="n">
        <v>4.46</v>
      </c>
      <c r="AH642" s="185" t="n">
        <v>40725</v>
      </c>
      <c r="AI642" s="183"/>
      <c r="AJ642" s="183"/>
      <c r="AK642" s="182"/>
      <c r="AL642" s="182"/>
      <c r="AM642" s="184" t="n">
        <v>77</v>
      </c>
      <c r="AN642" s="183" t="n">
        <v>40630</v>
      </c>
      <c r="AO642" s="182"/>
      <c r="AP642" s="182"/>
      <c r="AQ642" s="183"/>
      <c r="AR642" s="183"/>
      <c r="AS642" s="182"/>
      <c r="AT642" s="182"/>
      <c r="AU642" s="183"/>
      <c r="AV642" s="183"/>
      <c r="AW642" s="182"/>
      <c r="AX642" s="182"/>
      <c r="AY642" s="183"/>
      <c r="AZ642" s="183"/>
      <c r="BA642" s="182"/>
      <c r="BB642" s="182"/>
      <c r="BK642" s="183"/>
      <c r="BL642" s="183"/>
      <c r="BM642" s="182"/>
      <c r="BN642" s="182"/>
      <c r="BO642" s="183"/>
      <c r="BP642" s="183"/>
      <c r="BQ642" s="182"/>
      <c r="BR642" s="182"/>
      <c r="BS642" s="184" t="n">
        <v>53.1</v>
      </c>
      <c r="BT642" s="185" t="n">
        <v>40725</v>
      </c>
      <c r="BU642" s="184" t="n">
        <v>15.5</v>
      </c>
      <c r="BV642" s="185" t="n">
        <v>40725</v>
      </c>
      <c r="CL642" s="182"/>
      <c r="CM642" s="182"/>
    </row>
    <row r="643" customFormat="false" ht="12.75" hidden="false" customHeight="false" outlineLevel="0" collapsed="false">
      <c r="A643" s="204" t="s">
        <v>744</v>
      </c>
      <c r="B643" s="193" t="s">
        <v>785</v>
      </c>
      <c r="C643" s="193" t="s">
        <v>875</v>
      </c>
      <c r="D643" s="193"/>
      <c r="E643" s="194" t="n">
        <v>7</v>
      </c>
      <c r="F643" s="195" t="n">
        <v>29</v>
      </c>
      <c r="G643" s="119"/>
      <c r="H643" s="119"/>
      <c r="J643" s="118"/>
      <c r="K643" s="118"/>
      <c r="L643" s="181"/>
      <c r="N643" s="182"/>
      <c r="O643" s="182"/>
      <c r="S643" s="184" t="n">
        <v>1685</v>
      </c>
      <c r="T643" s="185" t="n">
        <v>40725</v>
      </c>
      <c r="U643" s="182"/>
      <c r="V643" s="182"/>
      <c r="W643" s="183"/>
      <c r="X643" s="183"/>
      <c r="Y643" s="184" t="n">
        <v>514</v>
      </c>
      <c r="Z643" s="185" t="n">
        <v>40725</v>
      </c>
      <c r="AA643" s="184" t="n">
        <v>76762</v>
      </c>
      <c r="AB643" s="185" t="n">
        <v>40725</v>
      </c>
      <c r="AC643" s="184" t="n">
        <v>32.2</v>
      </c>
      <c r="AD643" s="185" t="n">
        <v>40725</v>
      </c>
      <c r="AE643" s="196"/>
      <c r="AF643" s="185"/>
      <c r="AG643" s="184" t="n">
        <v>4.2</v>
      </c>
      <c r="AH643" s="185" t="n">
        <v>40725</v>
      </c>
      <c r="AI643" s="183"/>
      <c r="AJ643" s="183"/>
      <c r="AK643" s="182"/>
      <c r="AL643" s="182"/>
      <c r="AM643" s="184" t="n">
        <v>83</v>
      </c>
      <c r="AN643" s="183" t="n">
        <v>40630</v>
      </c>
      <c r="AO643" s="182"/>
      <c r="AP643" s="182"/>
      <c r="AQ643" s="183"/>
      <c r="AR643" s="183"/>
      <c r="AS643" s="182"/>
      <c r="AT643" s="182"/>
      <c r="AU643" s="183"/>
      <c r="AV643" s="183"/>
      <c r="AW643" s="182"/>
      <c r="AX643" s="182"/>
      <c r="AY643" s="183"/>
      <c r="AZ643" s="183"/>
      <c r="BA643" s="182"/>
      <c r="BB643" s="182"/>
      <c r="BK643" s="183"/>
      <c r="BL643" s="183"/>
      <c r="BM643" s="182"/>
      <c r="BN643" s="182"/>
      <c r="BO643" s="183"/>
      <c r="BP643" s="183"/>
      <c r="BQ643" s="182"/>
      <c r="BR643" s="182"/>
      <c r="BS643" s="184" t="n">
        <v>52.2</v>
      </c>
      <c r="BT643" s="185" t="n">
        <v>40725</v>
      </c>
      <c r="BU643" s="184" t="n">
        <v>15.9</v>
      </c>
      <c r="BV643" s="185" t="n">
        <v>40725</v>
      </c>
      <c r="CL643" s="182"/>
      <c r="CM643" s="182"/>
    </row>
    <row r="644" customFormat="false" ht="12.75" hidden="false" customHeight="false" outlineLevel="0" collapsed="false">
      <c r="A644" s="204" t="s">
        <v>744</v>
      </c>
      <c r="B644" s="193" t="s">
        <v>785</v>
      </c>
      <c r="C644" s="193" t="s">
        <v>876</v>
      </c>
      <c r="D644" s="193"/>
      <c r="E644" s="194" t="n">
        <v>2</v>
      </c>
      <c r="F644" s="195" t="n">
        <v>53</v>
      </c>
      <c r="G644" s="119"/>
      <c r="H644" s="119"/>
      <c r="J644" s="118"/>
      <c r="K644" s="118"/>
      <c r="L644" s="181"/>
      <c r="N644" s="182"/>
      <c r="O644" s="182"/>
      <c r="S644" s="184" t="n">
        <v>2205</v>
      </c>
      <c r="T644" s="185" t="n">
        <v>40725</v>
      </c>
      <c r="U644" s="182"/>
      <c r="V644" s="182"/>
      <c r="W644" s="183"/>
      <c r="X644" s="183"/>
      <c r="Y644" s="184" t="n">
        <v>757</v>
      </c>
      <c r="Z644" s="185" t="n">
        <v>40725</v>
      </c>
      <c r="AA644" s="184" t="n">
        <v>95418</v>
      </c>
      <c r="AB644" s="185" t="n">
        <v>40725</v>
      </c>
      <c r="AC644" s="184" t="n">
        <v>42.8</v>
      </c>
      <c r="AD644" s="185" t="n">
        <v>40725</v>
      </c>
      <c r="AE644" s="196"/>
      <c r="AF644" s="185"/>
      <c r="AG644" s="184" t="n">
        <v>4.48</v>
      </c>
      <c r="AH644" s="185" t="n">
        <v>40725</v>
      </c>
      <c r="AI644" s="183"/>
      <c r="AJ644" s="183"/>
      <c r="AK644" s="182"/>
      <c r="AL644" s="182"/>
      <c r="AM644" s="184" t="n">
        <v>81</v>
      </c>
      <c r="AN644" s="183" t="n">
        <v>40630</v>
      </c>
      <c r="AO644" s="182"/>
      <c r="AP644" s="182"/>
      <c r="AQ644" s="183"/>
      <c r="AR644" s="183"/>
      <c r="AS644" s="182"/>
      <c r="AT644" s="182"/>
      <c r="AU644" s="183"/>
      <c r="AV644" s="183"/>
      <c r="AW644" s="182"/>
      <c r="AX644" s="182"/>
      <c r="AY644" s="183"/>
      <c r="AZ644" s="183"/>
      <c r="BA644" s="182"/>
      <c r="BB644" s="182"/>
      <c r="BK644" s="183"/>
      <c r="BL644" s="183"/>
      <c r="BM644" s="182"/>
      <c r="BN644" s="182"/>
      <c r="BO644" s="183"/>
      <c r="BP644" s="183"/>
      <c r="BQ644" s="182"/>
      <c r="BR644" s="182"/>
      <c r="BS644" s="184" t="n">
        <v>51.5</v>
      </c>
      <c r="BT644" s="185" t="n">
        <v>40725</v>
      </c>
      <c r="BU644" s="184" t="n">
        <v>17.7</v>
      </c>
      <c r="BV644" s="185" t="n">
        <v>40725</v>
      </c>
      <c r="CL644" s="182"/>
      <c r="CM644" s="182"/>
    </row>
    <row r="645" customFormat="false" ht="12.75" hidden="false" customHeight="false" outlineLevel="0" collapsed="false">
      <c r="A645" s="204" t="s">
        <v>744</v>
      </c>
      <c r="B645" s="193" t="s">
        <v>785</v>
      </c>
      <c r="C645" s="193" t="s">
        <v>877</v>
      </c>
      <c r="D645" s="193"/>
      <c r="E645" s="119" t="n">
        <v>22</v>
      </c>
      <c r="F645" s="195" t="n">
        <v>76</v>
      </c>
      <c r="G645" s="119"/>
      <c r="H645" s="119"/>
      <c r="J645" s="118"/>
      <c r="K645" s="118"/>
      <c r="L645" s="181"/>
      <c r="N645" s="182"/>
      <c r="O645" s="182"/>
      <c r="S645" s="184" t="n">
        <v>1865</v>
      </c>
      <c r="T645" s="185" t="n">
        <v>40725</v>
      </c>
      <c r="U645" s="182"/>
      <c r="V645" s="182"/>
      <c r="W645" s="183"/>
      <c r="X645" s="183"/>
      <c r="Y645" s="184" t="n">
        <v>660</v>
      </c>
      <c r="Z645" s="185" t="n">
        <v>40725</v>
      </c>
      <c r="AA645" s="184" t="n">
        <v>81435</v>
      </c>
      <c r="AB645" s="185" t="n">
        <v>40725</v>
      </c>
      <c r="AC645" s="184" t="n">
        <v>36.5</v>
      </c>
      <c r="AD645" s="185" t="n">
        <v>40725</v>
      </c>
      <c r="AE645" s="196"/>
      <c r="AF645" s="185"/>
      <c r="AG645" s="184" t="n">
        <v>4.49</v>
      </c>
      <c r="AH645" s="185" t="n">
        <v>40725</v>
      </c>
      <c r="AI645" s="183"/>
      <c r="AJ645" s="183"/>
      <c r="AK645" s="182"/>
      <c r="AL645" s="182"/>
      <c r="AM645" s="184" t="n">
        <v>82</v>
      </c>
      <c r="AN645" s="183" t="n">
        <v>40630</v>
      </c>
      <c r="AO645" s="182"/>
      <c r="AP645" s="182"/>
      <c r="AQ645" s="183"/>
      <c r="AR645" s="183"/>
      <c r="AS645" s="182"/>
      <c r="AT645" s="182"/>
      <c r="AU645" s="183"/>
      <c r="AV645" s="183"/>
      <c r="AW645" s="182"/>
      <c r="AX645" s="182"/>
      <c r="AY645" s="183"/>
      <c r="AZ645" s="183"/>
      <c r="BA645" s="182"/>
      <c r="BB645" s="182"/>
      <c r="BK645" s="183"/>
      <c r="BL645" s="183"/>
      <c r="BM645" s="182"/>
      <c r="BN645" s="182"/>
      <c r="BO645" s="183"/>
      <c r="BP645" s="183"/>
      <c r="BQ645" s="182"/>
      <c r="BR645" s="182"/>
      <c r="BS645" s="184" t="n">
        <v>51</v>
      </c>
      <c r="BT645" s="185" t="n">
        <v>40725</v>
      </c>
      <c r="BU645" s="184" t="n">
        <v>18.1</v>
      </c>
      <c r="BV645" s="185" t="n">
        <v>40725</v>
      </c>
      <c r="CL645" s="182"/>
      <c r="CM645" s="182"/>
    </row>
    <row r="646" customFormat="false" ht="12.75" hidden="false" customHeight="false" outlineLevel="0" collapsed="false">
      <c r="A646" s="204" t="s">
        <v>747</v>
      </c>
      <c r="B646" s="193" t="s">
        <v>782</v>
      </c>
      <c r="C646" s="193" t="s">
        <v>875</v>
      </c>
      <c r="D646" s="193"/>
      <c r="E646" s="194" t="n">
        <v>3</v>
      </c>
      <c r="F646" s="195" t="n">
        <v>16</v>
      </c>
      <c r="G646" s="119"/>
      <c r="H646" s="119"/>
      <c r="J646" s="118"/>
      <c r="K646" s="118"/>
      <c r="L646" s="181"/>
      <c r="N646" s="182"/>
      <c r="O646" s="182"/>
      <c r="S646" s="184" t="n">
        <v>1475</v>
      </c>
      <c r="T646" s="185" t="n">
        <v>40725</v>
      </c>
      <c r="U646" s="182"/>
      <c r="V646" s="182"/>
      <c r="W646" s="183"/>
      <c r="X646" s="183"/>
      <c r="Y646" s="184" t="n">
        <v>433</v>
      </c>
      <c r="Z646" s="185" t="n">
        <v>40725</v>
      </c>
      <c r="AA646" s="184" t="n">
        <v>65229</v>
      </c>
      <c r="AB646" s="185" t="n">
        <v>40725</v>
      </c>
      <c r="AC646" s="184" t="n">
        <v>27.5</v>
      </c>
      <c r="AD646" s="185" t="n">
        <v>40725</v>
      </c>
      <c r="AE646" s="196"/>
      <c r="AF646" s="185"/>
      <c r="AG646" s="184" t="n">
        <v>4.22</v>
      </c>
      <c r="AH646" s="185" t="n">
        <v>40725</v>
      </c>
      <c r="AI646" s="183"/>
      <c r="AJ646" s="183"/>
      <c r="AK646" s="182"/>
      <c r="AL646" s="182"/>
      <c r="AM646" s="184" t="n">
        <v>81</v>
      </c>
      <c r="AN646" s="183" t="n">
        <v>40630</v>
      </c>
      <c r="AO646" s="182"/>
      <c r="AP646" s="182"/>
      <c r="AQ646" s="183"/>
      <c r="AR646" s="183"/>
      <c r="AS646" s="182"/>
      <c r="AT646" s="182"/>
      <c r="AU646" s="183"/>
      <c r="AV646" s="183"/>
      <c r="AW646" s="182"/>
      <c r="AX646" s="182"/>
      <c r="AY646" s="183"/>
      <c r="AZ646" s="183"/>
      <c r="BA646" s="182"/>
      <c r="BB646" s="182"/>
      <c r="BK646" s="183"/>
      <c r="BL646" s="183"/>
      <c r="BM646" s="182"/>
      <c r="BN646" s="182"/>
      <c r="BO646" s="183"/>
      <c r="BP646" s="183"/>
      <c r="BQ646" s="182"/>
      <c r="BR646" s="182"/>
      <c r="BS646" s="184" t="n">
        <v>53.6</v>
      </c>
      <c r="BT646" s="185" t="n">
        <v>40725</v>
      </c>
      <c r="BU646" s="184" t="n">
        <v>15.7</v>
      </c>
      <c r="BV646" s="185" t="n">
        <v>40725</v>
      </c>
      <c r="CL646" s="182"/>
      <c r="CM646" s="182"/>
    </row>
    <row r="647" customFormat="false" ht="12.75" hidden="false" customHeight="false" outlineLevel="0" collapsed="false">
      <c r="A647" s="204" t="s">
        <v>747</v>
      </c>
      <c r="B647" s="193" t="s">
        <v>782</v>
      </c>
      <c r="C647" s="193" t="s">
        <v>876</v>
      </c>
      <c r="D647" s="193"/>
      <c r="E647" s="194" t="n">
        <v>5</v>
      </c>
      <c r="F647" s="195" t="n">
        <v>45</v>
      </c>
      <c r="G647" s="119"/>
      <c r="H647" s="119"/>
      <c r="J647" s="118"/>
      <c r="K647" s="118"/>
      <c r="L647" s="181"/>
      <c r="N647" s="182"/>
      <c r="O647" s="182"/>
      <c r="S647" s="184" t="n">
        <v>1292</v>
      </c>
      <c r="T647" s="185" t="n">
        <v>40725</v>
      </c>
      <c r="U647" s="182"/>
      <c r="V647" s="182"/>
      <c r="W647" s="183"/>
      <c r="X647" s="183"/>
      <c r="Y647" s="184" t="n">
        <v>383</v>
      </c>
      <c r="Z647" s="185" t="n">
        <v>40725</v>
      </c>
      <c r="AA647" s="184" t="n">
        <v>56574</v>
      </c>
      <c r="AB647" s="185" t="n">
        <v>40725</v>
      </c>
      <c r="AC647" s="184" t="n">
        <v>24.2</v>
      </c>
      <c r="AD647" s="185" t="n">
        <v>40725</v>
      </c>
      <c r="AE647" s="196"/>
      <c r="AF647" s="185"/>
      <c r="AG647" s="184" t="n">
        <v>4.28</v>
      </c>
      <c r="AH647" s="185" t="n">
        <v>40725</v>
      </c>
      <c r="AI647" s="183"/>
      <c r="AJ647" s="183"/>
      <c r="AK647" s="182"/>
      <c r="AL647" s="182"/>
      <c r="AM647" s="184" t="n">
        <v>80</v>
      </c>
      <c r="AN647" s="183" t="n">
        <v>40630</v>
      </c>
      <c r="AO647" s="182"/>
      <c r="AP647" s="182"/>
      <c r="AQ647" s="183"/>
      <c r="AR647" s="183"/>
      <c r="AS647" s="182"/>
      <c r="AT647" s="182"/>
      <c r="AU647" s="183"/>
      <c r="AV647" s="183"/>
      <c r="AW647" s="182"/>
      <c r="AX647" s="182"/>
      <c r="AY647" s="183"/>
      <c r="AZ647" s="183"/>
      <c r="BA647" s="182"/>
      <c r="BB647" s="182"/>
      <c r="BK647" s="183"/>
      <c r="BL647" s="183"/>
      <c r="BM647" s="182"/>
      <c r="BN647" s="182"/>
      <c r="BO647" s="183"/>
      <c r="BP647" s="183"/>
      <c r="BQ647" s="182"/>
      <c r="BR647" s="182"/>
      <c r="BS647" s="184" t="n">
        <v>53.4</v>
      </c>
      <c r="BT647" s="185" t="n">
        <v>40725</v>
      </c>
      <c r="BU647" s="184" t="n">
        <v>15.8</v>
      </c>
      <c r="BV647" s="185" t="n">
        <v>40725</v>
      </c>
      <c r="CL647" s="182"/>
      <c r="CM647" s="182"/>
    </row>
    <row r="648" customFormat="false" ht="12.75" hidden="false" customHeight="false" outlineLevel="0" collapsed="false">
      <c r="A648" s="204" t="s">
        <v>747</v>
      </c>
      <c r="B648" s="193" t="s">
        <v>782</v>
      </c>
      <c r="C648" s="193" t="s">
        <v>877</v>
      </c>
      <c r="D648" s="193"/>
      <c r="E648" s="119" t="n">
        <v>17</v>
      </c>
      <c r="F648" s="195" t="n">
        <v>65</v>
      </c>
      <c r="G648" s="119"/>
      <c r="H648" s="119"/>
      <c r="J648" s="118"/>
      <c r="K648" s="118"/>
      <c r="L648" s="181"/>
      <c r="N648" s="182"/>
      <c r="O648" s="182"/>
      <c r="S648" s="184" t="n">
        <v>1352</v>
      </c>
      <c r="T648" s="185" t="n">
        <v>40725</v>
      </c>
      <c r="U648" s="182"/>
      <c r="V648" s="182"/>
      <c r="W648" s="183"/>
      <c r="X648" s="183"/>
      <c r="Y648" s="184" t="n">
        <v>389</v>
      </c>
      <c r="Z648" s="185" t="n">
        <v>40725</v>
      </c>
      <c r="AA648" s="184" t="n">
        <v>56904</v>
      </c>
      <c r="AB648" s="185" t="n">
        <v>40725</v>
      </c>
      <c r="AC648" s="184" t="n">
        <v>25.2</v>
      </c>
      <c r="AD648" s="185" t="n">
        <v>40725</v>
      </c>
      <c r="AE648" s="196"/>
      <c r="AF648" s="185"/>
      <c r="AG648" s="184" t="n">
        <v>4.43</v>
      </c>
      <c r="AH648" s="185" t="n">
        <v>40725</v>
      </c>
      <c r="AI648" s="183"/>
      <c r="AJ648" s="183"/>
      <c r="AK648" s="182"/>
      <c r="AL648" s="182"/>
      <c r="AM648" s="184" t="n">
        <v>77</v>
      </c>
      <c r="AN648" s="183" t="n">
        <v>40630</v>
      </c>
      <c r="AO648" s="182"/>
      <c r="AP648" s="182"/>
      <c r="AQ648" s="183"/>
      <c r="AR648" s="183"/>
      <c r="AS648" s="182"/>
      <c r="AT648" s="182"/>
      <c r="AU648" s="183"/>
      <c r="AV648" s="183"/>
      <c r="AW648" s="182"/>
      <c r="AX648" s="182"/>
      <c r="AY648" s="183"/>
      <c r="AZ648" s="183"/>
      <c r="BA648" s="182"/>
      <c r="BB648" s="182"/>
      <c r="BK648" s="183"/>
      <c r="BL648" s="183"/>
      <c r="BM648" s="182"/>
      <c r="BN648" s="182"/>
      <c r="BO648" s="183"/>
      <c r="BP648" s="183"/>
      <c r="BQ648" s="182"/>
      <c r="BR648" s="182"/>
      <c r="BS648" s="184" t="n">
        <v>53.7</v>
      </c>
      <c r="BT648" s="185" t="n">
        <v>40725</v>
      </c>
      <c r="BU648" s="184" t="n">
        <v>15.4</v>
      </c>
      <c r="BV648" s="185" t="n">
        <v>40725</v>
      </c>
      <c r="CL648" s="182"/>
      <c r="CM648" s="182"/>
    </row>
    <row r="649" customFormat="false" ht="12.75" hidden="false" customHeight="false" outlineLevel="0" collapsed="false">
      <c r="A649" s="204" t="s">
        <v>747</v>
      </c>
      <c r="B649" s="193" t="s">
        <v>785</v>
      </c>
      <c r="C649" s="193" t="s">
        <v>875</v>
      </c>
      <c r="D649" s="193"/>
      <c r="E649" s="194" t="n">
        <v>8</v>
      </c>
      <c r="F649" s="195" t="n">
        <v>12</v>
      </c>
      <c r="G649" s="119"/>
      <c r="H649" s="119"/>
      <c r="J649" s="118"/>
      <c r="K649" s="118"/>
      <c r="L649" s="181"/>
      <c r="N649" s="182"/>
      <c r="O649" s="182"/>
      <c r="S649" s="184" t="n">
        <v>1834</v>
      </c>
      <c r="T649" s="185" t="n">
        <v>40725</v>
      </c>
      <c r="U649" s="182"/>
      <c r="V649" s="182"/>
      <c r="W649" s="183"/>
      <c r="X649" s="183"/>
      <c r="Y649" s="184" t="n">
        <v>581</v>
      </c>
      <c r="Z649" s="185" t="n">
        <v>40725</v>
      </c>
      <c r="AA649" s="184" t="n">
        <v>87585</v>
      </c>
      <c r="AB649" s="185" t="n">
        <v>40725</v>
      </c>
      <c r="AC649" s="184" t="n">
        <v>35.1</v>
      </c>
      <c r="AD649" s="185" t="n">
        <v>40725</v>
      </c>
      <c r="AE649" s="196"/>
      <c r="AF649" s="185"/>
      <c r="AG649" s="184" t="n">
        <v>4.01</v>
      </c>
      <c r="AH649" s="185" t="n">
        <v>40725</v>
      </c>
      <c r="AI649" s="183"/>
      <c r="AJ649" s="183"/>
      <c r="AK649" s="182"/>
      <c r="AL649" s="182"/>
      <c r="AM649" s="184" t="n">
        <v>82</v>
      </c>
      <c r="AN649" s="183" t="n">
        <v>40630</v>
      </c>
      <c r="AO649" s="182"/>
      <c r="AP649" s="182"/>
      <c r="AQ649" s="183"/>
      <c r="AR649" s="183"/>
      <c r="AS649" s="182"/>
      <c r="AT649" s="182"/>
      <c r="AU649" s="183"/>
      <c r="AV649" s="183"/>
      <c r="AW649" s="182"/>
      <c r="AX649" s="182"/>
      <c r="AY649" s="183"/>
      <c r="AZ649" s="183"/>
      <c r="BA649" s="182"/>
      <c r="BB649" s="182"/>
      <c r="BK649" s="183"/>
      <c r="BL649" s="183"/>
      <c r="BM649" s="182"/>
      <c r="BN649" s="182"/>
      <c r="BO649" s="183"/>
      <c r="BP649" s="183"/>
      <c r="BQ649" s="182"/>
      <c r="BR649" s="182"/>
      <c r="BS649" s="184" t="n">
        <v>52.2</v>
      </c>
      <c r="BT649" s="185" t="n">
        <v>40725</v>
      </c>
      <c r="BU649" s="184" t="n">
        <v>16.5</v>
      </c>
      <c r="BV649" s="185" t="n">
        <v>40725</v>
      </c>
      <c r="CL649" s="182"/>
      <c r="CM649" s="182"/>
    </row>
    <row r="650" customFormat="false" ht="12.75" hidden="false" customHeight="false" outlineLevel="0" collapsed="false">
      <c r="A650" s="204" t="s">
        <v>747</v>
      </c>
      <c r="B650" s="193" t="s">
        <v>785</v>
      </c>
      <c r="C650" s="193" t="s">
        <v>876</v>
      </c>
      <c r="D650" s="193"/>
      <c r="E650" s="194" t="n">
        <v>1</v>
      </c>
      <c r="F650" s="195" t="n">
        <v>61</v>
      </c>
      <c r="G650" s="119"/>
      <c r="H650" s="119"/>
      <c r="J650" s="118"/>
      <c r="K650" s="118"/>
      <c r="L650" s="181"/>
      <c r="N650" s="182"/>
      <c r="O650" s="182"/>
      <c r="S650" s="184" t="n">
        <v>1695</v>
      </c>
      <c r="T650" s="185" t="n">
        <v>40725</v>
      </c>
      <c r="U650" s="182"/>
      <c r="V650" s="182"/>
      <c r="W650" s="183"/>
      <c r="X650" s="183"/>
      <c r="Y650" s="184" t="n">
        <v>614</v>
      </c>
      <c r="Z650" s="185" t="n">
        <v>40725</v>
      </c>
      <c r="AA650" s="184" t="n">
        <v>81397</v>
      </c>
      <c r="AB650" s="185" t="n">
        <v>40725</v>
      </c>
      <c r="AC650" s="184" t="n">
        <v>33.1</v>
      </c>
      <c r="AD650" s="185" t="n">
        <v>40725</v>
      </c>
      <c r="AE650" s="196"/>
      <c r="AF650" s="185"/>
      <c r="AG650" s="184" t="n">
        <v>4.07</v>
      </c>
      <c r="AH650" s="185" t="n">
        <v>40725</v>
      </c>
      <c r="AI650" s="183"/>
      <c r="AJ650" s="183"/>
      <c r="AK650" s="182"/>
      <c r="AL650" s="182"/>
      <c r="AM650" s="184" t="n">
        <v>81</v>
      </c>
      <c r="AN650" s="183" t="n">
        <v>40630</v>
      </c>
      <c r="AO650" s="182"/>
      <c r="AP650" s="182"/>
      <c r="AQ650" s="183"/>
      <c r="AR650" s="183"/>
      <c r="AS650" s="182"/>
      <c r="AT650" s="182"/>
      <c r="AU650" s="183"/>
      <c r="AV650" s="183"/>
      <c r="AW650" s="182"/>
      <c r="AX650" s="182"/>
      <c r="AY650" s="183"/>
      <c r="AZ650" s="183"/>
      <c r="BA650" s="182"/>
      <c r="BB650" s="182"/>
      <c r="BK650" s="183"/>
      <c r="BL650" s="183"/>
      <c r="BM650" s="182"/>
      <c r="BN650" s="182"/>
      <c r="BO650" s="183"/>
      <c r="BP650" s="183"/>
      <c r="BQ650" s="182"/>
      <c r="BR650" s="182"/>
      <c r="BS650" s="184" t="n">
        <v>51.2</v>
      </c>
      <c r="BT650" s="185" t="n">
        <v>40725</v>
      </c>
      <c r="BU650" s="184" t="n">
        <v>18.5</v>
      </c>
      <c r="BV650" s="185" t="n">
        <v>40725</v>
      </c>
      <c r="CL650" s="182"/>
      <c r="CM650" s="182"/>
    </row>
    <row r="651" customFormat="false" ht="12.75" hidden="false" customHeight="false" outlineLevel="0" collapsed="false">
      <c r="A651" s="204" t="s">
        <v>747</v>
      </c>
      <c r="B651" s="193" t="s">
        <v>785</v>
      </c>
      <c r="C651" s="193" t="s">
        <v>877</v>
      </c>
      <c r="D651" s="193"/>
      <c r="E651" s="119" t="n">
        <v>20</v>
      </c>
      <c r="F651" s="195" t="n">
        <v>83</v>
      </c>
      <c r="G651" s="119"/>
      <c r="H651" s="119"/>
      <c r="J651" s="118"/>
      <c r="K651" s="118"/>
      <c r="L651" s="181"/>
      <c r="N651" s="182"/>
      <c r="O651" s="182"/>
      <c r="S651" s="184" t="n">
        <v>1547</v>
      </c>
      <c r="T651" s="185" t="n">
        <v>40725</v>
      </c>
      <c r="U651" s="182"/>
      <c r="V651" s="182"/>
      <c r="W651" s="183"/>
      <c r="X651" s="183"/>
      <c r="Y651" s="184" t="n">
        <v>558</v>
      </c>
      <c r="Z651" s="185" t="n">
        <v>40725</v>
      </c>
      <c r="AA651" s="184" t="n">
        <v>73504</v>
      </c>
      <c r="AB651" s="185" t="n">
        <v>40725</v>
      </c>
      <c r="AC651" s="184" t="n">
        <v>30.4</v>
      </c>
      <c r="AD651" s="185" t="n">
        <v>40725</v>
      </c>
      <c r="AE651" s="196"/>
      <c r="AF651" s="185"/>
      <c r="AG651" s="184" t="n">
        <v>4.13</v>
      </c>
      <c r="AH651" s="185" t="n">
        <v>40725</v>
      </c>
      <c r="AI651" s="183"/>
      <c r="AJ651" s="183"/>
      <c r="AK651" s="182"/>
      <c r="AL651" s="182"/>
      <c r="AM651" s="184" t="n">
        <v>81</v>
      </c>
      <c r="AN651" s="183" t="n">
        <v>40630</v>
      </c>
      <c r="AO651" s="182"/>
      <c r="AP651" s="182"/>
      <c r="AQ651" s="183"/>
      <c r="AR651" s="183"/>
      <c r="AS651" s="182"/>
      <c r="AT651" s="182"/>
      <c r="AU651" s="183"/>
      <c r="AV651" s="183"/>
      <c r="AW651" s="182"/>
      <c r="AX651" s="182"/>
      <c r="AY651" s="183"/>
      <c r="AZ651" s="183"/>
      <c r="BA651" s="182"/>
      <c r="BB651" s="182"/>
      <c r="BK651" s="183"/>
      <c r="BL651" s="183"/>
      <c r="BM651" s="182"/>
      <c r="BN651" s="182"/>
      <c r="BO651" s="183"/>
      <c r="BP651" s="183"/>
      <c r="BQ651" s="182"/>
      <c r="BR651" s="182"/>
      <c r="BS651" s="184" t="n">
        <v>51</v>
      </c>
      <c r="BT651" s="185" t="n">
        <v>40725</v>
      </c>
      <c r="BU651" s="184" t="n">
        <v>18.4</v>
      </c>
      <c r="BV651" s="185" t="n">
        <v>40725</v>
      </c>
      <c r="CL651" s="182"/>
      <c r="CM651" s="182"/>
    </row>
    <row r="652" customFormat="false" ht="12.75" hidden="false" customHeight="false" outlineLevel="0" collapsed="false">
      <c r="A652" s="204" t="s">
        <v>750</v>
      </c>
      <c r="B652" s="193" t="s">
        <v>782</v>
      </c>
      <c r="C652" s="193" t="s">
        <v>875</v>
      </c>
      <c r="D652" s="193"/>
      <c r="E652" s="194" t="n">
        <v>2</v>
      </c>
      <c r="F652" s="195" t="n">
        <v>7</v>
      </c>
      <c r="G652" s="119"/>
      <c r="H652" s="119"/>
      <c r="J652" s="118"/>
      <c r="K652" s="118"/>
      <c r="L652" s="181"/>
      <c r="N652" s="182"/>
      <c r="O652" s="182"/>
      <c r="S652" s="184" t="n">
        <v>1665</v>
      </c>
      <c r="T652" s="185" t="n">
        <v>40725</v>
      </c>
      <c r="U652" s="182"/>
      <c r="V652" s="182"/>
      <c r="W652" s="183"/>
      <c r="X652" s="183"/>
      <c r="Y652" s="184" t="n">
        <v>503</v>
      </c>
      <c r="Z652" s="185" t="n">
        <v>40725</v>
      </c>
      <c r="AA652" s="184" t="n">
        <v>69884</v>
      </c>
      <c r="AB652" s="185" t="n">
        <v>40725</v>
      </c>
      <c r="AC652" s="184" t="n">
        <v>31.8</v>
      </c>
      <c r="AD652" s="185" t="n">
        <v>40725</v>
      </c>
      <c r="AE652" s="196"/>
      <c r="AF652" s="185"/>
      <c r="AG652" s="184" t="n">
        <v>4.56</v>
      </c>
      <c r="AH652" s="185" t="n">
        <v>40725</v>
      </c>
      <c r="AI652" s="183"/>
      <c r="AJ652" s="183"/>
      <c r="AK652" s="182"/>
      <c r="AL652" s="182"/>
      <c r="AM652" s="184" t="n">
        <v>85</v>
      </c>
      <c r="AN652" s="183" t="n">
        <v>40630</v>
      </c>
      <c r="AO652" s="182"/>
      <c r="AP652" s="182"/>
      <c r="AQ652" s="183"/>
      <c r="AR652" s="183"/>
      <c r="AS652" s="182"/>
      <c r="AT652" s="182"/>
      <c r="AU652" s="183"/>
      <c r="AV652" s="183"/>
      <c r="AW652" s="182"/>
      <c r="AX652" s="182"/>
      <c r="AY652" s="183"/>
      <c r="AZ652" s="183"/>
      <c r="BA652" s="182"/>
      <c r="BB652" s="182"/>
      <c r="BK652" s="183"/>
      <c r="BL652" s="183"/>
      <c r="BM652" s="182"/>
      <c r="BN652" s="182"/>
      <c r="BO652" s="183"/>
      <c r="BP652" s="183"/>
      <c r="BQ652" s="182"/>
      <c r="BR652" s="182"/>
      <c r="BS652" s="184" t="n">
        <v>52.3</v>
      </c>
      <c r="BT652" s="185" t="n">
        <v>40725</v>
      </c>
      <c r="BU652" s="184" t="n">
        <v>15.8</v>
      </c>
      <c r="BV652" s="185" t="n">
        <v>40725</v>
      </c>
      <c r="CL652" s="182"/>
      <c r="CM652" s="182"/>
    </row>
    <row r="653" customFormat="false" ht="12.75" hidden="false" customHeight="false" outlineLevel="0" collapsed="false">
      <c r="A653" s="204" t="s">
        <v>750</v>
      </c>
      <c r="B653" s="193" t="s">
        <v>782</v>
      </c>
      <c r="C653" s="193" t="s">
        <v>876</v>
      </c>
      <c r="D653" s="193"/>
      <c r="E653" s="194" t="n">
        <v>5</v>
      </c>
      <c r="F653" s="195" t="n">
        <v>64</v>
      </c>
      <c r="G653" s="119"/>
      <c r="H653" s="119"/>
      <c r="J653" s="118"/>
      <c r="K653" s="118"/>
      <c r="L653" s="181"/>
      <c r="N653" s="182"/>
      <c r="O653" s="182"/>
      <c r="S653" s="184" t="n">
        <v>1457</v>
      </c>
      <c r="T653" s="185" t="n">
        <v>40725</v>
      </c>
      <c r="U653" s="182"/>
      <c r="V653" s="182"/>
      <c r="W653" s="183"/>
      <c r="X653" s="183"/>
      <c r="Y653" s="184" t="n">
        <v>439</v>
      </c>
      <c r="Z653" s="185" t="n">
        <v>40725</v>
      </c>
      <c r="AA653" s="184" t="n">
        <v>61819</v>
      </c>
      <c r="AB653" s="185" t="n">
        <v>40725</v>
      </c>
      <c r="AC653" s="184" t="n">
        <v>28</v>
      </c>
      <c r="AD653" s="185" t="n">
        <v>40725</v>
      </c>
      <c r="AE653" s="196"/>
      <c r="AF653" s="185"/>
      <c r="AG653" s="184" t="n">
        <v>4.52</v>
      </c>
      <c r="AH653" s="185" t="n">
        <v>40725</v>
      </c>
      <c r="AI653" s="183"/>
      <c r="AJ653" s="183"/>
      <c r="AK653" s="182"/>
      <c r="AL653" s="182"/>
      <c r="AM653" s="184" t="n">
        <v>84</v>
      </c>
      <c r="AN653" s="183" t="n">
        <v>40630</v>
      </c>
      <c r="AO653" s="182"/>
      <c r="AP653" s="182"/>
      <c r="AQ653" s="183"/>
      <c r="AR653" s="183"/>
      <c r="AS653" s="182"/>
      <c r="AT653" s="182"/>
      <c r="AU653" s="183"/>
      <c r="AV653" s="183"/>
      <c r="AW653" s="182"/>
      <c r="AX653" s="182"/>
      <c r="AY653" s="183"/>
      <c r="AZ653" s="183"/>
      <c r="BA653" s="182"/>
      <c r="BB653" s="182"/>
      <c r="BK653" s="183"/>
      <c r="BL653" s="183"/>
      <c r="BM653" s="182"/>
      <c r="BN653" s="182"/>
      <c r="BO653" s="183"/>
      <c r="BP653" s="183"/>
      <c r="BQ653" s="182"/>
      <c r="BR653" s="182"/>
      <c r="BS653" s="184" t="n">
        <v>52.1</v>
      </c>
      <c r="BT653" s="185" t="n">
        <v>40725</v>
      </c>
      <c r="BU653" s="184" t="n">
        <v>15.7</v>
      </c>
      <c r="BV653" s="185" t="n">
        <v>40725</v>
      </c>
      <c r="CL653" s="182"/>
      <c r="CM653" s="182"/>
    </row>
    <row r="654" customFormat="false" ht="12.75" hidden="false" customHeight="false" outlineLevel="0" collapsed="false">
      <c r="A654" s="204" t="s">
        <v>750</v>
      </c>
      <c r="B654" s="193" t="s">
        <v>782</v>
      </c>
      <c r="C654" s="193" t="s">
        <v>877</v>
      </c>
      <c r="D654" s="193"/>
      <c r="E654" s="119" t="n">
        <v>17</v>
      </c>
      <c r="F654" s="195" t="n">
        <v>71</v>
      </c>
      <c r="G654" s="119"/>
      <c r="H654" s="119"/>
      <c r="J654" s="118"/>
      <c r="K654" s="118"/>
      <c r="L654" s="181"/>
      <c r="N654" s="182"/>
      <c r="O654" s="182"/>
      <c r="S654" s="184" t="n">
        <v>1574</v>
      </c>
      <c r="T654" s="185" t="n">
        <v>40725</v>
      </c>
      <c r="U654" s="182"/>
      <c r="V654" s="182"/>
      <c r="W654" s="183"/>
      <c r="X654" s="183"/>
      <c r="Y654" s="184" t="n">
        <v>493</v>
      </c>
      <c r="Z654" s="185" t="n">
        <v>40725</v>
      </c>
      <c r="AA654" s="184" t="n">
        <v>60532</v>
      </c>
      <c r="AB654" s="185" t="n">
        <v>40725</v>
      </c>
      <c r="AC654" s="184" t="n">
        <v>30.3</v>
      </c>
      <c r="AD654" s="185" t="n">
        <v>40725</v>
      </c>
      <c r="AE654" s="196"/>
      <c r="AF654" s="185"/>
      <c r="AG654" s="184" t="n">
        <v>5.01</v>
      </c>
      <c r="AH654" s="185" t="n">
        <v>40725</v>
      </c>
      <c r="AI654" s="183"/>
      <c r="AJ654" s="183"/>
      <c r="AK654" s="182"/>
      <c r="AL654" s="182"/>
      <c r="AM654" s="184" t="n">
        <v>84</v>
      </c>
      <c r="AN654" s="183" t="n">
        <v>40630</v>
      </c>
      <c r="AO654" s="182"/>
      <c r="AP654" s="182"/>
      <c r="AQ654" s="183"/>
      <c r="AR654" s="183"/>
      <c r="AS654" s="182"/>
      <c r="AT654" s="182"/>
      <c r="AU654" s="183"/>
      <c r="AV654" s="183"/>
      <c r="AW654" s="182"/>
      <c r="AX654" s="182"/>
      <c r="AY654" s="183"/>
      <c r="AZ654" s="183"/>
      <c r="BA654" s="182"/>
      <c r="BB654" s="182"/>
      <c r="BK654" s="183"/>
      <c r="BL654" s="183"/>
      <c r="BM654" s="182"/>
      <c r="BN654" s="182"/>
      <c r="BO654" s="183"/>
      <c r="BP654" s="183"/>
      <c r="BQ654" s="182"/>
      <c r="BR654" s="182"/>
      <c r="BS654" s="184" t="n">
        <v>51.9</v>
      </c>
      <c r="BT654" s="185" t="n">
        <v>40725</v>
      </c>
      <c r="BU654" s="184" t="n">
        <v>16.3</v>
      </c>
      <c r="BV654" s="185" t="n">
        <v>40725</v>
      </c>
      <c r="CL654" s="182"/>
      <c r="CM654" s="182"/>
    </row>
    <row r="655" customFormat="false" ht="12.75" hidden="false" customHeight="false" outlineLevel="0" collapsed="false">
      <c r="A655" s="204" t="s">
        <v>750</v>
      </c>
      <c r="B655" s="193" t="s">
        <v>785</v>
      </c>
      <c r="C655" s="193" t="s">
        <v>875</v>
      </c>
      <c r="D655" s="193"/>
      <c r="E655" s="194" t="n">
        <v>8</v>
      </c>
      <c r="F655" s="195" t="n">
        <v>3</v>
      </c>
      <c r="G655" s="119"/>
      <c r="H655" s="119"/>
      <c r="J655" s="118"/>
      <c r="K655" s="118"/>
      <c r="L655" s="181"/>
      <c r="N655" s="182"/>
      <c r="O655" s="182"/>
      <c r="S655" s="184" t="n">
        <v>2294</v>
      </c>
      <c r="T655" s="185" t="n">
        <v>40725</v>
      </c>
      <c r="U655" s="182"/>
      <c r="V655" s="182"/>
      <c r="W655" s="183"/>
      <c r="X655" s="183"/>
      <c r="Y655" s="184" t="n">
        <v>814</v>
      </c>
      <c r="Z655" s="185" t="n">
        <v>40725</v>
      </c>
      <c r="AA655" s="184" t="n">
        <v>97417</v>
      </c>
      <c r="AB655" s="185" t="n">
        <v>40725</v>
      </c>
      <c r="AC655" s="184" t="n">
        <v>45.8</v>
      </c>
      <c r="AD655" s="185" t="n">
        <v>40725</v>
      </c>
      <c r="AE655" s="196"/>
      <c r="AF655" s="185"/>
      <c r="AG655" s="184" t="n">
        <v>4.71</v>
      </c>
      <c r="AH655" s="185" t="n">
        <v>40725</v>
      </c>
      <c r="AI655" s="183"/>
      <c r="AJ655" s="183"/>
      <c r="AK655" s="182"/>
      <c r="AL655" s="182"/>
      <c r="AM655" s="184" t="n">
        <v>87</v>
      </c>
      <c r="AN655" s="183" t="n">
        <v>40630</v>
      </c>
      <c r="AO655" s="182"/>
      <c r="AP655" s="182"/>
      <c r="AQ655" s="183"/>
      <c r="AR655" s="183"/>
      <c r="AS655" s="182"/>
      <c r="AT655" s="182"/>
      <c r="AU655" s="183"/>
      <c r="AV655" s="183"/>
      <c r="AW655" s="182"/>
      <c r="AX655" s="182"/>
      <c r="AY655" s="183"/>
      <c r="AZ655" s="183"/>
      <c r="BA655" s="182"/>
      <c r="BB655" s="182"/>
      <c r="BK655" s="183"/>
      <c r="BL655" s="183"/>
      <c r="BM655" s="182"/>
      <c r="BN655" s="182"/>
      <c r="BO655" s="183"/>
      <c r="BP655" s="183"/>
      <c r="BQ655" s="182"/>
      <c r="BR655" s="182"/>
      <c r="BS655" s="184" t="n">
        <v>50</v>
      </c>
      <c r="BT655" s="185" t="n">
        <v>40725</v>
      </c>
      <c r="BU655" s="184" t="n">
        <v>17.8</v>
      </c>
      <c r="BV655" s="185" t="n">
        <v>40725</v>
      </c>
      <c r="CL655" s="182"/>
      <c r="CM655" s="182"/>
    </row>
    <row r="656" customFormat="false" ht="12.75" hidden="false" customHeight="false" outlineLevel="0" collapsed="false">
      <c r="A656" s="204" t="s">
        <v>750</v>
      </c>
      <c r="B656" s="193" t="s">
        <v>785</v>
      </c>
      <c r="C656" s="193" t="s">
        <v>876</v>
      </c>
      <c r="D656" s="193"/>
      <c r="E656" s="194" t="n">
        <v>4</v>
      </c>
      <c r="F656" s="195" t="n">
        <v>41</v>
      </c>
      <c r="G656" s="119"/>
      <c r="H656" s="119"/>
      <c r="J656" s="118"/>
      <c r="K656" s="118"/>
      <c r="L656" s="181"/>
      <c r="N656" s="182"/>
      <c r="O656" s="182"/>
      <c r="S656" s="184" t="n">
        <v>1948</v>
      </c>
      <c r="T656" s="185" t="n">
        <v>40725</v>
      </c>
      <c r="U656" s="182"/>
      <c r="V656" s="182"/>
      <c r="W656" s="183"/>
      <c r="X656" s="183"/>
      <c r="Y656" s="184" t="n">
        <v>696</v>
      </c>
      <c r="Z656" s="185" t="n">
        <v>40725</v>
      </c>
      <c r="AA656" s="184" t="n">
        <v>75765</v>
      </c>
      <c r="AB656" s="185" t="n">
        <v>40725</v>
      </c>
      <c r="AC656" s="184" t="n">
        <v>38.6</v>
      </c>
      <c r="AD656" s="185" t="n">
        <v>40725</v>
      </c>
      <c r="AE656" s="196"/>
      <c r="AF656" s="185"/>
      <c r="AG656" s="184" t="n">
        <v>5.09</v>
      </c>
      <c r="AH656" s="185" t="n">
        <v>40725</v>
      </c>
      <c r="AI656" s="183"/>
      <c r="AJ656" s="183"/>
      <c r="AK656" s="182"/>
      <c r="AL656" s="182"/>
      <c r="AM656" s="184" t="n">
        <v>85</v>
      </c>
      <c r="AN656" s="183" t="n">
        <v>40630</v>
      </c>
      <c r="AO656" s="182"/>
      <c r="AP656" s="182"/>
      <c r="AQ656" s="183"/>
      <c r="AR656" s="183"/>
      <c r="AS656" s="182"/>
      <c r="AT656" s="182"/>
      <c r="AU656" s="183"/>
      <c r="AV656" s="183"/>
      <c r="AW656" s="182"/>
      <c r="AX656" s="182"/>
      <c r="AY656" s="183"/>
      <c r="AZ656" s="183"/>
      <c r="BA656" s="182"/>
      <c r="BB656" s="182"/>
      <c r="BK656" s="183"/>
      <c r="BL656" s="183"/>
      <c r="BM656" s="182"/>
      <c r="BN656" s="182"/>
      <c r="BO656" s="183"/>
      <c r="BP656" s="183"/>
      <c r="BQ656" s="182"/>
      <c r="BR656" s="182"/>
      <c r="BS656" s="184" t="n">
        <v>50.5</v>
      </c>
      <c r="BT656" s="185" t="n">
        <v>40725</v>
      </c>
      <c r="BU656" s="184" t="n">
        <v>18</v>
      </c>
      <c r="BV656" s="185" t="n">
        <v>40725</v>
      </c>
      <c r="CL656" s="182"/>
      <c r="CM656" s="182"/>
    </row>
    <row r="657" customFormat="false" ht="12.75" hidden="false" customHeight="false" outlineLevel="0" collapsed="false">
      <c r="A657" s="204" t="s">
        <v>750</v>
      </c>
      <c r="B657" s="193" t="s">
        <v>785</v>
      </c>
      <c r="C657" s="193" t="s">
        <v>877</v>
      </c>
      <c r="D657" s="193"/>
      <c r="E657" s="119" t="n">
        <v>22</v>
      </c>
      <c r="F657" s="195" t="n">
        <v>68</v>
      </c>
      <c r="G657" s="119"/>
      <c r="H657" s="119"/>
      <c r="J657" s="118"/>
      <c r="K657" s="118"/>
      <c r="L657" s="181"/>
      <c r="N657" s="182"/>
      <c r="O657" s="182"/>
      <c r="S657" s="184" t="n">
        <v>1728</v>
      </c>
      <c r="T657" s="185" t="n">
        <v>40725</v>
      </c>
      <c r="U657" s="182"/>
      <c r="V657" s="182"/>
      <c r="W657" s="183"/>
      <c r="X657" s="183"/>
      <c r="Y657" s="184" t="n">
        <v>600</v>
      </c>
      <c r="Z657" s="185" t="n">
        <v>40725</v>
      </c>
      <c r="AA657" s="184" t="n">
        <v>65587</v>
      </c>
      <c r="AB657" s="185" t="n">
        <v>40725</v>
      </c>
      <c r="AC657" s="184" t="n">
        <v>33.9</v>
      </c>
      <c r="AD657" s="185" t="n">
        <v>40725</v>
      </c>
      <c r="AE657" s="196"/>
      <c r="AF657" s="185"/>
      <c r="AG657" s="184" t="n">
        <v>5.17</v>
      </c>
      <c r="AH657" s="185" t="n">
        <v>40725</v>
      </c>
      <c r="AI657" s="183"/>
      <c r="AJ657" s="183"/>
      <c r="AK657" s="182"/>
      <c r="AL657" s="182"/>
      <c r="AM657" s="184" t="n">
        <v>85</v>
      </c>
      <c r="AN657" s="183" t="n">
        <v>40630</v>
      </c>
      <c r="AO657" s="182"/>
      <c r="AP657" s="182"/>
      <c r="AQ657" s="183"/>
      <c r="AR657" s="183"/>
      <c r="AS657" s="182"/>
      <c r="AT657" s="182"/>
      <c r="AU657" s="183"/>
      <c r="AV657" s="183"/>
      <c r="AW657" s="182"/>
      <c r="AX657" s="182"/>
      <c r="AY657" s="183"/>
      <c r="AZ657" s="183"/>
      <c r="BA657" s="182"/>
      <c r="BB657" s="182"/>
      <c r="BK657" s="183"/>
      <c r="BL657" s="183"/>
      <c r="BM657" s="182"/>
      <c r="BN657" s="182"/>
      <c r="BO657" s="183"/>
      <c r="BP657" s="183"/>
      <c r="BQ657" s="182"/>
      <c r="BR657" s="182"/>
      <c r="BS657" s="184" t="n">
        <v>50.9</v>
      </c>
      <c r="BT657" s="185" t="n">
        <v>40725</v>
      </c>
      <c r="BU657" s="184" t="n">
        <v>17.7</v>
      </c>
      <c r="BV657" s="185" t="n">
        <v>40725</v>
      </c>
      <c r="CL657" s="182"/>
      <c r="CM657" s="182"/>
    </row>
    <row r="658" customFormat="false" ht="12.75" hidden="false" customHeight="false" outlineLevel="0" collapsed="false">
      <c r="A658" s="204" t="s">
        <v>753</v>
      </c>
      <c r="B658" s="193" t="s">
        <v>782</v>
      </c>
      <c r="C658" s="193" t="s">
        <v>875</v>
      </c>
      <c r="D658" s="193"/>
      <c r="E658" s="194" t="n">
        <v>1</v>
      </c>
      <c r="F658" s="195" t="n">
        <v>9</v>
      </c>
      <c r="G658" s="119"/>
      <c r="H658" s="119"/>
      <c r="J658" s="118"/>
      <c r="K658" s="118"/>
      <c r="L658" s="181"/>
      <c r="N658" s="182"/>
      <c r="O658" s="182"/>
      <c r="S658" s="184" t="n">
        <v>1781</v>
      </c>
      <c r="T658" s="185" t="n">
        <v>40725</v>
      </c>
      <c r="U658" s="182"/>
      <c r="V658" s="182"/>
      <c r="W658" s="183"/>
      <c r="X658" s="183"/>
      <c r="Y658" s="184" t="n">
        <v>556</v>
      </c>
      <c r="Z658" s="185" t="n">
        <v>40725</v>
      </c>
      <c r="AA658" s="184" t="n">
        <v>76970</v>
      </c>
      <c r="AB658" s="185" t="n">
        <v>40725</v>
      </c>
      <c r="AC658" s="184" t="n">
        <v>33.4</v>
      </c>
      <c r="AD658" s="185" t="n">
        <v>40725</v>
      </c>
      <c r="AE658" s="196"/>
      <c r="AF658" s="185"/>
      <c r="AG658" s="184" t="n">
        <v>4.35</v>
      </c>
      <c r="AH658" s="185" t="n">
        <v>40725</v>
      </c>
      <c r="AI658" s="183"/>
      <c r="AJ658" s="183"/>
      <c r="AK658" s="182"/>
      <c r="AL658" s="182"/>
      <c r="AM658" s="184" t="n">
        <v>90</v>
      </c>
      <c r="AN658" s="183" t="n">
        <v>40630</v>
      </c>
      <c r="AO658" s="182"/>
      <c r="AP658" s="182"/>
      <c r="AQ658" s="183"/>
      <c r="AR658" s="183"/>
      <c r="AS658" s="182"/>
      <c r="AT658" s="182"/>
      <c r="AU658" s="183"/>
      <c r="AV658" s="183"/>
      <c r="AW658" s="182"/>
      <c r="AX658" s="182"/>
      <c r="AY658" s="183"/>
      <c r="AZ658" s="183"/>
      <c r="BA658" s="182"/>
      <c r="BB658" s="182"/>
      <c r="BK658" s="183"/>
      <c r="BL658" s="183"/>
      <c r="BM658" s="182"/>
      <c r="BN658" s="182"/>
      <c r="BO658" s="183"/>
      <c r="BP658" s="183"/>
      <c r="BQ658" s="182"/>
      <c r="BR658" s="182"/>
      <c r="BS658" s="184" t="n">
        <v>53.2</v>
      </c>
      <c r="BT658" s="185" t="n">
        <v>40725</v>
      </c>
      <c r="BU658" s="184" t="n">
        <v>16.6</v>
      </c>
      <c r="BV658" s="185" t="n">
        <v>40725</v>
      </c>
      <c r="CL658" s="182"/>
      <c r="CM658" s="182"/>
    </row>
    <row r="659" customFormat="false" ht="12.75" hidden="false" customHeight="false" outlineLevel="0" collapsed="false">
      <c r="A659" s="204" t="s">
        <v>753</v>
      </c>
      <c r="B659" s="193" t="s">
        <v>782</v>
      </c>
      <c r="C659" s="193" t="s">
        <v>876</v>
      </c>
      <c r="D659" s="193"/>
      <c r="E659" s="194" t="n">
        <v>5</v>
      </c>
      <c r="F659" s="195" t="n">
        <v>49</v>
      </c>
      <c r="G659" s="119"/>
      <c r="H659" s="119"/>
      <c r="J659" s="118"/>
      <c r="K659" s="118"/>
      <c r="L659" s="181"/>
      <c r="N659" s="182"/>
      <c r="O659" s="182"/>
      <c r="S659" s="184" t="n">
        <v>1546</v>
      </c>
      <c r="T659" s="185" t="n">
        <v>40725</v>
      </c>
      <c r="U659" s="182"/>
      <c r="V659" s="182"/>
      <c r="W659" s="183"/>
      <c r="X659" s="183"/>
      <c r="Y659" s="184" t="n">
        <v>421</v>
      </c>
      <c r="Z659" s="185" t="n">
        <v>40725</v>
      </c>
      <c r="AA659" s="184" t="n">
        <v>64940</v>
      </c>
      <c r="AB659" s="185" t="n">
        <v>40725</v>
      </c>
      <c r="AC659" s="184" t="n">
        <v>28.3</v>
      </c>
      <c r="AD659" s="185" t="n">
        <v>40725</v>
      </c>
      <c r="AE659" s="196"/>
      <c r="AF659" s="185"/>
      <c r="AG659" s="184" t="n">
        <v>4.35</v>
      </c>
      <c r="AH659" s="185" t="n">
        <v>40725</v>
      </c>
      <c r="AI659" s="183"/>
      <c r="AJ659" s="183"/>
      <c r="AK659" s="182"/>
      <c r="AL659" s="182"/>
      <c r="AM659" s="184" t="n">
        <v>88</v>
      </c>
      <c r="AN659" s="183" t="n">
        <v>40630</v>
      </c>
      <c r="AO659" s="182"/>
      <c r="AP659" s="182"/>
      <c r="AQ659" s="183"/>
      <c r="AR659" s="183"/>
      <c r="AS659" s="182"/>
      <c r="AT659" s="182"/>
      <c r="AU659" s="183"/>
      <c r="AV659" s="183"/>
      <c r="AW659" s="182"/>
      <c r="AX659" s="182"/>
      <c r="AY659" s="183"/>
      <c r="AZ659" s="183"/>
      <c r="BA659" s="182"/>
      <c r="BB659" s="182"/>
      <c r="BK659" s="183"/>
      <c r="BL659" s="183"/>
      <c r="BM659" s="182"/>
      <c r="BN659" s="182"/>
      <c r="BO659" s="183"/>
      <c r="BP659" s="183"/>
      <c r="BQ659" s="182"/>
      <c r="BR659" s="182"/>
      <c r="BS659" s="184" t="n">
        <v>54.7</v>
      </c>
      <c r="BT659" s="185" t="n">
        <v>40725</v>
      </c>
      <c r="BU659" s="184" t="n">
        <v>14.9</v>
      </c>
      <c r="BV659" s="185" t="n">
        <v>40725</v>
      </c>
      <c r="CL659" s="182"/>
      <c r="CM659" s="182"/>
    </row>
    <row r="660" customFormat="false" ht="12.75" hidden="false" customHeight="false" outlineLevel="0" collapsed="false">
      <c r="A660" s="204" t="s">
        <v>753</v>
      </c>
      <c r="B660" s="193" t="s">
        <v>782</v>
      </c>
      <c r="C660" s="193" t="s">
        <v>877</v>
      </c>
      <c r="D660" s="193"/>
      <c r="E660" s="194" t="n">
        <v>16</v>
      </c>
      <c r="F660" s="195" t="n">
        <v>78</v>
      </c>
      <c r="G660" s="119"/>
      <c r="H660" s="119"/>
      <c r="J660" s="118"/>
      <c r="K660" s="118"/>
      <c r="L660" s="181"/>
      <c r="N660" s="182"/>
      <c r="O660" s="182"/>
      <c r="S660" s="184" t="n">
        <v>1640</v>
      </c>
      <c r="T660" s="185" t="n">
        <v>40725</v>
      </c>
      <c r="U660" s="182"/>
      <c r="V660" s="182"/>
      <c r="W660" s="183"/>
      <c r="X660" s="183"/>
      <c r="Y660" s="184" t="n">
        <v>518</v>
      </c>
      <c r="Z660" s="185" t="n">
        <v>40725</v>
      </c>
      <c r="AA660" s="184" t="n">
        <v>68560</v>
      </c>
      <c r="AB660" s="185" t="n">
        <v>40725</v>
      </c>
      <c r="AC660" s="184" t="n">
        <v>31</v>
      </c>
      <c r="AD660" s="185" t="n">
        <v>40725</v>
      </c>
      <c r="AE660" s="196"/>
      <c r="AF660" s="185"/>
      <c r="AG660" s="184" t="n">
        <v>4.52</v>
      </c>
      <c r="AH660" s="185" t="n">
        <v>40725</v>
      </c>
      <c r="AI660" s="183"/>
      <c r="AJ660" s="183"/>
      <c r="AK660" s="182"/>
      <c r="AL660" s="182"/>
      <c r="AM660" s="184" t="n">
        <v>88</v>
      </c>
      <c r="AN660" s="183" t="n">
        <v>40630</v>
      </c>
      <c r="AO660" s="182"/>
      <c r="AP660" s="182"/>
      <c r="AQ660" s="183"/>
      <c r="AR660" s="183"/>
      <c r="AS660" s="182"/>
      <c r="AT660" s="182"/>
      <c r="AU660" s="183"/>
      <c r="AV660" s="183"/>
      <c r="AW660" s="182"/>
      <c r="AX660" s="182"/>
      <c r="AY660" s="183"/>
      <c r="AZ660" s="183"/>
      <c r="BA660" s="182"/>
      <c r="BB660" s="182"/>
      <c r="BK660" s="183"/>
      <c r="BL660" s="183"/>
      <c r="BM660" s="182"/>
      <c r="BN660" s="182"/>
      <c r="BO660" s="183"/>
      <c r="BP660" s="183"/>
      <c r="BQ660" s="182"/>
      <c r="BR660" s="182"/>
      <c r="BS660" s="184" t="n">
        <v>53</v>
      </c>
      <c r="BT660" s="185" t="n">
        <v>40725</v>
      </c>
      <c r="BU660" s="184" t="n">
        <v>16.7</v>
      </c>
      <c r="BV660" s="185" t="n">
        <v>40725</v>
      </c>
      <c r="CL660" s="182"/>
      <c r="CM660" s="182"/>
    </row>
    <row r="661" customFormat="false" ht="12.75" hidden="false" customHeight="false" outlineLevel="0" collapsed="false">
      <c r="A661" s="204" t="s">
        <v>753</v>
      </c>
      <c r="B661" s="193" t="s">
        <v>785</v>
      </c>
      <c r="C661" s="193" t="s">
        <v>875</v>
      </c>
      <c r="D661" s="193"/>
      <c r="E661" s="194" t="n">
        <v>5</v>
      </c>
      <c r="F661" s="195" t="n">
        <v>31</v>
      </c>
      <c r="G661" s="119"/>
      <c r="H661" s="119"/>
      <c r="J661" s="118"/>
      <c r="K661" s="118"/>
      <c r="L661" s="181"/>
      <c r="N661" s="182"/>
      <c r="O661" s="182"/>
      <c r="S661" s="184" t="n">
        <v>2041</v>
      </c>
      <c r="T661" s="185" t="n">
        <v>40725</v>
      </c>
      <c r="U661" s="182"/>
      <c r="V661" s="182"/>
      <c r="W661" s="183"/>
      <c r="X661" s="183"/>
      <c r="Y661" s="184" t="n">
        <v>717</v>
      </c>
      <c r="Z661" s="185" t="n">
        <v>40725</v>
      </c>
      <c r="AA661" s="184" t="n">
        <v>82492</v>
      </c>
      <c r="AB661" s="185" t="n">
        <v>40725</v>
      </c>
      <c r="AC661" s="184" t="n">
        <v>39.4</v>
      </c>
      <c r="AD661" s="185" t="n">
        <v>40725</v>
      </c>
      <c r="AE661" s="196"/>
      <c r="AF661" s="185"/>
      <c r="AG661" s="184" t="n">
        <v>4.77</v>
      </c>
      <c r="AH661" s="185" t="n">
        <v>40725</v>
      </c>
      <c r="AI661" s="183"/>
      <c r="AJ661" s="183"/>
      <c r="AK661" s="182"/>
      <c r="AL661" s="182"/>
      <c r="AM661" s="184" t="n">
        <v>90</v>
      </c>
      <c r="AN661" s="183" t="n">
        <v>40630</v>
      </c>
      <c r="AO661" s="182"/>
      <c r="AP661" s="182"/>
      <c r="AQ661" s="183"/>
      <c r="AR661" s="183"/>
      <c r="AS661" s="182"/>
      <c r="AT661" s="182"/>
      <c r="AU661" s="183"/>
      <c r="AV661" s="183"/>
      <c r="AW661" s="182"/>
      <c r="AX661" s="182"/>
      <c r="AY661" s="183"/>
      <c r="AZ661" s="183"/>
      <c r="BA661" s="182"/>
      <c r="BB661" s="182"/>
      <c r="BK661" s="183"/>
      <c r="BL661" s="183"/>
      <c r="BM661" s="182"/>
      <c r="BN661" s="182"/>
      <c r="BO661" s="183"/>
      <c r="BP661" s="183"/>
      <c r="BQ661" s="182"/>
      <c r="BR661" s="182"/>
      <c r="BS661" s="184" t="n">
        <v>51.8</v>
      </c>
      <c r="BT661" s="185" t="n">
        <v>40725</v>
      </c>
      <c r="BU661" s="184" t="n">
        <v>18.2</v>
      </c>
      <c r="BV661" s="185" t="n">
        <v>40725</v>
      </c>
      <c r="CL661" s="182"/>
      <c r="CM661" s="182"/>
    </row>
    <row r="662" customFormat="false" ht="12.75" hidden="false" customHeight="false" outlineLevel="0" collapsed="false">
      <c r="A662" s="204" t="s">
        <v>753</v>
      </c>
      <c r="B662" s="193" t="s">
        <v>785</v>
      </c>
      <c r="C662" s="193" t="s">
        <v>876</v>
      </c>
      <c r="D662" s="193"/>
      <c r="E662" s="194" t="n">
        <v>2</v>
      </c>
      <c r="F662" s="195" t="n">
        <v>61</v>
      </c>
      <c r="G662" s="119"/>
      <c r="H662" s="119"/>
      <c r="J662" s="118"/>
      <c r="K662" s="118"/>
      <c r="L662" s="181"/>
      <c r="N662" s="182"/>
      <c r="O662" s="182"/>
      <c r="S662" s="184" t="n">
        <v>1736</v>
      </c>
      <c r="T662" s="185" t="n">
        <v>40725</v>
      </c>
      <c r="U662" s="182"/>
      <c r="V662" s="182"/>
      <c r="W662" s="183"/>
      <c r="X662" s="183"/>
      <c r="Y662" s="184" t="n">
        <v>602</v>
      </c>
      <c r="Z662" s="185" t="n">
        <v>40725</v>
      </c>
      <c r="AA662" s="184" t="n">
        <v>70003</v>
      </c>
      <c r="AB662" s="185" t="n">
        <v>40725</v>
      </c>
      <c r="AC662" s="184" t="n">
        <v>33.2</v>
      </c>
      <c r="AD662" s="185" t="n">
        <v>40725</v>
      </c>
      <c r="AE662" s="196"/>
      <c r="AF662" s="185"/>
      <c r="AG662" s="184" t="n">
        <v>4.75</v>
      </c>
      <c r="AH662" s="185" t="n">
        <v>40725</v>
      </c>
      <c r="AI662" s="183"/>
      <c r="AJ662" s="183"/>
      <c r="AK662" s="182"/>
      <c r="AL662" s="182"/>
      <c r="AM662" s="184" t="n">
        <v>91</v>
      </c>
      <c r="AN662" s="183" t="n">
        <v>40630</v>
      </c>
      <c r="AO662" s="182"/>
      <c r="AP662" s="182"/>
      <c r="AQ662" s="183"/>
      <c r="AR662" s="183"/>
      <c r="AS662" s="182"/>
      <c r="AT662" s="182"/>
      <c r="AU662" s="183"/>
      <c r="AV662" s="183"/>
      <c r="AW662" s="182"/>
      <c r="AX662" s="182"/>
      <c r="AY662" s="183"/>
      <c r="AZ662" s="183"/>
      <c r="BA662" s="182"/>
      <c r="BB662" s="182"/>
      <c r="BK662" s="183"/>
      <c r="BL662" s="183"/>
      <c r="BM662" s="182"/>
      <c r="BN662" s="182"/>
      <c r="BO662" s="183"/>
      <c r="BP662" s="183"/>
      <c r="BQ662" s="182"/>
      <c r="BR662" s="182"/>
      <c r="BS662" s="184" t="n">
        <v>52.2</v>
      </c>
      <c r="BT662" s="185" t="n">
        <v>40725</v>
      </c>
      <c r="BU662" s="184" t="n">
        <v>18.1</v>
      </c>
      <c r="BV662" s="185" t="n">
        <v>40725</v>
      </c>
      <c r="CL662" s="182"/>
      <c r="CM662" s="182"/>
    </row>
    <row r="663" customFormat="false" ht="12.75" hidden="false" customHeight="false" outlineLevel="0" collapsed="false">
      <c r="A663" s="204" t="s">
        <v>753</v>
      </c>
      <c r="B663" s="193" t="s">
        <v>785</v>
      </c>
      <c r="C663" s="193" t="s">
        <v>877</v>
      </c>
      <c r="D663" s="193"/>
      <c r="E663" s="119" t="n">
        <v>24</v>
      </c>
      <c r="F663" s="195" t="n">
        <v>90</v>
      </c>
      <c r="G663" s="119"/>
      <c r="H663" s="119"/>
      <c r="J663" s="118"/>
      <c r="K663" s="118"/>
      <c r="L663" s="181"/>
      <c r="N663" s="182"/>
      <c r="O663" s="182"/>
      <c r="S663" s="184" t="n">
        <v>2051</v>
      </c>
      <c r="T663" s="185" t="n">
        <v>40725</v>
      </c>
      <c r="U663" s="182"/>
      <c r="V663" s="182"/>
      <c r="W663" s="183"/>
      <c r="X663" s="183"/>
      <c r="Y663" s="184" t="n">
        <v>704</v>
      </c>
      <c r="Z663" s="185" t="n">
        <v>40725</v>
      </c>
      <c r="AA663" s="184" t="n">
        <v>85905</v>
      </c>
      <c r="AB663" s="185" t="n">
        <v>40725</v>
      </c>
      <c r="AC663" s="184" t="n">
        <v>39.1</v>
      </c>
      <c r="AD663" s="185" t="n">
        <v>40725</v>
      </c>
      <c r="AE663" s="196"/>
      <c r="AF663" s="185"/>
      <c r="AG663" s="184" t="n">
        <v>4.55</v>
      </c>
      <c r="AH663" s="185" t="n">
        <v>40725</v>
      </c>
      <c r="AI663" s="183"/>
      <c r="AJ663" s="183"/>
      <c r="AK663" s="182"/>
      <c r="AL663" s="182"/>
      <c r="AM663" s="184" t="n">
        <v>90</v>
      </c>
      <c r="AN663" s="183" t="n">
        <v>40630</v>
      </c>
      <c r="AO663" s="182"/>
      <c r="AP663" s="182"/>
      <c r="AQ663" s="183"/>
      <c r="AR663" s="183"/>
      <c r="AS663" s="182"/>
      <c r="AT663" s="182"/>
      <c r="AU663" s="183"/>
      <c r="AV663" s="183"/>
      <c r="AW663" s="182"/>
      <c r="AX663" s="182"/>
      <c r="AY663" s="183"/>
      <c r="AZ663" s="183"/>
      <c r="BA663" s="182"/>
      <c r="BB663" s="182"/>
      <c r="BK663" s="183"/>
      <c r="BL663" s="183"/>
      <c r="BM663" s="182"/>
      <c r="BN663" s="182"/>
      <c r="BO663" s="183"/>
      <c r="BP663" s="183"/>
      <c r="BQ663" s="182"/>
      <c r="BR663" s="182"/>
      <c r="BS663" s="184" t="n">
        <v>52.4</v>
      </c>
      <c r="BT663" s="185" t="n">
        <v>40725</v>
      </c>
      <c r="BU663" s="184" t="n">
        <v>18</v>
      </c>
      <c r="BV663" s="185" t="n">
        <v>40725</v>
      </c>
      <c r="CL663" s="182"/>
      <c r="CM663" s="182"/>
    </row>
    <row r="664" customFormat="false" ht="12.75" hidden="false" customHeight="false" outlineLevel="0" collapsed="false">
      <c r="A664" s="204" t="s">
        <v>756</v>
      </c>
      <c r="B664" s="193" t="s">
        <v>782</v>
      </c>
      <c r="C664" s="193" t="s">
        <v>875</v>
      </c>
      <c r="D664" s="193"/>
      <c r="E664" s="194" t="n">
        <v>3</v>
      </c>
      <c r="F664" s="195" t="n">
        <v>30</v>
      </c>
      <c r="G664" s="119"/>
      <c r="H664" s="119"/>
      <c r="J664" s="118"/>
      <c r="K664" s="118"/>
      <c r="L664" s="181"/>
      <c r="N664" s="182"/>
      <c r="O664" s="182"/>
      <c r="S664" s="184" t="n">
        <v>1694</v>
      </c>
      <c r="T664" s="185" t="n">
        <v>40725</v>
      </c>
      <c r="U664" s="182"/>
      <c r="V664" s="182"/>
      <c r="W664" s="183"/>
      <c r="X664" s="183"/>
      <c r="Y664" s="184" t="n">
        <v>554</v>
      </c>
      <c r="Z664" s="185" t="n">
        <v>40725</v>
      </c>
      <c r="AA664" s="184" t="n">
        <v>75649</v>
      </c>
      <c r="AB664" s="185" t="n">
        <v>40725</v>
      </c>
      <c r="AC664" s="184" t="n">
        <v>32.5</v>
      </c>
      <c r="AD664" s="185" t="n">
        <v>40725</v>
      </c>
      <c r="AE664" s="196"/>
      <c r="AF664" s="185"/>
      <c r="AG664" s="184" t="n">
        <v>4.29</v>
      </c>
      <c r="AH664" s="185" t="n">
        <v>40725</v>
      </c>
      <c r="AI664" s="183"/>
      <c r="AJ664" s="183"/>
      <c r="AK664" s="182"/>
      <c r="AL664" s="182"/>
      <c r="AM664" s="184" t="n">
        <v>84</v>
      </c>
      <c r="AN664" s="183" t="n">
        <v>40630</v>
      </c>
      <c r="AO664" s="182"/>
      <c r="AP664" s="182"/>
      <c r="AQ664" s="183"/>
      <c r="AR664" s="183"/>
      <c r="AS664" s="182"/>
      <c r="AT664" s="182"/>
      <c r="AU664" s="183"/>
      <c r="AV664" s="183"/>
      <c r="AW664" s="182"/>
      <c r="AX664" s="182"/>
      <c r="AY664" s="183"/>
      <c r="AZ664" s="183"/>
      <c r="BA664" s="182"/>
      <c r="BB664" s="182"/>
      <c r="BK664" s="183"/>
      <c r="BL664" s="183"/>
      <c r="BM664" s="182"/>
      <c r="BN664" s="182"/>
      <c r="BO664" s="183"/>
      <c r="BP664" s="183"/>
      <c r="BQ664" s="182"/>
      <c r="BR664" s="182"/>
      <c r="BS664" s="184" t="n">
        <v>52.2</v>
      </c>
      <c r="BT664" s="185" t="n">
        <v>40725</v>
      </c>
      <c r="BU664" s="184" t="n">
        <v>17.1</v>
      </c>
      <c r="BV664" s="185" t="n">
        <v>40725</v>
      </c>
      <c r="CL664" s="182"/>
      <c r="CM664" s="182"/>
    </row>
    <row r="665" customFormat="false" ht="12.75" hidden="false" customHeight="false" outlineLevel="0" collapsed="false">
      <c r="A665" s="204" t="s">
        <v>756</v>
      </c>
      <c r="B665" s="193" t="s">
        <v>782</v>
      </c>
      <c r="C665" s="193" t="s">
        <v>876</v>
      </c>
      <c r="D665" s="193"/>
      <c r="E665" s="194" t="n">
        <v>7</v>
      </c>
      <c r="F665" s="195" t="n">
        <v>40</v>
      </c>
      <c r="G665" s="119"/>
      <c r="H665" s="119"/>
      <c r="J665" s="118"/>
      <c r="K665" s="118"/>
      <c r="L665" s="181"/>
      <c r="N665" s="182"/>
      <c r="O665" s="182"/>
      <c r="S665" s="184" t="n">
        <v>1388</v>
      </c>
      <c r="T665" s="185" t="n">
        <v>40725</v>
      </c>
      <c r="U665" s="182"/>
      <c r="V665" s="182"/>
      <c r="W665" s="183"/>
      <c r="X665" s="183"/>
      <c r="Y665" s="184" t="n">
        <v>393</v>
      </c>
      <c r="Z665" s="185" t="n">
        <v>40725</v>
      </c>
      <c r="AA665" s="184" t="n">
        <v>62154</v>
      </c>
      <c r="AB665" s="185" t="n">
        <v>40725</v>
      </c>
      <c r="AC665" s="184" t="n">
        <v>25.8</v>
      </c>
      <c r="AD665" s="185" t="n">
        <v>40725</v>
      </c>
      <c r="AE665" s="196"/>
      <c r="AF665" s="185"/>
      <c r="AG665" s="184" t="n">
        <v>4.15</v>
      </c>
      <c r="AH665" s="185" t="n">
        <v>40725</v>
      </c>
      <c r="AI665" s="183"/>
      <c r="AJ665" s="183"/>
      <c r="AK665" s="182"/>
      <c r="AL665" s="182"/>
      <c r="AM665" s="184" t="n">
        <v>82</v>
      </c>
      <c r="AN665" s="183" t="n">
        <v>40630</v>
      </c>
      <c r="AO665" s="182"/>
      <c r="AP665" s="182"/>
      <c r="AQ665" s="183"/>
      <c r="AR665" s="183"/>
      <c r="AS665" s="182"/>
      <c r="AT665" s="182"/>
      <c r="AU665" s="183"/>
      <c r="AV665" s="183"/>
      <c r="AW665" s="182"/>
      <c r="AX665" s="182"/>
      <c r="AY665" s="183"/>
      <c r="AZ665" s="183"/>
      <c r="BA665" s="182"/>
      <c r="BB665" s="182"/>
      <c r="BK665" s="183"/>
      <c r="BL665" s="183"/>
      <c r="BM665" s="182"/>
      <c r="BN665" s="182"/>
      <c r="BO665" s="183"/>
      <c r="BP665" s="183"/>
      <c r="BQ665" s="182"/>
      <c r="BR665" s="182"/>
      <c r="BS665" s="184" t="n">
        <v>53.9</v>
      </c>
      <c r="BT665" s="185" t="n">
        <v>40725</v>
      </c>
      <c r="BU665" s="184" t="n">
        <v>15.3</v>
      </c>
      <c r="BV665" s="185" t="n">
        <v>40725</v>
      </c>
      <c r="CL665" s="182"/>
      <c r="CM665" s="182"/>
    </row>
    <row r="666" customFormat="false" ht="12.75" hidden="false" customHeight="false" outlineLevel="0" collapsed="false">
      <c r="A666" s="204" t="s">
        <v>756</v>
      </c>
      <c r="B666" s="193" t="s">
        <v>782</v>
      </c>
      <c r="C666" s="193" t="s">
        <v>877</v>
      </c>
      <c r="D666" s="193"/>
      <c r="E666" s="119" t="n">
        <v>15</v>
      </c>
      <c r="F666" s="195" t="n">
        <v>73</v>
      </c>
      <c r="G666" s="119"/>
      <c r="H666" s="119"/>
      <c r="J666" s="118"/>
      <c r="K666" s="118"/>
      <c r="L666" s="181"/>
      <c r="N666" s="182"/>
      <c r="O666" s="182"/>
      <c r="S666" s="184" t="n">
        <v>1395</v>
      </c>
      <c r="T666" s="185" t="n">
        <v>40725</v>
      </c>
      <c r="U666" s="182"/>
      <c r="V666" s="182"/>
      <c r="W666" s="183"/>
      <c r="X666" s="183"/>
      <c r="Y666" s="184" t="n">
        <v>420</v>
      </c>
      <c r="Z666" s="185" t="n">
        <v>40725</v>
      </c>
      <c r="AA666" s="184" t="n">
        <v>62578</v>
      </c>
      <c r="AB666" s="185" t="n">
        <v>40725</v>
      </c>
      <c r="AC666" s="184" t="n">
        <v>26.3</v>
      </c>
      <c r="AD666" s="185" t="n">
        <v>40725</v>
      </c>
      <c r="AE666" s="196"/>
      <c r="AF666" s="185"/>
      <c r="AG666" s="184" t="n">
        <v>4.2</v>
      </c>
      <c r="AH666" s="185" t="n">
        <v>40725</v>
      </c>
      <c r="AI666" s="183"/>
      <c r="AJ666" s="183"/>
      <c r="AK666" s="182"/>
      <c r="AL666" s="182"/>
      <c r="AM666" s="184" t="n">
        <v>83</v>
      </c>
      <c r="AN666" s="183" t="n">
        <v>40630</v>
      </c>
      <c r="AO666" s="182"/>
      <c r="AP666" s="182"/>
      <c r="AQ666" s="183"/>
      <c r="AR666" s="183"/>
      <c r="AS666" s="182"/>
      <c r="AT666" s="182"/>
      <c r="AU666" s="183"/>
      <c r="AV666" s="183"/>
      <c r="AW666" s="182"/>
      <c r="AX666" s="182"/>
      <c r="AY666" s="183"/>
      <c r="AZ666" s="183"/>
      <c r="BA666" s="182"/>
      <c r="BB666" s="182"/>
      <c r="BK666" s="183"/>
      <c r="BL666" s="183"/>
      <c r="BM666" s="182"/>
      <c r="BN666" s="182"/>
      <c r="BO666" s="183"/>
      <c r="BP666" s="183"/>
      <c r="BQ666" s="182"/>
      <c r="BR666" s="182"/>
      <c r="BS666" s="184" t="n">
        <v>53.1</v>
      </c>
      <c r="BT666" s="185" t="n">
        <v>40725</v>
      </c>
      <c r="BU666" s="184" t="n">
        <v>16</v>
      </c>
      <c r="BV666" s="185" t="n">
        <v>40725</v>
      </c>
      <c r="CL666" s="182"/>
      <c r="CM666" s="182"/>
    </row>
    <row r="667" customFormat="false" ht="12.75" hidden="false" customHeight="false" outlineLevel="0" collapsed="false">
      <c r="A667" s="204" t="s">
        <v>756</v>
      </c>
      <c r="B667" s="193" t="s">
        <v>785</v>
      </c>
      <c r="C667" s="193" t="s">
        <v>875</v>
      </c>
      <c r="D667" s="193"/>
      <c r="E667" s="194" t="n">
        <v>8</v>
      </c>
      <c r="F667" s="195" t="n">
        <v>29</v>
      </c>
      <c r="G667" s="119"/>
      <c r="H667" s="119"/>
      <c r="J667" s="118"/>
      <c r="K667" s="118"/>
      <c r="L667" s="181"/>
      <c r="N667" s="182"/>
      <c r="O667" s="182"/>
      <c r="S667" s="184" t="n">
        <v>1926</v>
      </c>
      <c r="T667" s="185" t="n">
        <v>40725</v>
      </c>
      <c r="U667" s="182"/>
      <c r="V667" s="182"/>
      <c r="W667" s="183"/>
      <c r="X667" s="183"/>
      <c r="Y667" s="184" t="n">
        <v>648</v>
      </c>
      <c r="Z667" s="185" t="n">
        <v>40725</v>
      </c>
      <c r="AA667" s="184" t="n">
        <v>90182</v>
      </c>
      <c r="AB667" s="185" t="n">
        <v>40725</v>
      </c>
      <c r="AC667" s="184" t="n">
        <v>37.5</v>
      </c>
      <c r="AD667" s="185" t="n">
        <v>40725</v>
      </c>
      <c r="AE667" s="196"/>
      <c r="AF667" s="185"/>
      <c r="AG667" s="184" t="n">
        <v>4.16</v>
      </c>
      <c r="AH667" s="185" t="n">
        <v>40725</v>
      </c>
      <c r="AI667" s="183"/>
      <c r="AJ667" s="183"/>
      <c r="AK667" s="182"/>
      <c r="AL667" s="182"/>
      <c r="AM667" s="184" t="n">
        <v>84</v>
      </c>
      <c r="AN667" s="183" t="n">
        <v>40630</v>
      </c>
      <c r="AO667" s="182"/>
      <c r="AP667" s="182"/>
      <c r="AQ667" s="183"/>
      <c r="AR667" s="183"/>
      <c r="AS667" s="182"/>
      <c r="AT667" s="182"/>
      <c r="AU667" s="183"/>
      <c r="AV667" s="183"/>
      <c r="AW667" s="182"/>
      <c r="AX667" s="182"/>
      <c r="AY667" s="183"/>
      <c r="AZ667" s="183"/>
      <c r="BA667" s="182"/>
      <c r="BB667" s="182"/>
      <c r="BK667" s="183"/>
      <c r="BL667" s="183"/>
      <c r="BM667" s="182"/>
      <c r="BN667" s="182"/>
      <c r="BO667" s="183"/>
      <c r="BP667" s="183"/>
      <c r="BQ667" s="182"/>
      <c r="BR667" s="182"/>
      <c r="BS667" s="184" t="n">
        <v>51.4</v>
      </c>
      <c r="BT667" s="185" t="n">
        <v>40725</v>
      </c>
      <c r="BU667" s="184" t="n">
        <v>17.3</v>
      </c>
      <c r="BV667" s="185" t="n">
        <v>40725</v>
      </c>
      <c r="CL667" s="182"/>
      <c r="CM667" s="182"/>
    </row>
    <row r="668" customFormat="false" ht="12.75" hidden="false" customHeight="false" outlineLevel="0" collapsed="false">
      <c r="A668" s="204" t="s">
        <v>756</v>
      </c>
      <c r="B668" s="193" t="s">
        <v>785</v>
      </c>
      <c r="C668" s="193" t="s">
        <v>876</v>
      </c>
      <c r="D668" s="193"/>
      <c r="E668" s="194" t="n">
        <v>3</v>
      </c>
      <c r="F668" s="195" t="n">
        <v>33</v>
      </c>
      <c r="G668" s="119"/>
      <c r="H668" s="119"/>
      <c r="J668" s="118"/>
      <c r="K668" s="118"/>
      <c r="L668" s="181"/>
      <c r="N668" s="182"/>
      <c r="O668" s="182"/>
      <c r="S668" s="184" t="n">
        <v>1461</v>
      </c>
      <c r="T668" s="185" t="n">
        <v>40725</v>
      </c>
      <c r="U668" s="182"/>
      <c r="V668" s="182"/>
      <c r="W668" s="183"/>
      <c r="X668" s="183"/>
      <c r="Y668" s="184" t="n">
        <v>509</v>
      </c>
      <c r="Z668" s="185" t="n">
        <v>40725</v>
      </c>
      <c r="AA668" s="184" t="n">
        <v>64108</v>
      </c>
      <c r="AB668" s="185" t="n">
        <v>40725</v>
      </c>
      <c r="AC668" s="184" t="n">
        <v>28.1</v>
      </c>
      <c r="AD668" s="185" t="n">
        <v>40725</v>
      </c>
      <c r="AE668" s="196"/>
      <c r="AF668" s="185"/>
      <c r="AG668" s="184" t="n">
        <v>4.39</v>
      </c>
      <c r="AH668" s="185" t="n">
        <v>40725</v>
      </c>
      <c r="AI668" s="183"/>
      <c r="AJ668" s="183"/>
      <c r="AK668" s="182"/>
      <c r="AL668" s="182"/>
      <c r="AM668" s="184" t="n">
        <v>85</v>
      </c>
      <c r="AN668" s="183" t="n">
        <v>40630</v>
      </c>
      <c r="AO668" s="182"/>
      <c r="AP668" s="182"/>
      <c r="AQ668" s="183"/>
      <c r="AR668" s="183"/>
      <c r="AS668" s="182"/>
      <c r="AT668" s="182"/>
      <c r="AU668" s="183"/>
      <c r="AV668" s="183"/>
      <c r="AW668" s="182"/>
      <c r="AX668" s="182"/>
      <c r="AY668" s="183"/>
      <c r="AZ668" s="183"/>
      <c r="BA668" s="182"/>
      <c r="BB668" s="182"/>
      <c r="BK668" s="183"/>
      <c r="BL668" s="183"/>
      <c r="BM668" s="182"/>
      <c r="BN668" s="182"/>
      <c r="BO668" s="183"/>
      <c r="BP668" s="183"/>
      <c r="BQ668" s="182"/>
      <c r="BR668" s="182"/>
      <c r="BS668" s="184" t="n">
        <v>52</v>
      </c>
      <c r="BT668" s="185" t="n">
        <v>40725</v>
      </c>
      <c r="BU668" s="184" t="n">
        <v>18.1</v>
      </c>
      <c r="BV668" s="185" t="n">
        <v>40725</v>
      </c>
      <c r="CL668" s="182"/>
      <c r="CM668" s="182"/>
    </row>
    <row r="669" customFormat="false" ht="12.75" hidden="false" customHeight="false" outlineLevel="0" collapsed="false">
      <c r="A669" s="204" t="s">
        <v>756</v>
      </c>
      <c r="B669" s="193" t="s">
        <v>785</v>
      </c>
      <c r="C669" s="193" t="s">
        <v>877</v>
      </c>
      <c r="D669" s="193"/>
      <c r="E669" s="119" t="n">
        <v>22</v>
      </c>
      <c r="F669" s="195" t="n">
        <v>84</v>
      </c>
      <c r="G669" s="119"/>
      <c r="H669" s="119"/>
      <c r="J669" s="118"/>
      <c r="K669" s="118"/>
      <c r="L669" s="181"/>
      <c r="N669" s="182"/>
      <c r="O669" s="182"/>
      <c r="S669" s="184" t="n">
        <v>2046</v>
      </c>
      <c r="T669" s="185" t="n">
        <v>40725</v>
      </c>
      <c r="U669" s="182"/>
      <c r="V669" s="182"/>
      <c r="W669" s="183"/>
      <c r="X669" s="183"/>
      <c r="Y669" s="184" t="n">
        <v>671</v>
      </c>
      <c r="Z669" s="185" t="n">
        <v>40725</v>
      </c>
      <c r="AA669" s="184" t="n">
        <v>92475</v>
      </c>
      <c r="AB669" s="185" t="n">
        <v>40725</v>
      </c>
      <c r="AC669" s="184" t="n">
        <v>39.1</v>
      </c>
      <c r="AD669" s="185" t="n">
        <v>40725</v>
      </c>
      <c r="AE669" s="196"/>
      <c r="AF669" s="185"/>
      <c r="AG669" s="184" t="n">
        <v>4.23</v>
      </c>
      <c r="AH669" s="185" t="n">
        <v>40725</v>
      </c>
      <c r="AI669" s="183"/>
      <c r="AJ669" s="183"/>
      <c r="AK669" s="182"/>
      <c r="AL669" s="182"/>
      <c r="AM669" s="184" t="n">
        <v>84</v>
      </c>
      <c r="AN669" s="183" t="n">
        <v>40630</v>
      </c>
      <c r="AO669" s="182"/>
      <c r="AP669" s="182"/>
      <c r="AQ669" s="183"/>
      <c r="AR669" s="183"/>
      <c r="AS669" s="182"/>
      <c r="AT669" s="182"/>
      <c r="AU669" s="183"/>
      <c r="AV669" s="183"/>
      <c r="AW669" s="182"/>
      <c r="AX669" s="182"/>
      <c r="AY669" s="183"/>
      <c r="AZ669" s="183"/>
      <c r="BA669" s="182"/>
      <c r="BB669" s="182"/>
      <c r="BK669" s="183"/>
      <c r="BL669" s="183"/>
      <c r="BM669" s="182"/>
      <c r="BN669" s="182"/>
      <c r="BO669" s="183"/>
      <c r="BP669" s="183"/>
      <c r="BQ669" s="182"/>
      <c r="BR669" s="182"/>
      <c r="BS669" s="184" t="n">
        <v>52.3</v>
      </c>
      <c r="BT669" s="185" t="n">
        <v>40725</v>
      </c>
      <c r="BU669" s="184" t="n">
        <v>17.2</v>
      </c>
      <c r="BV669" s="185" t="n">
        <v>40725</v>
      </c>
      <c r="CL669" s="182"/>
      <c r="CM669" s="182"/>
    </row>
    <row r="670" customFormat="false" ht="12.75" hidden="false" customHeight="false" outlineLevel="0" collapsed="false">
      <c r="A670" s="204" t="s">
        <v>759</v>
      </c>
      <c r="B670" s="193" t="s">
        <v>782</v>
      </c>
      <c r="C670" s="193" t="s">
        <v>875</v>
      </c>
      <c r="D670" s="193"/>
      <c r="E670" s="194" t="n">
        <v>2</v>
      </c>
      <c r="F670" s="195" t="n">
        <v>2</v>
      </c>
      <c r="G670" s="119"/>
      <c r="H670" s="119"/>
      <c r="J670" s="118"/>
      <c r="K670" s="118"/>
      <c r="L670" s="181"/>
      <c r="N670" s="182"/>
      <c r="O670" s="182"/>
      <c r="S670" s="184" t="n">
        <v>1591</v>
      </c>
      <c r="T670" s="185" t="n">
        <v>40725</v>
      </c>
      <c r="U670" s="182"/>
      <c r="V670" s="182"/>
      <c r="W670" s="183"/>
      <c r="X670" s="183"/>
      <c r="Y670" s="184" t="n">
        <v>508</v>
      </c>
      <c r="Z670" s="185" t="n">
        <v>40725</v>
      </c>
      <c r="AA670" s="184" t="n">
        <v>71459</v>
      </c>
      <c r="AB670" s="185" t="n">
        <v>40725</v>
      </c>
      <c r="AC670" s="184" t="n">
        <v>30.1</v>
      </c>
      <c r="AD670" s="185" t="n">
        <v>40725</v>
      </c>
      <c r="AE670" s="196"/>
      <c r="AF670" s="185"/>
      <c r="AG670" s="184" t="n">
        <v>4.22</v>
      </c>
      <c r="AH670" s="185" t="n">
        <v>40725</v>
      </c>
      <c r="AI670" s="183"/>
      <c r="AJ670" s="183"/>
      <c r="AK670" s="182"/>
      <c r="AL670" s="182"/>
      <c r="AM670" s="184" t="n">
        <v>88</v>
      </c>
      <c r="AN670" s="183" t="n">
        <v>40630</v>
      </c>
      <c r="AO670" s="182"/>
      <c r="AP670" s="182"/>
      <c r="AQ670" s="183"/>
      <c r="AR670" s="183"/>
      <c r="AS670" s="182"/>
      <c r="AT670" s="182"/>
      <c r="AU670" s="183"/>
      <c r="AV670" s="183"/>
      <c r="AW670" s="182"/>
      <c r="AX670" s="182"/>
      <c r="AY670" s="183"/>
      <c r="AZ670" s="183"/>
      <c r="BA670" s="182"/>
      <c r="BB670" s="182"/>
      <c r="BK670" s="183"/>
      <c r="BL670" s="183"/>
      <c r="BM670" s="182"/>
      <c r="BN670" s="182"/>
      <c r="BO670" s="183"/>
      <c r="BP670" s="183"/>
      <c r="BQ670" s="182"/>
      <c r="BR670" s="182"/>
      <c r="BS670" s="184" t="n">
        <v>52.8</v>
      </c>
      <c r="BT670" s="185" t="n">
        <v>40725</v>
      </c>
      <c r="BU670" s="184" t="n">
        <v>16.9</v>
      </c>
      <c r="BV670" s="185" t="n">
        <v>40725</v>
      </c>
      <c r="CL670" s="182"/>
      <c r="CM670" s="182"/>
    </row>
    <row r="671" customFormat="false" ht="12.75" hidden="false" customHeight="false" outlineLevel="0" collapsed="false">
      <c r="A671" s="204" t="s">
        <v>759</v>
      </c>
      <c r="B671" s="193" t="s">
        <v>782</v>
      </c>
      <c r="C671" s="193" t="s">
        <v>876</v>
      </c>
      <c r="D671" s="193"/>
      <c r="E671" s="194" t="n">
        <v>8</v>
      </c>
      <c r="F671" s="195" t="n">
        <v>33</v>
      </c>
      <c r="G671" s="119"/>
      <c r="H671" s="119"/>
      <c r="J671" s="118"/>
      <c r="K671" s="118"/>
      <c r="L671" s="181"/>
      <c r="N671" s="182"/>
      <c r="O671" s="182"/>
      <c r="S671" s="184" t="n">
        <v>1465</v>
      </c>
      <c r="T671" s="185" t="n">
        <v>40725</v>
      </c>
      <c r="U671" s="182"/>
      <c r="V671" s="182"/>
      <c r="W671" s="183"/>
      <c r="X671" s="183"/>
      <c r="Y671" s="184" t="n">
        <v>479</v>
      </c>
      <c r="Z671" s="185" t="n">
        <v>40725</v>
      </c>
      <c r="AA671" s="184" t="n">
        <v>67237</v>
      </c>
      <c r="AB671" s="185" t="n">
        <v>40725</v>
      </c>
      <c r="AC671" s="184" t="n">
        <v>28.1</v>
      </c>
      <c r="AD671" s="185" t="n">
        <v>40725</v>
      </c>
      <c r="AE671" s="196"/>
      <c r="AF671" s="185"/>
      <c r="AG671" s="184" t="n">
        <v>4.17</v>
      </c>
      <c r="AH671" s="185" t="n">
        <v>40725</v>
      </c>
      <c r="AI671" s="183"/>
      <c r="AJ671" s="183"/>
      <c r="AK671" s="182"/>
      <c r="AL671" s="182"/>
      <c r="AM671" s="184" t="n">
        <v>88</v>
      </c>
      <c r="AN671" s="183" t="n">
        <v>40630</v>
      </c>
      <c r="AO671" s="182"/>
      <c r="AP671" s="182"/>
      <c r="AQ671" s="183"/>
      <c r="AR671" s="183"/>
      <c r="AS671" s="182"/>
      <c r="AT671" s="182"/>
      <c r="AU671" s="183"/>
      <c r="AV671" s="183"/>
      <c r="AW671" s="182"/>
      <c r="AX671" s="182"/>
      <c r="AY671" s="183"/>
      <c r="AZ671" s="183"/>
      <c r="BA671" s="182"/>
      <c r="BB671" s="182"/>
      <c r="BK671" s="183"/>
      <c r="BL671" s="183"/>
      <c r="BM671" s="182"/>
      <c r="BN671" s="182"/>
      <c r="BO671" s="183"/>
      <c r="BP671" s="183"/>
      <c r="BQ671" s="182"/>
      <c r="BR671" s="182"/>
      <c r="BS671" s="184" t="n">
        <v>52.2</v>
      </c>
      <c r="BT671" s="185" t="n">
        <v>40725</v>
      </c>
      <c r="BU671" s="184" t="n">
        <v>17.1</v>
      </c>
      <c r="BV671" s="185" t="n">
        <v>40725</v>
      </c>
      <c r="CL671" s="182"/>
      <c r="CM671" s="182"/>
    </row>
    <row r="672" customFormat="false" ht="12.75" hidden="false" customHeight="false" outlineLevel="0" collapsed="false">
      <c r="A672" s="204" t="s">
        <v>759</v>
      </c>
      <c r="B672" s="193" t="s">
        <v>782</v>
      </c>
      <c r="C672" s="193" t="s">
        <v>877</v>
      </c>
      <c r="D672" s="193"/>
      <c r="E672" s="194" t="n">
        <v>16</v>
      </c>
      <c r="F672" s="195" t="n">
        <v>66</v>
      </c>
      <c r="G672" s="119"/>
      <c r="H672" s="119"/>
      <c r="J672" s="118"/>
      <c r="K672" s="118"/>
      <c r="L672" s="181"/>
      <c r="N672" s="182"/>
      <c r="O672" s="182"/>
      <c r="S672" s="184" t="n">
        <v>1573</v>
      </c>
      <c r="T672" s="185" t="n">
        <v>40725</v>
      </c>
      <c r="U672" s="182"/>
      <c r="V672" s="182"/>
      <c r="W672" s="183"/>
      <c r="X672" s="183"/>
      <c r="Y672" s="184" t="n">
        <v>559</v>
      </c>
      <c r="Z672" s="185" t="n">
        <v>40725</v>
      </c>
      <c r="AA672" s="184" t="n">
        <v>70963</v>
      </c>
      <c r="AB672" s="185" t="n">
        <v>40725</v>
      </c>
      <c r="AC672" s="184" t="n">
        <v>31</v>
      </c>
      <c r="AD672" s="185" t="n">
        <v>40725</v>
      </c>
      <c r="AE672" s="196"/>
      <c r="AF672" s="185"/>
      <c r="AG672" s="184" t="n">
        <v>4.37</v>
      </c>
      <c r="AH672" s="185" t="n">
        <v>40725</v>
      </c>
      <c r="AI672" s="183"/>
      <c r="AJ672" s="183"/>
      <c r="AK672" s="182"/>
      <c r="AL672" s="182"/>
      <c r="AM672" s="184" t="n">
        <v>88</v>
      </c>
      <c r="AN672" s="183" t="n">
        <v>40630</v>
      </c>
      <c r="AO672" s="182"/>
      <c r="AP672" s="182"/>
      <c r="AQ672" s="183"/>
      <c r="AR672" s="183"/>
      <c r="AS672" s="182"/>
      <c r="AT672" s="182"/>
      <c r="AU672" s="183"/>
      <c r="AV672" s="183"/>
      <c r="AW672" s="182"/>
      <c r="AX672" s="182"/>
      <c r="AY672" s="183"/>
      <c r="AZ672" s="183"/>
      <c r="BA672" s="182"/>
      <c r="BB672" s="182"/>
      <c r="BK672" s="183"/>
      <c r="BL672" s="183"/>
      <c r="BM672" s="182"/>
      <c r="BN672" s="182"/>
      <c r="BO672" s="183"/>
      <c r="BP672" s="183"/>
      <c r="BQ672" s="182"/>
      <c r="BR672" s="182"/>
      <c r="BS672" s="184" t="n">
        <v>50.8</v>
      </c>
      <c r="BT672" s="185" t="n">
        <v>40725</v>
      </c>
      <c r="BU672" s="184" t="n">
        <v>18</v>
      </c>
      <c r="BV672" s="185" t="n">
        <v>40725</v>
      </c>
      <c r="CL672" s="182"/>
      <c r="CM672" s="182"/>
    </row>
    <row r="673" customFormat="false" ht="12.75" hidden="false" customHeight="false" outlineLevel="0" collapsed="false">
      <c r="A673" s="204" t="s">
        <v>759</v>
      </c>
      <c r="B673" s="193" t="s">
        <v>785</v>
      </c>
      <c r="C673" s="193" t="s">
        <v>875</v>
      </c>
      <c r="D673" s="193"/>
      <c r="E673" s="194" t="n">
        <v>8</v>
      </c>
      <c r="F673" s="195" t="n">
        <v>5</v>
      </c>
      <c r="G673" s="119"/>
      <c r="H673" s="119"/>
      <c r="J673" s="118"/>
      <c r="K673" s="118"/>
      <c r="L673" s="181"/>
      <c r="N673" s="182"/>
      <c r="O673" s="182"/>
      <c r="S673" s="184" t="n">
        <v>2034</v>
      </c>
      <c r="T673" s="185" t="n">
        <v>40725</v>
      </c>
      <c r="U673" s="182"/>
      <c r="V673" s="182"/>
      <c r="W673" s="183"/>
      <c r="X673" s="183"/>
      <c r="Y673" s="184" t="n">
        <v>709</v>
      </c>
      <c r="Z673" s="185" t="n">
        <v>40725</v>
      </c>
      <c r="AA673" s="184" t="n">
        <v>95315</v>
      </c>
      <c r="AB673" s="185" t="n">
        <v>40725</v>
      </c>
      <c r="AC673" s="184" t="n">
        <v>39.6</v>
      </c>
      <c r="AD673" s="185" t="n">
        <v>40725</v>
      </c>
      <c r="AE673" s="196"/>
      <c r="AF673" s="185"/>
      <c r="AG673" s="184" t="n">
        <v>4.16</v>
      </c>
      <c r="AH673" s="185" t="n">
        <v>40725</v>
      </c>
      <c r="AI673" s="183"/>
      <c r="AJ673" s="183"/>
      <c r="AK673" s="182"/>
      <c r="AL673" s="182"/>
      <c r="AM673" s="184" t="n">
        <v>90</v>
      </c>
      <c r="AN673" s="183" t="n">
        <v>40630</v>
      </c>
      <c r="AO673" s="182"/>
      <c r="AP673" s="182"/>
      <c r="AQ673" s="183"/>
      <c r="AR673" s="183"/>
      <c r="AS673" s="182"/>
      <c r="AT673" s="182"/>
      <c r="AU673" s="183"/>
      <c r="AV673" s="183"/>
      <c r="AW673" s="182"/>
      <c r="AX673" s="182"/>
      <c r="AY673" s="183"/>
      <c r="AZ673" s="183"/>
      <c r="BA673" s="182"/>
      <c r="BB673" s="182"/>
      <c r="BK673" s="183"/>
      <c r="BL673" s="183"/>
      <c r="BM673" s="182"/>
      <c r="BN673" s="182"/>
      <c r="BO673" s="183"/>
      <c r="BP673" s="183"/>
      <c r="BQ673" s="182"/>
      <c r="BR673" s="182"/>
      <c r="BS673" s="184" t="n">
        <v>51.3</v>
      </c>
      <c r="BT673" s="185" t="n">
        <v>40725</v>
      </c>
      <c r="BU673" s="184" t="n">
        <v>17.9</v>
      </c>
      <c r="BV673" s="185" t="n">
        <v>40725</v>
      </c>
      <c r="CL673" s="182"/>
      <c r="CM673" s="182"/>
    </row>
    <row r="674" customFormat="false" ht="12.75" hidden="false" customHeight="false" outlineLevel="0" collapsed="false">
      <c r="A674" s="204" t="s">
        <v>759</v>
      </c>
      <c r="B674" s="193" t="s">
        <v>785</v>
      </c>
      <c r="C674" s="193" t="s">
        <v>876</v>
      </c>
      <c r="D674" s="193"/>
      <c r="E674" s="194" t="n">
        <v>1</v>
      </c>
      <c r="F674" s="195" t="n">
        <v>54</v>
      </c>
      <c r="G674" s="119"/>
      <c r="H674" s="119"/>
      <c r="J674" s="118"/>
      <c r="K674" s="118"/>
      <c r="L674" s="181"/>
      <c r="N674" s="182"/>
      <c r="O674" s="182"/>
      <c r="S674" s="184" t="n">
        <v>1778</v>
      </c>
      <c r="T674" s="185" t="n">
        <v>40725</v>
      </c>
      <c r="U674" s="182"/>
      <c r="V674" s="182"/>
      <c r="W674" s="183"/>
      <c r="X674" s="183"/>
      <c r="Y674" s="184" t="n">
        <v>601</v>
      </c>
      <c r="Z674" s="185" t="n">
        <v>40725</v>
      </c>
      <c r="AA674" s="184" t="n">
        <v>76186</v>
      </c>
      <c r="AB674" s="185" t="n">
        <v>40725</v>
      </c>
      <c r="AC674" s="184" t="n">
        <v>34.1</v>
      </c>
      <c r="AD674" s="185" t="n">
        <v>40725</v>
      </c>
      <c r="AE674" s="196"/>
      <c r="AF674" s="185"/>
      <c r="AG674" s="184" t="n">
        <v>4.47</v>
      </c>
      <c r="AH674" s="185" t="n">
        <v>40725</v>
      </c>
      <c r="AI674" s="183"/>
      <c r="AJ674" s="183"/>
      <c r="AK674" s="182"/>
      <c r="AL674" s="182"/>
      <c r="AM674" s="184" t="n">
        <v>89</v>
      </c>
      <c r="AN674" s="183" t="n">
        <v>40630</v>
      </c>
      <c r="AO674" s="182"/>
      <c r="AP674" s="182"/>
      <c r="AQ674" s="183"/>
      <c r="AR674" s="183"/>
      <c r="AS674" s="182"/>
      <c r="AT674" s="182"/>
      <c r="AU674" s="183"/>
      <c r="AV674" s="183"/>
      <c r="AW674" s="182"/>
      <c r="AX674" s="182"/>
      <c r="AY674" s="183"/>
      <c r="AZ674" s="183"/>
      <c r="BA674" s="182"/>
      <c r="BB674" s="182"/>
      <c r="BK674" s="183"/>
      <c r="BL674" s="183"/>
      <c r="BM674" s="182"/>
      <c r="BN674" s="182"/>
      <c r="BO674" s="183"/>
      <c r="BP674" s="183"/>
      <c r="BQ674" s="182"/>
      <c r="BR674" s="182"/>
      <c r="BS674" s="184" t="n">
        <v>52.2</v>
      </c>
      <c r="BT674" s="185" t="n">
        <v>40725</v>
      </c>
      <c r="BU674" s="184" t="n">
        <v>17.7</v>
      </c>
      <c r="BV674" s="185" t="n">
        <v>40725</v>
      </c>
      <c r="CL674" s="182"/>
      <c r="CM674" s="182"/>
    </row>
    <row r="675" customFormat="false" ht="12.75" hidden="false" customHeight="false" outlineLevel="0" collapsed="false">
      <c r="A675" s="204" t="s">
        <v>759</v>
      </c>
      <c r="B675" s="193" t="s">
        <v>785</v>
      </c>
      <c r="C675" s="193" t="s">
        <v>877</v>
      </c>
      <c r="D675" s="193"/>
      <c r="E675" s="119" t="n">
        <v>22</v>
      </c>
      <c r="F675" s="195" t="n">
        <v>77</v>
      </c>
      <c r="G675" s="119"/>
      <c r="H675" s="119"/>
      <c r="J675" s="118"/>
      <c r="K675" s="118"/>
      <c r="L675" s="181"/>
      <c r="N675" s="182"/>
      <c r="O675" s="182"/>
      <c r="S675" s="184" t="s">
        <v>879</v>
      </c>
      <c r="T675" s="185" t="n">
        <v>40725</v>
      </c>
      <c r="U675" s="182"/>
      <c r="V675" s="182"/>
      <c r="W675" s="183"/>
      <c r="X675" s="183"/>
      <c r="Y675" s="184" t="s">
        <v>879</v>
      </c>
      <c r="Z675" s="185" t="n">
        <v>40725</v>
      </c>
      <c r="AA675" s="184" t="s">
        <v>879</v>
      </c>
      <c r="AB675" s="185" t="n">
        <v>40725</v>
      </c>
      <c r="AC675" s="184" t="s">
        <v>879</v>
      </c>
      <c r="AD675" s="185" t="n">
        <v>40725</v>
      </c>
      <c r="AE675" s="196"/>
      <c r="AF675" s="185"/>
      <c r="AG675" s="184" t="s">
        <v>879</v>
      </c>
      <c r="AH675" s="185" t="n">
        <v>40725</v>
      </c>
      <c r="AI675" s="183"/>
      <c r="AJ675" s="183"/>
      <c r="AK675" s="182"/>
      <c r="AL675" s="182"/>
      <c r="AM675" s="184" t="n">
        <v>88</v>
      </c>
      <c r="AN675" s="183" t="n">
        <v>40630</v>
      </c>
      <c r="AO675" s="182"/>
      <c r="AP675" s="182"/>
      <c r="AQ675" s="183"/>
      <c r="AR675" s="183"/>
      <c r="AS675" s="182"/>
      <c r="AT675" s="182"/>
      <c r="AU675" s="183"/>
      <c r="AV675" s="183"/>
      <c r="AW675" s="182"/>
      <c r="AX675" s="182"/>
      <c r="AY675" s="183"/>
      <c r="AZ675" s="183"/>
      <c r="BA675" s="182"/>
      <c r="BB675" s="182"/>
      <c r="BK675" s="183"/>
      <c r="BL675" s="183"/>
      <c r="BM675" s="182"/>
      <c r="BN675" s="182"/>
      <c r="BO675" s="183"/>
      <c r="BP675" s="183"/>
      <c r="BQ675" s="182"/>
      <c r="BR675" s="182"/>
      <c r="BS675" s="184" t="s">
        <v>879</v>
      </c>
      <c r="BT675" s="185" t="n">
        <v>40725</v>
      </c>
      <c r="BU675" s="184" t="s">
        <v>879</v>
      </c>
      <c r="BV675" s="185" t="n">
        <v>40725</v>
      </c>
      <c r="CL675" s="182"/>
      <c r="CM675" s="182"/>
    </row>
    <row r="676" customFormat="false" ht="12.75" hidden="false" customHeight="false" outlineLevel="0" collapsed="false">
      <c r="A676" s="204" t="s">
        <v>762</v>
      </c>
      <c r="B676" s="193" t="s">
        <v>782</v>
      </c>
      <c r="C676" s="193" t="s">
        <v>875</v>
      </c>
      <c r="D676" s="193"/>
      <c r="E676" s="194" t="n">
        <v>4</v>
      </c>
      <c r="F676" s="195" t="n">
        <v>12</v>
      </c>
      <c r="G676" s="119"/>
      <c r="H676" s="119"/>
      <c r="J676" s="118"/>
      <c r="K676" s="118"/>
      <c r="L676" s="181"/>
      <c r="N676" s="182"/>
      <c r="O676" s="182"/>
      <c r="S676" s="184" t="n">
        <v>1926</v>
      </c>
      <c r="T676" s="185" t="n">
        <v>40725</v>
      </c>
      <c r="U676" s="182"/>
      <c r="V676" s="182"/>
      <c r="W676" s="183"/>
      <c r="X676" s="183"/>
      <c r="Y676" s="184" t="n">
        <v>528</v>
      </c>
      <c r="Z676" s="185" t="n">
        <v>40725</v>
      </c>
      <c r="AA676" s="184" t="n">
        <v>94830</v>
      </c>
      <c r="AB676" s="185" t="n">
        <v>40725</v>
      </c>
      <c r="AC676" s="184" t="n">
        <v>35.9</v>
      </c>
      <c r="AD676" s="185" t="n">
        <v>40725</v>
      </c>
      <c r="AE676" s="196"/>
      <c r="AF676" s="185"/>
      <c r="AG676" s="184" t="n">
        <v>3.79</v>
      </c>
      <c r="AH676" s="185" t="n">
        <v>40725</v>
      </c>
      <c r="AI676" s="183"/>
      <c r="AJ676" s="183"/>
      <c r="AK676" s="182"/>
      <c r="AL676" s="182"/>
      <c r="AM676" s="184" t="n">
        <v>90</v>
      </c>
      <c r="AN676" s="183" t="n">
        <v>40630</v>
      </c>
      <c r="AO676" s="182"/>
      <c r="AP676" s="182"/>
      <c r="AQ676" s="183"/>
      <c r="AR676" s="183"/>
      <c r="AS676" s="182"/>
      <c r="AT676" s="182"/>
      <c r="AU676" s="183"/>
      <c r="AV676" s="183"/>
      <c r="AW676" s="182"/>
      <c r="AX676" s="182"/>
      <c r="AY676" s="183"/>
      <c r="AZ676" s="183"/>
      <c r="BA676" s="182"/>
      <c r="BB676" s="182"/>
      <c r="BK676" s="183"/>
      <c r="BL676" s="183"/>
      <c r="BM676" s="182"/>
      <c r="BN676" s="182"/>
      <c r="BO676" s="183"/>
      <c r="BP676" s="183"/>
      <c r="BQ676" s="182"/>
      <c r="BR676" s="182"/>
      <c r="BS676" s="184" t="n">
        <v>53.6</v>
      </c>
      <c r="BT676" s="185" t="n">
        <v>40725</v>
      </c>
      <c r="BU676" s="184" t="n">
        <v>14.7</v>
      </c>
      <c r="BV676" s="185" t="n">
        <v>40725</v>
      </c>
      <c r="CL676" s="182"/>
      <c r="CM676" s="182"/>
    </row>
    <row r="677" customFormat="false" ht="12.75" hidden="false" customHeight="false" outlineLevel="0" collapsed="false">
      <c r="A677" s="204" t="s">
        <v>762</v>
      </c>
      <c r="B677" s="193" t="s">
        <v>782</v>
      </c>
      <c r="C677" s="193" t="s">
        <v>876</v>
      </c>
      <c r="D677" s="193"/>
      <c r="E677" s="194" t="n">
        <v>6</v>
      </c>
      <c r="F677" s="195" t="n">
        <v>42</v>
      </c>
      <c r="G677" s="119"/>
      <c r="H677" s="119"/>
      <c r="J677" s="118"/>
      <c r="K677" s="118"/>
      <c r="L677" s="181"/>
      <c r="N677" s="182"/>
      <c r="O677" s="182"/>
      <c r="S677" s="184" t="n">
        <v>2013</v>
      </c>
      <c r="T677" s="185" t="n">
        <v>40725</v>
      </c>
      <c r="U677" s="182"/>
      <c r="V677" s="182"/>
      <c r="W677" s="183"/>
      <c r="X677" s="183"/>
      <c r="Y677" s="184" t="n">
        <v>608</v>
      </c>
      <c r="Z677" s="185" t="n">
        <v>40725</v>
      </c>
      <c r="AA677" s="184" t="n">
        <v>93528</v>
      </c>
      <c r="AB677" s="185" t="n">
        <v>40725</v>
      </c>
      <c r="AC677" s="184" t="n">
        <v>38.4</v>
      </c>
      <c r="AD677" s="185" t="n">
        <v>40725</v>
      </c>
      <c r="AE677" s="196"/>
      <c r="AF677" s="185"/>
      <c r="AG677" s="184" t="n">
        <v>4.1</v>
      </c>
      <c r="AH677" s="185" t="n">
        <v>40725</v>
      </c>
      <c r="AI677" s="183"/>
      <c r="AJ677" s="183"/>
      <c r="AK677" s="182"/>
      <c r="AL677" s="182"/>
      <c r="AM677" s="184" t="n">
        <v>88</v>
      </c>
      <c r="AN677" s="183" t="n">
        <v>40630</v>
      </c>
      <c r="AO677" s="182"/>
      <c r="AP677" s="182"/>
      <c r="AQ677" s="183"/>
      <c r="AR677" s="183"/>
      <c r="AS677" s="182"/>
      <c r="AT677" s="182"/>
      <c r="AU677" s="183"/>
      <c r="AV677" s="183"/>
      <c r="AW677" s="182"/>
      <c r="AX677" s="182"/>
      <c r="AY677" s="183"/>
      <c r="AZ677" s="183"/>
      <c r="BA677" s="182"/>
      <c r="BB677" s="182"/>
      <c r="BK677" s="183"/>
      <c r="BL677" s="183"/>
      <c r="BM677" s="182"/>
      <c r="BN677" s="182"/>
      <c r="BO677" s="183"/>
      <c r="BP677" s="183"/>
      <c r="BQ677" s="182"/>
      <c r="BR677" s="182"/>
      <c r="BS677" s="184" t="n">
        <v>52.5</v>
      </c>
      <c r="BT677" s="185" t="n">
        <v>40725</v>
      </c>
      <c r="BU677" s="184" t="n">
        <v>15.8</v>
      </c>
      <c r="BV677" s="185" t="n">
        <v>40725</v>
      </c>
      <c r="CL677" s="182"/>
      <c r="CM677" s="182"/>
    </row>
    <row r="678" customFormat="false" ht="12.75" hidden="false" customHeight="false" outlineLevel="0" collapsed="false">
      <c r="A678" s="204" t="s">
        <v>762</v>
      </c>
      <c r="B678" s="193" t="s">
        <v>782</v>
      </c>
      <c r="C678" s="193" t="s">
        <v>877</v>
      </c>
      <c r="D678" s="193"/>
      <c r="E678" s="119" t="n">
        <v>19</v>
      </c>
      <c r="F678" s="195" t="n">
        <v>80</v>
      </c>
      <c r="G678" s="119"/>
      <c r="H678" s="119"/>
      <c r="J678" s="118"/>
      <c r="K678" s="118"/>
      <c r="L678" s="181"/>
      <c r="N678" s="182"/>
      <c r="O678" s="182"/>
      <c r="S678" s="184" t="n">
        <v>1865</v>
      </c>
      <c r="T678" s="185" t="n">
        <v>40725</v>
      </c>
      <c r="U678" s="182"/>
      <c r="V678" s="182"/>
      <c r="W678" s="183"/>
      <c r="X678" s="183"/>
      <c r="Y678" s="184" t="n">
        <v>527</v>
      </c>
      <c r="Z678" s="185" t="n">
        <v>40725</v>
      </c>
      <c r="AA678" s="184" t="n">
        <v>87846</v>
      </c>
      <c r="AB678" s="185" t="n">
        <v>40725</v>
      </c>
      <c r="AC678" s="184" t="n">
        <v>35.2</v>
      </c>
      <c r="AD678" s="185" t="n">
        <v>40725</v>
      </c>
      <c r="AE678" s="196"/>
      <c r="AF678" s="185"/>
      <c r="AG678" s="184" t="n">
        <v>4.01</v>
      </c>
      <c r="AH678" s="185" t="n">
        <v>40725</v>
      </c>
      <c r="AI678" s="183"/>
      <c r="AJ678" s="183"/>
      <c r="AK678" s="182"/>
      <c r="AL678" s="182"/>
      <c r="AM678" s="184" t="n">
        <v>88</v>
      </c>
      <c r="AN678" s="183" t="n">
        <v>40630</v>
      </c>
      <c r="AO678" s="182"/>
      <c r="AP678" s="182"/>
      <c r="AQ678" s="183"/>
      <c r="AR678" s="183"/>
      <c r="AS678" s="182"/>
      <c r="AT678" s="182"/>
      <c r="AU678" s="183"/>
      <c r="AV678" s="183"/>
      <c r="AW678" s="182"/>
      <c r="AX678" s="182"/>
      <c r="AY678" s="183"/>
      <c r="AZ678" s="183"/>
      <c r="BA678" s="182"/>
      <c r="BB678" s="182"/>
      <c r="BK678" s="183"/>
      <c r="BL678" s="183"/>
      <c r="BM678" s="182"/>
      <c r="BN678" s="182"/>
      <c r="BO678" s="183"/>
      <c r="BP678" s="183"/>
      <c r="BQ678" s="182"/>
      <c r="BR678" s="182"/>
      <c r="BS678" s="184" t="n">
        <v>53</v>
      </c>
      <c r="BT678" s="185" t="n">
        <v>40725</v>
      </c>
      <c r="BU678" s="184" t="n">
        <v>15</v>
      </c>
      <c r="BV678" s="185" t="n">
        <v>40725</v>
      </c>
      <c r="CL678" s="182"/>
      <c r="CM678" s="182"/>
    </row>
    <row r="679" customFormat="false" ht="12.75" hidden="false" customHeight="false" outlineLevel="0" collapsed="false">
      <c r="A679" s="204" t="s">
        <v>762</v>
      </c>
      <c r="B679" s="193" t="s">
        <v>785</v>
      </c>
      <c r="C679" s="193" t="s">
        <v>875</v>
      </c>
      <c r="D679" s="193"/>
      <c r="E679" s="194" t="n">
        <v>7</v>
      </c>
      <c r="F679" s="195" t="n">
        <v>24</v>
      </c>
      <c r="G679" s="119"/>
      <c r="H679" s="119"/>
      <c r="J679" s="118"/>
      <c r="K679" s="118"/>
      <c r="L679" s="181"/>
      <c r="N679" s="182"/>
      <c r="O679" s="182"/>
      <c r="S679" s="184" t="n">
        <v>2584</v>
      </c>
      <c r="T679" s="185" t="n">
        <v>40725</v>
      </c>
      <c r="U679" s="182"/>
      <c r="V679" s="182"/>
      <c r="W679" s="183"/>
      <c r="X679" s="183"/>
      <c r="Y679" s="184" t="n">
        <v>739</v>
      </c>
      <c r="Z679" s="185" t="n">
        <v>40725</v>
      </c>
      <c r="AA679" s="184" t="n">
        <v>124726</v>
      </c>
      <c r="AB679" s="185" t="n">
        <v>40725</v>
      </c>
      <c r="AC679" s="184" t="n">
        <v>48.6</v>
      </c>
      <c r="AD679" s="185" t="n">
        <v>40725</v>
      </c>
      <c r="AE679" s="196"/>
      <c r="AF679" s="185"/>
      <c r="AG679" s="184" t="n">
        <v>3.9</v>
      </c>
      <c r="AH679" s="185" t="n">
        <v>40725</v>
      </c>
      <c r="AI679" s="183"/>
      <c r="AJ679" s="183"/>
      <c r="AK679" s="182"/>
      <c r="AL679" s="182"/>
      <c r="AM679" s="184" t="n">
        <v>91</v>
      </c>
      <c r="AN679" s="183" t="n">
        <v>40630</v>
      </c>
      <c r="AO679" s="182"/>
      <c r="AP679" s="182"/>
      <c r="AQ679" s="183"/>
      <c r="AR679" s="183"/>
      <c r="AS679" s="182"/>
      <c r="AT679" s="182"/>
      <c r="AU679" s="183"/>
      <c r="AV679" s="183"/>
      <c r="AW679" s="182"/>
      <c r="AX679" s="182"/>
      <c r="AY679" s="183"/>
      <c r="AZ679" s="183"/>
      <c r="BA679" s="182"/>
      <c r="BB679" s="182"/>
      <c r="BK679" s="183"/>
      <c r="BL679" s="183"/>
      <c r="BM679" s="182"/>
      <c r="BN679" s="182"/>
      <c r="BO679" s="183"/>
      <c r="BP679" s="183"/>
      <c r="BQ679" s="182"/>
      <c r="BR679" s="182"/>
      <c r="BS679" s="184" t="n">
        <v>53.2</v>
      </c>
      <c r="BT679" s="185" t="n">
        <v>40725</v>
      </c>
      <c r="BU679" s="184" t="n">
        <v>15.2</v>
      </c>
      <c r="BV679" s="185" t="n">
        <v>40725</v>
      </c>
      <c r="CL679" s="182"/>
      <c r="CM679" s="182"/>
    </row>
    <row r="680" customFormat="false" ht="12.75" hidden="false" customHeight="false" outlineLevel="0" collapsed="false">
      <c r="A680" s="204" t="s">
        <v>762</v>
      </c>
      <c r="B680" s="193" t="s">
        <v>785</v>
      </c>
      <c r="C680" s="193" t="s">
        <v>876</v>
      </c>
      <c r="D680" s="193"/>
      <c r="E680" s="194" t="n">
        <v>1</v>
      </c>
      <c r="F680" s="195" t="n">
        <v>49</v>
      </c>
      <c r="G680" s="119"/>
      <c r="H680" s="119"/>
      <c r="J680" s="118"/>
      <c r="K680" s="118"/>
      <c r="L680" s="181"/>
      <c r="N680" s="182"/>
      <c r="O680" s="182"/>
      <c r="S680" s="184" t="n">
        <v>2081</v>
      </c>
      <c r="T680" s="185" t="n">
        <v>40725</v>
      </c>
      <c r="U680" s="182"/>
      <c r="V680" s="182"/>
      <c r="W680" s="183"/>
      <c r="X680" s="183"/>
      <c r="Y680" s="184" t="n">
        <v>681</v>
      </c>
      <c r="Z680" s="185" t="n">
        <v>40725</v>
      </c>
      <c r="AA680" s="184" t="n">
        <v>100837</v>
      </c>
      <c r="AB680" s="185" t="n">
        <v>40725</v>
      </c>
      <c r="AC680" s="184" t="n">
        <v>40.5</v>
      </c>
      <c r="AD680" s="185" t="n">
        <v>40725</v>
      </c>
      <c r="AE680" s="196"/>
      <c r="AF680" s="185"/>
      <c r="AG680" s="184" t="n">
        <v>4.01</v>
      </c>
      <c r="AH680" s="185" t="n">
        <v>40725</v>
      </c>
      <c r="AI680" s="183"/>
      <c r="AJ680" s="183"/>
      <c r="AK680" s="182"/>
      <c r="AL680" s="182"/>
      <c r="AM680" s="184" t="n">
        <v>90</v>
      </c>
      <c r="AN680" s="183" t="n">
        <v>40630</v>
      </c>
      <c r="AO680" s="182"/>
      <c r="AP680" s="182"/>
      <c r="AQ680" s="183"/>
      <c r="AR680" s="183"/>
      <c r="AS680" s="182"/>
      <c r="AT680" s="182"/>
      <c r="AU680" s="183"/>
      <c r="AV680" s="183"/>
      <c r="AW680" s="182"/>
      <c r="AX680" s="182"/>
      <c r="AY680" s="183"/>
      <c r="AZ680" s="183"/>
      <c r="BA680" s="182"/>
      <c r="BB680" s="182"/>
      <c r="BK680" s="183"/>
      <c r="BL680" s="183"/>
      <c r="BM680" s="182"/>
      <c r="BN680" s="182"/>
      <c r="BO680" s="183"/>
      <c r="BP680" s="183"/>
      <c r="BQ680" s="182"/>
      <c r="BR680" s="182"/>
      <c r="BS680" s="184" t="n">
        <v>51.4</v>
      </c>
      <c r="BT680" s="185" t="n">
        <v>40725</v>
      </c>
      <c r="BU680" s="184" t="n">
        <v>16.8</v>
      </c>
      <c r="BV680" s="185" t="n">
        <v>40725</v>
      </c>
      <c r="CL680" s="182"/>
      <c r="CM680" s="182"/>
    </row>
    <row r="681" customFormat="false" ht="12.75" hidden="false" customHeight="false" outlineLevel="0" collapsed="false">
      <c r="A681" s="204" t="s">
        <v>762</v>
      </c>
      <c r="B681" s="193" t="s">
        <v>785</v>
      </c>
      <c r="C681" s="193" t="s">
        <v>877</v>
      </c>
      <c r="D681" s="193"/>
      <c r="E681" s="119" t="n">
        <v>22</v>
      </c>
      <c r="F681" s="195" t="n">
        <v>75</v>
      </c>
      <c r="G681" s="119"/>
      <c r="H681" s="119"/>
      <c r="J681" s="118"/>
      <c r="K681" s="118"/>
      <c r="L681" s="181"/>
      <c r="N681" s="182"/>
      <c r="O681" s="182"/>
      <c r="S681" s="184" t="n">
        <v>2401</v>
      </c>
      <c r="T681" s="185" t="n">
        <v>40725</v>
      </c>
      <c r="U681" s="182"/>
      <c r="V681" s="182"/>
      <c r="W681" s="183"/>
      <c r="X681" s="183"/>
      <c r="Y681" s="184" t="n">
        <v>793</v>
      </c>
      <c r="Z681" s="185" t="n">
        <v>40725</v>
      </c>
      <c r="AA681" s="184" t="n">
        <v>109167</v>
      </c>
      <c r="AB681" s="185" t="n">
        <v>40725</v>
      </c>
      <c r="AC681" s="184" t="n">
        <v>46.7</v>
      </c>
      <c r="AD681" s="185" t="n">
        <v>40725</v>
      </c>
      <c r="AE681" s="196"/>
      <c r="AF681" s="185"/>
      <c r="AG681" s="184" t="n">
        <v>4.28</v>
      </c>
      <c r="AH681" s="185" t="n">
        <v>40725</v>
      </c>
      <c r="AI681" s="183"/>
      <c r="AJ681" s="183"/>
      <c r="AK681" s="182"/>
      <c r="AL681" s="182"/>
      <c r="AM681" s="184" t="n">
        <v>89</v>
      </c>
      <c r="AN681" s="183" t="n">
        <v>40630</v>
      </c>
      <c r="AO681" s="182"/>
      <c r="AP681" s="182"/>
      <c r="AQ681" s="183"/>
      <c r="AR681" s="183"/>
      <c r="AS681" s="182"/>
      <c r="AT681" s="182"/>
      <c r="AU681" s="183"/>
      <c r="AV681" s="183"/>
      <c r="AW681" s="182"/>
      <c r="AX681" s="182"/>
      <c r="AY681" s="183"/>
      <c r="AZ681" s="183"/>
      <c r="BA681" s="182"/>
      <c r="BB681" s="182"/>
      <c r="BK681" s="183"/>
      <c r="BL681" s="183"/>
      <c r="BM681" s="182"/>
      <c r="BN681" s="182"/>
      <c r="BO681" s="183"/>
      <c r="BP681" s="183"/>
      <c r="BQ681" s="182"/>
      <c r="BR681" s="182"/>
      <c r="BS681" s="184" t="n">
        <v>51.4</v>
      </c>
      <c r="BT681" s="185" t="n">
        <v>40725</v>
      </c>
      <c r="BU681" s="184" t="n">
        <v>17</v>
      </c>
      <c r="BV681" s="185" t="n">
        <v>40725</v>
      </c>
      <c r="CL681" s="182"/>
      <c r="CM681" s="182"/>
    </row>
    <row r="682" customFormat="false" ht="12.75" hidden="false" customHeight="false" outlineLevel="0" collapsed="false">
      <c r="A682" s="204" t="s">
        <v>765</v>
      </c>
      <c r="B682" s="193" t="s">
        <v>782</v>
      </c>
      <c r="C682" s="193" t="s">
        <v>875</v>
      </c>
      <c r="D682" s="193"/>
      <c r="E682" s="194" t="n">
        <v>3</v>
      </c>
      <c r="F682" s="195" t="n">
        <v>3</v>
      </c>
      <c r="G682" s="119"/>
      <c r="H682" s="119"/>
      <c r="J682" s="118"/>
      <c r="K682" s="118"/>
      <c r="L682" s="181"/>
      <c r="N682" s="182"/>
      <c r="O682" s="182"/>
      <c r="S682" s="184" t="n">
        <v>1891</v>
      </c>
      <c r="T682" s="185" t="n">
        <v>40725</v>
      </c>
      <c r="U682" s="182"/>
      <c r="V682" s="182"/>
      <c r="W682" s="183"/>
      <c r="X682" s="183"/>
      <c r="Y682" s="184" t="n">
        <v>459</v>
      </c>
      <c r="Z682" s="185" t="n">
        <v>40725</v>
      </c>
      <c r="AA682" s="184" t="n">
        <v>81433</v>
      </c>
      <c r="AB682" s="185" t="n">
        <v>40725</v>
      </c>
      <c r="AC682" s="184" t="n">
        <v>33.4</v>
      </c>
      <c r="AD682" s="185" t="n">
        <v>40725</v>
      </c>
      <c r="AE682" s="196"/>
      <c r="AF682" s="185"/>
      <c r="AG682" s="184" t="n">
        <v>4.1</v>
      </c>
      <c r="AH682" s="185" t="n">
        <v>40725</v>
      </c>
      <c r="AI682" s="183"/>
      <c r="AJ682" s="183"/>
      <c r="AK682" s="182"/>
      <c r="AL682" s="182"/>
      <c r="AM682" s="184" t="n">
        <v>78</v>
      </c>
      <c r="AN682" s="183" t="n">
        <v>40630</v>
      </c>
      <c r="AO682" s="182"/>
      <c r="AP682" s="182"/>
      <c r="AQ682" s="183"/>
      <c r="AR682" s="183"/>
      <c r="AS682" s="182"/>
      <c r="AT682" s="182"/>
      <c r="AU682" s="183"/>
      <c r="AV682" s="183"/>
      <c r="AW682" s="182"/>
      <c r="AX682" s="182"/>
      <c r="AY682" s="183"/>
      <c r="AZ682" s="183"/>
      <c r="BA682" s="182"/>
      <c r="BB682" s="182"/>
      <c r="BK682" s="183"/>
      <c r="BL682" s="183"/>
      <c r="BM682" s="182"/>
      <c r="BN682" s="182"/>
      <c r="BO682" s="183"/>
      <c r="BP682" s="183"/>
      <c r="BQ682" s="182"/>
      <c r="BR682" s="182"/>
      <c r="BS682" s="184" t="n">
        <v>56.7</v>
      </c>
      <c r="BT682" s="185" t="n">
        <v>40725</v>
      </c>
      <c r="BU682" s="184" t="n">
        <v>13.8</v>
      </c>
      <c r="BV682" s="185" t="n">
        <v>40725</v>
      </c>
      <c r="CL682" s="182"/>
      <c r="CM682" s="182"/>
    </row>
    <row r="683" customFormat="false" ht="12.75" hidden="false" customHeight="false" outlineLevel="0" collapsed="false">
      <c r="A683" s="204" t="s">
        <v>765</v>
      </c>
      <c r="B683" s="193" t="s">
        <v>782</v>
      </c>
      <c r="C683" s="193" t="s">
        <v>876</v>
      </c>
      <c r="D683" s="193"/>
      <c r="E683" s="194" t="n">
        <v>5</v>
      </c>
      <c r="F683" s="195" t="n">
        <v>51</v>
      </c>
      <c r="G683" s="119"/>
      <c r="H683" s="119"/>
      <c r="J683" s="118"/>
      <c r="K683" s="118"/>
      <c r="L683" s="181"/>
      <c r="N683" s="182"/>
      <c r="O683" s="182"/>
      <c r="S683" s="184" t="n">
        <v>1452</v>
      </c>
      <c r="T683" s="185" t="n">
        <v>40725</v>
      </c>
      <c r="U683" s="182"/>
      <c r="V683" s="182"/>
      <c r="W683" s="183"/>
      <c r="X683" s="183"/>
      <c r="Y683" s="184" t="n">
        <v>474</v>
      </c>
      <c r="Z683" s="185" t="n">
        <v>40725</v>
      </c>
      <c r="AA683" s="184" t="n">
        <v>70805</v>
      </c>
      <c r="AB683" s="185" t="n">
        <v>40725</v>
      </c>
      <c r="AC683" s="184" t="n">
        <v>28</v>
      </c>
      <c r="AD683" s="185" t="n">
        <v>40725</v>
      </c>
      <c r="AE683" s="196"/>
      <c r="AF683" s="185"/>
      <c r="AG683" s="184" t="n">
        <v>3.95</v>
      </c>
      <c r="AH683" s="185" t="n">
        <v>40725</v>
      </c>
      <c r="AI683" s="183"/>
      <c r="AJ683" s="183"/>
      <c r="AK683" s="182"/>
      <c r="AL683" s="182"/>
      <c r="AM683" s="184" t="n">
        <v>78</v>
      </c>
      <c r="AN683" s="183" t="n">
        <v>40630</v>
      </c>
      <c r="AO683" s="182"/>
      <c r="AP683" s="182"/>
      <c r="AQ683" s="183"/>
      <c r="AR683" s="183"/>
      <c r="AS683" s="182"/>
      <c r="AT683" s="182"/>
      <c r="AU683" s="183"/>
      <c r="AV683" s="183"/>
      <c r="AW683" s="182"/>
      <c r="AX683" s="182"/>
      <c r="AY683" s="183"/>
      <c r="AZ683" s="183"/>
      <c r="BA683" s="182"/>
      <c r="BB683" s="182"/>
      <c r="BK683" s="183"/>
      <c r="BL683" s="183"/>
      <c r="BM683" s="182"/>
      <c r="BN683" s="182"/>
      <c r="BO683" s="183"/>
      <c r="BP683" s="183"/>
      <c r="BQ683" s="182"/>
      <c r="BR683" s="182"/>
      <c r="BS683" s="184" t="n">
        <v>51.9</v>
      </c>
      <c r="BT683" s="185" t="n">
        <v>40725</v>
      </c>
      <c r="BU683" s="184" t="n">
        <v>16.9</v>
      </c>
      <c r="BV683" s="185" t="n">
        <v>40725</v>
      </c>
      <c r="CL683" s="182"/>
      <c r="CM683" s="182"/>
    </row>
    <row r="684" customFormat="false" ht="12.75" hidden="false" customHeight="false" outlineLevel="0" collapsed="false">
      <c r="A684" s="204" t="s">
        <v>765</v>
      </c>
      <c r="B684" s="193" t="s">
        <v>782</v>
      </c>
      <c r="C684" s="193" t="s">
        <v>877</v>
      </c>
      <c r="D684" s="193"/>
      <c r="E684" s="194" t="n">
        <v>16</v>
      </c>
      <c r="F684" s="195" t="n">
        <v>70</v>
      </c>
      <c r="G684" s="119"/>
      <c r="H684" s="119"/>
      <c r="J684" s="118"/>
      <c r="K684" s="118"/>
      <c r="L684" s="181"/>
      <c r="N684" s="182"/>
      <c r="O684" s="182"/>
      <c r="S684" s="184" t="n">
        <v>1457</v>
      </c>
      <c r="T684" s="185" t="n">
        <v>40725</v>
      </c>
      <c r="U684" s="182"/>
      <c r="V684" s="182"/>
      <c r="W684" s="183"/>
      <c r="X684" s="183"/>
      <c r="Y684" s="184" t="n">
        <v>364</v>
      </c>
      <c r="Z684" s="185" t="n">
        <v>40725</v>
      </c>
      <c r="AA684" s="184" t="n">
        <v>67491</v>
      </c>
      <c r="AB684" s="185" t="n">
        <v>40725</v>
      </c>
      <c r="AC684" s="184" t="n">
        <v>26</v>
      </c>
      <c r="AD684" s="185" t="n">
        <v>40725</v>
      </c>
      <c r="AE684" s="196"/>
      <c r="AF684" s="185"/>
      <c r="AG684" s="184" t="n">
        <v>3.85</v>
      </c>
      <c r="AH684" s="185" t="n">
        <v>40725</v>
      </c>
      <c r="AI684" s="183"/>
      <c r="AJ684" s="183"/>
      <c r="AK684" s="182"/>
      <c r="AL684" s="182"/>
      <c r="AM684" s="184" t="n">
        <v>77</v>
      </c>
      <c r="AN684" s="183" t="n">
        <v>40630</v>
      </c>
      <c r="AO684" s="182"/>
      <c r="AP684" s="182"/>
      <c r="AQ684" s="183"/>
      <c r="AR684" s="183"/>
      <c r="AS684" s="182"/>
      <c r="AT684" s="182"/>
      <c r="AU684" s="183"/>
      <c r="AV684" s="183"/>
      <c r="AW684" s="182"/>
      <c r="AX684" s="182"/>
      <c r="AY684" s="183"/>
      <c r="AZ684" s="183"/>
      <c r="BA684" s="182"/>
      <c r="BB684" s="182"/>
      <c r="BK684" s="183"/>
      <c r="BL684" s="183"/>
      <c r="BM684" s="182"/>
      <c r="BN684" s="182"/>
      <c r="BO684" s="183"/>
      <c r="BP684" s="183"/>
      <c r="BQ684" s="182"/>
      <c r="BR684" s="182"/>
      <c r="BS684" s="184" t="n">
        <v>56.1</v>
      </c>
      <c r="BT684" s="185" t="n">
        <v>40725</v>
      </c>
      <c r="BU684" s="184" t="n">
        <v>14</v>
      </c>
      <c r="BV684" s="185" t="n">
        <v>40725</v>
      </c>
      <c r="CL684" s="182"/>
      <c r="CM684" s="182"/>
    </row>
    <row r="685" customFormat="false" ht="12.75" hidden="false" customHeight="false" outlineLevel="0" collapsed="false">
      <c r="A685" s="204" t="s">
        <v>765</v>
      </c>
      <c r="B685" s="193" t="s">
        <v>785</v>
      </c>
      <c r="C685" s="193" t="s">
        <v>875</v>
      </c>
      <c r="D685" s="193"/>
      <c r="E685" s="194" t="n">
        <v>7</v>
      </c>
      <c r="F685" s="195" t="n">
        <v>19</v>
      </c>
      <c r="G685" s="119"/>
      <c r="H685" s="119"/>
      <c r="J685" s="118"/>
      <c r="K685" s="118"/>
      <c r="L685" s="181"/>
      <c r="N685" s="182"/>
      <c r="O685" s="182"/>
      <c r="S685" s="184" t="n">
        <v>2088</v>
      </c>
      <c r="T685" s="185" t="n">
        <v>40725</v>
      </c>
      <c r="U685" s="182"/>
      <c r="V685" s="182"/>
      <c r="W685" s="183"/>
      <c r="X685" s="183"/>
      <c r="Y685" s="184" t="n">
        <v>504</v>
      </c>
      <c r="Z685" s="185" t="n">
        <v>40725</v>
      </c>
      <c r="AA685" s="184" t="n">
        <v>89806</v>
      </c>
      <c r="AB685" s="185" t="n">
        <v>40725</v>
      </c>
      <c r="AC685" s="184" t="n">
        <v>37.1</v>
      </c>
      <c r="AD685" s="185" t="n">
        <v>40725</v>
      </c>
      <c r="AE685" s="196"/>
      <c r="AF685" s="185"/>
      <c r="AG685" s="184" t="n">
        <v>4.13</v>
      </c>
      <c r="AH685" s="185" t="n">
        <v>40725</v>
      </c>
      <c r="AI685" s="183"/>
      <c r="AJ685" s="183"/>
      <c r="AK685" s="182"/>
      <c r="AL685" s="182"/>
      <c r="AM685" s="184" t="n">
        <v>78</v>
      </c>
      <c r="AN685" s="183" t="n">
        <v>40630</v>
      </c>
      <c r="AO685" s="182"/>
      <c r="AP685" s="182"/>
      <c r="AQ685" s="183"/>
      <c r="AR685" s="183"/>
      <c r="AS685" s="182"/>
      <c r="AT685" s="182"/>
      <c r="AU685" s="183"/>
      <c r="AV685" s="183"/>
      <c r="AW685" s="182"/>
      <c r="AX685" s="182"/>
      <c r="AY685" s="183"/>
      <c r="AZ685" s="183"/>
      <c r="BA685" s="182"/>
      <c r="BB685" s="182"/>
      <c r="BK685" s="183"/>
      <c r="BL685" s="183"/>
      <c r="BM685" s="182"/>
      <c r="BN685" s="182"/>
      <c r="BO685" s="183"/>
      <c r="BP685" s="183"/>
      <c r="BQ685" s="182"/>
      <c r="BR685" s="182"/>
      <c r="BS685" s="184" t="n">
        <v>56.4</v>
      </c>
      <c r="BT685" s="185" t="n">
        <v>40725</v>
      </c>
      <c r="BU685" s="184" t="n">
        <v>13.6</v>
      </c>
      <c r="BV685" s="185" t="n">
        <v>40725</v>
      </c>
      <c r="CL685" s="182"/>
      <c r="CM685" s="182"/>
    </row>
    <row r="686" customFormat="false" ht="12.75" hidden="false" customHeight="false" outlineLevel="0" collapsed="false">
      <c r="A686" s="204" t="s">
        <v>765</v>
      </c>
      <c r="B686" s="193" t="s">
        <v>785</v>
      </c>
      <c r="C686" s="193" t="s">
        <v>876</v>
      </c>
      <c r="D686" s="193"/>
      <c r="E686" s="194" t="n">
        <v>1</v>
      </c>
      <c r="F686" s="195" t="n">
        <v>38</v>
      </c>
      <c r="G686" s="119"/>
      <c r="H686" s="119"/>
      <c r="J686" s="118"/>
      <c r="K686" s="118"/>
      <c r="L686" s="181"/>
      <c r="N686" s="182"/>
      <c r="O686" s="182"/>
      <c r="S686" s="184" t="n">
        <v>1833</v>
      </c>
      <c r="T686" s="185" t="n">
        <v>40725</v>
      </c>
      <c r="U686" s="182"/>
      <c r="V686" s="182"/>
      <c r="W686" s="183"/>
      <c r="X686" s="183"/>
      <c r="Y686" s="184" t="n">
        <v>528</v>
      </c>
      <c r="Z686" s="185" t="n">
        <v>40725</v>
      </c>
      <c r="AA686" s="184" t="n">
        <v>82255</v>
      </c>
      <c r="AB686" s="185" t="n">
        <v>40725</v>
      </c>
      <c r="AC686" s="184" t="n">
        <v>33.7</v>
      </c>
      <c r="AD686" s="185" t="n">
        <v>40725</v>
      </c>
      <c r="AE686" s="196"/>
      <c r="AF686" s="185"/>
      <c r="AG686" s="184" t="n">
        <v>4.09</v>
      </c>
      <c r="AH686" s="185" t="n">
        <v>40725</v>
      </c>
      <c r="AI686" s="183"/>
      <c r="AJ686" s="183"/>
      <c r="AK686" s="182"/>
      <c r="AL686" s="182"/>
      <c r="AM686" s="184" t="n">
        <v>78</v>
      </c>
      <c r="AN686" s="183" t="n">
        <v>40630</v>
      </c>
      <c r="AO686" s="182"/>
      <c r="AP686" s="182"/>
      <c r="AQ686" s="183"/>
      <c r="AR686" s="183"/>
      <c r="AS686" s="182"/>
      <c r="AT686" s="182"/>
      <c r="AU686" s="183"/>
      <c r="AV686" s="183"/>
      <c r="AW686" s="182"/>
      <c r="AX686" s="182"/>
      <c r="AY686" s="183"/>
      <c r="AZ686" s="183"/>
      <c r="BA686" s="182"/>
      <c r="BB686" s="182"/>
      <c r="BK686" s="183"/>
      <c r="BL686" s="183"/>
      <c r="BM686" s="182"/>
      <c r="BN686" s="182"/>
      <c r="BO686" s="183"/>
      <c r="BP686" s="183"/>
      <c r="BQ686" s="182"/>
      <c r="BR686" s="182"/>
      <c r="BS686" s="184" t="n">
        <v>54.5</v>
      </c>
      <c r="BT686" s="185" t="n">
        <v>40725</v>
      </c>
      <c r="BU686" s="184" t="n">
        <v>15.7</v>
      </c>
      <c r="BV686" s="185" t="n">
        <v>40725</v>
      </c>
      <c r="CL686" s="182"/>
      <c r="CM686" s="182"/>
    </row>
    <row r="687" customFormat="false" ht="12.75" hidden="false" customHeight="false" outlineLevel="0" collapsed="false">
      <c r="A687" s="204" t="s">
        <v>765</v>
      </c>
      <c r="B687" s="193" t="s">
        <v>785</v>
      </c>
      <c r="C687" s="193" t="s">
        <v>877</v>
      </c>
      <c r="D687" s="193"/>
      <c r="E687" s="119" t="n">
        <v>20</v>
      </c>
      <c r="F687" s="195" t="n">
        <v>69</v>
      </c>
      <c r="G687" s="119"/>
      <c r="H687" s="119"/>
      <c r="J687" s="118"/>
      <c r="K687" s="118"/>
      <c r="L687" s="181"/>
      <c r="N687" s="182"/>
      <c r="O687" s="182"/>
      <c r="S687" s="184" t="n">
        <v>1230</v>
      </c>
      <c r="T687" s="185" t="n">
        <v>40725</v>
      </c>
      <c r="U687" s="182"/>
      <c r="V687" s="182"/>
      <c r="W687" s="183"/>
      <c r="X687" s="183"/>
      <c r="Y687" s="184" t="n">
        <v>402</v>
      </c>
      <c r="Z687" s="185" t="n">
        <v>40725</v>
      </c>
      <c r="AA687" s="184" t="n">
        <v>63396</v>
      </c>
      <c r="AB687" s="185" t="n">
        <v>40725</v>
      </c>
      <c r="AC687" s="184" t="n">
        <v>23.3</v>
      </c>
      <c r="AD687" s="185" t="n">
        <v>40725</v>
      </c>
      <c r="AE687" s="196"/>
      <c r="AF687" s="185"/>
      <c r="AG687" s="184" t="n">
        <v>3.68</v>
      </c>
      <c r="AH687" s="185" t="n">
        <v>40725</v>
      </c>
      <c r="AI687" s="183"/>
      <c r="AJ687" s="183"/>
      <c r="AK687" s="182"/>
      <c r="AL687" s="182"/>
      <c r="AM687" s="184" t="n">
        <v>78</v>
      </c>
      <c r="AN687" s="183" t="n">
        <v>40630</v>
      </c>
      <c r="AO687" s="182"/>
      <c r="AP687" s="182"/>
      <c r="AQ687" s="183"/>
      <c r="AR687" s="183"/>
      <c r="AS687" s="182"/>
      <c r="AT687" s="182"/>
      <c r="AU687" s="183"/>
      <c r="AV687" s="183"/>
      <c r="AW687" s="182"/>
      <c r="AX687" s="182"/>
      <c r="AY687" s="183"/>
      <c r="AZ687" s="183"/>
      <c r="BA687" s="182"/>
      <c r="BB687" s="182"/>
      <c r="BK687" s="183"/>
      <c r="BL687" s="183"/>
      <c r="BM687" s="182"/>
      <c r="BN687" s="182"/>
      <c r="BO687" s="183"/>
      <c r="BP687" s="183"/>
      <c r="BQ687" s="182"/>
      <c r="BR687" s="182"/>
      <c r="BS687" s="184" t="n">
        <v>52.7</v>
      </c>
      <c r="BT687" s="185" t="n">
        <v>40725</v>
      </c>
      <c r="BU687" s="184" t="n">
        <v>17.2</v>
      </c>
      <c r="BV687" s="185" t="n">
        <v>40725</v>
      </c>
      <c r="CL687" s="182"/>
      <c r="CM687" s="182"/>
    </row>
    <row r="688" customFormat="false" ht="12.75" hidden="false" customHeight="false" outlineLevel="0" collapsed="false">
      <c r="A688" s="204" t="s">
        <v>768</v>
      </c>
      <c r="B688" s="193" t="s">
        <v>782</v>
      </c>
      <c r="C688" s="193" t="s">
        <v>875</v>
      </c>
      <c r="D688" s="193"/>
      <c r="E688" s="194" t="n">
        <v>4</v>
      </c>
      <c r="F688" s="195" t="n">
        <v>4</v>
      </c>
      <c r="G688" s="119"/>
      <c r="H688" s="119"/>
      <c r="J688" s="118"/>
      <c r="K688" s="118"/>
      <c r="L688" s="181"/>
      <c r="N688" s="182"/>
      <c r="O688" s="182"/>
      <c r="S688" s="184" t="n">
        <v>2077</v>
      </c>
      <c r="T688" s="185" t="n">
        <v>40725</v>
      </c>
      <c r="U688" s="182"/>
      <c r="V688" s="182"/>
      <c r="W688" s="183"/>
      <c r="X688" s="183"/>
      <c r="Y688" s="184" t="n">
        <v>625</v>
      </c>
      <c r="Z688" s="185" t="n">
        <v>40725</v>
      </c>
      <c r="AA688" s="184" t="n">
        <v>91539</v>
      </c>
      <c r="AB688" s="185" t="n">
        <v>40725</v>
      </c>
      <c r="AC688" s="184" t="n">
        <v>39.4</v>
      </c>
      <c r="AD688" s="185" t="n">
        <v>40725</v>
      </c>
      <c r="AE688" s="196"/>
      <c r="AF688" s="185"/>
      <c r="AG688" s="184" t="n">
        <v>4.3</v>
      </c>
      <c r="AH688" s="185" t="n">
        <v>40725</v>
      </c>
      <c r="AI688" s="183"/>
      <c r="AJ688" s="183"/>
      <c r="AK688" s="182"/>
      <c r="AL688" s="182"/>
      <c r="AM688" s="184" t="n">
        <v>89</v>
      </c>
      <c r="AN688" s="183" t="n">
        <v>40630</v>
      </c>
      <c r="AO688" s="182"/>
      <c r="AP688" s="182"/>
      <c r="AQ688" s="183"/>
      <c r="AR688" s="183"/>
      <c r="AS688" s="182"/>
      <c r="AT688" s="182"/>
      <c r="AU688" s="183"/>
      <c r="AV688" s="183"/>
      <c r="AW688" s="182"/>
      <c r="AX688" s="182"/>
      <c r="AY688" s="183"/>
      <c r="AZ688" s="183"/>
      <c r="BA688" s="182"/>
      <c r="BB688" s="182"/>
      <c r="BK688" s="183"/>
      <c r="BL688" s="183"/>
      <c r="BM688" s="182"/>
      <c r="BN688" s="182"/>
      <c r="BO688" s="183"/>
      <c r="BP688" s="183"/>
      <c r="BQ688" s="182"/>
      <c r="BR688" s="182"/>
      <c r="BS688" s="184" t="n">
        <v>52.8</v>
      </c>
      <c r="BT688" s="185" t="n">
        <v>40725</v>
      </c>
      <c r="BU688" s="184" t="n">
        <v>15.9</v>
      </c>
      <c r="BV688" s="185" t="n">
        <v>40725</v>
      </c>
      <c r="CL688" s="182"/>
      <c r="CM688" s="182"/>
    </row>
    <row r="689" customFormat="false" ht="12.75" hidden="false" customHeight="false" outlineLevel="0" collapsed="false">
      <c r="A689" s="204" t="s">
        <v>768</v>
      </c>
      <c r="B689" s="193" t="s">
        <v>782</v>
      </c>
      <c r="C689" s="193" t="s">
        <v>876</v>
      </c>
      <c r="D689" s="193"/>
      <c r="E689" s="194" t="n">
        <v>8</v>
      </c>
      <c r="F689" s="195" t="n">
        <v>43</v>
      </c>
      <c r="G689" s="119"/>
      <c r="H689" s="119"/>
      <c r="J689" s="118"/>
      <c r="K689" s="118"/>
      <c r="L689" s="181"/>
      <c r="N689" s="182"/>
      <c r="O689" s="182"/>
      <c r="S689" s="184" t="n">
        <v>2007</v>
      </c>
      <c r="T689" s="185" t="n">
        <v>40725</v>
      </c>
      <c r="U689" s="182"/>
      <c r="V689" s="182"/>
      <c r="W689" s="183"/>
      <c r="X689" s="183"/>
      <c r="Y689" s="184" t="n">
        <v>607</v>
      </c>
      <c r="Z689" s="185" t="n">
        <v>40725</v>
      </c>
      <c r="AA689" s="184" t="n">
        <v>83901</v>
      </c>
      <c r="AB689" s="185" t="n">
        <v>40725</v>
      </c>
      <c r="AC689" s="184" t="n">
        <v>38.3</v>
      </c>
      <c r="AD689" s="185" t="n">
        <v>40725</v>
      </c>
      <c r="AE689" s="196"/>
      <c r="AF689" s="185"/>
      <c r="AG689" s="184" t="n">
        <v>4.57</v>
      </c>
      <c r="AH689" s="185" t="n">
        <v>40725</v>
      </c>
      <c r="AI689" s="183"/>
      <c r="AJ689" s="183"/>
      <c r="AK689" s="182"/>
      <c r="AL689" s="182"/>
      <c r="AM689" s="184" t="n">
        <v>88</v>
      </c>
      <c r="AN689" s="183" t="n">
        <v>40630</v>
      </c>
      <c r="AO689" s="182"/>
      <c r="AP689" s="182"/>
      <c r="AQ689" s="183"/>
      <c r="AR689" s="183"/>
      <c r="AS689" s="182"/>
      <c r="AT689" s="182"/>
      <c r="AU689" s="183"/>
      <c r="AV689" s="183"/>
      <c r="AW689" s="182"/>
      <c r="AX689" s="182"/>
      <c r="AY689" s="183"/>
      <c r="AZ689" s="183"/>
      <c r="BA689" s="182"/>
      <c r="BB689" s="182"/>
      <c r="BK689" s="183"/>
      <c r="BL689" s="183"/>
      <c r="BM689" s="182"/>
      <c r="BN689" s="182"/>
      <c r="BO689" s="183"/>
      <c r="BP689" s="183"/>
      <c r="BQ689" s="182"/>
      <c r="BR689" s="182"/>
      <c r="BS689" s="184" t="n">
        <v>52.3</v>
      </c>
      <c r="BT689" s="185" t="n">
        <v>40725</v>
      </c>
      <c r="BU689" s="184" t="n">
        <v>15.8</v>
      </c>
      <c r="BV689" s="185" t="n">
        <v>40725</v>
      </c>
      <c r="CL689" s="182"/>
      <c r="CM689" s="182"/>
    </row>
    <row r="690" customFormat="false" ht="12.75" hidden="false" customHeight="false" outlineLevel="0" collapsed="false">
      <c r="A690" s="204" t="s">
        <v>768</v>
      </c>
      <c r="B690" s="193" t="s">
        <v>782</v>
      </c>
      <c r="C690" s="193" t="s">
        <v>877</v>
      </c>
      <c r="D690" s="193"/>
      <c r="E690" s="119" t="n">
        <v>15</v>
      </c>
      <c r="F690" s="195" t="n">
        <v>72</v>
      </c>
      <c r="G690" s="119"/>
      <c r="H690" s="119"/>
      <c r="J690" s="118"/>
      <c r="K690" s="118"/>
      <c r="L690" s="181"/>
      <c r="N690" s="182"/>
      <c r="O690" s="182"/>
      <c r="S690" s="184" t="n">
        <v>1790</v>
      </c>
      <c r="T690" s="185" t="n">
        <v>40725</v>
      </c>
      <c r="U690" s="182"/>
      <c r="V690" s="182"/>
      <c r="W690" s="183"/>
      <c r="X690" s="183"/>
      <c r="Y690" s="184" t="n">
        <v>629</v>
      </c>
      <c r="Z690" s="185" t="n">
        <v>40725</v>
      </c>
      <c r="AA690" s="184" t="n">
        <v>78117</v>
      </c>
      <c r="AB690" s="185" t="n">
        <v>40725</v>
      </c>
      <c r="AC690" s="184" t="n">
        <v>35.3</v>
      </c>
      <c r="AD690" s="185" t="n">
        <v>40725</v>
      </c>
      <c r="AE690" s="196"/>
      <c r="AF690" s="185"/>
      <c r="AG690" s="184" t="n">
        <v>4.52</v>
      </c>
      <c r="AH690" s="185" t="n">
        <v>40725</v>
      </c>
      <c r="AI690" s="183"/>
      <c r="AJ690" s="183"/>
      <c r="AK690" s="182"/>
      <c r="AL690" s="182"/>
      <c r="AM690" s="184" t="n">
        <v>87</v>
      </c>
      <c r="AN690" s="183" t="n">
        <v>40630</v>
      </c>
      <c r="AO690" s="182"/>
      <c r="AP690" s="182"/>
      <c r="AQ690" s="183"/>
      <c r="AR690" s="183"/>
      <c r="AS690" s="182"/>
      <c r="AT690" s="182"/>
      <c r="AU690" s="183"/>
      <c r="AV690" s="183"/>
      <c r="AW690" s="182"/>
      <c r="AX690" s="182"/>
      <c r="AY690" s="183"/>
      <c r="AZ690" s="183"/>
      <c r="BA690" s="182"/>
      <c r="BB690" s="182"/>
      <c r="BK690" s="183"/>
      <c r="BL690" s="183"/>
      <c r="BM690" s="182"/>
      <c r="BN690" s="182"/>
      <c r="BO690" s="183"/>
      <c r="BP690" s="183"/>
      <c r="BQ690" s="182"/>
      <c r="BR690" s="182"/>
      <c r="BS690" s="184" t="n">
        <v>50.7</v>
      </c>
      <c r="BT690" s="185" t="n">
        <v>40725</v>
      </c>
      <c r="BU690" s="184" t="n">
        <v>17.8</v>
      </c>
      <c r="BV690" s="185" t="n">
        <v>40725</v>
      </c>
      <c r="CL690" s="182"/>
      <c r="CM690" s="182"/>
    </row>
    <row r="691" customFormat="false" ht="12.75" hidden="false" customHeight="false" outlineLevel="0" collapsed="false">
      <c r="A691" s="204" t="s">
        <v>768</v>
      </c>
      <c r="B691" s="193" t="s">
        <v>785</v>
      </c>
      <c r="C691" s="193" t="s">
        <v>875</v>
      </c>
      <c r="D691" s="193"/>
      <c r="E691" s="194" t="n">
        <v>6</v>
      </c>
      <c r="F691" s="195" t="n">
        <v>1</v>
      </c>
      <c r="G691" s="119"/>
      <c r="H691" s="119"/>
      <c r="J691" s="118"/>
      <c r="K691" s="118"/>
      <c r="L691" s="181"/>
      <c r="N691" s="182"/>
      <c r="O691" s="182"/>
      <c r="S691" s="184" t="n">
        <v>2780</v>
      </c>
      <c r="T691" s="185" t="n">
        <v>40725</v>
      </c>
      <c r="U691" s="182"/>
      <c r="V691" s="182"/>
      <c r="W691" s="183"/>
      <c r="X691" s="183"/>
      <c r="Y691" s="184" t="n">
        <v>949</v>
      </c>
      <c r="Z691" s="185" t="n">
        <v>40725</v>
      </c>
      <c r="AA691" s="184" t="n">
        <v>120481</v>
      </c>
      <c r="AB691" s="185" t="n">
        <v>40725</v>
      </c>
      <c r="AC691" s="184" t="n">
        <v>54.6</v>
      </c>
      <c r="AD691" s="185" t="n">
        <v>40725</v>
      </c>
      <c r="AE691" s="196"/>
      <c r="AF691" s="185"/>
      <c r="AG691" s="184" t="n">
        <v>4.53</v>
      </c>
      <c r="AH691" s="185" t="n">
        <v>40725</v>
      </c>
      <c r="AI691" s="183"/>
      <c r="AJ691" s="183"/>
      <c r="AK691" s="182"/>
      <c r="AL691" s="182"/>
      <c r="AM691" s="184" t="n">
        <v>90</v>
      </c>
      <c r="AN691" s="183" t="n">
        <v>40630</v>
      </c>
      <c r="AO691" s="182"/>
      <c r="AP691" s="182"/>
      <c r="AQ691" s="183"/>
      <c r="AR691" s="183"/>
      <c r="AS691" s="182"/>
      <c r="AT691" s="182"/>
      <c r="AU691" s="183"/>
      <c r="AV691" s="183"/>
      <c r="AW691" s="182"/>
      <c r="AX691" s="182"/>
      <c r="AY691" s="183"/>
      <c r="AZ691" s="183"/>
      <c r="BA691" s="182"/>
      <c r="BB691" s="182"/>
      <c r="BK691" s="183"/>
      <c r="BL691" s="183"/>
      <c r="BM691" s="182"/>
      <c r="BN691" s="182"/>
      <c r="BO691" s="183"/>
      <c r="BP691" s="183"/>
      <c r="BQ691" s="182"/>
      <c r="BR691" s="182"/>
      <c r="BS691" s="184" t="n">
        <v>50.9</v>
      </c>
      <c r="BT691" s="185" t="n">
        <v>40725</v>
      </c>
      <c r="BU691" s="184" t="n">
        <v>17.4</v>
      </c>
      <c r="BV691" s="185" t="n">
        <v>40725</v>
      </c>
      <c r="CL691" s="182"/>
      <c r="CM691" s="182"/>
    </row>
    <row r="692" customFormat="false" ht="12.75" hidden="false" customHeight="false" outlineLevel="0" collapsed="false">
      <c r="A692" s="204" t="s">
        <v>768</v>
      </c>
      <c r="B692" s="193" t="s">
        <v>785</v>
      </c>
      <c r="C692" s="193" t="s">
        <v>876</v>
      </c>
      <c r="D692" s="193"/>
      <c r="E692" s="194" t="n">
        <v>4</v>
      </c>
      <c r="F692" s="195" t="n">
        <v>46</v>
      </c>
      <c r="G692" s="119"/>
      <c r="H692" s="119"/>
      <c r="J692" s="118"/>
      <c r="K692" s="118"/>
      <c r="L692" s="181"/>
      <c r="N692" s="182"/>
      <c r="O692" s="182"/>
      <c r="S692" s="184" t="n">
        <v>2378</v>
      </c>
      <c r="T692" s="185" t="n">
        <v>40725</v>
      </c>
      <c r="U692" s="182"/>
      <c r="V692" s="182"/>
      <c r="W692" s="183"/>
      <c r="X692" s="183"/>
      <c r="Y692" s="184" t="n">
        <v>864</v>
      </c>
      <c r="Z692" s="185" t="n">
        <v>40725</v>
      </c>
      <c r="AA692" s="184" t="n">
        <v>101690</v>
      </c>
      <c r="AB692" s="185" t="n">
        <v>40725</v>
      </c>
      <c r="AC692" s="184" t="n">
        <v>47.4</v>
      </c>
      <c r="AD692" s="185" t="n">
        <v>40725</v>
      </c>
      <c r="AE692" s="196"/>
      <c r="AF692" s="185"/>
      <c r="AG692" s="184" t="n">
        <v>4.66</v>
      </c>
      <c r="AH692" s="185" t="n">
        <v>40725</v>
      </c>
      <c r="AI692" s="183"/>
      <c r="AJ692" s="183"/>
      <c r="AK692" s="182"/>
      <c r="AL692" s="182"/>
      <c r="AM692" s="184" t="n">
        <v>90</v>
      </c>
      <c r="AN692" s="183" t="n">
        <v>40630</v>
      </c>
      <c r="AO692" s="182"/>
      <c r="AP692" s="182"/>
      <c r="AQ692" s="183"/>
      <c r="AR692" s="183"/>
      <c r="AS692" s="182"/>
      <c r="AT692" s="182"/>
      <c r="AU692" s="183"/>
      <c r="AV692" s="183"/>
      <c r="AW692" s="182"/>
      <c r="AX692" s="182"/>
      <c r="AY692" s="183"/>
      <c r="AZ692" s="183"/>
      <c r="BA692" s="182"/>
      <c r="BB692" s="182"/>
      <c r="BK692" s="183"/>
      <c r="BL692" s="183"/>
      <c r="BM692" s="182"/>
      <c r="BN692" s="182"/>
      <c r="BO692" s="183"/>
      <c r="BP692" s="183"/>
      <c r="BQ692" s="182"/>
      <c r="BR692" s="182"/>
      <c r="BS692" s="184" t="n">
        <v>50.2</v>
      </c>
      <c r="BT692" s="185" t="n">
        <v>40725</v>
      </c>
      <c r="BU692" s="184" t="n">
        <v>18.2</v>
      </c>
      <c r="BV692" s="185" t="n">
        <v>40725</v>
      </c>
      <c r="CL692" s="182"/>
      <c r="CM692" s="182"/>
    </row>
    <row r="693" customFormat="false" ht="12.75" hidden="false" customHeight="false" outlineLevel="0" collapsed="false">
      <c r="A693" s="204" t="s">
        <v>768</v>
      </c>
      <c r="B693" s="193" t="s">
        <v>785</v>
      </c>
      <c r="C693" s="193" t="s">
        <v>877</v>
      </c>
      <c r="D693" s="193"/>
      <c r="E693" s="119" t="n">
        <v>22</v>
      </c>
      <c r="F693" s="195" t="n">
        <v>90</v>
      </c>
      <c r="G693" s="119"/>
      <c r="H693" s="119"/>
      <c r="J693" s="118"/>
      <c r="K693" s="118"/>
      <c r="L693" s="181"/>
      <c r="N693" s="182"/>
      <c r="O693" s="182"/>
      <c r="S693" s="184" t="n">
        <v>1757</v>
      </c>
      <c r="T693" s="185" t="n">
        <v>40725</v>
      </c>
      <c r="U693" s="182"/>
      <c r="V693" s="182"/>
      <c r="W693" s="183"/>
      <c r="X693" s="183"/>
      <c r="Y693" s="184" t="n">
        <v>632</v>
      </c>
      <c r="Z693" s="185" t="n">
        <v>40725</v>
      </c>
      <c r="AA693" s="184" t="n">
        <v>74425</v>
      </c>
      <c r="AB693" s="185" t="n">
        <v>40725</v>
      </c>
      <c r="AC693" s="184" t="n">
        <v>34.9</v>
      </c>
      <c r="AD693" s="185" t="n">
        <v>40725</v>
      </c>
      <c r="AE693" s="196"/>
      <c r="AF693" s="185"/>
      <c r="AG693" s="184" t="n">
        <v>4.68</v>
      </c>
      <c r="AH693" s="185" t="n">
        <v>40725</v>
      </c>
      <c r="AI693" s="183"/>
      <c r="AJ693" s="183"/>
      <c r="AK693" s="182"/>
      <c r="AL693" s="182"/>
      <c r="AM693" s="184" t="n">
        <v>90</v>
      </c>
      <c r="AN693" s="183" t="n">
        <v>40630</v>
      </c>
      <c r="AO693" s="182"/>
      <c r="AP693" s="182"/>
      <c r="AQ693" s="183"/>
      <c r="AR693" s="183"/>
      <c r="AS693" s="182"/>
      <c r="AT693" s="182"/>
      <c r="AU693" s="183"/>
      <c r="AV693" s="183"/>
      <c r="AW693" s="182"/>
      <c r="AX693" s="182"/>
      <c r="AY693" s="183"/>
      <c r="AZ693" s="183"/>
      <c r="BA693" s="182"/>
      <c r="BB693" s="182"/>
      <c r="BK693" s="183"/>
      <c r="BL693" s="183"/>
      <c r="BM693" s="182"/>
      <c r="BN693" s="182"/>
      <c r="BO693" s="183"/>
      <c r="BP693" s="183"/>
      <c r="BQ693" s="182"/>
      <c r="BR693" s="182"/>
      <c r="BS693" s="184" t="n">
        <v>50.4</v>
      </c>
      <c r="BT693" s="185" t="n">
        <v>40725</v>
      </c>
      <c r="BU693" s="184" t="n">
        <v>18.1</v>
      </c>
      <c r="BV693" s="185" t="n">
        <v>40725</v>
      </c>
      <c r="CL693" s="182"/>
      <c r="CM693" s="182"/>
    </row>
    <row r="694" customFormat="false" ht="12.75" hidden="false" customHeight="false" outlineLevel="0" collapsed="false">
      <c r="A694" s="204" t="s">
        <v>771</v>
      </c>
      <c r="B694" s="193" t="s">
        <v>782</v>
      </c>
      <c r="C694" s="193" t="s">
        <v>875</v>
      </c>
      <c r="D694" s="193"/>
      <c r="E694" s="194" t="n">
        <v>3</v>
      </c>
      <c r="F694" s="195" t="n">
        <v>17</v>
      </c>
      <c r="G694" s="119"/>
      <c r="H694" s="119"/>
      <c r="J694" s="118"/>
      <c r="K694" s="118"/>
      <c r="L694" s="181"/>
      <c r="N694" s="182"/>
      <c r="O694" s="182"/>
      <c r="S694" s="184" t="n">
        <v>1692</v>
      </c>
      <c r="T694" s="185" t="n">
        <v>40725</v>
      </c>
      <c r="U694" s="182"/>
      <c r="V694" s="182"/>
      <c r="W694" s="183"/>
      <c r="X694" s="183"/>
      <c r="Y694" s="184" t="n">
        <v>487</v>
      </c>
      <c r="Z694" s="185" t="n">
        <v>40725</v>
      </c>
      <c r="AA694" s="184" t="n">
        <v>82630</v>
      </c>
      <c r="AB694" s="185" t="n">
        <v>40725</v>
      </c>
      <c r="AC694" s="184" t="n">
        <v>31.9</v>
      </c>
      <c r="AD694" s="185" t="n">
        <v>40725</v>
      </c>
      <c r="AE694" s="196"/>
      <c r="AF694" s="185"/>
      <c r="AG694" s="184" t="n">
        <v>3.86</v>
      </c>
      <c r="AH694" s="185" t="n">
        <v>40725</v>
      </c>
      <c r="AI694" s="183"/>
      <c r="AJ694" s="183"/>
      <c r="AK694" s="182"/>
      <c r="AL694" s="182"/>
      <c r="AM694" s="184" t="n">
        <v>84</v>
      </c>
      <c r="AN694" s="183" t="n">
        <v>40630</v>
      </c>
      <c r="AO694" s="182"/>
      <c r="AP694" s="182"/>
      <c r="AQ694" s="183"/>
      <c r="AR694" s="183"/>
      <c r="AS694" s="182"/>
      <c r="AT694" s="182"/>
      <c r="AU694" s="183"/>
      <c r="AV694" s="183"/>
      <c r="AW694" s="182"/>
      <c r="AX694" s="182"/>
      <c r="AY694" s="183"/>
      <c r="AZ694" s="183"/>
      <c r="BA694" s="182"/>
      <c r="BB694" s="182"/>
      <c r="BK694" s="183"/>
      <c r="BL694" s="183"/>
      <c r="BM694" s="182"/>
      <c r="BN694" s="182"/>
      <c r="BO694" s="183"/>
      <c r="BP694" s="183"/>
      <c r="BQ694" s="182"/>
      <c r="BR694" s="182"/>
      <c r="BS694" s="184" t="n">
        <v>53.1</v>
      </c>
      <c r="BT694" s="185" t="n">
        <v>40725</v>
      </c>
      <c r="BU694" s="184" t="n">
        <v>15.3</v>
      </c>
      <c r="BV694" s="185" t="n">
        <v>40725</v>
      </c>
      <c r="CL694" s="182"/>
      <c r="CM694" s="182"/>
    </row>
    <row r="695" customFormat="false" ht="12.75" hidden="false" customHeight="false" outlineLevel="0" collapsed="false">
      <c r="A695" s="204" t="s">
        <v>771</v>
      </c>
      <c r="B695" s="193" t="s">
        <v>782</v>
      </c>
      <c r="C695" s="193" t="s">
        <v>876</v>
      </c>
      <c r="D695" s="193"/>
      <c r="E695" s="194" t="n">
        <v>7</v>
      </c>
      <c r="F695" s="195" t="n">
        <v>59</v>
      </c>
      <c r="G695" s="119"/>
      <c r="H695" s="119"/>
      <c r="J695" s="118"/>
      <c r="K695" s="118"/>
      <c r="L695" s="181"/>
      <c r="N695" s="182"/>
      <c r="O695" s="182"/>
      <c r="S695" s="184" t="n">
        <v>1513</v>
      </c>
      <c r="T695" s="185" t="n">
        <v>40725</v>
      </c>
      <c r="U695" s="182"/>
      <c r="V695" s="182"/>
      <c r="W695" s="183"/>
      <c r="X695" s="183"/>
      <c r="Y695" s="184" t="n">
        <v>434</v>
      </c>
      <c r="Z695" s="185" t="n">
        <v>40725</v>
      </c>
      <c r="AA695" s="184" t="n">
        <v>69281</v>
      </c>
      <c r="AB695" s="185" t="n">
        <v>40725</v>
      </c>
      <c r="AC695" s="184" t="n">
        <v>28.2</v>
      </c>
      <c r="AD695" s="185" t="n">
        <v>40725</v>
      </c>
      <c r="AE695" s="196"/>
      <c r="AF695" s="185"/>
      <c r="AG695" s="184" t="n">
        <v>4.06</v>
      </c>
      <c r="AH695" s="185" t="n">
        <v>40725</v>
      </c>
      <c r="AI695" s="183"/>
      <c r="AJ695" s="183"/>
      <c r="AK695" s="182"/>
      <c r="AL695" s="182"/>
      <c r="AM695" s="184" t="n">
        <v>83</v>
      </c>
      <c r="AN695" s="183" t="n">
        <v>40630</v>
      </c>
      <c r="AO695" s="182"/>
      <c r="AP695" s="182"/>
      <c r="AQ695" s="183"/>
      <c r="AR695" s="183"/>
      <c r="AS695" s="182"/>
      <c r="AT695" s="182"/>
      <c r="AU695" s="183"/>
      <c r="AV695" s="183"/>
      <c r="AW695" s="182"/>
      <c r="AX695" s="182"/>
      <c r="AY695" s="183"/>
      <c r="AZ695" s="183"/>
      <c r="BA695" s="182"/>
      <c r="BB695" s="182"/>
      <c r="BK695" s="183"/>
      <c r="BL695" s="183"/>
      <c r="BM695" s="182"/>
      <c r="BN695" s="182"/>
      <c r="BO695" s="183"/>
      <c r="BP695" s="183"/>
      <c r="BQ695" s="182"/>
      <c r="BR695" s="182"/>
      <c r="BS695" s="184" t="n">
        <v>53.7</v>
      </c>
      <c r="BT695" s="185" t="n">
        <v>40725</v>
      </c>
      <c r="BU695" s="184" t="n">
        <v>15.4</v>
      </c>
      <c r="BV695" s="185" t="n">
        <v>40725</v>
      </c>
      <c r="CL695" s="182"/>
      <c r="CM695" s="182"/>
    </row>
    <row r="696" customFormat="false" ht="12.75" hidden="false" customHeight="false" outlineLevel="0" collapsed="false">
      <c r="A696" s="204" t="s">
        <v>771</v>
      </c>
      <c r="B696" s="193" t="s">
        <v>782</v>
      </c>
      <c r="C696" s="193" t="s">
        <v>877</v>
      </c>
      <c r="D696" s="202"/>
      <c r="E696" s="119" t="n">
        <v>17</v>
      </c>
      <c r="F696" s="195" t="n">
        <v>87</v>
      </c>
      <c r="G696" s="119"/>
      <c r="H696" s="119"/>
      <c r="J696" s="118"/>
      <c r="K696" s="118"/>
      <c r="L696" s="181"/>
      <c r="N696" s="182"/>
      <c r="O696" s="182"/>
      <c r="S696" s="184" t="n">
        <v>1453</v>
      </c>
      <c r="T696" s="185" t="n">
        <v>40725</v>
      </c>
      <c r="U696" s="182"/>
      <c r="V696" s="182"/>
      <c r="W696" s="183"/>
      <c r="X696" s="183"/>
      <c r="Y696" s="184" t="n">
        <v>469</v>
      </c>
      <c r="Z696" s="185" t="n">
        <v>40725</v>
      </c>
      <c r="AA696" s="184" t="n">
        <v>64571</v>
      </c>
      <c r="AB696" s="185" t="n">
        <v>40725</v>
      </c>
      <c r="AC696" s="184" t="n">
        <v>27.8</v>
      </c>
      <c r="AD696" s="185" t="n">
        <v>40725</v>
      </c>
      <c r="AE696" s="196"/>
      <c r="AF696" s="185"/>
      <c r="AG696" s="184" t="n">
        <v>4.31</v>
      </c>
      <c r="AH696" s="185" t="n">
        <v>40725</v>
      </c>
      <c r="AI696" s="183"/>
      <c r="AJ696" s="183"/>
      <c r="AK696" s="182"/>
      <c r="AL696" s="182"/>
      <c r="AM696" s="184" t="n">
        <v>83</v>
      </c>
      <c r="AN696" s="183" t="n">
        <v>40630</v>
      </c>
      <c r="AO696" s="182"/>
      <c r="AP696" s="182"/>
      <c r="AQ696" s="183"/>
      <c r="AR696" s="183"/>
      <c r="AS696" s="182"/>
      <c r="AT696" s="182"/>
      <c r="AU696" s="183"/>
      <c r="AV696" s="183"/>
      <c r="AW696" s="182"/>
      <c r="AX696" s="182"/>
      <c r="AY696" s="183"/>
      <c r="AZ696" s="183"/>
      <c r="BA696" s="182"/>
      <c r="BB696" s="182"/>
      <c r="BK696" s="183"/>
      <c r="BL696" s="183"/>
      <c r="BM696" s="182"/>
      <c r="BN696" s="182"/>
      <c r="BO696" s="183"/>
      <c r="BP696" s="183"/>
      <c r="BQ696" s="182"/>
      <c r="BR696" s="182"/>
      <c r="BS696" s="184" t="n">
        <v>52.2</v>
      </c>
      <c r="BT696" s="185" t="n">
        <v>40725</v>
      </c>
      <c r="BU696" s="184" t="n">
        <v>16.8</v>
      </c>
      <c r="BV696" s="185" t="n">
        <v>40725</v>
      </c>
      <c r="CL696" s="182"/>
      <c r="CM696" s="182"/>
    </row>
    <row r="697" customFormat="false" ht="12.75" hidden="false" customHeight="false" outlineLevel="0" collapsed="false">
      <c r="A697" s="204" t="s">
        <v>771</v>
      </c>
      <c r="B697" s="193" t="s">
        <v>785</v>
      </c>
      <c r="C697" s="193" t="s">
        <v>875</v>
      </c>
      <c r="D697" s="193"/>
      <c r="E697" s="194" t="n">
        <v>5</v>
      </c>
      <c r="F697" s="195" t="n">
        <v>13</v>
      </c>
      <c r="G697" s="119"/>
      <c r="H697" s="119"/>
      <c r="J697" s="118"/>
      <c r="K697" s="118"/>
      <c r="L697" s="181"/>
      <c r="N697" s="182"/>
      <c r="O697" s="182"/>
      <c r="S697" s="184" t="n">
        <v>2172</v>
      </c>
      <c r="T697" s="185" t="n">
        <v>40725</v>
      </c>
      <c r="U697" s="182"/>
      <c r="V697" s="182"/>
      <c r="W697" s="183"/>
      <c r="X697" s="183"/>
      <c r="Y697" s="184" t="n">
        <v>690</v>
      </c>
      <c r="Z697" s="185" t="n">
        <v>40725</v>
      </c>
      <c r="AA697" s="184" t="n">
        <v>100851</v>
      </c>
      <c r="AB697" s="185" t="n">
        <v>40725</v>
      </c>
      <c r="AC697" s="184" t="n">
        <v>41.6</v>
      </c>
      <c r="AD697" s="185" t="n">
        <v>40725</v>
      </c>
      <c r="AE697" s="196"/>
      <c r="AF697" s="185"/>
      <c r="AG697" s="184" t="n">
        <v>4.13</v>
      </c>
      <c r="AH697" s="185" t="n">
        <v>40725</v>
      </c>
      <c r="AI697" s="183"/>
      <c r="AJ697" s="183"/>
      <c r="AK697" s="182"/>
      <c r="AL697" s="182"/>
      <c r="AM697" s="184" t="n">
        <v>85</v>
      </c>
      <c r="AN697" s="183" t="n">
        <v>40630</v>
      </c>
      <c r="AO697" s="182"/>
      <c r="AP697" s="182"/>
      <c r="AQ697" s="183"/>
      <c r="AR697" s="183"/>
      <c r="AS697" s="182"/>
      <c r="AT697" s="182"/>
      <c r="AU697" s="183"/>
      <c r="AV697" s="183"/>
      <c r="AW697" s="182"/>
      <c r="AX697" s="182"/>
      <c r="AY697" s="183"/>
      <c r="AZ697" s="183"/>
      <c r="BA697" s="182"/>
      <c r="BB697" s="182"/>
      <c r="BK697" s="183"/>
      <c r="BL697" s="183"/>
      <c r="BM697" s="182"/>
      <c r="BN697" s="182"/>
      <c r="BO697" s="183"/>
      <c r="BP697" s="183"/>
      <c r="BQ697" s="182"/>
      <c r="BR697" s="182"/>
      <c r="BS697" s="184" t="n">
        <v>52.2</v>
      </c>
      <c r="BT697" s="185" t="n">
        <v>40725</v>
      </c>
      <c r="BU697" s="184" t="n">
        <v>16.6</v>
      </c>
      <c r="BV697" s="185" t="n">
        <v>40725</v>
      </c>
      <c r="CL697" s="182"/>
      <c r="CM697" s="182"/>
    </row>
    <row r="698" customFormat="false" ht="12.75" hidden="false" customHeight="false" outlineLevel="0" collapsed="false">
      <c r="A698" s="204" t="s">
        <v>771</v>
      </c>
      <c r="B698" s="193" t="s">
        <v>785</v>
      </c>
      <c r="C698" s="193" t="s">
        <v>876</v>
      </c>
      <c r="D698" s="205"/>
      <c r="E698" s="194" t="n">
        <v>4</v>
      </c>
      <c r="F698" s="195" t="n">
        <v>55</v>
      </c>
      <c r="G698" s="119"/>
      <c r="H698" s="119"/>
      <c r="J698" s="118"/>
      <c r="K698" s="118"/>
      <c r="L698" s="181"/>
      <c r="N698" s="182"/>
      <c r="O698" s="182"/>
      <c r="S698" s="184" t="n">
        <v>1934</v>
      </c>
      <c r="T698" s="185" t="n">
        <v>40725</v>
      </c>
      <c r="U698" s="182"/>
      <c r="V698" s="182"/>
      <c r="W698" s="183"/>
      <c r="X698" s="183"/>
      <c r="Y698" s="184" t="n">
        <v>604</v>
      </c>
      <c r="Z698" s="185" t="n">
        <v>40725</v>
      </c>
      <c r="AA698" s="184" t="n">
        <v>87425</v>
      </c>
      <c r="AB698" s="185" t="n">
        <v>40725</v>
      </c>
      <c r="AC698" s="184" t="n">
        <v>36.8</v>
      </c>
      <c r="AD698" s="185" t="n">
        <v>40725</v>
      </c>
      <c r="AE698" s="196"/>
      <c r="AF698" s="185"/>
      <c r="AG698" s="184" t="n">
        <v>4.21</v>
      </c>
      <c r="AH698" s="185" t="n">
        <v>40725</v>
      </c>
      <c r="AI698" s="183"/>
      <c r="AJ698" s="183"/>
      <c r="AK698" s="182"/>
      <c r="AL698" s="182"/>
      <c r="AM698" s="184" t="n">
        <v>85</v>
      </c>
      <c r="AN698" s="183" t="n">
        <v>40630</v>
      </c>
      <c r="AO698" s="182"/>
      <c r="AP698" s="182"/>
      <c r="AQ698" s="183"/>
      <c r="AR698" s="183"/>
      <c r="AS698" s="182"/>
      <c r="AT698" s="182"/>
      <c r="AU698" s="183"/>
      <c r="AV698" s="183"/>
      <c r="AW698" s="182"/>
      <c r="AX698" s="182"/>
      <c r="AY698" s="183"/>
      <c r="AZ698" s="183"/>
      <c r="BA698" s="182"/>
      <c r="BB698" s="182"/>
      <c r="BK698" s="183"/>
      <c r="BL698" s="183"/>
      <c r="BM698" s="182"/>
      <c r="BN698" s="182"/>
      <c r="BO698" s="183"/>
      <c r="BP698" s="183"/>
      <c r="BQ698" s="182"/>
      <c r="BR698" s="182"/>
      <c r="BS698" s="184" t="n">
        <v>52.5</v>
      </c>
      <c r="BT698" s="185" t="n">
        <v>40725</v>
      </c>
      <c r="BU698" s="184" t="n">
        <v>16.4</v>
      </c>
      <c r="BV698" s="185" t="n">
        <v>40725</v>
      </c>
      <c r="CL698" s="182"/>
      <c r="CM698" s="182"/>
    </row>
    <row r="699" customFormat="false" ht="12.75" hidden="false" customHeight="false" outlineLevel="0" collapsed="false">
      <c r="A699" s="204" t="s">
        <v>771</v>
      </c>
      <c r="B699" s="193" t="s">
        <v>785</v>
      </c>
      <c r="C699" s="193" t="s">
        <v>877</v>
      </c>
      <c r="D699" s="205"/>
      <c r="E699" s="119" t="n">
        <v>21</v>
      </c>
      <c r="F699" s="195" t="n">
        <v>70</v>
      </c>
      <c r="G699" s="119"/>
      <c r="H699" s="119"/>
      <c r="J699" s="118"/>
      <c r="K699" s="118"/>
      <c r="L699" s="181"/>
      <c r="N699" s="182"/>
      <c r="O699" s="182"/>
      <c r="S699" s="184" t="n">
        <v>1969</v>
      </c>
      <c r="T699" s="185" t="n">
        <v>40725</v>
      </c>
      <c r="U699" s="182"/>
      <c r="V699" s="182"/>
      <c r="W699" s="183"/>
      <c r="X699" s="183"/>
      <c r="Y699" s="184" t="n">
        <v>621</v>
      </c>
      <c r="Z699" s="185" t="n">
        <v>40725</v>
      </c>
      <c r="AA699" s="184" t="n">
        <v>89960</v>
      </c>
      <c r="AB699" s="185" t="n">
        <v>40725</v>
      </c>
      <c r="AC699" s="184" t="n">
        <v>37.5</v>
      </c>
      <c r="AD699" s="185" t="n">
        <v>40725</v>
      </c>
      <c r="AE699" s="196"/>
      <c r="AF699" s="185"/>
      <c r="AG699" s="184" t="n">
        <v>4.16</v>
      </c>
      <c r="AH699" s="185" t="n">
        <v>40725</v>
      </c>
      <c r="AI699" s="183"/>
      <c r="AJ699" s="183"/>
      <c r="AK699" s="182"/>
      <c r="AL699" s="182"/>
      <c r="AM699" s="184" t="n">
        <v>84</v>
      </c>
      <c r="AN699" s="183" t="n">
        <v>40630</v>
      </c>
      <c r="AO699" s="182"/>
      <c r="AP699" s="182"/>
      <c r="AQ699" s="183"/>
      <c r="AR699" s="183"/>
      <c r="AS699" s="182"/>
      <c r="AT699" s="182"/>
      <c r="AU699" s="183"/>
      <c r="AV699" s="183"/>
      <c r="AW699" s="182"/>
      <c r="AX699" s="182"/>
      <c r="AY699" s="183"/>
      <c r="AZ699" s="183"/>
      <c r="BA699" s="182"/>
      <c r="BB699" s="182"/>
      <c r="BK699" s="183"/>
      <c r="BL699" s="183"/>
      <c r="BM699" s="182"/>
      <c r="BN699" s="182"/>
      <c r="BO699" s="183"/>
      <c r="BP699" s="183"/>
      <c r="BQ699" s="182"/>
      <c r="BR699" s="182"/>
      <c r="BS699" s="184" t="n">
        <v>52.5</v>
      </c>
      <c r="BT699" s="185" t="n">
        <v>40725</v>
      </c>
      <c r="BU699" s="184" t="n">
        <v>16.6</v>
      </c>
      <c r="BV699" s="185" t="n">
        <v>40725</v>
      </c>
      <c r="CL699" s="182"/>
      <c r="CM699" s="182"/>
    </row>
    <row r="700" customFormat="false" ht="12.75" hidden="false" customHeight="false" outlineLevel="0" collapsed="false">
      <c r="A700" s="204" t="s">
        <v>774</v>
      </c>
      <c r="B700" s="193" t="s">
        <v>782</v>
      </c>
      <c r="C700" s="193" t="s">
        <v>875</v>
      </c>
      <c r="D700" s="205"/>
      <c r="E700" s="194" t="n">
        <v>3</v>
      </c>
      <c r="F700" s="195" t="n">
        <v>2</v>
      </c>
      <c r="G700" s="119"/>
      <c r="H700" s="119"/>
      <c r="J700" s="118"/>
      <c r="K700" s="118"/>
      <c r="L700" s="181"/>
      <c r="N700" s="182"/>
      <c r="O700" s="182"/>
      <c r="S700" s="184" t="n">
        <v>1710</v>
      </c>
      <c r="T700" s="185" t="n">
        <v>40725</v>
      </c>
      <c r="U700" s="182"/>
      <c r="V700" s="182"/>
      <c r="W700" s="183"/>
      <c r="X700" s="183"/>
      <c r="Y700" s="184" t="n">
        <v>534</v>
      </c>
      <c r="Z700" s="185" t="n">
        <v>40725</v>
      </c>
      <c r="AA700" s="184" t="n">
        <v>83042</v>
      </c>
      <c r="AB700" s="185" t="n">
        <v>40725</v>
      </c>
      <c r="AC700" s="184" t="n">
        <v>33.3</v>
      </c>
      <c r="AD700" s="185" t="n">
        <v>40725</v>
      </c>
      <c r="AE700" s="196"/>
      <c r="AF700" s="185"/>
      <c r="AG700" s="184" t="n">
        <v>4.01</v>
      </c>
      <c r="AH700" s="185" t="n">
        <v>40725</v>
      </c>
      <c r="AI700" s="183"/>
      <c r="AJ700" s="183"/>
      <c r="AK700" s="182"/>
      <c r="AL700" s="182"/>
      <c r="AM700" s="184" t="n">
        <v>88</v>
      </c>
      <c r="AN700" s="183" t="n">
        <v>40630</v>
      </c>
      <c r="AO700" s="182"/>
      <c r="AP700" s="182"/>
      <c r="AQ700" s="183"/>
      <c r="AR700" s="183"/>
      <c r="AS700" s="182"/>
      <c r="AT700" s="182"/>
      <c r="AU700" s="183"/>
      <c r="AV700" s="183"/>
      <c r="AW700" s="182"/>
      <c r="AX700" s="182"/>
      <c r="AY700" s="183"/>
      <c r="AZ700" s="183"/>
      <c r="BA700" s="182"/>
      <c r="BB700" s="182"/>
      <c r="BK700" s="183"/>
      <c r="BL700" s="183"/>
      <c r="BM700" s="182"/>
      <c r="BN700" s="182"/>
      <c r="BO700" s="183"/>
      <c r="BP700" s="183"/>
      <c r="BQ700" s="182"/>
      <c r="BR700" s="182"/>
      <c r="BS700" s="184" t="n">
        <v>51.4</v>
      </c>
      <c r="BT700" s="185" t="n">
        <v>40725</v>
      </c>
      <c r="BU700" s="184" t="n">
        <v>16</v>
      </c>
      <c r="BV700" s="185" t="n">
        <v>40725</v>
      </c>
      <c r="CL700" s="182"/>
      <c r="CM700" s="182"/>
    </row>
    <row r="701" customFormat="false" ht="12.75" hidden="false" customHeight="false" outlineLevel="0" collapsed="false">
      <c r="A701" s="204" t="s">
        <v>774</v>
      </c>
      <c r="B701" s="193" t="s">
        <v>782</v>
      </c>
      <c r="C701" s="193" t="s">
        <v>876</v>
      </c>
      <c r="D701" s="205"/>
      <c r="E701" s="194" t="n">
        <v>5</v>
      </c>
      <c r="F701" s="195" t="n">
        <v>58</v>
      </c>
      <c r="G701" s="119"/>
      <c r="H701" s="119"/>
      <c r="J701" s="118"/>
      <c r="K701" s="118"/>
      <c r="L701" s="181"/>
      <c r="N701" s="182"/>
      <c r="O701" s="182"/>
      <c r="S701" s="184" t="n">
        <v>1689</v>
      </c>
      <c r="T701" s="185" t="n">
        <v>40725</v>
      </c>
      <c r="U701" s="182"/>
      <c r="V701" s="182"/>
      <c r="W701" s="183"/>
      <c r="X701" s="183"/>
      <c r="Y701" s="184" t="n">
        <v>481</v>
      </c>
      <c r="Z701" s="185" t="n">
        <v>40725</v>
      </c>
      <c r="AA701" s="184" t="n">
        <v>80833</v>
      </c>
      <c r="AB701" s="185" t="n">
        <v>40725</v>
      </c>
      <c r="AC701" s="184" t="n">
        <v>32.1</v>
      </c>
      <c r="AD701" s="185" t="n">
        <v>40725</v>
      </c>
      <c r="AE701" s="196"/>
      <c r="AF701" s="185"/>
      <c r="AG701" s="184" t="n">
        <v>3.97</v>
      </c>
      <c r="AH701" s="185" t="n">
        <v>40725</v>
      </c>
      <c r="AI701" s="183"/>
      <c r="AJ701" s="183"/>
      <c r="AK701" s="182"/>
      <c r="AL701" s="182"/>
      <c r="AM701" s="184" t="n">
        <v>87</v>
      </c>
      <c r="AN701" s="183" t="n">
        <v>40630</v>
      </c>
      <c r="AO701" s="182"/>
      <c r="AP701" s="182"/>
      <c r="AQ701" s="183"/>
      <c r="AR701" s="183"/>
      <c r="AS701" s="182"/>
      <c r="AT701" s="182"/>
      <c r="AU701" s="183"/>
      <c r="AV701" s="183"/>
      <c r="AW701" s="182"/>
      <c r="AX701" s="182"/>
      <c r="AY701" s="183"/>
      <c r="AZ701" s="183"/>
      <c r="BA701" s="182"/>
      <c r="BB701" s="182"/>
      <c r="BK701" s="183"/>
      <c r="BL701" s="183"/>
      <c r="BM701" s="182"/>
      <c r="BN701" s="182"/>
      <c r="BO701" s="183"/>
      <c r="BP701" s="183"/>
      <c r="BQ701" s="182"/>
      <c r="BR701" s="182"/>
      <c r="BS701" s="184" t="n">
        <v>52.7</v>
      </c>
      <c r="BT701" s="185" t="n">
        <v>40725</v>
      </c>
      <c r="BU701" s="184" t="n">
        <v>15</v>
      </c>
      <c r="BV701" s="185" t="n">
        <v>40725</v>
      </c>
      <c r="CL701" s="182"/>
      <c r="CM701" s="182"/>
    </row>
    <row r="702" customFormat="false" ht="12.75" hidden="false" customHeight="false" outlineLevel="0" collapsed="false">
      <c r="A702" s="204" t="s">
        <v>774</v>
      </c>
      <c r="B702" s="193" t="s">
        <v>782</v>
      </c>
      <c r="C702" s="202" t="s">
        <v>877</v>
      </c>
      <c r="D702" s="205"/>
      <c r="E702" s="194" t="n">
        <v>16</v>
      </c>
      <c r="F702" s="195" t="n">
        <v>90</v>
      </c>
      <c r="G702" s="119"/>
      <c r="H702" s="119"/>
      <c r="J702" s="118"/>
      <c r="K702" s="118"/>
      <c r="L702" s="181"/>
      <c r="N702" s="182"/>
      <c r="O702" s="182"/>
      <c r="S702" s="184" t="n">
        <v>1565</v>
      </c>
      <c r="T702" s="185" t="n">
        <v>40725</v>
      </c>
      <c r="U702" s="182"/>
      <c r="V702" s="182"/>
      <c r="W702" s="183"/>
      <c r="X702" s="183"/>
      <c r="Y702" s="184" t="n">
        <v>518</v>
      </c>
      <c r="Z702" s="185" t="n">
        <v>40725</v>
      </c>
      <c r="AA702" s="184" t="n">
        <v>75155</v>
      </c>
      <c r="AB702" s="185" t="n">
        <v>40725</v>
      </c>
      <c r="AC702" s="184" t="n">
        <v>30.3</v>
      </c>
      <c r="AD702" s="185" t="n">
        <v>40725</v>
      </c>
      <c r="AE702" s="196"/>
      <c r="AF702" s="185"/>
      <c r="AG702" s="184" t="n">
        <v>4.03</v>
      </c>
      <c r="AH702" s="185" t="n">
        <v>40725</v>
      </c>
      <c r="AI702" s="183"/>
      <c r="AJ702" s="183"/>
      <c r="AK702" s="182"/>
      <c r="AL702" s="182"/>
      <c r="AM702" s="184" t="n">
        <v>86</v>
      </c>
      <c r="AN702" s="183" t="n">
        <v>40630</v>
      </c>
      <c r="AO702" s="182"/>
      <c r="AP702" s="182"/>
      <c r="AQ702" s="183"/>
      <c r="AR702" s="183"/>
      <c r="AS702" s="182"/>
      <c r="AT702" s="182"/>
      <c r="AU702" s="183"/>
      <c r="AV702" s="183"/>
      <c r="AW702" s="182"/>
      <c r="AX702" s="182"/>
      <c r="AY702" s="183"/>
      <c r="AZ702" s="183"/>
      <c r="BA702" s="182"/>
      <c r="BB702" s="182"/>
      <c r="BK702" s="183"/>
      <c r="BL702" s="183"/>
      <c r="BM702" s="182"/>
      <c r="BN702" s="182"/>
      <c r="BO702" s="183"/>
      <c r="BP702" s="183"/>
      <c r="BQ702" s="182"/>
      <c r="BR702" s="182"/>
      <c r="BS702" s="184" t="n">
        <v>51.6</v>
      </c>
      <c r="BT702" s="185" t="n">
        <v>40725</v>
      </c>
      <c r="BU702" s="184" t="n">
        <v>17.1</v>
      </c>
      <c r="BV702" s="185" t="n">
        <v>40725</v>
      </c>
      <c r="CL702" s="182"/>
      <c r="CM702" s="182"/>
    </row>
    <row r="703" customFormat="false" ht="12.75" hidden="false" customHeight="false" outlineLevel="0" collapsed="false">
      <c r="A703" s="204" t="s">
        <v>774</v>
      </c>
      <c r="B703" s="193" t="s">
        <v>785</v>
      </c>
      <c r="C703" s="193" t="s">
        <v>875</v>
      </c>
      <c r="D703" s="205"/>
      <c r="E703" s="194" t="n">
        <v>5</v>
      </c>
      <c r="F703" s="195" t="n">
        <v>12</v>
      </c>
      <c r="G703" s="119"/>
      <c r="H703" s="119"/>
      <c r="J703" s="118"/>
      <c r="K703" s="118"/>
      <c r="L703" s="181"/>
      <c r="N703" s="182"/>
      <c r="O703" s="182"/>
      <c r="S703" s="184" t="n">
        <v>2116</v>
      </c>
      <c r="T703" s="185" t="n">
        <v>40725</v>
      </c>
      <c r="U703" s="182"/>
      <c r="V703" s="182"/>
      <c r="W703" s="183"/>
      <c r="X703" s="183"/>
      <c r="Y703" s="184" t="n">
        <v>650</v>
      </c>
      <c r="Z703" s="185" t="n">
        <v>40725</v>
      </c>
      <c r="AA703" s="184" t="n">
        <v>100682</v>
      </c>
      <c r="AB703" s="185" t="n">
        <v>40725</v>
      </c>
      <c r="AC703" s="184" t="n">
        <v>40.6</v>
      </c>
      <c r="AD703" s="185" t="n">
        <v>40725</v>
      </c>
      <c r="AE703" s="196"/>
      <c r="AF703" s="185"/>
      <c r="AG703" s="184" t="n">
        <v>4.03</v>
      </c>
      <c r="AH703" s="185" t="n">
        <v>40725</v>
      </c>
      <c r="AI703" s="183"/>
      <c r="AJ703" s="183"/>
      <c r="AK703" s="182"/>
      <c r="AL703" s="182"/>
      <c r="AM703" s="184" t="n">
        <v>90</v>
      </c>
      <c r="AN703" s="183" t="n">
        <v>40630</v>
      </c>
      <c r="AO703" s="182"/>
      <c r="AP703" s="182"/>
      <c r="AQ703" s="183"/>
      <c r="AR703" s="183"/>
      <c r="AS703" s="182"/>
      <c r="AT703" s="182"/>
      <c r="AU703" s="183"/>
      <c r="AV703" s="183"/>
      <c r="AW703" s="182"/>
      <c r="AX703" s="182"/>
      <c r="AY703" s="183"/>
      <c r="AZ703" s="183"/>
      <c r="BA703" s="182"/>
      <c r="BB703" s="182"/>
      <c r="BK703" s="183"/>
      <c r="BL703" s="183"/>
      <c r="BM703" s="182"/>
      <c r="BN703" s="182"/>
      <c r="BO703" s="183"/>
      <c r="BP703" s="183"/>
      <c r="BQ703" s="182"/>
      <c r="BR703" s="182"/>
      <c r="BS703" s="184" t="n">
        <v>52.2</v>
      </c>
      <c r="BT703" s="185" t="n">
        <v>40725</v>
      </c>
      <c r="BU703" s="184" t="n">
        <v>16</v>
      </c>
      <c r="BV703" s="185" t="n">
        <v>40725</v>
      </c>
      <c r="CL703" s="182"/>
      <c r="CM703" s="182"/>
    </row>
    <row r="704" customFormat="false" ht="12.75" hidden="false" customHeight="false" outlineLevel="0" collapsed="false">
      <c r="A704" s="204" t="s">
        <v>774</v>
      </c>
      <c r="B704" s="193" t="s">
        <v>785</v>
      </c>
      <c r="C704" s="205" t="s">
        <v>876</v>
      </c>
      <c r="D704" s="205"/>
      <c r="E704" s="194" t="n">
        <v>1</v>
      </c>
      <c r="F704" s="195" t="n">
        <v>52</v>
      </c>
      <c r="G704" s="119"/>
      <c r="H704" s="119"/>
      <c r="K704" s="181"/>
      <c r="L704" s="181"/>
      <c r="N704" s="182"/>
      <c r="O704" s="182"/>
      <c r="S704" s="184" t="n">
        <v>2101</v>
      </c>
      <c r="T704" s="185" t="n">
        <v>40725</v>
      </c>
      <c r="U704" s="182"/>
      <c r="V704" s="182"/>
      <c r="W704" s="183"/>
      <c r="X704" s="183"/>
      <c r="Y704" s="184" t="n">
        <v>676</v>
      </c>
      <c r="Z704" s="185" t="n">
        <v>40725</v>
      </c>
      <c r="AA704" s="184" t="n">
        <v>98343</v>
      </c>
      <c r="AB704" s="185" t="n">
        <v>40725</v>
      </c>
      <c r="AC704" s="184" t="n">
        <v>40.4</v>
      </c>
      <c r="AD704" s="185" t="n">
        <v>40725</v>
      </c>
      <c r="AE704" s="196"/>
      <c r="AF704" s="185"/>
      <c r="AG704" s="184" t="n">
        <v>4.11</v>
      </c>
      <c r="AH704" s="185" t="n">
        <v>40725</v>
      </c>
      <c r="AI704" s="183"/>
      <c r="AJ704" s="183"/>
      <c r="AK704" s="182"/>
      <c r="AL704" s="182"/>
      <c r="AM704" s="184" t="n">
        <v>88</v>
      </c>
      <c r="AN704" s="183" t="n">
        <v>40630</v>
      </c>
      <c r="AO704" s="182"/>
      <c r="AP704" s="182"/>
      <c r="AQ704" s="183"/>
      <c r="AR704" s="183"/>
      <c r="AS704" s="182"/>
      <c r="AT704" s="182"/>
      <c r="AU704" s="183"/>
      <c r="AV704" s="183"/>
      <c r="AW704" s="182"/>
      <c r="AX704" s="182"/>
      <c r="AY704" s="183"/>
      <c r="AZ704" s="183"/>
      <c r="BA704" s="182"/>
      <c r="BB704" s="182"/>
      <c r="BK704" s="183"/>
      <c r="BL704" s="183"/>
      <c r="BM704" s="182"/>
      <c r="BN704" s="182"/>
      <c r="BO704" s="183"/>
      <c r="BP704" s="183"/>
      <c r="BQ704" s="182"/>
      <c r="BR704" s="182"/>
      <c r="BS704" s="184" t="n">
        <v>52</v>
      </c>
      <c r="BT704" s="185" t="n">
        <v>40725</v>
      </c>
      <c r="BU704" s="184" t="n">
        <v>16.7</v>
      </c>
      <c r="BV704" s="185" t="n">
        <v>40725</v>
      </c>
      <c r="CL704" s="182"/>
      <c r="CM704" s="182"/>
    </row>
    <row r="705" customFormat="false" ht="12.75" hidden="false" customHeight="false" outlineLevel="0" collapsed="false">
      <c r="A705" s="204" t="s">
        <v>774</v>
      </c>
      <c r="B705" s="193" t="s">
        <v>785</v>
      </c>
      <c r="C705" s="205" t="s">
        <v>877</v>
      </c>
      <c r="D705" s="205"/>
      <c r="E705" s="119" t="n">
        <v>24</v>
      </c>
      <c r="F705" s="195" t="n">
        <v>86</v>
      </c>
      <c r="G705" s="119"/>
      <c r="H705" s="119"/>
      <c r="K705" s="181"/>
      <c r="L705" s="181"/>
      <c r="N705" s="182"/>
      <c r="O705" s="182"/>
      <c r="S705" s="184" t="n">
        <v>1664</v>
      </c>
      <c r="T705" s="185" t="n">
        <v>40725</v>
      </c>
      <c r="U705" s="182"/>
      <c r="V705" s="182"/>
      <c r="W705" s="183"/>
      <c r="X705" s="183"/>
      <c r="Y705" s="184" t="n">
        <v>595</v>
      </c>
      <c r="Z705" s="185" t="n">
        <v>40725</v>
      </c>
      <c r="AA705" s="184" t="n">
        <v>74332</v>
      </c>
      <c r="AB705" s="185" t="n">
        <v>40725</v>
      </c>
      <c r="AC705" s="184" t="n">
        <v>32.8</v>
      </c>
      <c r="AD705" s="185" t="n">
        <v>40725</v>
      </c>
      <c r="AE705" s="196"/>
      <c r="AF705" s="185"/>
      <c r="AG705" s="184" t="n">
        <v>4.41</v>
      </c>
      <c r="AH705" s="185" t="n">
        <v>40725</v>
      </c>
      <c r="AI705" s="183"/>
      <c r="AJ705" s="183"/>
      <c r="AK705" s="182"/>
      <c r="AL705" s="182"/>
      <c r="AM705" s="184" t="n">
        <v>88</v>
      </c>
      <c r="AN705" s="183" t="n">
        <v>40630</v>
      </c>
      <c r="AO705" s="182"/>
      <c r="AP705" s="182"/>
      <c r="AQ705" s="183"/>
      <c r="AR705" s="183"/>
      <c r="AS705" s="182"/>
      <c r="AT705" s="182"/>
      <c r="AU705" s="183"/>
      <c r="AV705" s="183"/>
      <c r="AW705" s="182"/>
      <c r="AX705" s="182"/>
      <c r="AY705" s="183"/>
      <c r="AZ705" s="183"/>
      <c r="BA705" s="182"/>
      <c r="BB705" s="182"/>
      <c r="BK705" s="183"/>
      <c r="BL705" s="183"/>
      <c r="BM705" s="182"/>
      <c r="BN705" s="182"/>
      <c r="BO705" s="183"/>
      <c r="BP705" s="183"/>
      <c r="BQ705" s="182"/>
      <c r="BR705" s="182"/>
      <c r="BS705" s="184" t="n">
        <v>50.8</v>
      </c>
      <c r="BT705" s="185" t="n">
        <v>40725</v>
      </c>
      <c r="BU705" s="184" t="n">
        <v>18.1</v>
      </c>
      <c r="BV705" s="185" t="n">
        <v>40725</v>
      </c>
      <c r="CL705" s="182"/>
      <c r="CM705" s="182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FFFF"/>
    <pageSetUpPr fitToPage="false"/>
  </sheetPr>
  <dimension ref="A1:F6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selection pane="topLeft" activeCell="G36" activeCellId="1" sqref="A2:A8 G36"/>
    </sheetView>
  </sheetViews>
  <sheetFormatPr defaultColWidth="11.57421875" defaultRowHeight="12.75" customHeight="true" zeroHeight="false" outlineLevelRow="0" outlineLevelCol="0"/>
  <cols>
    <col collapsed="false" customWidth="true" hidden="false" outlineLevel="0" max="1" min="1" style="206" width="16.29"/>
    <col collapsed="false" customWidth="true" hidden="false" outlineLevel="0" max="2" min="2" style="207" width="7.57"/>
    <col collapsed="false" customWidth="true" hidden="false" outlineLevel="0" max="3" min="3" style="206" width="9.43"/>
    <col collapsed="false" customWidth="true" hidden="false" outlineLevel="0" max="4" min="4" style="208" width="9"/>
    <col collapsed="false" customWidth="true" hidden="false" outlineLevel="0" max="5" min="5" style="208" width="14.14"/>
    <col collapsed="false" customWidth="true" hidden="false" outlineLevel="0" max="6" min="6" style="208" width="12.43"/>
    <col collapsed="false" customWidth="false" hidden="false" outlineLevel="0" max="16384" min="7" style="209" width="11.57"/>
  </cols>
  <sheetData>
    <row r="1" customFormat="false" ht="12.75" hidden="false" customHeight="false" outlineLevel="0" collapsed="false">
      <c r="A1" s="210" t="s">
        <v>215</v>
      </c>
      <c r="B1" s="211" t="s">
        <v>216</v>
      </c>
      <c r="C1" s="210" t="s">
        <v>217</v>
      </c>
      <c r="D1" s="212" t="s">
        <v>218</v>
      </c>
      <c r="E1" s="212" t="s">
        <v>219</v>
      </c>
      <c r="F1" s="212" t="s">
        <v>29</v>
      </c>
    </row>
    <row r="2" customFormat="false" ht="12.75" hidden="false" customHeight="false" outlineLevel="0" collapsed="false">
      <c r="A2" s="206" t="s">
        <v>880</v>
      </c>
      <c r="B2" s="207" t="s">
        <v>881</v>
      </c>
      <c r="C2" s="206" t="s">
        <v>882</v>
      </c>
    </row>
    <row r="3" customFormat="false" ht="12.75" hidden="false" customHeight="false" outlineLevel="0" collapsed="false">
      <c r="A3" s="206" t="s">
        <v>883</v>
      </c>
      <c r="B3" s="207" t="s">
        <v>881</v>
      </c>
      <c r="C3" s="206" t="s">
        <v>882</v>
      </c>
    </row>
    <row r="4" customFormat="false" ht="12.75" hidden="false" customHeight="false" outlineLevel="0" collapsed="false">
      <c r="A4" s="206" t="s">
        <v>884</v>
      </c>
      <c r="B4" s="207" t="s">
        <v>881</v>
      </c>
      <c r="C4" s="206" t="s">
        <v>882</v>
      </c>
    </row>
    <row r="5" customFormat="false" ht="12.75" hidden="false" customHeight="false" outlineLevel="0" collapsed="false">
      <c r="A5" s="206" t="s">
        <v>885</v>
      </c>
      <c r="B5" s="207" t="s">
        <v>881</v>
      </c>
      <c r="C5" s="206" t="s">
        <v>882</v>
      </c>
    </row>
    <row r="6" customFormat="false" ht="12.75" hidden="false" customHeight="false" outlineLevel="0" collapsed="false">
      <c r="A6" s="206" t="s">
        <v>886</v>
      </c>
      <c r="B6" s="207" t="s">
        <v>881</v>
      </c>
      <c r="C6" s="206" t="s">
        <v>882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FFFF"/>
    <pageSetUpPr fitToPage="false"/>
  </sheetPr>
  <dimension ref="A1:C1"/>
  <sheetViews>
    <sheetView showFormulas="false" showGridLines="true" showRowColHeaders="true" showZeros="true" rightToLeft="false" tabSelected="false" showOutlineSymbols="true" defaultGridColor="true" view="normal" topLeftCell="A1" colorId="64" zoomScale="89" zoomScaleNormal="89" zoomScalePageLayoutView="100" workbookViewId="0">
      <selection pane="topLeft" activeCell="G54" activeCellId="1" sqref="A2:A8 G54"/>
    </sheetView>
  </sheetViews>
  <sheetFormatPr defaultColWidth="10.71484375" defaultRowHeight="12" customHeight="true" zeroHeight="false" outlineLevelRow="0" outlineLevelCol="0"/>
  <cols>
    <col collapsed="false" customWidth="true" hidden="false" outlineLevel="0" max="1" min="1" style="213" width="9.29"/>
    <col collapsed="false" customWidth="true" hidden="false" outlineLevel="0" max="2" min="2" style="213" width="10.43"/>
    <col collapsed="false" customWidth="true" hidden="false" outlineLevel="0" max="3" min="3" style="213" width="11"/>
  </cols>
  <sheetData>
    <row r="1" s="127" customFormat="true" ht="12" hidden="false" customHeight="false" outlineLevel="0" collapsed="false">
      <c r="A1" s="214" t="s">
        <v>233</v>
      </c>
      <c r="B1" s="214" t="s">
        <v>234</v>
      </c>
      <c r="C1" s="214" t="s">
        <v>235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470"/>
  <sheetViews>
    <sheetView showFormulas="false" showGridLines="true" showRowColHeaders="true" showZeros="true" rightToLeft="false" tabSelected="false" showOutlineSymbols="true" defaultGridColor="true" view="normal" topLeftCell="A1" colorId="64" zoomScale="89" zoomScaleNormal="89" zoomScalePageLayoutView="100" workbookViewId="0">
      <selection pane="topLeft" activeCell="E5" activeCellId="1" sqref="A2:A8 E5"/>
    </sheetView>
  </sheetViews>
  <sheetFormatPr defaultColWidth="9.00390625" defaultRowHeight="12" customHeight="true" zeroHeight="false" outlineLevelRow="0" outlineLevelCol="0"/>
  <cols>
    <col collapsed="false" customWidth="true" hidden="false" outlineLevel="0" max="1" min="1" style="0" width="82.14"/>
    <col collapsed="false" customWidth="true" hidden="false" outlineLevel="0" max="2" min="2" style="0" width="105.29"/>
    <col collapsed="false" customWidth="true" hidden="false" outlineLevel="0" max="3" min="3" style="0" width="83.14"/>
    <col collapsed="false" customWidth="true" hidden="false" outlineLevel="0" max="4" min="4" style="0" width="27.86"/>
    <col collapsed="false" customWidth="true" hidden="false" outlineLevel="0" max="5" min="5" style="0" width="46"/>
  </cols>
  <sheetData>
    <row r="1" customFormat="false" ht="12" hidden="false" customHeight="false" outlineLevel="0" collapsed="false">
      <c r="A1" s="215" t="s">
        <v>146</v>
      </c>
      <c r="B1" s="215" t="s">
        <v>887</v>
      </c>
      <c r="C1" s="215" t="s">
        <v>149</v>
      </c>
      <c r="D1" s="215" t="s">
        <v>26</v>
      </c>
      <c r="E1" s="215" t="s">
        <v>65</v>
      </c>
    </row>
    <row r="2" customFormat="false" ht="12" hidden="false" customHeight="false" outlineLevel="0" collapsed="false">
      <c r="A2" s="215" t="s">
        <v>888</v>
      </c>
      <c r="B2" s="215" t="s">
        <v>889</v>
      </c>
      <c r="C2" s="215" t="s">
        <v>890</v>
      </c>
      <c r="D2" s="215" t="s">
        <v>891</v>
      </c>
      <c r="E2" s="215" t="s">
        <v>892</v>
      </c>
    </row>
    <row r="3" customFormat="false" ht="12" hidden="false" customHeight="false" outlineLevel="0" collapsed="false">
      <c r="A3" s="215" t="s">
        <v>893</v>
      </c>
      <c r="B3" s="215" t="s">
        <v>894</v>
      </c>
      <c r="C3" s="215" t="s">
        <v>895</v>
      </c>
      <c r="D3" s="215" t="s">
        <v>896</v>
      </c>
      <c r="E3" s="215" t="s">
        <v>897</v>
      </c>
    </row>
    <row r="4" customFormat="false" ht="12" hidden="false" customHeight="false" outlineLevel="0" collapsed="false">
      <c r="A4" s="215" t="s">
        <v>898</v>
      </c>
      <c r="B4" s="215" t="s">
        <v>899</v>
      </c>
      <c r="C4" s="215" t="s">
        <v>900</v>
      </c>
      <c r="D4" s="215" t="s">
        <v>901</v>
      </c>
      <c r="E4" s="215" t="s">
        <v>902</v>
      </c>
    </row>
    <row r="5" customFormat="false" ht="12" hidden="false" customHeight="false" outlineLevel="0" collapsed="false">
      <c r="A5" s="215" t="s">
        <v>903</v>
      </c>
      <c r="B5" s="215" t="s">
        <v>904</v>
      </c>
      <c r="C5" s="215" t="s">
        <v>905</v>
      </c>
      <c r="D5" s="215" t="s">
        <v>906</v>
      </c>
      <c r="E5" s="215" t="s">
        <v>907</v>
      </c>
    </row>
    <row r="6" customFormat="false" ht="12" hidden="false" customHeight="false" outlineLevel="0" collapsed="false">
      <c r="A6" s="215" t="s">
        <v>908</v>
      </c>
      <c r="B6" s="215" t="s">
        <v>909</v>
      </c>
      <c r="C6" s="215" t="s">
        <v>910</v>
      </c>
      <c r="D6" s="215" t="s">
        <v>911</v>
      </c>
      <c r="E6" s="215" t="s">
        <v>90</v>
      </c>
    </row>
    <row r="7" customFormat="false" ht="12" hidden="false" customHeight="false" outlineLevel="0" collapsed="false">
      <c r="A7" s="215" t="s">
        <v>912</v>
      </c>
      <c r="B7" s="215" t="s">
        <v>913</v>
      </c>
      <c r="C7" s="215" t="s">
        <v>914</v>
      </c>
      <c r="D7" s="215" t="s">
        <v>915</v>
      </c>
      <c r="E7" s="215" t="s">
        <v>916</v>
      </c>
    </row>
    <row r="8" customFormat="false" ht="12" hidden="false" customHeight="false" outlineLevel="0" collapsed="false">
      <c r="A8" s="215" t="s">
        <v>917</v>
      </c>
      <c r="B8" s="215" t="s">
        <v>918</v>
      </c>
      <c r="C8" s="215" t="s">
        <v>919</v>
      </c>
      <c r="D8" s="215" t="s">
        <v>920</v>
      </c>
      <c r="E8" s="215" t="s">
        <v>921</v>
      </c>
    </row>
    <row r="9" customFormat="false" ht="12" hidden="false" customHeight="false" outlineLevel="0" collapsed="false">
      <c r="A9" s="215" t="s">
        <v>922</v>
      </c>
      <c r="B9" s="215" t="s">
        <v>923</v>
      </c>
      <c r="C9" s="215" t="s">
        <v>924</v>
      </c>
      <c r="D9" s="215" t="s">
        <v>925</v>
      </c>
      <c r="E9" s="215" t="s">
        <v>926</v>
      </c>
    </row>
    <row r="10" customFormat="false" ht="12" hidden="false" customHeight="false" outlineLevel="0" collapsed="false">
      <c r="A10" s="215" t="s">
        <v>927</v>
      </c>
      <c r="B10" s="215" t="s">
        <v>928</v>
      </c>
      <c r="C10" s="215" t="s">
        <v>929</v>
      </c>
      <c r="D10" s="215" t="s">
        <v>930</v>
      </c>
      <c r="E10" s="215" t="s">
        <v>931</v>
      </c>
    </row>
    <row r="11" customFormat="false" ht="12" hidden="false" customHeight="false" outlineLevel="0" collapsed="false">
      <c r="A11" s="215" t="s">
        <v>932</v>
      </c>
      <c r="B11" s="215" t="s">
        <v>933</v>
      </c>
      <c r="C11" s="215" t="s">
        <v>934</v>
      </c>
      <c r="D11" s="215" t="s">
        <v>935</v>
      </c>
      <c r="E11" s="215" t="s">
        <v>936</v>
      </c>
    </row>
    <row r="12" customFormat="false" ht="12" hidden="false" customHeight="false" outlineLevel="0" collapsed="false">
      <c r="A12" s="215" t="s">
        <v>937</v>
      </c>
      <c r="B12" s="215" t="s">
        <v>938</v>
      </c>
      <c r="C12" s="215" t="s">
        <v>939</v>
      </c>
      <c r="D12" s="215" t="s">
        <v>940</v>
      </c>
      <c r="E12" s="215" t="s">
        <v>941</v>
      </c>
    </row>
    <row r="13" customFormat="false" ht="12" hidden="false" customHeight="false" outlineLevel="0" collapsed="false">
      <c r="A13" s="215" t="s">
        <v>942</v>
      </c>
      <c r="B13" s="215" t="s">
        <v>943</v>
      </c>
      <c r="C13" s="215" t="s">
        <v>944</v>
      </c>
      <c r="D13" s="215" t="s">
        <v>945</v>
      </c>
      <c r="E13" s="215" t="s">
        <v>946</v>
      </c>
    </row>
    <row r="14" customFormat="false" ht="12" hidden="false" customHeight="false" outlineLevel="0" collapsed="false">
      <c r="A14" s="215" t="s">
        <v>947</v>
      </c>
      <c r="B14" s="215" t="s">
        <v>948</v>
      </c>
      <c r="C14" s="215" t="s">
        <v>949</v>
      </c>
      <c r="D14" s="215" t="s">
        <v>950</v>
      </c>
      <c r="E14" s="215" t="s">
        <v>951</v>
      </c>
    </row>
    <row r="15" customFormat="false" ht="12" hidden="false" customHeight="false" outlineLevel="0" collapsed="false">
      <c r="A15" s="215" t="s">
        <v>952</v>
      </c>
      <c r="B15" s="215" t="s">
        <v>953</v>
      </c>
      <c r="C15" s="215" t="s">
        <v>954</v>
      </c>
      <c r="D15" s="215" t="s">
        <v>955</v>
      </c>
      <c r="E15" s="215" t="s">
        <v>956</v>
      </c>
    </row>
    <row r="16" customFormat="false" ht="12" hidden="false" customHeight="false" outlineLevel="0" collapsed="false">
      <c r="A16" s="215" t="s">
        <v>957</v>
      </c>
      <c r="B16" s="215" t="s">
        <v>958</v>
      </c>
      <c r="C16" s="215" t="s">
        <v>959</v>
      </c>
      <c r="D16" s="215" t="s">
        <v>960</v>
      </c>
      <c r="E16" s="215" t="s">
        <v>961</v>
      </c>
    </row>
    <row r="17" customFormat="false" ht="12" hidden="false" customHeight="false" outlineLevel="0" collapsed="false">
      <c r="A17" s="215" t="s">
        <v>962</v>
      </c>
      <c r="B17" s="215" t="s">
        <v>963</v>
      </c>
      <c r="C17" s="215" t="s">
        <v>964</v>
      </c>
      <c r="D17" s="215" t="s">
        <v>965</v>
      </c>
      <c r="E17" s="215" t="s">
        <v>966</v>
      </c>
    </row>
    <row r="18" customFormat="false" ht="12" hidden="false" customHeight="false" outlineLevel="0" collapsed="false">
      <c r="A18" s="215" t="s">
        <v>967</v>
      </c>
      <c r="B18" s="215" t="s">
        <v>968</v>
      </c>
      <c r="C18" s="215" t="s">
        <v>969</v>
      </c>
      <c r="D18" s="215" t="s">
        <v>970</v>
      </c>
      <c r="E18" s="215" t="s">
        <v>971</v>
      </c>
    </row>
    <row r="19" customFormat="false" ht="12" hidden="false" customHeight="false" outlineLevel="0" collapsed="false">
      <c r="A19" s="215" t="s">
        <v>972</v>
      </c>
      <c r="B19" s="215" t="s">
        <v>973</v>
      </c>
      <c r="C19" s="215" t="s">
        <v>974</v>
      </c>
      <c r="D19" s="215" t="s">
        <v>975</v>
      </c>
      <c r="E19" s="215" t="s">
        <v>976</v>
      </c>
    </row>
    <row r="20" customFormat="false" ht="12" hidden="false" customHeight="false" outlineLevel="0" collapsed="false">
      <c r="A20" s="215" t="s">
        <v>977</v>
      </c>
      <c r="B20" s="215" t="s">
        <v>978</v>
      </c>
      <c r="C20" s="215" t="s">
        <v>979</v>
      </c>
      <c r="D20" s="215" t="s">
        <v>980</v>
      </c>
      <c r="E20" s="215" t="s">
        <v>981</v>
      </c>
    </row>
    <row r="21" customFormat="false" ht="12" hidden="false" customHeight="false" outlineLevel="0" collapsed="false">
      <c r="A21" s="215" t="s">
        <v>982</v>
      </c>
      <c r="B21" s="215" t="s">
        <v>983</v>
      </c>
      <c r="C21" s="215" t="s">
        <v>984</v>
      </c>
      <c r="D21" s="215" t="s">
        <v>985</v>
      </c>
      <c r="E21" s="215" t="s">
        <v>986</v>
      </c>
    </row>
    <row r="22" customFormat="false" ht="12" hidden="false" customHeight="false" outlineLevel="0" collapsed="false">
      <c r="A22" s="215" t="s">
        <v>987</v>
      </c>
      <c r="B22" s="215" t="s">
        <v>988</v>
      </c>
      <c r="D22" s="215" t="s">
        <v>989</v>
      </c>
      <c r="E22" s="215" t="s">
        <v>990</v>
      </c>
    </row>
    <row r="23" customFormat="false" ht="12" hidden="false" customHeight="false" outlineLevel="0" collapsed="false">
      <c r="A23" s="215" t="s">
        <v>991</v>
      </c>
      <c r="B23" s="215" t="s">
        <v>992</v>
      </c>
      <c r="D23" s="215" t="s">
        <v>993</v>
      </c>
      <c r="E23" s="215" t="s">
        <v>994</v>
      </c>
    </row>
    <row r="24" customFormat="false" ht="12" hidden="false" customHeight="false" outlineLevel="0" collapsed="false">
      <c r="A24" s="215" t="s">
        <v>995</v>
      </c>
      <c r="B24" s="215" t="s">
        <v>996</v>
      </c>
      <c r="D24" s="215" t="s">
        <v>997</v>
      </c>
      <c r="E24" s="215" t="s">
        <v>998</v>
      </c>
    </row>
    <row r="25" customFormat="false" ht="12" hidden="false" customHeight="false" outlineLevel="0" collapsed="false">
      <c r="A25" s="215" t="s">
        <v>999</v>
      </c>
      <c r="B25" s="215" t="s">
        <v>1000</v>
      </c>
      <c r="D25" s="215" t="s">
        <v>1001</v>
      </c>
    </row>
    <row r="26" customFormat="false" ht="12" hidden="false" customHeight="false" outlineLevel="0" collapsed="false">
      <c r="A26" s="215" t="s">
        <v>1002</v>
      </c>
      <c r="B26" s="215" t="s">
        <v>1003</v>
      </c>
      <c r="D26" s="215" t="s">
        <v>1004</v>
      </c>
    </row>
    <row r="27" customFormat="false" ht="12" hidden="false" customHeight="false" outlineLevel="0" collapsed="false">
      <c r="A27" s="215" t="s">
        <v>1005</v>
      </c>
      <c r="B27" s="215" t="s">
        <v>1006</v>
      </c>
      <c r="D27" s="215" t="s">
        <v>1007</v>
      </c>
    </row>
    <row r="28" customFormat="false" ht="12" hidden="false" customHeight="false" outlineLevel="0" collapsed="false">
      <c r="A28" s="215" t="s">
        <v>1008</v>
      </c>
      <c r="B28" s="215" t="s">
        <v>1009</v>
      </c>
      <c r="D28" s="215" t="s">
        <v>1010</v>
      </c>
    </row>
    <row r="29" customFormat="false" ht="12" hidden="false" customHeight="false" outlineLevel="0" collapsed="false">
      <c r="A29" s="215" t="s">
        <v>1011</v>
      </c>
      <c r="B29" s="215" t="s">
        <v>1012</v>
      </c>
      <c r="D29" s="215" t="s">
        <v>1013</v>
      </c>
    </row>
    <row r="30" customFormat="false" ht="12" hidden="false" customHeight="false" outlineLevel="0" collapsed="false">
      <c r="A30" s="215" t="s">
        <v>1014</v>
      </c>
      <c r="B30" s="215" t="s">
        <v>1015</v>
      </c>
      <c r="D30" s="215" t="s">
        <v>1016</v>
      </c>
    </row>
    <row r="31" customFormat="false" ht="12" hidden="false" customHeight="false" outlineLevel="0" collapsed="false">
      <c r="A31" s="215" t="s">
        <v>1017</v>
      </c>
      <c r="B31" s="215" t="s">
        <v>1018</v>
      </c>
      <c r="D31" s="215" t="s">
        <v>1019</v>
      </c>
    </row>
    <row r="32" customFormat="false" ht="12" hidden="false" customHeight="false" outlineLevel="0" collapsed="false">
      <c r="A32" s="215" t="s">
        <v>1020</v>
      </c>
      <c r="B32" s="215" t="s">
        <v>1021</v>
      </c>
      <c r="D32" s="215" t="s">
        <v>1022</v>
      </c>
    </row>
    <row r="33" customFormat="false" ht="12" hidden="false" customHeight="false" outlineLevel="0" collapsed="false">
      <c r="A33" s="215" t="s">
        <v>1023</v>
      </c>
      <c r="B33" s="215" t="s">
        <v>1024</v>
      </c>
      <c r="D33" s="215" t="s">
        <v>1025</v>
      </c>
    </row>
    <row r="34" customFormat="false" ht="12" hidden="false" customHeight="false" outlineLevel="0" collapsed="false">
      <c r="A34" s="215" t="s">
        <v>1026</v>
      </c>
      <c r="B34" s="215" t="s">
        <v>1027</v>
      </c>
      <c r="D34" s="215" t="s">
        <v>1028</v>
      </c>
    </row>
    <row r="35" customFormat="false" ht="12" hidden="false" customHeight="false" outlineLevel="0" collapsed="false">
      <c r="A35" s="215" t="s">
        <v>1029</v>
      </c>
      <c r="B35" s="215" t="s">
        <v>1030</v>
      </c>
      <c r="D35" s="215" t="s">
        <v>1031</v>
      </c>
    </row>
    <row r="36" customFormat="false" ht="12" hidden="false" customHeight="false" outlineLevel="0" collapsed="false">
      <c r="A36" s="215" t="s">
        <v>1032</v>
      </c>
      <c r="B36" s="215" t="s">
        <v>1033</v>
      </c>
      <c r="D36" s="215" t="s">
        <v>1034</v>
      </c>
    </row>
    <row r="37" customFormat="false" ht="12" hidden="false" customHeight="false" outlineLevel="0" collapsed="false">
      <c r="A37" s="215" t="s">
        <v>1035</v>
      </c>
      <c r="B37" s="215" t="s">
        <v>1036</v>
      </c>
      <c r="D37" s="215" t="s">
        <v>1037</v>
      </c>
    </row>
    <row r="38" customFormat="false" ht="12" hidden="false" customHeight="false" outlineLevel="0" collapsed="false">
      <c r="A38" s="215" t="s">
        <v>1038</v>
      </c>
      <c r="B38" s="215" t="s">
        <v>1039</v>
      </c>
      <c r="D38" s="215" t="s">
        <v>1040</v>
      </c>
    </row>
    <row r="39" customFormat="false" ht="12" hidden="false" customHeight="false" outlineLevel="0" collapsed="false">
      <c r="A39" s="215" t="s">
        <v>1041</v>
      </c>
      <c r="B39" s="215" t="s">
        <v>1042</v>
      </c>
      <c r="D39" s="215" t="s">
        <v>1043</v>
      </c>
    </row>
    <row r="40" customFormat="false" ht="12" hidden="false" customHeight="false" outlineLevel="0" collapsed="false">
      <c r="A40" s="215" t="s">
        <v>1044</v>
      </c>
      <c r="B40" s="215" t="s">
        <v>1045</v>
      </c>
      <c r="D40" s="215" t="s">
        <v>1046</v>
      </c>
    </row>
    <row r="41" customFormat="false" ht="12" hidden="false" customHeight="false" outlineLevel="0" collapsed="false">
      <c r="A41" s="215" t="s">
        <v>1047</v>
      </c>
      <c r="B41" s="215" t="s">
        <v>1048</v>
      </c>
      <c r="D41" s="215" t="s">
        <v>1049</v>
      </c>
    </row>
    <row r="42" customFormat="false" ht="12" hidden="false" customHeight="false" outlineLevel="0" collapsed="false">
      <c r="A42" s="215" t="s">
        <v>1050</v>
      </c>
      <c r="B42" s="215" t="s">
        <v>1051</v>
      </c>
      <c r="D42" s="215" t="s">
        <v>1052</v>
      </c>
    </row>
    <row r="43" customFormat="false" ht="12" hidden="false" customHeight="false" outlineLevel="0" collapsed="false">
      <c r="A43" s="215" t="s">
        <v>1053</v>
      </c>
      <c r="B43" s="215" t="s">
        <v>1054</v>
      </c>
      <c r="D43" s="215" t="s">
        <v>1055</v>
      </c>
    </row>
    <row r="44" customFormat="false" ht="12" hidden="false" customHeight="false" outlineLevel="0" collapsed="false">
      <c r="A44" s="215" t="s">
        <v>1056</v>
      </c>
      <c r="B44" s="215" t="s">
        <v>1057</v>
      </c>
      <c r="D44" s="215" t="s">
        <v>1058</v>
      </c>
    </row>
    <row r="45" customFormat="false" ht="12" hidden="false" customHeight="false" outlineLevel="0" collapsed="false">
      <c r="A45" s="215" t="s">
        <v>1059</v>
      </c>
      <c r="B45" s="215" t="s">
        <v>1060</v>
      </c>
      <c r="D45" s="215" t="s">
        <v>1061</v>
      </c>
    </row>
    <row r="46" customFormat="false" ht="12" hidden="false" customHeight="false" outlineLevel="0" collapsed="false">
      <c r="A46" s="215" t="s">
        <v>1062</v>
      </c>
      <c r="B46" s="215" t="s">
        <v>1063</v>
      </c>
      <c r="D46" s="215" t="s">
        <v>1064</v>
      </c>
    </row>
    <row r="47" customFormat="false" ht="12" hidden="false" customHeight="false" outlineLevel="0" collapsed="false">
      <c r="A47" s="215" t="s">
        <v>1065</v>
      </c>
      <c r="B47" s="215" t="s">
        <v>1066</v>
      </c>
      <c r="D47" s="215" t="s">
        <v>1067</v>
      </c>
    </row>
    <row r="48" customFormat="false" ht="12" hidden="false" customHeight="false" outlineLevel="0" collapsed="false">
      <c r="A48" s="215" t="s">
        <v>1068</v>
      </c>
      <c r="B48" s="215" t="s">
        <v>1069</v>
      </c>
      <c r="D48" s="215" t="s">
        <v>1070</v>
      </c>
    </row>
    <row r="49" customFormat="false" ht="12" hidden="false" customHeight="false" outlineLevel="0" collapsed="false">
      <c r="A49" s="215" t="s">
        <v>1071</v>
      </c>
      <c r="B49" s="215" t="s">
        <v>1072</v>
      </c>
      <c r="D49" s="215" t="s">
        <v>1073</v>
      </c>
    </row>
    <row r="50" customFormat="false" ht="12" hidden="false" customHeight="false" outlineLevel="0" collapsed="false">
      <c r="A50" s="215" t="s">
        <v>1074</v>
      </c>
      <c r="B50" s="215" t="s">
        <v>1075</v>
      </c>
      <c r="D50" s="215" t="s">
        <v>1076</v>
      </c>
    </row>
    <row r="51" customFormat="false" ht="12" hidden="false" customHeight="false" outlineLevel="0" collapsed="false">
      <c r="A51" s="215" t="s">
        <v>1077</v>
      </c>
      <c r="B51" s="215" t="s">
        <v>1078</v>
      </c>
      <c r="D51" s="215" t="s">
        <v>1079</v>
      </c>
    </row>
    <row r="52" customFormat="false" ht="12" hidden="false" customHeight="false" outlineLevel="0" collapsed="false">
      <c r="A52" s="215" t="s">
        <v>1080</v>
      </c>
      <c r="B52" s="215" t="s">
        <v>1081</v>
      </c>
      <c r="D52" s="215" t="s">
        <v>1082</v>
      </c>
    </row>
    <row r="53" customFormat="false" ht="12" hidden="false" customHeight="false" outlineLevel="0" collapsed="false">
      <c r="A53" s="215" t="s">
        <v>1083</v>
      </c>
      <c r="B53" s="215" t="s">
        <v>1084</v>
      </c>
      <c r="D53" s="215" t="s">
        <v>1085</v>
      </c>
    </row>
    <row r="54" customFormat="false" ht="12" hidden="false" customHeight="false" outlineLevel="0" collapsed="false">
      <c r="A54" s="215" t="s">
        <v>1086</v>
      </c>
      <c r="B54" s="215" t="s">
        <v>1087</v>
      </c>
      <c r="D54" s="215" t="s">
        <v>1088</v>
      </c>
    </row>
    <row r="55" customFormat="false" ht="12" hidden="false" customHeight="false" outlineLevel="0" collapsed="false">
      <c r="A55" s="215" t="s">
        <v>1089</v>
      </c>
      <c r="B55" s="215" t="s">
        <v>1090</v>
      </c>
      <c r="D55" s="215" t="s">
        <v>1091</v>
      </c>
    </row>
    <row r="56" customFormat="false" ht="12" hidden="false" customHeight="false" outlineLevel="0" collapsed="false">
      <c r="A56" s="215" t="s">
        <v>1092</v>
      </c>
      <c r="B56" s="215" t="s">
        <v>1093</v>
      </c>
      <c r="D56" s="215" t="s">
        <v>1094</v>
      </c>
    </row>
    <row r="57" customFormat="false" ht="12" hidden="false" customHeight="false" outlineLevel="0" collapsed="false">
      <c r="A57" s="215" t="s">
        <v>1095</v>
      </c>
      <c r="B57" s="215" t="s">
        <v>1096</v>
      </c>
      <c r="D57" s="215" t="s">
        <v>1097</v>
      </c>
    </row>
    <row r="58" customFormat="false" ht="12" hidden="false" customHeight="false" outlineLevel="0" collapsed="false">
      <c r="A58" s="215" t="s">
        <v>1098</v>
      </c>
      <c r="B58" s="215" t="s">
        <v>1099</v>
      </c>
      <c r="D58" s="215" t="s">
        <v>1100</v>
      </c>
    </row>
    <row r="59" customFormat="false" ht="12" hidden="false" customHeight="false" outlineLevel="0" collapsed="false">
      <c r="A59" s="215" t="s">
        <v>1101</v>
      </c>
      <c r="B59" s="215" t="s">
        <v>1102</v>
      </c>
      <c r="D59" s="215" t="s">
        <v>1103</v>
      </c>
    </row>
    <row r="60" customFormat="false" ht="12" hidden="false" customHeight="false" outlineLevel="0" collapsed="false">
      <c r="A60" s="215" t="s">
        <v>1104</v>
      </c>
      <c r="B60" s="215" t="s">
        <v>1105</v>
      </c>
      <c r="D60" s="215" t="s">
        <v>1106</v>
      </c>
    </row>
    <row r="61" customFormat="false" ht="12" hidden="false" customHeight="false" outlineLevel="0" collapsed="false">
      <c r="A61" s="215" t="s">
        <v>1107</v>
      </c>
      <c r="B61" s="215" t="s">
        <v>1108</v>
      </c>
      <c r="D61" s="215" t="s">
        <v>1109</v>
      </c>
    </row>
    <row r="62" customFormat="false" ht="12" hidden="false" customHeight="false" outlineLevel="0" collapsed="false">
      <c r="A62" s="215" t="s">
        <v>1110</v>
      </c>
      <c r="B62" s="215" t="s">
        <v>1111</v>
      </c>
      <c r="D62" s="215" t="s">
        <v>1112</v>
      </c>
    </row>
    <row r="63" customFormat="false" ht="12" hidden="false" customHeight="false" outlineLevel="0" collapsed="false">
      <c r="A63" s="215" t="s">
        <v>1113</v>
      </c>
      <c r="B63" s="215" t="s">
        <v>1114</v>
      </c>
      <c r="D63" s="215" t="s">
        <v>1115</v>
      </c>
    </row>
    <row r="64" customFormat="false" ht="12" hidden="false" customHeight="false" outlineLevel="0" collapsed="false">
      <c r="A64" s="215" t="s">
        <v>1116</v>
      </c>
      <c r="B64" s="215" t="s">
        <v>1117</v>
      </c>
      <c r="D64" s="215" t="s">
        <v>1118</v>
      </c>
    </row>
    <row r="65" customFormat="false" ht="12" hidden="false" customHeight="false" outlineLevel="0" collapsed="false">
      <c r="A65" s="215" t="s">
        <v>1119</v>
      </c>
      <c r="B65" s="215" t="s">
        <v>1120</v>
      </c>
      <c r="D65" s="215" t="s">
        <v>1121</v>
      </c>
    </row>
    <row r="66" customFormat="false" ht="12" hidden="false" customHeight="false" outlineLevel="0" collapsed="false">
      <c r="A66" s="215" t="s">
        <v>1122</v>
      </c>
      <c r="B66" s="215" t="s">
        <v>1123</v>
      </c>
      <c r="D66" s="215" t="s">
        <v>1124</v>
      </c>
    </row>
    <row r="67" customFormat="false" ht="12" hidden="false" customHeight="false" outlineLevel="0" collapsed="false">
      <c r="A67" s="215" t="s">
        <v>1125</v>
      </c>
      <c r="B67" s="215" t="s">
        <v>1126</v>
      </c>
      <c r="D67" s="215" t="s">
        <v>1127</v>
      </c>
    </row>
    <row r="68" customFormat="false" ht="12" hidden="false" customHeight="false" outlineLevel="0" collapsed="false">
      <c r="A68" s="215" t="s">
        <v>1128</v>
      </c>
      <c r="B68" s="215" t="s">
        <v>1129</v>
      </c>
      <c r="D68" s="215" t="s">
        <v>1130</v>
      </c>
    </row>
    <row r="69" customFormat="false" ht="12" hidden="false" customHeight="false" outlineLevel="0" collapsed="false">
      <c r="A69" s="215" t="s">
        <v>1131</v>
      </c>
      <c r="B69" s="215" t="s">
        <v>1132</v>
      </c>
      <c r="D69" s="215" t="s">
        <v>1133</v>
      </c>
    </row>
    <row r="70" customFormat="false" ht="12" hidden="false" customHeight="false" outlineLevel="0" collapsed="false">
      <c r="A70" s="215" t="s">
        <v>1134</v>
      </c>
      <c r="B70" s="215" t="s">
        <v>1135</v>
      </c>
      <c r="D70" s="215" t="s">
        <v>1136</v>
      </c>
    </row>
    <row r="71" customFormat="false" ht="12" hidden="false" customHeight="false" outlineLevel="0" collapsed="false">
      <c r="A71" s="215" t="s">
        <v>1137</v>
      </c>
      <c r="B71" s="215" t="s">
        <v>1138</v>
      </c>
      <c r="D71" s="215" t="s">
        <v>1139</v>
      </c>
    </row>
    <row r="72" customFormat="false" ht="12" hidden="false" customHeight="false" outlineLevel="0" collapsed="false">
      <c r="A72" s="215" t="s">
        <v>1140</v>
      </c>
      <c r="B72" s="215" t="s">
        <v>1141</v>
      </c>
      <c r="D72" s="215" t="s">
        <v>1142</v>
      </c>
    </row>
    <row r="73" customFormat="false" ht="12" hidden="false" customHeight="false" outlineLevel="0" collapsed="false">
      <c r="A73" s="215" t="s">
        <v>1143</v>
      </c>
      <c r="B73" s="215" t="s">
        <v>1144</v>
      </c>
      <c r="D73" s="215" t="s">
        <v>1145</v>
      </c>
    </row>
    <row r="74" customFormat="false" ht="12" hidden="false" customHeight="false" outlineLevel="0" collapsed="false">
      <c r="A74" s="215" t="s">
        <v>1146</v>
      </c>
      <c r="B74" s="215" t="s">
        <v>1147</v>
      </c>
      <c r="D74" s="215" t="s">
        <v>1148</v>
      </c>
    </row>
    <row r="75" customFormat="false" ht="12" hidden="false" customHeight="false" outlineLevel="0" collapsed="false">
      <c r="A75" s="215" t="s">
        <v>1149</v>
      </c>
      <c r="B75" s="215" t="s">
        <v>1150</v>
      </c>
      <c r="D75" s="215" t="s">
        <v>1151</v>
      </c>
    </row>
    <row r="76" customFormat="false" ht="12" hidden="false" customHeight="false" outlineLevel="0" collapsed="false">
      <c r="A76" s="215" t="s">
        <v>429</v>
      </c>
      <c r="B76" s="215" t="s">
        <v>1152</v>
      </c>
      <c r="D76" s="215" t="s">
        <v>1153</v>
      </c>
    </row>
    <row r="77" customFormat="false" ht="12" hidden="false" customHeight="false" outlineLevel="0" collapsed="false">
      <c r="A77" s="215" t="s">
        <v>1154</v>
      </c>
      <c r="B77" s="215" t="s">
        <v>1155</v>
      </c>
      <c r="D77" s="215" t="s">
        <v>1156</v>
      </c>
    </row>
    <row r="78" customFormat="false" ht="12" hidden="false" customHeight="false" outlineLevel="0" collapsed="false">
      <c r="A78" s="215" t="s">
        <v>1157</v>
      </c>
      <c r="B78" s="215" t="s">
        <v>1158</v>
      </c>
      <c r="D78" s="215" t="s">
        <v>1159</v>
      </c>
    </row>
    <row r="79" customFormat="false" ht="12" hidden="false" customHeight="false" outlineLevel="0" collapsed="false">
      <c r="A79" s="215" t="s">
        <v>1160</v>
      </c>
      <c r="B79" s="215" t="s">
        <v>1161</v>
      </c>
      <c r="D79" s="215" t="s">
        <v>1162</v>
      </c>
    </row>
    <row r="80" customFormat="false" ht="12" hidden="false" customHeight="false" outlineLevel="0" collapsed="false">
      <c r="A80" s="215" t="s">
        <v>1163</v>
      </c>
      <c r="B80" s="215" t="s">
        <v>1164</v>
      </c>
      <c r="D80" s="215" t="s">
        <v>1165</v>
      </c>
    </row>
    <row r="81" customFormat="false" ht="12" hidden="false" customHeight="false" outlineLevel="0" collapsed="false">
      <c r="A81" s="215" t="s">
        <v>1166</v>
      </c>
      <c r="B81" s="215" t="s">
        <v>1167</v>
      </c>
      <c r="D81" s="215" t="s">
        <v>1168</v>
      </c>
    </row>
    <row r="82" customFormat="false" ht="12" hidden="false" customHeight="false" outlineLevel="0" collapsed="false">
      <c r="A82" s="215" t="s">
        <v>1169</v>
      </c>
      <c r="B82" s="215" t="s">
        <v>1170</v>
      </c>
      <c r="D82" s="215" t="s">
        <v>1171</v>
      </c>
    </row>
    <row r="83" customFormat="false" ht="12" hidden="false" customHeight="false" outlineLevel="0" collapsed="false">
      <c r="A83" s="215" t="s">
        <v>1172</v>
      </c>
      <c r="B83" s="215" t="s">
        <v>1173</v>
      </c>
      <c r="D83" s="215" t="s">
        <v>1174</v>
      </c>
    </row>
    <row r="84" customFormat="false" ht="12" hidden="false" customHeight="false" outlineLevel="0" collapsed="false">
      <c r="A84" s="215" t="s">
        <v>1175</v>
      </c>
      <c r="B84" s="215" t="s">
        <v>1176</v>
      </c>
      <c r="D84" s="215" t="s">
        <v>1177</v>
      </c>
    </row>
    <row r="85" customFormat="false" ht="12" hidden="false" customHeight="false" outlineLevel="0" collapsed="false">
      <c r="A85" s="215" t="s">
        <v>1178</v>
      </c>
      <c r="B85" s="215" t="s">
        <v>1179</v>
      </c>
      <c r="D85" s="215" t="s">
        <v>1180</v>
      </c>
    </row>
    <row r="86" customFormat="false" ht="12" hidden="false" customHeight="false" outlineLevel="0" collapsed="false">
      <c r="A86" s="215" t="s">
        <v>1181</v>
      </c>
      <c r="B86" s="215" t="s">
        <v>1182</v>
      </c>
      <c r="D86" s="215" t="s">
        <v>1183</v>
      </c>
    </row>
    <row r="87" customFormat="false" ht="12" hidden="false" customHeight="false" outlineLevel="0" collapsed="false">
      <c r="A87" s="215" t="s">
        <v>1184</v>
      </c>
      <c r="B87" s="215" t="s">
        <v>1185</v>
      </c>
      <c r="D87" s="215" t="s">
        <v>1186</v>
      </c>
    </row>
    <row r="88" customFormat="false" ht="12" hidden="false" customHeight="false" outlineLevel="0" collapsed="false">
      <c r="A88" s="215" t="s">
        <v>1187</v>
      </c>
      <c r="B88" s="215" t="s">
        <v>1188</v>
      </c>
      <c r="D88" s="215" t="s">
        <v>1189</v>
      </c>
    </row>
    <row r="89" customFormat="false" ht="12" hidden="false" customHeight="false" outlineLevel="0" collapsed="false">
      <c r="A89" s="215" t="s">
        <v>1190</v>
      </c>
      <c r="B89" s="215" t="s">
        <v>1191</v>
      </c>
      <c r="D89" s="215" t="s">
        <v>1192</v>
      </c>
    </row>
    <row r="90" customFormat="false" ht="12" hidden="false" customHeight="false" outlineLevel="0" collapsed="false">
      <c r="A90" s="215" t="s">
        <v>1193</v>
      </c>
      <c r="B90" s="215" t="s">
        <v>1194</v>
      </c>
      <c r="D90" s="215" t="s">
        <v>1195</v>
      </c>
    </row>
    <row r="91" customFormat="false" ht="12" hidden="false" customHeight="false" outlineLevel="0" collapsed="false">
      <c r="A91" s="215" t="s">
        <v>1196</v>
      </c>
      <c r="B91" s="215" t="s">
        <v>1197</v>
      </c>
      <c r="D91" s="215" t="s">
        <v>1198</v>
      </c>
    </row>
    <row r="92" customFormat="false" ht="12" hidden="false" customHeight="false" outlineLevel="0" collapsed="false">
      <c r="A92" s="215" t="s">
        <v>1199</v>
      </c>
      <c r="B92" s="215" t="s">
        <v>1200</v>
      </c>
      <c r="D92" s="215" t="s">
        <v>1201</v>
      </c>
    </row>
    <row r="93" customFormat="false" ht="12" hidden="false" customHeight="false" outlineLevel="0" collapsed="false">
      <c r="A93" s="215" t="s">
        <v>1202</v>
      </c>
      <c r="B93" s="215" t="s">
        <v>1203</v>
      </c>
      <c r="D93" s="215" t="s">
        <v>1204</v>
      </c>
    </row>
    <row r="94" customFormat="false" ht="12" hidden="false" customHeight="false" outlineLevel="0" collapsed="false">
      <c r="A94" s="215" t="s">
        <v>1205</v>
      </c>
      <c r="B94" s="215" t="s">
        <v>1206</v>
      </c>
      <c r="D94" s="215" t="s">
        <v>1207</v>
      </c>
    </row>
    <row r="95" customFormat="false" ht="12" hidden="false" customHeight="false" outlineLevel="0" collapsed="false">
      <c r="A95" s="215" t="s">
        <v>1208</v>
      </c>
      <c r="B95" s="215" t="s">
        <v>1209</v>
      </c>
      <c r="D95" s="215" t="s">
        <v>119</v>
      </c>
    </row>
    <row r="96" customFormat="false" ht="12" hidden="false" customHeight="false" outlineLevel="0" collapsed="false">
      <c r="A96" s="215" t="s">
        <v>1210</v>
      </c>
      <c r="B96" s="215" t="s">
        <v>1211</v>
      </c>
      <c r="D96" s="215" t="s">
        <v>1212</v>
      </c>
    </row>
    <row r="97" customFormat="false" ht="12" hidden="false" customHeight="false" outlineLevel="0" collapsed="false">
      <c r="A97" s="215" t="s">
        <v>1213</v>
      </c>
      <c r="B97" s="215" t="s">
        <v>1214</v>
      </c>
      <c r="D97" s="215" t="s">
        <v>1215</v>
      </c>
    </row>
    <row r="98" customFormat="false" ht="12" hidden="false" customHeight="false" outlineLevel="0" collapsed="false">
      <c r="A98" s="215" t="s">
        <v>1216</v>
      </c>
      <c r="B98" s="215" t="s">
        <v>1217</v>
      </c>
      <c r="D98" s="215" t="s">
        <v>1218</v>
      </c>
    </row>
    <row r="99" customFormat="false" ht="12" hidden="false" customHeight="false" outlineLevel="0" collapsed="false">
      <c r="A99" s="215" t="s">
        <v>1219</v>
      </c>
      <c r="B99" s="215" t="s">
        <v>1220</v>
      </c>
      <c r="D99" s="215" t="s">
        <v>1221</v>
      </c>
    </row>
    <row r="100" customFormat="false" ht="12" hidden="false" customHeight="false" outlineLevel="0" collapsed="false">
      <c r="A100" s="215" t="s">
        <v>1222</v>
      </c>
      <c r="B100" s="215" t="s">
        <v>1223</v>
      </c>
      <c r="D100" s="215" t="s">
        <v>1224</v>
      </c>
    </row>
    <row r="101" customFormat="false" ht="12" hidden="false" customHeight="false" outlineLevel="0" collapsed="false">
      <c r="A101" s="215" t="s">
        <v>1225</v>
      </c>
      <c r="B101" s="215" t="s">
        <v>1226</v>
      </c>
      <c r="D101" s="215" t="s">
        <v>1227</v>
      </c>
    </row>
    <row r="102" customFormat="false" ht="12" hidden="false" customHeight="false" outlineLevel="0" collapsed="false">
      <c r="A102" s="215" t="s">
        <v>1228</v>
      </c>
      <c r="B102" s="215" t="s">
        <v>1229</v>
      </c>
      <c r="D102" s="215" t="s">
        <v>1230</v>
      </c>
    </row>
    <row r="103" customFormat="false" ht="12" hidden="false" customHeight="false" outlineLevel="0" collapsed="false">
      <c r="A103" s="215" t="s">
        <v>1231</v>
      </c>
      <c r="B103" s="215" t="s">
        <v>1232</v>
      </c>
      <c r="D103" s="215" t="s">
        <v>1233</v>
      </c>
    </row>
    <row r="104" customFormat="false" ht="12" hidden="false" customHeight="false" outlineLevel="0" collapsed="false">
      <c r="A104" s="215" t="s">
        <v>1234</v>
      </c>
      <c r="B104" s="215" t="s">
        <v>1235</v>
      </c>
      <c r="D104" s="215" t="s">
        <v>1236</v>
      </c>
    </row>
    <row r="105" customFormat="false" ht="12" hidden="false" customHeight="false" outlineLevel="0" collapsed="false">
      <c r="A105" s="215" t="s">
        <v>1237</v>
      </c>
      <c r="B105" s="215" t="s">
        <v>1238</v>
      </c>
      <c r="D105" s="215" t="s">
        <v>1239</v>
      </c>
    </row>
    <row r="106" customFormat="false" ht="12" hidden="false" customHeight="false" outlineLevel="0" collapsed="false">
      <c r="A106" s="215" t="s">
        <v>1240</v>
      </c>
      <c r="B106" s="215" t="s">
        <v>1241</v>
      </c>
      <c r="D106" s="215" t="s">
        <v>1242</v>
      </c>
    </row>
    <row r="107" customFormat="false" ht="12" hidden="false" customHeight="false" outlineLevel="0" collapsed="false">
      <c r="A107" s="215" t="s">
        <v>1243</v>
      </c>
      <c r="B107" s="215" t="s">
        <v>1244</v>
      </c>
      <c r="D107" s="215" t="s">
        <v>1245</v>
      </c>
    </row>
    <row r="108" customFormat="false" ht="12" hidden="false" customHeight="false" outlineLevel="0" collapsed="false">
      <c r="A108" s="215" t="s">
        <v>1246</v>
      </c>
      <c r="B108" s="215" t="s">
        <v>1247</v>
      </c>
      <c r="D108" s="215" t="s">
        <v>1248</v>
      </c>
    </row>
    <row r="109" customFormat="false" ht="12" hidden="false" customHeight="false" outlineLevel="0" collapsed="false">
      <c r="A109" s="215" t="s">
        <v>1249</v>
      </c>
      <c r="B109" s="215" t="s">
        <v>1250</v>
      </c>
      <c r="D109" s="215" t="s">
        <v>1251</v>
      </c>
    </row>
    <row r="110" customFormat="false" ht="12" hidden="false" customHeight="false" outlineLevel="0" collapsed="false">
      <c r="A110" s="215" t="s">
        <v>1252</v>
      </c>
      <c r="B110" s="215" t="s">
        <v>1253</v>
      </c>
      <c r="D110" s="215" t="s">
        <v>1254</v>
      </c>
    </row>
    <row r="111" customFormat="false" ht="12" hidden="false" customHeight="false" outlineLevel="0" collapsed="false">
      <c r="A111" s="215" t="s">
        <v>1255</v>
      </c>
      <c r="B111" s="215" t="s">
        <v>1256</v>
      </c>
      <c r="D111" s="215" t="s">
        <v>1257</v>
      </c>
    </row>
    <row r="112" customFormat="false" ht="12" hidden="false" customHeight="false" outlineLevel="0" collapsed="false">
      <c r="A112" s="215" t="s">
        <v>1258</v>
      </c>
      <c r="B112" s="215" t="s">
        <v>1259</v>
      </c>
      <c r="D112" s="215" t="s">
        <v>1260</v>
      </c>
    </row>
    <row r="113" customFormat="false" ht="12" hidden="false" customHeight="false" outlineLevel="0" collapsed="false">
      <c r="A113" s="215" t="s">
        <v>1261</v>
      </c>
      <c r="B113" s="215" t="s">
        <v>1262</v>
      </c>
      <c r="D113" s="215" t="s">
        <v>1263</v>
      </c>
    </row>
    <row r="114" customFormat="false" ht="12" hidden="false" customHeight="false" outlineLevel="0" collapsed="false">
      <c r="A114" s="215" t="s">
        <v>1264</v>
      </c>
      <c r="B114" s="215" t="s">
        <v>1265</v>
      </c>
      <c r="D114" s="215" t="s">
        <v>1266</v>
      </c>
    </row>
    <row r="115" customFormat="false" ht="12" hidden="false" customHeight="false" outlineLevel="0" collapsed="false">
      <c r="A115" s="215" t="s">
        <v>1267</v>
      </c>
      <c r="B115" s="215" t="s">
        <v>1268</v>
      </c>
      <c r="D115" s="215" t="s">
        <v>1269</v>
      </c>
    </row>
    <row r="116" customFormat="false" ht="12" hidden="false" customHeight="false" outlineLevel="0" collapsed="false">
      <c r="A116" s="215" t="s">
        <v>1270</v>
      </c>
      <c r="B116" s="215" t="s">
        <v>1271</v>
      </c>
      <c r="D116" s="215" t="s">
        <v>1272</v>
      </c>
    </row>
    <row r="117" customFormat="false" ht="12" hidden="false" customHeight="false" outlineLevel="0" collapsed="false">
      <c r="A117" s="215" t="s">
        <v>1273</v>
      </c>
      <c r="B117" s="215" t="s">
        <v>1274</v>
      </c>
      <c r="D117" s="215" t="s">
        <v>1275</v>
      </c>
    </row>
    <row r="118" customFormat="false" ht="12" hidden="false" customHeight="false" outlineLevel="0" collapsed="false">
      <c r="A118" s="215" t="s">
        <v>1276</v>
      </c>
      <c r="B118" s="215" t="s">
        <v>1277</v>
      </c>
      <c r="D118" s="215" t="s">
        <v>1278</v>
      </c>
    </row>
    <row r="119" customFormat="false" ht="12" hidden="false" customHeight="false" outlineLevel="0" collapsed="false">
      <c r="A119" s="215" t="s">
        <v>1279</v>
      </c>
      <c r="B119" s="215" t="s">
        <v>1280</v>
      </c>
      <c r="D119" s="215" t="s">
        <v>1281</v>
      </c>
    </row>
    <row r="120" customFormat="false" ht="12" hidden="false" customHeight="false" outlineLevel="0" collapsed="false">
      <c r="A120" s="215" t="s">
        <v>1282</v>
      </c>
      <c r="B120" s="215" t="s">
        <v>1283</v>
      </c>
      <c r="D120" s="215" t="s">
        <v>1284</v>
      </c>
    </row>
    <row r="121" customFormat="false" ht="12" hidden="false" customHeight="false" outlineLevel="0" collapsed="false">
      <c r="A121" s="215" t="s">
        <v>1285</v>
      </c>
      <c r="B121" s="215" t="s">
        <v>1286</v>
      </c>
      <c r="D121" s="215" t="s">
        <v>1287</v>
      </c>
    </row>
    <row r="122" customFormat="false" ht="12" hidden="false" customHeight="false" outlineLevel="0" collapsed="false">
      <c r="A122" s="215" t="s">
        <v>1288</v>
      </c>
      <c r="B122" s="215" t="s">
        <v>1289</v>
      </c>
      <c r="D122" s="215" t="s">
        <v>1290</v>
      </c>
    </row>
    <row r="123" customFormat="false" ht="12" hidden="false" customHeight="false" outlineLevel="0" collapsed="false">
      <c r="A123" s="215" t="s">
        <v>1291</v>
      </c>
      <c r="B123" s="215" t="s">
        <v>1292</v>
      </c>
      <c r="D123" s="215" t="s">
        <v>1293</v>
      </c>
    </row>
    <row r="124" customFormat="false" ht="12" hidden="false" customHeight="false" outlineLevel="0" collapsed="false">
      <c r="A124" s="215" t="s">
        <v>1294</v>
      </c>
      <c r="B124" s="215" t="s">
        <v>1295</v>
      </c>
      <c r="D124" s="215" t="s">
        <v>1296</v>
      </c>
    </row>
    <row r="125" customFormat="false" ht="12" hidden="false" customHeight="false" outlineLevel="0" collapsed="false">
      <c r="A125" s="215" t="s">
        <v>1297</v>
      </c>
      <c r="B125" s="215" t="s">
        <v>1298</v>
      </c>
      <c r="D125" s="215" t="s">
        <v>1299</v>
      </c>
    </row>
    <row r="126" customFormat="false" ht="12" hidden="false" customHeight="false" outlineLevel="0" collapsed="false">
      <c r="A126" s="215" t="s">
        <v>1300</v>
      </c>
      <c r="B126" s="215" t="s">
        <v>1301</v>
      </c>
      <c r="D126" s="215" t="s">
        <v>1302</v>
      </c>
    </row>
    <row r="127" customFormat="false" ht="12" hidden="false" customHeight="false" outlineLevel="0" collapsed="false">
      <c r="A127" s="215" t="s">
        <v>1303</v>
      </c>
      <c r="B127" s="215" t="s">
        <v>1304</v>
      </c>
      <c r="D127" s="215" t="s">
        <v>1305</v>
      </c>
    </row>
    <row r="128" customFormat="false" ht="12" hidden="false" customHeight="false" outlineLevel="0" collapsed="false">
      <c r="A128" s="215" t="s">
        <v>1306</v>
      </c>
      <c r="B128" s="215" t="s">
        <v>1307</v>
      </c>
      <c r="D128" s="215" t="s">
        <v>1308</v>
      </c>
    </row>
    <row r="129" customFormat="false" ht="12" hidden="false" customHeight="false" outlineLevel="0" collapsed="false">
      <c r="A129" s="215" t="s">
        <v>1309</v>
      </c>
      <c r="B129" s="215" t="s">
        <v>1310</v>
      </c>
      <c r="D129" s="215" t="s">
        <v>1311</v>
      </c>
    </row>
    <row r="130" customFormat="false" ht="12" hidden="false" customHeight="false" outlineLevel="0" collapsed="false">
      <c r="A130" s="215" t="s">
        <v>1312</v>
      </c>
      <c r="B130" s="215" t="s">
        <v>1313</v>
      </c>
      <c r="D130" s="215" t="s">
        <v>1314</v>
      </c>
    </row>
    <row r="131" customFormat="false" ht="12" hidden="false" customHeight="false" outlineLevel="0" collapsed="false">
      <c r="A131" s="215" t="s">
        <v>1315</v>
      </c>
      <c r="B131" s="215" t="s">
        <v>1316</v>
      </c>
      <c r="D131" s="215" t="s">
        <v>1317</v>
      </c>
    </row>
    <row r="132" customFormat="false" ht="12" hidden="false" customHeight="false" outlineLevel="0" collapsed="false">
      <c r="A132" s="215" t="s">
        <v>1318</v>
      </c>
      <c r="B132" s="215" t="s">
        <v>1319</v>
      </c>
      <c r="D132" s="215" t="s">
        <v>1320</v>
      </c>
    </row>
    <row r="133" customFormat="false" ht="12" hidden="false" customHeight="false" outlineLevel="0" collapsed="false">
      <c r="A133" s="215" t="s">
        <v>1321</v>
      </c>
      <c r="B133" s="215" t="s">
        <v>1322</v>
      </c>
      <c r="D133" s="215" t="s">
        <v>1323</v>
      </c>
    </row>
    <row r="134" customFormat="false" ht="12" hidden="false" customHeight="false" outlineLevel="0" collapsed="false">
      <c r="A134" s="215" t="s">
        <v>1324</v>
      </c>
      <c r="B134" s="215" t="s">
        <v>1325</v>
      </c>
      <c r="D134" s="215" t="s">
        <v>1326</v>
      </c>
    </row>
    <row r="135" customFormat="false" ht="12" hidden="false" customHeight="false" outlineLevel="0" collapsed="false">
      <c r="A135" s="215" t="s">
        <v>1327</v>
      </c>
      <c r="B135" s="215" t="s">
        <v>1328</v>
      </c>
      <c r="D135" s="215" t="s">
        <v>1329</v>
      </c>
    </row>
    <row r="136" customFormat="false" ht="12" hidden="false" customHeight="false" outlineLevel="0" collapsed="false">
      <c r="A136" s="215" t="s">
        <v>1330</v>
      </c>
      <c r="B136" s="215" t="s">
        <v>1331</v>
      </c>
      <c r="D136" s="215" t="s">
        <v>1332</v>
      </c>
    </row>
    <row r="137" customFormat="false" ht="12" hidden="false" customHeight="false" outlineLevel="0" collapsed="false">
      <c r="A137" s="215" t="s">
        <v>1333</v>
      </c>
      <c r="B137" s="215" t="s">
        <v>1334</v>
      </c>
      <c r="D137" s="215" t="s">
        <v>1335</v>
      </c>
    </row>
    <row r="138" customFormat="false" ht="12" hidden="false" customHeight="false" outlineLevel="0" collapsed="false">
      <c r="A138" s="215" t="s">
        <v>1336</v>
      </c>
      <c r="B138" s="215" t="s">
        <v>1337</v>
      </c>
      <c r="D138" s="215" t="s">
        <v>1338</v>
      </c>
    </row>
    <row r="139" customFormat="false" ht="12" hidden="false" customHeight="false" outlineLevel="0" collapsed="false">
      <c r="A139" s="215" t="s">
        <v>1339</v>
      </c>
      <c r="B139" s="215" t="s">
        <v>1340</v>
      </c>
      <c r="D139" s="215" t="s">
        <v>1341</v>
      </c>
    </row>
    <row r="140" customFormat="false" ht="12" hidden="false" customHeight="false" outlineLevel="0" collapsed="false">
      <c r="A140" s="215" t="s">
        <v>1342</v>
      </c>
      <c r="B140" s="215" t="s">
        <v>1343</v>
      </c>
      <c r="D140" s="215" t="s">
        <v>1344</v>
      </c>
    </row>
    <row r="141" customFormat="false" ht="12" hidden="false" customHeight="false" outlineLevel="0" collapsed="false">
      <c r="A141" s="215" t="s">
        <v>1345</v>
      </c>
      <c r="B141" s="215" t="s">
        <v>1346</v>
      </c>
      <c r="D141" s="215" t="s">
        <v>1347</v>
      </c>
    </row>
    <row r="142" customFormat="false" ht="12" hidden="false" customHeight="false" outlineLevel="0" collapsed="false">
      <c r="A142" s="215" t="s">
        <v>1348</v>
      </c>
      <c r="B142" s="215" t="s">
        <v>1349</v>
      </c>
      <c r="D142" s="215" t="s">
        <v>1350</v>
      </c>
    </row>
    <row r="143" customFormat="false" ht="12" hidden="false" customHeight="false" outlineLevel="0" collapsed="false">
      <c r="A143" s="215" t="s">
        <v>1351</v>
      </c>
      <c r="B143" s="215" t="s">
        <v>1352</v>
      </c>
      <c r="D143" s="215" t="s">
        <v>1353</v>
      </c>
    </row>
    <row r="144" customFormat="false" ht="12" hidden="false" customHeight="false" outlineLevel="0" collapsed="false">
      <c r="A144" s="215" t="s">
        <v>1354</v>
      </c>
      <c r="B144" s="215" t="s">
        <v>1355</v>
      </c>
      <c r="D144" s="215" t="s">
        <v>1356</v>
      </c>
    </row>
    <row r="145" customFormat="false" ht="12" hidden="false" customHeight="false" outlineLevel="0" collapsed="false">
      <c r="A145" s="215" t="s">
        <v>1357</v>
      </c>
      <c r="B145" s="215" t="s">
        <v>1358</v>
      </c>
      <c r="D145" s="215" t="s">
        <v>1359</v>
      </c>
    </row>
    <row r="146" customFormat="false" ht="12" hidden="false" customHeight="false" outlineLevel="0" collapsed="false">
      <c r="A146" s="215" t="s">
        <v>1360</v>
      </c>
      <c r="B146" s="215" t="s">
        <v>1361</v>
      </c>
      <c r="D146" s="215" t="s">
        <v>1362</v>
      </c>
    </row>
    <row r="147" customFormat="false" ht="12" hidden="false" customHeight="false" outlineLevel="0" collapsed="false">
      <c r="A147" s="215" t="s">
        <v>1363</v>
      </c>
      <c r="B147" s="215" t="s">
        <v>1364</v>
      </c>
      <c r="D147" s="215" t="s">
        <v>1365</v>
      </c>
    </row>
    <row r="148" customFormat="false" ht="12" hidden="false" customHeight="false" outlineLevel="0" collapsed="false">
      <c r="A148" s="215" t="s">
        <v>1366</v>
      </c>
      <c r="B148" s="215" t="s">
        <v>1367</v>
      </c>
      <c r="D148" s="215" t="s">
        <v>1368</v>
      </c>
    </row>
    <row r="149" customFormat="false" ht="12" hidden="false" customHeight="false" outlineLevel="0" collapsed="false">
      <c r="A149" s="215" t="s">
        <v>1369</v>
      </c>
      <c r="B149" s="215" t="s">
        <v>1370</v>
      </c>
      <c r="D149" s="215" t="s">
        <v>1371</v>
      </c>
    </row>
    <row r="150" customFormat="false" ht="12" hidden="false" customHeight="false" outlineLevel="0" collapsed="false">
      <c r="A150" s="215" t="s">
        <v>1372</v>
      </c>
      <c r="B150" s="215" t="s">
        <v>1373</v>
      </c>
      <c r="D150" s="215" t="s">
        <v>1374</v>
      </c>
    </row>
    <row r="151" customFormat="false" ht="12" hidden="false" customHeight="false" outlineLevel="0" collapsed="false">
      <c r="A151" s="215" t="s">
        <v>1375</v>
      </c>
      <c r="B151" s="215" t="s">
        <v>1376</v>
      </c>
      <c r="D151" s="215" t="s">
        <v>1377</v>
      </c>
    </row>
    <row r="152" customFormat="false" ht="12" hidden="false" customHeight="false" outlineLevel="0" collapsed="false">
      <c r="A152" s="215" t="s">
        <v>1378</v>
      </c>
      <c r="B152" s="215" t="s">
        <v>1379</v>
      </c>
      <c r="D152" s="215" t="s">
        <v>1380</v>
      </c>
    </row>
    <row r="153" customFormat="false" ht="12" hidden="false" customHeight="false" outlineLevel="0" collapsed="false">
      <c r="A153" s="215" t="s">
        <v>1381</v>
      </c>
      <c r="B153" s="215" t="s">
        <v>1382</v>
      </c>
      <c r="D153" s="215" t="s">
        <v>1383</v>
      </c>
    </row>
    <row r="154" customFormat="false" ht="12" hidden="false" customHeight="false" outlineLevel="0" collapsed="false">
      <c r="A154" s="215" t="s">
        <v>1384</v>
      </c>
      <c r="B154" s="215" t="s">
        <v>1385</v>
      </c>
      <c r="D154" s="215" t="s">
        <v>1386</v>
      </c>
    </row>
    <row r="155" customFormat="false" ht="12" hidden="false" customHeight="false" outlineLevel="0" collapsed="false">
      <c r="A155" s="215" t="s">
        <v>1387</v>
      </c>
      <c r="B155" s="215" t="s">
        <v>1388</v>
      </c>
      <c r="D155" s="215" t="s">
        <v>1389</v>
      </c>
    </row>
    <row r="156" customFormat="false" ht="12" hidden="false" customHeight="false" outlineLevel="0" collapsed="false">
      <c r="A156" s="215" t="s">
        <v>1390</v>
      </c>
      <c r="B156" s="215" t="s">
        <v>1391</v>
      </c>
      <c r="D156" s="215" t="s">
        <v>1392</v>
      </c>
    </row>
    <row r="157" customFormat="false" ht="12" hidden="false" customHeight="false" outlineLevel="0" collapsed="false">
      <c r="A157" s="215" t="s">
        <v>1393</v>
      </c>
      <c r="B157" s="215" t="s">
        <v>1394</v>
      </c>
      <c r="D157" s="215" t="s">
        <v>1395</v>
      </c>
    </row>
    <row r="158" customFormat="false" ht="12" hidden="false" customHeight="false" outlineLevel="0" collapsed="false">
      <c r="A158" s="215" t="s">
        <v>1396</v>
      </c>
      <c r="B158" s="215" t="s">
        <v>1397</v>
      </c>
      <c r="D158" s="215" t="s">
        <v>1398</v>
      </c>
    </row>
    <row r="159" customFormat="false" ht="12" hidden="false" customHeight="false" outlineLevel="0" collapsed="false">
      <c r="A159" s="215" t="s">
        <v>1399</v>
      </c>
      <c r="B159" s="215" t="s">
        <v>1400</v>
      </c>
      <c r="D159" s="215" t="s">
        <v>1401</v>
      </c>
    </row>
    <row r="160" customFormat="false" ht="12" hidden="false" customHeight="false" outlineLevel="0" collapsed="false">
      <c r="A160" s="215" t="s">
        <v>1402</v>
      </c>
      <c r="B160" s="215" t="s">
        <v>1403</v>
      </c>
      <c r="D160" s="215" t="s">
        <v>1404</v>
      </c>
    </row>
    <row r="161" customFormat="false" ht="12" hidden="false" customHeight="false" outlineLevel="0" collapsed="false">
      <c r="A161" s="215" t="s">
        <v>1405</v>
      </c>
      <c r="B161" s="215" t="s">
        <v>1406</v>
      </c>
      <c r="D161" s="215" t="s">
        <v>1407</v>
      </c>
    </row>
    <row r="162" customFormat="false" ht="12" hidden="false" customHeight="false" outlineLevel="0" collapsed="false">
      <c r="A162" s="215" t="s">
        <v>1408</v>
      </c>
      <c r="B162" s="215" t="s">
        <v>1409</v>
      </c>
      <c r="D162" s="215" t="s">
        <v>1410</v>
      </c>
    </row>
    <row r="163" customFormat="false" ht="12" hidden="false" customHeight="false" outlineLevel="0" collapsed="false">
      <c r="A163" s="215" t="s">
        <v>1411</v>
      </c>
      <c r="B163" s="215" t="s">
        <v>1412</v>
      </c>
      <c r="D163" s="215" t="s">
        <v>1413</v>
      </c>
    </row>
    <row r="164" customFormat="false" ht="12" hidden="false" customHeight="false" outlineLevel="0" collapsed="false">
      <c r="A164" s="215" t="s">
        <v>1414</v>
      </c>
      <c r="B164" s="215" t="s">
        <v>1415</v>
      </c>
      <c r="D164" s="215" t="s">
        <v>1416</v>
      </c>
    </row>
    <row r="165" customFormat="false" ht="12" hidden="false" customHeight="false" outlineLevel="0" collapsed="false">
      <c r="A165" s="215" t="s">
        <v>1417</v>
      </c>
      <c r="B165" s="215" t="s">
        <v>1418</v>
      </c>
      <c r="D165" s="215" t="s">
        <v>1419</v>
      </c>
    </row>
    <row r="166" customFormat="false" ht="12" hidden="false" customHeight="false" outlineLevel="0" collapsed="false">
      <c r="A166" s="215" t="s">
        <v>1420</v>
      </c>
      <c r="B166" s="215" t="s">
        <v>1421</v>
      </c>
      <c r="D166" s="215" t="s">
        <v>1422</v>
      </c>
    </row>
    <row r="167" customFormat="false" ht="12" hidden="false" customHeight="false" outlineLevel="0" collapsed="false">
      <c r="A167" s="215" t="s">
        <v>1423</v>
      </c>
      <c r="B167" s="215" t="s">
        <v>1424</v>
      </c>
      <c r="D167" s="215" t="s">
        <v>1425</v>
      </c>
    </row>
    <row r="168" customFormat="false" ht="12" hidden="false" customHeight="false" outlineLevel="0" collapsed="false">
      <c r="A168" s="215" t="s">
        <v>1426</v>
      </c>
      <c r="B168" s="215" t="s">
        <v>1427</v>
      </c>
      <c r="D168" s="215" t="s">
        <v>1428</v>
      </c>
    </row>
    <row r="169" customFormat="false" ht="12" hidden="false" customHeight="false" outlineLevel="0" collapsed="false">
      <c r="A169" s="215" t="s">
        <v>1429</v>
      </c>
      <c r="B169" s="215" t="s">
        <v>1430</v>
      </c>
      <c r="D169" s="215" t="s">
        <v>1431</v>
      </c>
    </row>
    <row r="170" customFormat="false" ht="12" hidden="false" customHeight="false" outlineLevel="0" collapsed="false">
      <c r="A170" s="215" t="s">
        <v>1432</v>
      </c>
      <c r="B170" s="215" t="s">
        <v>1433</v>
      </c>
      <c r="D170" s="215" t="s">
        <v>1434</v>
      </c>
    </row>
    <row r="171" customFormat="false" ht="12" hidden="false" customHeight="false" outlineLevel="0" collapsed="false">
      <c r="A171" s="215" t="s">
        <v>1435</v>
      </c>
      <c r="B171" s="215" t="s">
        <v>1436</v>
      </c>
      <c r="D171" s="215" t="s">
        <v>1437</v>
      </c>
    </row>
    <row r="172" customFormat="false" ht="12" hidden="false" customHeight="false" outlineLevel="0" collapsed="false">
      <c r="A172" s="215" t="s">
        <v>1438</v>
      </c>
      <c r="B172" s="215" t="s">
        <v>1439</v>
      </c>
      <c r="D172" s="215" t="s">
        <v>1440</v>
      </c>
    </row>
    <row r="173" customFormat="false" ht="12" hidden="false" customHeight="false" outlineLevel="0" collapsed="false">
      <c r="A173" s="215" t="s">
        <v>1441</v>
      </c>
      <c r="B173" s="215" t="s">
        <v>1442</v>
      </c>
      <c r="D173" s="215" t="s">
        <v>1443</v>
      </c>
    </row>
    <row r="174" customFormat="false" ht="12" hidden="false" customHeight="false" outlineLevel="0" collapsed="false">
      <c r="A174" s="215" t="s">
        <v>1444</v>
      </c>
      <c r="B174" s="215" t="s">
        <v>1445</v>
      </c>
      <c r="D174" s="215" t="s">
        <v>1446</v>
      </c>
    </row>
    <row r="175" customFormat="false" ht="12" hidden="false" customHeight="false" outlineLevel="0" collapsed="false">
      <c r="A175" s="215" t="s">
        <v>1447</v>
      </c>
      <c r="B175" s="215" t="s">
        <v>1448</v>
      </c>
      <c r="D175" s="215" t="s">
        <v>1449</v>
      </c>
    </row>
    <row r="176" customFormat="false" ht="12" hidden="false" customHeight="false" outlineLevel="0" collapsed="false">
      <c r="A176" s="215" t="s">
        <v>1450</v>
      </c>
      <c r="B176" s="215" t="s">
        <v>1451</v>
      </c>
      <c r="D176" s="215" t="s">
        <v>1452</v>
      </c>
    </row>
    <row r="177" customFormat="false" ht="12" hidden="false" customHeight="false" outlineLevel="0" collapsed="false">
      <c r="A177" s="215" t="s">
        <v>1453</v>
      </c>
      <c r="B177" s="215" t="s">
        <v>1454</v>
      </c>
      <c r="D177" s="215" t="s">
        <v>1455</v>
      </c>
    </row>
    <row r="178" customFormat="false" ht="12" hidden="false" customHeight="false" outlineLevel="0" collapsed="false">
      <c r="A178" s="215" t="s">
        <v>1456</v>
      </c>
      <c r="B178" s="215" t="s">
        <v>1457</v>
      </c>
      <c r="D178" s="215" t="s">
        <v>1458</v>
      </c>
    </row>
    <row r="179" customFormat="false" ht="12" hidden="false" customHeight="false" outlineLevel="0" collapsed="false">
      <c r="A179" s="215" t="s">
        <v>1459</v>
      </c>
      <c r="B179" s="215" t="s">
        <v>1460</v>
      </c>
      <c r="D179" s="215" t="s">
        <v>1461</v>
      </c>
    </row>
    <row r="180" customFormat="false" ht="12" hidden="false" customHeight="false" outlineLevel="0" collapsed="false">
      <c r="A180" s="215" t="s">
        <v>1462</v>
      </c>
      <c r="B180" s="215" t="s">
        <v>1463</v>
      </c>
      <c r="D180" s="215" t="s">
        <v>1464</v>
      </c>
    </row>
    <row r="181" customFormat="false" ht="12" hidden="false" customHeight="false" outlineLevel="0" collapsed="false">
      <c r="A181" s="215" t="s">
        <v>1465</v>
      </c>
      <c r="B181" s="215" t="s">
        <v>1466</v>
      </c>
      <c r="D181" s="215" t="s">
        <v>1467</v>
      </c>
    </row>
    <row r="182" customFormat="false" ht="12" hidden="false" customHeight="false" outlineLevel="0" collapsed="false">
      <c r="A182" s="215" t="s">
        <v>1468</v>
      </c>
      <c r="B182" s="215" t="s">
        <v>1469</v>
      </c>
      <c r="D182" s="215" t="s">
        <v>1470</v>
      </c>
    </row>
    <row r="183" customFormat="false" ht="12" hidden="false" customHeight="false" outlineLevel="0" collapsed="false">
      <c r="A183" s="215" t="s">
        <v>1471</v>
      </c>
      <c r="B183" s="215" t="s">
        <v>1472</v>
      </c>
      <c r="D183" s="215" t="s">
        <v>1473</v>
      </c>
    </row>
    <row r="184" customFormat="false" ht="12" hidden="false" customHeight="false" outlineLevel="0" collapsed="false">
      <c r="A184" s="215" t="s">
        <v>1474</v>
      </c>
      <c r="B184" s="215" t="s">
        <v>1475</v>
      </c>
      <c r="D184" s="215" t="s">
        <v>1476</v>
      </c>
    </row>
    <row r="185" customFormat="false" ht="12" hidden="false" customHeight="false" outlineLevel="0" collapsed="false">
      <c r="A185" s="215" t="s">
        <v>1477</v>
      </c>
      <c r="B185" s="215" t="s">
        <v>1478</v>
      </c>
      <c r="D185" s="215" t="s">
        <v>1479</v>
      </c>
    </row>
    <row r="186" customFormat="false" ht="12" hidden="false" customHeight="false" outlineLevel="0" collapsed="false">
      <c r="A186" s="215" t="s">
        <v>1480</v>
      </c>
      <c r="B186" s="215" t="s">
        <v>1481</v>
      </c>
      <c r="D186" s="215" t="s">
        <v>1482</v>
      </c>
    </row>
    <row r="187" customFormat="false" ht="12" hidden="false" customHeight="false" outlineLevel="0" collapsed="false">
      <c r="A187" s="215" t="s">
        <v>1483</v>
      </c>
      <c r="B187" s="215" t="s">
        <v>1484</v>
      </c>
      <c r="D187" s="215" t="s">
        <v>1485</v>
      </c>
    </row>
    <row r="188" customFormat="false" ht="12" hidden="false" customHeight="false" outlineLevel="0" collapsed="false">
      <c r="A188" s="215" t="s">
        <v>1486</v>
      </c>
      <c r="B188" s="215" t="s">
        <v>1487</v>
      </c>
      <c r="D188" s="215" t="s">
        <v>1488</v>
      </c>
    </row>
    <row r="189" customFormat="false" ht="12" hidden="false" customHeight="false" outlineLevel="0" collapsed="false">
      <c r="A189" s="215" t="s">
        <v>1489</v>
      </c>
      <c r="B189" s="215" t="s">
        <v>1490</v>
      </c>
      <c r="D189" s="215" t="s">
        <v>1491</v>
      </c>
    </row>
    <row r="190" customFormat="false" ht="12" hidden="false" customHeight="false" outlineLevel="0" collapsed="false">
      <c r="A190" s="215" t="s">
        <v>1492</v>
      </c>
      <c r="B190" s="215" t="s">
        <v>1493</v>
      </c>
      <c r="D190" s="215" t="s">
        <v>1494</v>
      </c>
    </row>
    <row r="191" customFormat="false" ht="12" hidden="false" customHeight="false" outlineLevel="0" collapsed="false">
      <c r="A191" s="215" t="s">
        <v>1495</v>
      </c>
      <c r="B191" s="215" t="s">
        <v>1496</v>
      </c>
      <c r="D191" s="215" t="s">
        <v>1497</v>
      </c>
    </row>
    <row r="192" customFormat="false" ht="12" hidden="false" customHeight="false" outlineLevel="0" collapsed="false">
      <c r="A192" s="215" t="s">
        <v>1498</v>
      </c>
      <c r="B192" s="215" t="s">
        <v>1499</v>
      </c>
      <c r="D192" s="215" t="s">
        <v>1500</v>
      </c>
    </row>
    <row r="193" customFormat="false" ht="12" hidden="false" customHeight="false" outlineLevel="0" collapsed="false">
      <c r="A193" s="215" t="s">
        <v>1501</v>
      </c>
      <c r="B193" s="215" t="s">
        <v>1502</v>
      </c>
      <c r="D193" s="215" t="s">
        <v>1503</v>
      </c>
    </row>
    <row r="194" customFormat="false" ht="12" hidden="false" customHeight="false" outlineLevel="0" collapsed="false">
      <c r="A194" s="215" t="s">
        <v>1504</v>
      </c>
      <c r="B194" s="215" t="s">
        <v>1505</v>
      </c>
      <c r="D194" s="215" t="s">
        <v>1506</v>
      </c>
    </row>
    <row r="195" customFormat="false" ht="12" hidden="false" customHeight="false" outlineLevel="0" collapsed="false">
      <c r="A195" s="215" t="s">
        <v>1507</v>
      </c>
      <c r="B195" s="215" t="s">
        <v>1508</v>
      </c>
      <c r="D195" s="215" t="s">
        <v>1509</v>
      </c>
    </row>
    <row r="196" customFormat="false" ht="12" hidden="false" customHeight="false" outlineLevel="0" collapsed="false">
      <c r="A196" s="215" t="s">
        <v>1510</v>
      </c>
      <c r="B196" s="215" t="s">
        <v>1511</v>
      </c>
      <c r="D196" s="215" t="s">
        <v>1512</v>
      </c>
    </row>
    <row r="197" customFormat="false" ht="12" hidden="false" customHeight="false" outlineLevel="0" collapsed="false">
      <c r="A197" s="215" t="s">
        <v>1513</v>
      </c>
      <c r="B197" s="215" t="s">
        <v>1514</v>
      </c>
      <c r="D197" s="215" t="s">
        <v>1515</v>
      </c>
    </row>
    <row r="198" customFormat="false" ht="12" hidden="false" customHeight="false" outlineLevel="0" collapsed="false">
      <c r="A198" s="215" t="s">
        <v>1516</v>
      </c>
      <c r="B198" s="215" t="s">
        <v>1517</v>
      </c>
      <c r="D198" s="215" t="s">
        <v>1518</v>
      </c>
    </row>
    <row r="199" customFormat="false" ht="12" hidden="false" customHeight="false" outlineLevel="0" collapsed="false">
      <c r="A199" s="215" t="s">
        <v>1519</v>
      </c>
      <c r="B199" s="215" t="s">
        <v>1520</v>
      </c>
      <c r="D199" s="215" t="s">
        <v>1521</v>
      </c>
    </row>
    <row r="200" customFormat="false" ht="12" hidden="false" customHeight="false" outlineLevel="0" collapsed="false">
      <c r="A200" s="215" t="s">
        <v>1522</v>
      </c>
      <c r="B200" s="215" t="s">
        <v>1523</v>
      </c>
      <c r="D200" s="215" t="s">
        <v>1524</v>
      </c>
    </row>
    <row r="201" customFormat="false" ht="12" hidden="false" customHeight="false" outlineLevel="0" collapsed="false">
      <c r="A201" s="215" t="s">
        <v>1525</v>
      </c>
      <c r="B201" s="215" t="s">
        <v>1526</v>
      </c>
      <c r="D201" s="215" t="s">
        <v>1527</v>
      </c>
    </row>
    <row r="202" customFormat="false" ht="12" hidden="false" customHeight="false" outlineLevel="0" collapsed="false">
      <c r="A202" s="215" t="s">
        <v>1528</v>
      </c>
      <c r="B202" s="215" t="s">
        <v>1529</v>
      </c>
      <c r="D202" s="215" t="s">
        <v>1530</v>
      </c>
    </row>
    <row r="203" customFormat="false" ht="12" hidden="false" customHeight="false" outlineLevel="0" collapsed="false">
      <c r="A203" s="215" t="s">
        <v>1531</v>
      </c>
      <c r="B203" s="215" t="s">
        <v>1532</v>
      </c>
      <c r="D203" s="215" t="s">
        <v>1533</v>
      </c>
    </row>
    <row r="204" customFormat="false" ht="12" hidden="false" customHeight="false" outlineLevel="0" collapsed="false">
      <c r="A204" s="215" t="s">
        <v>1534</v>
      </c>
      <c r="B204" s="215" t="s">
        <v>1535</v>
      </c>
      <c r="D204" s="215" t="s">
        <v>1536</v>
      </c>
    </row>
    <row r="205" customFormat="false" ht="12" hidden="false" customHeight="false" outlineLevel="0" collapsed="false">
      <c r="A205" s="215" t="s">
        <v>1537</v>
      </c>
      <c r="B205" s="215" t="s">
        <v>1538</v>
      </c>
      <c r="D205" s="215" t="s">
        <v>1539</v>
      </c>
    </row>
    <row r="206" customFormat="false" ht="12" hidden="false" customHeight="false" outlineLevel="0" collapsed="false">
      <c r="A206" s="215" t="s">
        <v>1540</v>
      </c>
      <c r="B206" s="215" t="s">
        <v>1541</v>
      </c>
      <c r="D206" s="215" t="s">
        <v>1542</v>
      </c>
    </row>
    <row r="207" customFormat="false" ht="12" hidden="false" customHeight="false" outlineLevel="0" collapsed="false">
      <c r="A207" s="215" t="s">
        <v>1543</v>
      </c>
      <c r="B207" s="215" t="s">
        <v>1544</v>
      </c>
      <c r="D207" s="215" t="s">
        <v>1545</v>
      </c>
    </row>
    <row r="208" customFormat="false" ht="12" hidden="false" customHeight="false" outlineLevel="0" collapsed="false">
      <c r="A208" s="215" t="s">
        <v>1546</v>
      </c>
      <c r="B208" s="215" t="s">
        <v>1547</v>
      </c>
      <c r="D208" s="215" t="s">
        <v>1548</v>
      </c>
    </row>
    <row r="209" customFormat="false" ht="12" hidden="false" customHeight="false" outlineLevel="0" collapsed="false">
      <c r="A209" s="215" t="s">
        <v>1549</v>
      </c>
      <c r="B209" s="215" t="s">
        <v>1550</v>
      </c>
      <c r="D209" s="215" t="s">
        <v>1551</v>
      </c>
    </row>
    <row r="210" customFormat="false" ht="12" hidden="false" customHeight="false" outlineLevel="0" collapsed="false">
      <c r="A210" s="215" t="s">
        <v>1552</v>
      </c>
      <c r="B210" s="215" t="s">
        <v>1553</v>
      </c>
      <c r="D210" s="215" t="s">
        <v>1554</v>
      </c>
    </row>
    <row r="211" customFormat="false" ht="12" hidden="false" customHeight="false" outlineLevel="0" collapsed="false">
      <c r="A211" s="215" t="s">
        <v>1555</v>
      </c>
      <c r="B211" s="215" t="s">
        <v>1556</v>
      </c>
      <c r="D211" s="215" t="s">
        <v>1557</v>
      </c>
    </row>
    <row r="212" customFormat="false" ht="12" hidden="false" customHeight="false" outlineLevel="0" collapsed="false">
      <c r="A212" s="215" t="s">
        <v>1558</v>
      </c>
      <c r="B212" s="215" t="s">
        <v>1559</v>
      </c>
      <c r="D212" s="215" t="s">
        <v>1560</v>
      </c>
    </row>
    <row r="213" customFormat="false" ht="12" hidden="false" customHeight="false" outlineLevel="0" collapsed="false">
      <c r="A213" s="215" t="s">
        <v>1561</v>
      </c>
      <c r="B213" s="215" t="s">
        <v>1562</v>
      </c>
      <c r="D213" s="215" t="s">
        <v>1563</v>
      </c>
    </row>
    <row r="214" customFormat="false" ht="12" hidden="false" customHeight="false" outlineLevel="0" collapsed="false">
      <c r="A214" s="215" t="s">
        <v>1564</v>
      </c>
      <c r="B214" s="215" t="s">
        <v>1565</v>
      </c>
      <c r="D214" s="215" t="s">
        <v>1566</v>
      </c>
    </row>
    <row r="215" customFormat="false" ht="12" hidden="false" customHeight="false" outlineLevel="0" collapsed="false">
      <c r="A215" s="215" t="s">
        <v>1567</v>
      </c>
      <c r="B215" s="215" t="s">
        <v>1568</v>
      </c>
      <c r="D215" s="215" t="s">
        <v>1569</v>
      </c>
    </row>
    <row r="216" customFormat="false" ht="12" hidden="false" customHeight="false" outlineLevel="0" collapsed="false">
      <c r="A216" s="215" t="s">
        <v>1570</v>
      </c>
      <c r="B216" s="215" t="s">
        <v>1571</v>
      </c>
      <c r="D216" s="215" t="s">
        <v>1572</v>
      </c>
    </row>
    <row r="217" customFormat="false" ht="12" hidden="false" customHeight="false" outlineLevel="0" collapsed="false">
      <c r="A217" s="215" t="s">
        <v>1573</v>
      </c>
      <c r="B217" s="215" t="s">
        <v>1574</v>
      </c>
      <c r="D217" s="215" t="s">
        <v>1575</v>
      </c>
    </row>
    <row r="218" customFormat="false" ht="12" hidden="false" customHeight="false" outlineLevel="0" collapsed="false">
      <c r="A218" s="215" t="s">
        <v>1576</v>
      </c>
      <c r="B218" s="215" t="s">
        <v>1577</v>
      </c>
      <c r="D218" s="215" t="s">
        <v>1578</v>
      </c>
    </row>
    <row r="219" customFormat="false" ht="12" hidden="false" customHeight="false" outlineLevel="0" collapsed="false">
      <c r="A219" s="215" t="s">
        <v>1579</v>
      </c>
      <c r="B219" s="215" t="s">
        <v>1580</v>
      </c>
      <c r="D219" s="215" t="s">
        <v>1581</v>
      </c>
    </row>
    <row r="220" customFormat="false" ht="12" hidden="false" customHeight="false" outlineLevel="0" collapsed="false">
      <c r="A220" s="215" t="s">
        <v>1582</v>
      </c>
      <c r="B220" s="215" t="s">
        <v>1583</v>
      </c>
      <c r="D220" s="215" t="s">
        <v>1584</v>
      </c>
    </row>
    <row r="221" customFormat="false" ht="12" hidden="false" customHeight="false" outlineLevel="0" collapsed="false">
      <c r="A221" s="215" t="s">
        <v>1585</v>
      </c>
      <c r="B221" s="215" t="s">
        <v>1586</v>
      </c>
      <c r="D221" s="215" t="s">
        <v>1587</v>
      </c>
    </row>
    <row r="222" customFormat="false" ht="12" hidden="false" customHeight="false" outlineLevel="0" collapsed="false">
      <c r="A222" s="215" t="s">
        <v>1588</v>
      </c>
      <c r="B222" s="215" t="s">
        <v>1589</v>
      </c>
      <c r="D222" s="215" t="s">
        <v>1590</v>
      </c>
    </row>
    <row r="223" customFormat="false" ht="12" hidden="false" customHeight="false" outlineLevel="0" collapsed="false">
      <c r="A223" s="215" t="s">
        <v>1591</v>
      </c>
      <c r="B223" s="215" t="s">
        <v>1592</v>
      </c>
      <c r="D223" s="215" t="s">
        <v>1593</v>
      </c>
    </row>
    <row r="224" customFormat="false" ht="12" hidden="false" customHeight="false" outlineLevel="0" collapsed="false">
      <c r="A224" s="215" t="s">
        <v>1594</v>
      </c>
      <c r="B224" s="215" t="s">
        <v>1595</v>
      </c>
      <c r="D224" s="215" t="s">
        <v>1596</v>
      </c>
    </row>
    <row r="225" customFormat="false" ht="12" hidden="false" customHeight="false" outlineLevel="0" collapsed="false">
      <c r="A225" s="215" t="s">
        <v>1597</v>
      </c>
      <c r="B225" s="215" t="s">
        <v>1598</v>
      </c>
      <c r="D225" s="215" t="s">
        <v>1599</v>
      </c>
    </row>
    <row r="226" customFormat="false" ht="12" hidden="false" customHeight="false" outlineLevel="0" collapsed="false">
      <c r="A226" s="215" t="s">
        <v>1600</v>
      </c>
      <c r="B226" s="215" t="s">
        <v>1601</v>
      </c>
      <c r="D226" s="0" t="s">
        <v>1599</v>
      </c>
    </row>
    <row r="227" customFormat="false" ht="12" hidden="false" customHeight="false" outlineLevel="0" collapsed="false">
      <c r="A227" s="215" t="s">
        <v>1602</v>
      </c>
      <c r="B227" s="215" t="s">
        <v>1603</v>
      </c>
    </row>
    <row r="228" customFormat="false" ht="12" hidden="false" customHeight="false" outlineLevel="0" collapsed="false">
      <c r="A228" s="215" t="s">
        <v>1604</v>
      </c>
      <c r="B228" s="215" t="s">
        <v>1605</v>
      </c>
    </row>
    <row r="229" customFormat="false" ht="12" hidden="false" customHeight="false" outlineLevel="0" collapsed="false">
      <c r="A229" s="215" t="s">
        <v>1606</v>
      </c>
      <c r="B229" s="215" t="s">
        <v>1607</v>
      </c>
    </row>
    <row r="230" customFormat="false" ht="12" hidden="false" customHeight="false" outlineLevel="0" collapsed="false">
      <c r="A230" s="215" t="s">
        <v>1608</v>
      </c>
      <c r="B230" s="215" t="s">
        <v>1609</v>
      </c>
    </row>
    <row r="231" customFormat="false" ht="12" hidden="false" customHeight="false" outlineLevel="0" collapsed="false">
      <c r="A231" s="215" t="s">
        <v>1610</v>
      </c>
      <c r="B231" s="215" t="s">
        <v>1611</v>
      </c>
    </row>
    <row r="232" customFormat="false" ht="12" hidden="false" customHeight="false" outlineLevel="0" collapsed="false">
      <c r="A232" s="215" t="s">
        <v>1612</v>
      </c>
      <c r="B232" s="215" t="s">
        <v>1613</v>
      </c>
    </row>
    <row r="233" customFormat="false" ht="12" hidden="false" customHeight="false" outlineLevel="0" collapsed="false">
      <c r="A233" s="215" t="s">
        <v>1614</v>
      </c>
      <c r="B233" s="215" t="s">
        <v>1615</v>
      </c>
    </row>
    <row r="234" customFormat="false" ht="12" hidden="false" customHeight="false" outlineLevel="0" collapsed="false">
      <c r="A234" s="215" t="s">
        <v>1616</v>
      </c>
      <c r="B234" s="215" t="s">
        <v>1617</v>
      </c>
    </row>
    <row r="235" customFormat="false" ht="12" hidden="false" customHeight="false" outlineLevel="0" collapsed="false">
      <c r="A235" s="215" t="s">
        <v>1618</v>
      </c>
      <c r="B235" s="215" t="s">
        <v>1619</v>
      </c>
    </row>
    <row r="236" customFormat="false" ht="12" hidden="false" customHeight="false" outlineLevel="0" collapsed="false">
      <c r="A236" s="215" t="s">
        <v>1620</v>
      </c>
      <c r="B236" s="215" t="s">
        <v>1621</v>
      </c>
    </row>
    <row r="237" customFormat="false" ht="12" hidden="false" customHeight="false" outlineLevel="0" collapsed="false">
      <c r="A237" s="215" t="s">
        <v>1622</v>
      </c>
      <c r="B237" s="215" t="s">
        <v>1623</v>
      </c>
    </row>
    <row r="238" customFormat="false" ht="12" hidden="false" customHeight="false" outlineLevel="0" collapsed="false">
      <c r="A238" s="215" t="s">
        <v>1624</v>
      </c>
      <c r="B238" s="215" t="s">
        <v>1625</v>
      </c>
    </row>
    <row r="239" customFormat="false" ht="12" hidden="false" customHeight="false" outlineLevel="0" collapsed="false">
      <c r="A239" s="215" t="s">
        <v>1626</v>
      </c>
      <c r="B239" s="215" t="s">
        <v>1627</v>
      </c>
    </row>
    <row r="240" customFormat="false" ht="12" hidden="false" customHeight="false" outlineLevel="0" collapsed="false">
      <c r="A240" s="215" t="s">
        <v>1628</v>
      </c>
      <c r="B240" s="215" t="s">
        <v>1629</v>
      </c>
    </row>
    <row r="241" customFormat="false" ht="12" hidden="false" customHeight="false" outlineLevel="0" collapsed="false">
      <c r="A241" s="215" t="s">
        <v>1630</v>
      </c>
      <c r="B241" s="215" t="s">
        <v>1631</v>
      </c>
    </row>
    <row r="242" customFormat="false" ht="12" hidden="false" customHeight="false" outlineLevel="0" collapsed="false">
      <c r="A242" s="215" t="s">
        <v>1632</v>
      </c>
      <c r="B242" s="215" t="s">
        <v>1633</v>
      </c>
    </row>
    <row r="243" customFormat="false" ht="12" hidden="false" customHeight="false" outlineLevel="0" collapsed="false">
      <c r="A243" s="215" t="s">
        <v>1634</v>
      </c>
      <c r="B243" s="215" t="s">
        <v>1635</v>
      </c>
    </row>
    <row r="244" customFormat="false" ht="12" hidden="false" customHeight="false" outlineLevel="0" collapsed="false">
      <c r="A244" s="215" t="s">
        <v>1636</v>
      </c>
      <c r="B244" s="215" t="s">
        <v>1637</v>
      </c>
    </row>
    <row r="245" customFormat="false" ht="12" hidden="false" customHeight="false" outlineLevel="0" collapsed="false">
      <c r="A245" s="215" t="s">
        <v>1638</v>
      </c>
      <c r="B245" s="215" t="s">
        <v>1639</v>
      </c>
    </row>
    <row r="246" customFormat="false" ht="12" hidden="false" customHeight="false" outlineLevel="0" collapsed="false">
      <c r="A246" s="215" t="s">
        <v>1640</v>
      </c>
      <c r="B246" s="215" t="s">
        <v>1641</v>
      </c>
    </row>
    <row r="247" customFormat="false" ht="12" hidden="false" customHeight="false" outlineLevel="0" collapsed="false">
      <c r="A247" s="215" t="s">
        <v>1642</v>
      </c>
      <c r="B247" s="215" t="s">
        <v>1643</v>
      </c>
    </row>
    <row r="248" customFormat="false" ht="12" hidden="false" customHeight="false" outlineLevel="0" collapsed="false">
      <c r="A248" s="215" t="s">
        <v>1644</v>
      </c>
      <c r="B248" s="215" t="s">
        <v>1645</v>
      </c>
    </row>
    <row r="249" customFormat="false" ht="12" hidden="false" customHeight="false" outlineLevel="0" collapsed="false">
      <c r="A249" s="215" t="s">
        <v>1646</v>
      </c>
      <c r="B249" s="215" t="s">
        <v>1647</v>
      </c>
    </row>
    <row r="250" customFormat="false" ht="12" hidden="false" customHeight="false" outlineLevel="0" collapsed="false">
      <c r="A250" s="215" t="s">
        <v>1648</v>
      </c>
      <c r="B250" s="215" t="s">
        <v>1649</v>
      </c>
    </row>
    <row r="251" customFormat="false" ht="12" hidden="false" customHeight="false" outlineLevel="0" collapsed="false">
      <c r="A251" s="215" t="s">
        <v>1650</v>
      </c>
      <c r="B251" s="215" t="s">
        <v>1651</v>
      </c>
    </row>
    <row r="252" customFormat="false" ht="12" hidden="false" customHeight="false" outlineLevel="0" collapsed="false">
      <c r="A252" s="215" t="s">
        <v>1652</v>
      </c>
      <c r="B252" s="215" t="s">
        <v>1653</v>
      </c>
    </row>
    <row r="253" customFormat="false" ht="12" hidden="false" customHeight="false" outlineLevel="0" collapsed="false">
      <c r="A253" s="215" t="s">
        <v>1654</v>
      </c>
      <c r="B253" s="215" t="s">
        <v>1655</v>
      </c>
    </row>
    <row r="254" customFormat="false" ht="12" hidden="false" customHeight="false" outlineLevel="0" collapsed="false">
      <c r="A254" s="215" t="s">
        <v>1656</v>
      </c>
      <c r="B254" s="215" t="s">
        <v>1657</v>
      </c>
    </row>
    <row r="255" customFormat="false" ht="12" hidden="false" customHeight="false" outlineLevel="0" collapsed="false">
      <c r="A255" s="215" t="s">
        <v>1658</v>
      </c>
      <c r="B255" s="215" t="s">
        <v>1659</v>
      </c>
    </row>
    <row r="256" customFormat="false" ht="12" hidden="false" customHeight="false" outlineLevel="0" collapsed="false">
      <c r="A256" s="215" t="s">
        <v>1660</v>
      </c>
      <c r="B256" s="215" t="s">
        <v>1661</v>
      </c>
    </row>
    <row r="257" customFormat="false" ht="12" hidden="false" customHeight="false" outlineLevel="0" collapsed="false">
      <c r="A257" s="215" t="s">
        <v>1662</v>
      </c>
      <c r="B257" s="215" t="s">
        <v>1663</v>
      </c>
    </row>
    <row r="258" customFormat="false" ht="12" hidden="false" customHeight="false" outlineLevel="0" collapsed="false">
      <c r="A258" s="215" t="s">
        <v>1664</v>
      </c>
      <c r="B258" s="215" t="s">
        <v>1665</v>
      </c>
    </row>
    <row r="259" customFormat="false" ht="12" hidden="false" customHeight="false" outlineLevel="0" collapsed="false">
      <c r="A259" s="215" t="s">
        <v>1666</v>
      </c>
      <c r="B259" s="215" t="s">
        <v>1667</v>
      </c>
    </row>
    <row r="260" customFormat="false" ht="12" hidden="false" customHeight="false" outlineLevel="0" collapsed="false">
      <c r="A260" s="215" t="s">
        <v>1668</v>
      </c>
      <c r="B260" s="215" t="s">
        <v>1669</v>
      </c>
    </row>
    <row r="261" customFormat="false" ht="12" hidden="false" customHeight="false" outlineLevel="0" collapsed="false">
      <c r="A261" s="215" t="s">
        <v>1670</v>
      </c>
      <c r="B261" s="215" t="s">
        <v>1671</v>
      </c>
    </row>
    <row r="262" customFormat="false" ht="12" hidden="false" customHeight="false" outlineLevel="0" collapsed="false">
      <c r="A262" s="215" t="s">
        <v>1672</v>
      </c>
      <c r="B262" s="215" t="s">
        <v>1673</v>
      </c>
    </row>
    <row r="263" customFormat="false" ht="12" hidden="false" customHeight="false" outlineLevel="0" collapsed="false">
      <c r="A263" s="215" t="s">
        <v>1674</v>
      </c>
      <c r="B263" s="215" t="s">
        <v>1675</v>
      </c>
    </row>
    <row r="264" customFormat="false" ht="12" hidden="false" customHeight="false" outlineLevel="0" collapsed="false">
      <c r="A264" s="215" t="s">
        <v>1676</v>
      </c>
      <c r="B264" s="215" t="s">
        <v>1677</v>
      </c>
    </row>
    <row r="265" customFormat="false" ht="12" hidden="false" customHeight="false" outlineLevel="0" collapsed="false">
      <c r="A265" s="215" t="s">
        <v>1678</v>
      </c>
      <c r="B265" s="215" t="s">
        <v>1679</v>
      </c>
    </row>
    <row r="266" customFormat="false" ht="12" hidden="false" customHeight="false" outlineLevel="0" collapsed="false">
      <c r="A266" s="215" t="s">
        <v>1680</v>
      </c>
      <c r="B266" s="215" t="s">
        <v>1681</v>
      </c>
    </row>
    <row r="267" customFormat="false" ht="12" hidden="false" customHeight="false" outlineLevel="0" collapsed="false">
      <c r="A267" s="215" t="s">
        <v>1682</v>
      </c>
      <c r="B267" s="215" t="s">
        <v>1683</v>
      </c>
    </row>
    <row r="268" customFormat="false" ht="12" hidden="false" customHeight="false" outlineLevel="0" collapsed="false">
      <c r="A268" s="215" t="s">
        <v>1684</v>
      </c>
      <c r="B268" s="215" t="s">
        <v>1685</v>
      </c>
    </row>
    <row r="269" customFormat="false" ht="12" hidden="false" customHeight="false" outlineLevel="0" collapsed="false">
      <c r="A269" s="215" t="s">
        <v>1686</v>
      </c>
      <c r="B269" s="215" t="s">
        <v>1687</v>
      </c>
    </row>
    <row r="270" customFormat="false" ht="12" hidden="false" customHeight="false" outlineLevel="0" collapsed="false">
      <c r="A270" s="215" t="s">
        <v>1688</v>
      </c>
      <c r="B270" s="215" t="s">
        <v>1689</v>
      </c>
    </row>
    <row r="271" customFormat="false" ht="12" hidden="false" customHeight="false" outlineLevel="0" collapsed="false">
      <c r="A271" s="215" t="s">
        <v>1690</v>
      </c>
      <c r="B271" s="215" t="s">
        <v>1691</v>
      </c>
    </row>
    <row r="272" customFormat="false" ht="12" hidden="false" customHeight="false" outlineLevel="0" collapsed="false">
      <c r="A272" s="215" t="s">
        <v>1692</v>
      </c>
      <c r="B272" s="215" t="s">
        <v>1693</v>
      </c>
    </row>
    <row r="273" customFormat="false" ht="12" hidden="false" customHeight="false" outlineLevel="0" collapsed="false">
      <c r="A273" s="215" t="s">
        <v>1694</v>
      </c>
      <c r="B273" s="215" t="s">
        <v>1695</v>
      </c>
    </row>
    <row r="274" customFormat="false" ht="12" hidden="false" customHeight="false" outlineLevel="0" collapsed="false">
      <c r="A274" s="215" t="s">
        <v>1696</v>
      </c>
      <c r="B274" s="215" t="s">
        <v>1697</v>
      </c>
    </row>
    <row r="275" customFormat="false" ht="12" hidden="false" customHeight="false" outlineLevel="0" collapsed="false">
      <c r="A275" s="215" t="s">
        <v>1698</v>
      </c>
      <c r="B275" s="215" t="s">
        <v>1699</v>
      </c>
    </row>
    <row r="276" customFormat="false" ht="12" hidden="false" customHeight="false" outlineLevel="0" collapsed="false">
      <c r="A276" s="215" t="s">
        <v>1700</v>
      </c>
      <c r="B276" s="215" t="s">
        <v>1701</v>
      </c>
    </row>
    <row r="277" customFormat="false" ht="12" hidden="false" customHeight="false" outlineLevel="0" collapsed="false">
      <c r="A277" s="215" t="s">
        <v>1702</v>
      </c>
      <c r="B277" s="215" t="s">
        <v>1703</v>
      </c>
    </row>
    <row r="278" customFormat="false" ht="12" hidden="false" customHeight="false" outlineLevel="0" collapsed="false">
      <c r="A278" s="215" t="s">
        <v>1704</v>
      </c>
      <c r="B278" s="215" t="s">
        <v>1705</v>
      </c>
    </row>
    <row r="279" customFormat="false" ht="12" hidden="false" customHeight="false" outlineLevel="0" collapsed="false">
      <c r="A279" s="215" t="s">
        <v>1706</v>
      </c>
      <c r="B279" s="215" t="s">
        <v>1707</v>
      </c>
    </row>
    <row r="280" customFormat="false" ht="12" hidden="false" customHeight="false" outlineLevel="0" collapsed="false">
      <c r="A280" s="215" t="s">
        <v>1708</v>
      </c>
      <c r="B280" s="215" t="s">
        <v>890</v>
      </c>
    </row>
    <row r="281" customFormat="false" ht="12" hidden="false" customHeight="false" outlineLevel="0" collapsed="false">
      <c r="A281" s="215" t="s">
        <v>1709</v>
      </c>
      <c r="B281" s="215" t="s">
        <v>1710</v>
      </c>
    </row>
    <row r="282" customFormat="false" ht="12" hidden="false" customHeight="false" outlineLevel="0" collapsed="false">
      <c r="A282" s="215" t="s">
        <v>1711</v>
      </c>
      <c r="B282" s="215" t="s">
        <v>1712</v>
      </c>
    </row>
    <row r="283" customFormat="false" ht="12" hidden="false" customHeight="false" outlineLevel="0" collapsed="false">
      <c r="A283" s="215" t="s">
        <v>1713</v>
      </c>
      <c r="B283" s="215" t="s">
        <v>1714</v>
      </c>
    </row>
    <row r="284" customFormat="false" ht="12" hidden="false" customHeight="false" outlineLevel="0" collapsed="false">
      <c r="A284" s="215" t="s">
        <v>1715</v>
      </c>
      <c r="B284" s="215" t="s">
        <v>1716</v>
      </c>
    </row>
    <row r="285" customFormat="false" ht="12" hidden="false" customHeight="false" outlineLevel="0" collapsed="false">
      <c r="A285" s="215" t="s">
        <v>1717</v>
      </c>
      <c r="B285" s="215" t="s">
        <v>1718</v>
      </c>
    </row>
    <row r="286" customFormat="false" ht="12" hidden="false" customHeight="false" outlineLevel="0" collapsed="false">
      <c r="A286" s="215" t="s">
        <v>1719</v>
      </c>
      <c r="B286" s="215" t="s">
        <v>1720</v>
      </c>
    </row>
    <row r="287" customFormat="false" ht="12" hidden="false" customHeight="false" outlineLevel="0" collapsed="false">
      <c r="A287" s="215" t="s">
        <v>1721</v>
      </c>
      <c r="B287" s="215" t="s">
        <v>1722</v>
      </c>
    </row>
    <row r="288" customFormat="false" ht="12" hidden="false" customHeight="false" outlineLevel="0" collapsed="false">
      <c r="A288" s="215" t="s">
        <v>1723</v>
      </c>
      <c r="B288" s="215" t="s">
        <v>1724</v>
      </c>
    </row>
    <row r="289" customFormat="false" ht="12" hidden="false" customHeight="false" outlineLevel="0" collapsed="false">
      <c r="A289" s="215" t="s">
        <v>1725</v>
      </c>
      <c r="B289" s="215" t="s">
        <v>1726</v>
      </c>
    </row>
    <row r="290" customFormat="false" ht="12" hidden="false" customHeight="false" outlineLevel="0" collapsed="false">
      <c r="A290" s="215" t="s">
        <v>1727</v>
      </c>
      <c r="B290" s="215" t="s">
        <v>1728</v>
      </c>
    </row>
    <row r="291" customFormat="false" ht="12" hidden="false" customHeight="false" outlineLevel="0" collapsed="false">
      <c r="A291" s="215" t="s">
        <v>1729</v>
      </c>
      <c r="B291" s="215" t="s">
        <v>1730</v>
      </c>
    </row>
    <row r="292" customFormat="false" ht="12" hidden="false" customHeight="false" outlineLevel="0" collapsed="false">
      <c r="A292" s="215" t="s">
        <v>1731</v>
      </c>
      <c r="B292" s="215" t="s">
        <v>1732</v>
      </c>
    </row>
    <row r="293" customFormat="false" ht="12" hidden="false" customHeight="false" outlineLevel="0" collapsed="false">
      <c r="A293" s="215" t="s">
        <v>1733</v>
      </c>
      <c r="B293" s="215" t="s">
        <v>1734</v>
      </c>
    </row>
    <row r="294" customFormat="false" ht="12" hidden="false" customHeight="false" outlineLevel="0" collapsed="false">
      <c r="A294" s="215" t="s">
        <v>1735</v>
      </c>
      <c r="B294" s="215" t="s">
        <v>1736</v>
      </c>
    </row>
    <row r="295" customFormat="false" ht="12" hidden="false" customHeight="false" outlineLevel="0" collapsed="false">
      <c r="A295" s="215" t="s">
        <v>1737</v>
      </c>
      <c r="B295" s="215" t="s">
        <v>1738</v>
      </c>
    </row>
    <row r="296" customFormat="false" ht="12" hidden="false" customHeight="false" outlineLevel="0" collapsed="false">
      <c r="A296" s="215" t="s">
        <v>1739</v>
      </c>
      <c r="B296" s="215" t="s">
        <v>1740</v>
      </c>
    </row>
    <row r="297" customFormat="false" ht="12" hidden="false" customHeight="false" outlineLevel="0" collapsed="false">
      <c r="A297" s="215" t="s">
        <v>1741</v>
      </c>
      <c r="B297" s="215" t="s">
        <v>1742</v>
      </c>
    </row>
    <row r="298" customFormat="false" ht="12" hidden="false" customHeight="false" outlineLevel="0" collapsed="false">
      <c r="A298" s="215" t="s">
        <v>1743</v>
      </c>
      <c r="B298" s="215" t="s">
        <v>1744</v>
      </c>
    </row>
    <row r="299" customFormat="false" ht="12" hidden="false" customHeight="false" outlineLevel="0" collapsed="false">
      <c r="A299" s="215" t="s">
        <v>1745</v>
      </c>
      <c r="B299" s="215" t="s">
        <v>1746</v>
      </c>
    </row>
    <row r="300" customFormat="false" ht="12" hidden="false" customHeight="false" outlineLevel="0" collapsed="false">
      <c r="A300" s="215" t="s">
        <v>1747</v>
      </c>
      <c r="B300" s="215" t="s">
        <v>1748</v>
      </c>
    </row>
    <row r="301" customFormat="false" ht="12" hidden="false" customHeight="false" outlineLevel="0" collapsed="false">
      <c r="A301" s="215" t="s">
        <v>1749</v>
      </c>
      <c r="B301" s="215" t="s">
        <v>1750</v>
      </c>
    </row>
    <row r="302" customFormat="false" ht="12" hidden="false" customHeight="false" outlineLevel="0" collapsed="false">
      <c r="A302" s="215" t="s">
        <v>1751</v>
      </c>
      <c r="B302" s="215" t="s">
        <v>1752</v>
      </c>
    </row>
    <row r="303" customFormat="false" ht="12" hidden="false" customHeight="false" outlineLevel="0" collapsed="false">
      <c r="A303" s="215" t="s">
        <v>1753</v>
      </c>
      <c r="B303" s="215" t="s">
        <v>1754</v>
      </c>
    </row>
    <row r="304" customFormat="false" ht="12" hidden="false" customHeight="false" outlineLevel="0" collapsed="false">
      <c r="A304" s="215" t="s">
        <v>1755</v>
      </c>
      <c r="B304" s="215" t="s">
        <v>1756</v>
      </c>
    </row>
    <row r="305" customFormat="false" ht="12" hidden="false" customHeight="false" outlineLevel="0" collapsed="false">
      <c r="A305" s="215" t="s">
        <v>1757</v>
      </c>
      <c r="B305" s="215" t="s">
        <v>1758</v>
      </c>
    </row>
    <row r="306" customFormat="false" ht="12" hidden="false" customHeight="false" outlineLevel="0" collapsed="false">
      <c r="A306" s="215" t="s">
        <v>1759</v>
      </c>
      <c r="B306" s="215" t="s">
        <v>1760</v>
      </c>
    </row>
    <row r="307" customFormat="false" ht="12" hidden="false" customHeight="false" outlineLevel="0" collapsed="false">
      <c r="A307" s="215" t="s">
        <v>1761</v>
      </c>
      <c r="B307" s="215" t="s">
        <v>1079</v>
      </c>
    </row>
    <row r="308" customFormat="false" ht="12" hidden="false" customHeight="false" outlineLevel="0" collapsed="false">
      <c r="A308" s="215" t="s">
        <v>1762</v>
      </c>
      <c r="B308" s="215" t="s">
        <v>1763</v>
      </c>
    </row>
    <row r="309" customFormat="false" ht="12" hidden="false" customHeight="false" outlineLevel="0" collapsed="false">
      <c r="A309" s="215" t="s">
        <v>1764</v>
      </c>
      <c r="B309" s="215" t="s">
        <v>1765</v>
      </c>
    </row>
    <row r="310" customFormat="false" ht="12" hidden="false" customHeight="false" outlineLevel="0" collapsed="false">
      <c r="A310" s="215" t="s">
        <v>1766</v>
      </c>
      <c r="B310" s="215" t="s">
        <v>1767</v>
      </c>
    </row>
    <row r="311" customFormat="false" ht="12" hidden="false" customHeight="false" outlineLevel="0" collapsed="false">
      <c r="A311" s="215" t="s">
        <v>1768</v>
      </c>
      <c r="B311" s="215" t="s">
        <v>1769</v>
      </c>
    </row>
    <row r="312" customFormat="false" ht="12" hidden="false" customHeight="false" outlineLevel="0" collapsed="false">
      <c r="A312" s="215" t="s">
        <v>1770</v>
      </c>
      <c r="B312" s="215" t="s">
        <v>1771</v>
      </c>
    </row>
    <row r="313" customFormat="false" ht="12" hidden="false" customHeight="false" outlineLevel="0" collapsed="false">
      <c r="A313" s="215" t="s">
        <v>1772</v>
      </c>
      <c r="B313" s="215" t="s">
        <v>1773</v>
      </c>
    </row>
    <row r="314" customFormat="false" ht="12" hidden="false" customHeight="false" outlineLevel="0" collapsed="false">
      <c r="A314" s="215" t="s">
        <v>1774</v>
      </c>
      <c r="B314" s="215" t="s">
        <v>1775</v>
      </c>
    </row>
    <row r="315" customFormat="false" ht="12" hidden="false" customHeight="false" outlineLevel="0" collapsed="false">
      <c r="A315" s="215" t="s">
        <v>1776</v>
      </c>
      <c r="B315" s="215" t="s">
        <v>1777</v>
      </c>
    </row>
    <row r="316" customFormat="false" ht="12" hidden="false" customHeight="false" outlineLevel="0" collapsed="false">
      <c r="A316" s="215" t="s">
        <v>1778</v>
      </c>
      <c r="B316" s="215" t="s">
        <v>1779</v>
      </c>
    </row>
    <row r="317" customFormat="false" ht="12" hidden="false" customHeight="false" outlineLevel="0" collapsed="false">
      <c r="A317" s="215" t="s">
        <v>1780</v>
      </c>
      <c r="B317" s="215" t="s">
        <v>1781</v>
      </c>
    </row>
    <row r="318" customFormat="false" ht="12" hidden="false" customHeight="false" outlineLevel="0" collapsed="false">
      <c r="A318" s="215" t="s">
        <v>1782</v>
      </c>
      <c r="B318" s="215" t="s">
        <v>1783</v>
      </c>
    </row>
    <row r="319" customFormat="false" ht="12" hidden="false" customHeight="false" outlineLevel="0" collapsed="false">
      <c r="A319" s="215" t="s">
        <v>1784</v>
      </c>
      <c r="B319" s="215" t="s">
        <v>1785</v>
      </c>
    </row>
    <row r="320" customFormat="false" ht="12" hidden="false" customHeight="false" outlineLevel="0" collapsed="false">
      <c r="A320" s="215" t="s">
        <v>1786</v>
      </c>
      <c r="B320" s="215" t="s">
        <v>1787</v>
      </c>
    </row>
    <row r="321" customFormat="false" ht="12" hidden="false" customHeight="false" outlineLevel="0" collapsed="false">
      <c r="A321" s="215" t="s">
        <v>1788</v>
      </c>
      <c r="B321" s="215" t="s">
        <v>1789</v>
      </c>
    </row>
    <row r="322" customFormat="false" ht="12" hidden="false" customHeight="false" outlineLevel="0" collapsed="false">
      <c r="A322" s="215" t="s">
        <v>1790</v>
      </c>
      <c r="B322" s="215" t="s">
        <v>1791</v>
      </c>
    </row>
    <row r="323" customFormat="false" ht="12" hidden="false" customHeight="false" outlineLevel="0" collapsed="false">
      <c r="A323" s="215" t="s">
        <v>1792</v>
      </c>
      <c r="B323" s="215" t="s">
        <v>1793</v>
      </c>
    </row>
    <row r="324" customFormat="false" ht="12" hidden="false" customHeight="false" outlineLevel="0" collapsed="false">
      <c r="A324" s="215" t="s">
        <v>1794</v>
      </c>
      <c r="B324" s="215" t="s">
        <v>1795</v>
      </c>
    </row>
    <row r="325" customFormat="false" ht="12" hidden="false" customHeight="false" outlineLevel="0" collapsed="false">
      <c r="A325" s="215" t="s">
        <v>1796</v>
      </c>
      <c r="B325" s="215" t="s">
        <v>1797</v>
      </c>
    </row>
    <row r="326" customFormat="false" ht="12" hidden="false" customHeight="false" outlineLevel="0" collapsed="false">
      <c r="A326" s="215" t="s">
        <v>1798</v>
      </c>
      <c r="B326" s="215" t="s">
        <v>1799</v>
      </c>
    </row>
    <row r="327" customFormat="false" ht="12" hidden="false" customHeight="false" outlineLevel="0" collapsed="false">
      <c r="A327" s="215" t="s">
        <v>1800</v>
      </c>
      <c r="B327" s="215" t="s">
        <v>1801</v>
      </c>
    </row>
    <row r="328" customFormat="false" ht="12" hidden="false" customHeight="false" outlineLevel="0" collapsed="false">
      <c r="A328" s="215" t="s">
        <v>1802</v>
      </c>
      <c r="B328" s="215" t="s">
        <v>1803</v>
      </c>
    </row>
    <row r="329" customFormat="false" ht="12" hidden="false" customHeight="false" outlineLevel="0" collapsed="false">
      <c r="A329" s="215" t="s">
        <v>1804</v>
      </c>
      <c r="B329" s="215" t="s">
        <v>1805</v>
      </c>
    </row>
    <row r="330" customFormat="false" ht="12" hidden="false" customHeight="false" outlineLevel="0" collapsed="false">
      <c r="A330" s="215" t="s">
        <v>1806</v>
      </c>
      <c r="B330" s="215" t="s">
        <v>1807</v>
      </c>
    </row>
    <row r="331" customFormat="false" ht="12" hidden="false" customHeight="false" outlineLevel="0" collapsed="false">
      <c r="A331" s="215" t="s">
        <v>1808</v>
      </c>
      <c r="B331" s="215" t="s">
        <v>1809</v>
      </c>
    </row>
    <row r="332" customFormat="false" ht="12" hidden="false" customHeight="false" outlineLevel="0" collapsed="false">
      <c r="A332" s="215" t="s">
        <v>1810</v>
      </c>
      <c r="B332" s="215" t="s">
        <v>1811</v>
      </c>
    </row>
    <row r="333" customFormat="false" ht="12" hidden="false" customHeight="false" outlineLevel="0" collapsed="false">
      <c r="A333" s="215" t="s">
        <v>1812</v>
      </c>
      <c r="B333" s="215" t="s">
        <v>1813</v>
      </c>
    </row>
    <row r="334" customFormat="false" ht="12" hidden="false" customHeight="false" outlineLevel="0" collapsed="false">
      <c r="A334" s="215" t="s">
        <v>1814</v>
      </c>
      <c r="B334" s="215" t="s">
        <v>1815</v>
      </c>
    </row>
    <row r="335" customFormat="false" ht="12" hidden="false" customHeight="false" outlineLevel="0" collapsed="false">
      <c r="A335" s="215" t="s">
        <v>1816</v>
      </c>
      <c r="B335" s="215" t="s">
        <v>1817</v>
      </c>
    </row>
    <row r="336" customFormat="false" ht="12" hidden="false" customHeight="false" outlineLevel="0" collapsed="false">
      <c r="A336" s="215" t="s">
        <v>1818</v>
      </c>
      <c r="B336" s="215" t="s">
        <v>1819</v>
      </c>
    </row>
    <row r="337" customFormat="false" ht="12" hidden="false" customHeight="false" outlineLevel="0" collapsed="false">
      <c r="A337" s="215" t="s">
        <v>1820</v>
      </c>
      <c r="B337" s="215" t="s">
        <v>1821</v>
      </c>
    </row>
    <row r="338" customFormat="false" ht="12" hidden="false" customHeight="false" outlineLevel="0" collapsed="false">
      <c r="A338" s="215" t="s">
        <v>1822</v>
      </c>
      <c r="B338" s="215" t="s">
        <v>1823</v>
      </c>
    </row>
    <row r="339" customFormat="false" ht="12" hidden="false" customHeight="false" outlineLevel="0" collapsed="false">
      <c r="A339" s="215" t="s">
        <v>1824</v>
      </c>
      <c r="B339" s="215" t="s">
        <v>1825</v>
      </c>
    </row>
    <row r="340" customFormat="false" ht="12" hidden="false" customHeight="false" outlineLevel="0" collapsed="false">
      <c r="A340" s="215" t="s">
        <v>1826</v>
      </c>
      <c r="B340" s="215" t="s">
        <v>1827</v>
      </c>
    </row>
    <row r="341" customFormat="false" ht="12" hidden="false" customHeight="false" outlineLevel="0" collapsed="false">
      <c r="A341" s="215" t="s">
        <v>1828</v>
      </c>
      <c r="B341" s="215" t="s">
        <v>1829</v>
      </c>
    </row>
    <row r="342" customFormat="false" ht="12" hidden="false" customHeight="false" outlineLevel="0" collapsed="false">
      <c r="A342" s="215" t="s">
        <v>1830</v>
      </c>
      <c r="B342" s="215" t="s">
        <v>1831</v>
      </c>
    </row>
    <row r="343" customFormat="false" ht="12" hidden="false" customHeight="false" outlineLevel="0" collapsed="false">
      <c r="A343" s="215" t="s">
        <v>1832</v>
      </c>
      <c r="B343" s="215" t="s">
        <v>1833</v>
      </c>
    </row>
    <row r="344" customFormat="false" ht="12" hidden="false" customHeight="false" outlineLevel="0" collapsed="false">
      <c r="A344" s="215" t="s">
        <v>1834</v>
      </c>
      <c r="B344" s="215" t="s">
        <v>1835</v>
      </c>
    </row>
    <row r="345" customFormat="false" ht="12" hidden="false" customHeight="false" outlineLevel="0" collapsed="false">
      <c r="A345" s="215" t="s">
        <v>1836</v>
      </c>
      <c r="B345" s="215" t="s">
        <v>1837</v>
      </c>
    </row>
    <row r="346" customFormat="false" ht="12" hidden="false" customHeight="false" outlineLevel="0" collapsed="false">
      <c r="A346" s="215" t="s">
        <v>1838</v>
      </c>
      <c r="B346" s="215" t="s">
        <v>1839</v>
      </c>
    </row>
    <row r="347" customFormat="false" ht="12" hidden="false" customHeight="false" outlineLevel="0" collapsed="false">
      <c r="A347" s="215" t="s">
        <v>1840</v>
      </c>
      <c r="B347" s="215" t="s">
        <v>1841</v>
      </c>
    </row>
    <row r="348" customFormat="false" ht="12" hidden="false" customHeight="false" outlineLevel="0" collapsed="false">
      <c r="A348" s="215" t="s">
        <v>1842</v>
      </c>
      <c r="B348" s="215" t="s">
        <v>1843</v>
      </c>
    </row>
    <row r="349" customFormat="false" ht="12" hidden="false" customHeight="false" outlineLevel="0" collapsed="false">
      <c r="A349" s="215" t="s">
        <v>1844</v>
      </c>
      <c r="B349" s="215" t="s">
        <v>1845</v>
      </c>
    </row>
    <row r="350" customFormat="false" ht="12" hidden="false" customHeight="false" outlineLevel="0" collapsed="false">
      <c r="A350" s="215" t="s">
        <v>1846</v>
      </c>
      <c r="B350" s="215" t="s">
        <v>1847</v>
      </c>
    </row>
    <row r="351" customFormat="false" ht="12" hidden="false" customHeight="false" outlineLevel="0" collapsed="false">
      <c r="A351" s="215" t="s">
        <v>1848</v>
      </c>
      <c r="B351" s="215" t="s">
        <v>1849</v>
      </c>
    </row>
    <row r="352" customFormat="false" ht="12" hidden="false" customHeight="false" outlineLevel="0" collapsed="false">
      <c r="A352" s="215" t="s">
        <v>1850</v>
      </c>
      <c r="B352" s="215" t="s">
        <v>1851</v>
      </c>
    </row>
    <row r="353" customFormat="false" ht="12" hidden="false" customHeight="false" outlineLevel="0" collapsed="false">
      <c r="A353" s="215" t="s">
        <v>1852</v>
      </c>
      <c r="B353" s="215" t="s">
        <v>1853</v>
      </c>
    </row>
    <row r="354" customFormat="false" ht="12" hidden="false" customHeight="false" outlineLevel="0" collapsed="false">
      <c r="A354" s="215" t="s">
        <v>1854</v>
      </c>
      <c r="B354" s="215" t="s">
        <v>1855</v>
      </c>
    </row>
    <row r="355" customFormat="false" ht="12" hidden="false" customHeight="false" outlineLevel="0" collapsed="false">
      <c r="A355" s="215" t="s">
        <v>1856</v>
      </c>
      <c r="B355" s="215" t="s">
        <v>1857</v>
      </c>
    </row>
    <row r="356" customFormat="false" ht="12" hidden="false" customHeight="false" outlineLevel="0" collapsed="false">
      <c r="A356" s="215" t="s">
        <v>1858</v>
      </c>
      <c r="B356" s="215" t="s">
        <v>1859</v>
      </c>
    </row>
    <row r="357" customFormat="false" ht="12" hidden="false" customHeight="false" outlineLevel="0" collapsed="false">
      <c r="A357" s="215" t="s">
        <v>1860</v>
      </c>
      <c r="B357" s="215" t="s">
        <v>1861</v>
      </c>
    </row>
    <row r="358" customFormat="false" ht="12" hidden="false" customHeight="false" outlineLevel="0" collapsed="false">
      <c r="A358" s="215" t="s">
        <v>1862</v>
      </c>
      <c r="B358" s="215" t="s">
        <v>1863</v>
      </c>
    </row>
    <row r="359" customFormat="false" ht="12" hidden="false" customHeight="false" outlineLevel="0" collapsed="false">
      <c r="A359" s="215" t="s">
        <v>1864</v>
      </c>
      <c r="B359" s="215" t="s">
        <v>1865</v>
      </c>
    </row>
    <row r="360" customFormat="false" ht="12" hidden="false" customHeight="false" outlineLevel="0" collapsed="false">
      <c r="A360" s="215" t="s">
        <v>1866</v>
      </c>
      <c r="B360" s="215" t="s">
        <v>1867</v>
      </c>
    </row>
    <row r="361" customFormat="false" ht="12" hidden="false" customHeight="false" outlineLevel="0" collapsed="false">
      <c r="A361" s="215" t="s">
        <v>1868</v>
      </c>
      <c r="B361" s="215" t="s">
        <v>1869</v>
      </c>
    </row>
    <row r="362" customFormat="false" ht="12" hidden="false" customHeight="false" outlineLevel="0" collapsed="false">
      <c r="A362" s="215" t="s">
        <v>1870</v>
      </c>
      <c r="B362" s="215" t="s">
        <v>1871</v>
      </c>
    </row>
    <row r="363" customFormat="false" ht="12" hidden="false" customHeight="false" outlineLevel="0" collapsed="false">
      <c r="A363" s="215" t="s">
        <v>1872</v>
      </c>
      <c r="B363" s="215" t="s">
        <v>1873</v>
      </c>
    </row>
    <row r="364" customFormat="false" ht="12" hidden="false" customHeight="false" outlineLevel="0" collapsed="false">
      <c r="A364" s="215" t="s">
        <v>1874</v>
      </c>
      <c r="B364" s="215" t="s">
        <v>1875</v>
      </c>
    </row>
    <row r="365" customFormat="false" ht="12" hidden="false" customHeight="false" outlineLevel="0" collapsed="false">
      <c r="A365" s="215" t="s">
        <v>1876</v>
      </c>
      <c r="B365" s="215" t="s">
        <v>1877</v>
      </c>
    </row>
    <row r="366" customFormat="false" ht="12" hidden="false" customHeight="false" outlineLevel="0" collapsed="false">
      <c r="A366" s="215" t="s">
        <v>1878</v>
      </c>
      <c r="B366" s="215" t="s">
        <v>1879</v>
      </c>
    </row>
    <row r="367" customFormat="false" ht="12" hidden="false" customHeight="false" outlineLevel="0" collapsed="false">
      <c r="A367" s="215" t="s">
        <v>1880</v>
      </c>
      <c r="B367" s="215" t="s">
        <v>1881</v>
      </c>
    </row>
    <row r="368" customFormat="false" ht="12" hidden="false" customHeight="false" outlineLevel="0" collapsed="false">
      <c r="A368" s="215" t="s">
        <v>1882</v>
      </c>
      <c r="B368" s="215" t="s">
        <v>1883</v>
      </c>
    </row>
    <row r="369" customFormat="false" ht="12" hidden="false" customHeight="false" outlineLevel="0" collapsed="false">
      <c r="A369" s="215" t="s">
        <v>1884</v>
      </c>
      <c r="B369" s="215" t="s">
        <v>1885</v>
      </c>
    </row>
    <row r="370" customFormat="false" ht="12" hidden="false" customHeight="false" outlineLevel="0" collapsed="false">
      <c r="A370" s="215" t="s">
        <v>1886</v>
      </c>
      <c r="B370" s="215" t="s">
        <v>1887</v>
      </c>
    </row>
    <row r="371" customFormat="false" ht="12" hidden="false" customHeight="false" outlineLevel="0" collapsed="false">
      <c r="A371" s="215" t="s">
        <v>1888</v>
      </c>
      <c r="B371" s="215" t="s">
        <v>1889</v>
      </c>
    </row>
    <row r="372" customFormat="false" ht="12" hidden="false" customHeight="false" outlineLevel="0" collapsed="false">
      <c r="A372" s="215" t="s">
        <v>1890</v>
      </c>
      <c r="B372" s="215" t="s">
        <v>1891</v>
      </c>
    </row>
    <row r="373" customFormat="false" ht="12" hidden="false" customHeight="false" outlineLevel="0" collapsed="false">
      <c r="A373" s="215" t="s">
        <v>1892</v>
      </c>
      <c r="B373" s="215" t="s">
        <v>1893</v>
      </c>
    </row>
    <row r="374" customFormat="false" ht="12" hidden="false" customHeight="false" outlineLevel="0" collapsed="false">
      <c r="A374" s="215" t="s">
        <v>1894</v>
      </c>
      <c r="B374" s="215" t="s">
        <v>1895</v>
      </c>
    </row>
    <row r="375" customFormat="false" ht="12" hidden="false" customHeight="false" outlineLevel="0" collapsed="false">
      <c r="A375" s="215" t="s">
        <v>1896</v>
      </c>
      <c r="B375" s="215" t="s">
        <v>1897</v>
      </c>
    </row>
    <row r="376" customFormat="false" ht="12" hidden="false" customHeight="false" outlineLevel="0" collapsed="false">
      <c r="A376" s="215" t="s">
        <v>1898</v>
      </c>
      <c r="B376" s="215" t="s">
        <v>1899</v>
      </c>
    </row>
    <row r="377" customFormat="false" ht="12" hidden="false" customHeight="false" outlineLevel="0" collapsed="false">
      <c r="A377" s="215" t="s">
        <v>1900</v>
      </c>
      <c r="B377" s="215" t="s">
        <v>1901</v>
      </c>
    </row>
    <row r="378" customFormat="false" ht="12" hidden="false" customHeight="false" outlineLevel="0" collapsed="false">
      <c r="A378" s="215" t="s">
        <v>1902</v>
      </c>
      <c r="B378" s="215" t="s">
        <v>1903</v>
      </c>
    </row>
    <row r="379" customFormat="false" ht="12" hidden="false" customHeight="false" outlineLevel="0" collapsed="false">
      <c r="A379" s="215" t="s">
        <v>1904</v>
      </c>
      <c r="B379" s="215" t="s">
        <v>1905</v>
      </c>
    </row>
    <row r="380" customFormat="false" ht="12" hidden="false" customHeight="false" outlineLevel="0" collapsed="false">
      <c r="A380" s="215" t="s">
        <v>1906</v>
      </c>
      <c r="B380" s="215" t="s">
        <v>1907</v>
      </c>
    </row>
    <row r="381" customFormat="false" ht="12" hidden="false" customHeight="false" outlineLevel="0" collapsed="false">
      <c r="A381" s="215" t="s">
        <v>1908</v>
      </c>
      <c r="B381" s="215" t="s">
        <v>1909</v>
      </c>
    </row>
    <row r="382" customFormat="false" ht="12" hidden="false" customHeight="false" outlineLevel="0" collapsed="false">
      <c r="A382" s="215" t="s">
        <v>1910</v>
      </c>
      <c r="B382" s="215" t="s">
        <v>1911</v>
      </c>
    </row>
    <row r="383" customFormat="false" ht="12" hidden="false" customHeight="false" outlineLevel="0" collapsed="false">
      <c r="A383" s="215" t="s">
        <v>1912</v>
      </c>
      <c r="B383" s="215" t="s">
        <v>1913</v>
      </c>
    </row>
    <row r="384" customFormat="false" ht="12" hidden="false" customHeight="false" outlineLevel="0" collapsed="false">
      <c r="A384" s="215" t="s">
        <v>1914</v>
      </c>
      <c r="B384" s="215" t="s">
        <v>1915</v>
      </c>
    </row>
    <row r="385" customFormat="false" ht="12" hidden="false" customHeight="false" outlineLevel="0" collapsed="false">
      <c r="A385" s="215" t="s">
        <v>1916</v>
      </c>
      <c r="B385" s="215" t="s">
        <v>1917</v>
      </c>
    </row>
    <row r="386" customFormat="false" ht="12" hidden="false" customHeight="false" outlineLevel="0" collapsed="false">
      <c r="A386" s="215" t="s">
        <v>1918</v>
      </c>
      <c r="B386" s="215" t="s">
        <v>1919</v>
      </c>
    </row>
    <row r="387" customFormat="false" ht="12" hidden="false" customHeight="false" outlineLevel="0" collapsed="false">
      <c r="A387" s="215" t="s">
        <v>1920</v>
      </c>
      <c r="B387" s="215" t="s">
        <v>1921</v>
      </c>
    </row>
    <row r="388" customFormat="false" ht="12" hidden="false" customHeight="false" outlineLevel="0" collapsed="false">
      <c r="A388" s="215" t="s">
        <v>1922</v>
      </c>
      <c r="B388" s="215" t="s">
        <v>1923</v>
      </c>
    </row>
    <row r="389" customFormat="false" ht="12" hidden="false" customHeight="false" outlineLevel="0" collapsed="false">
      <c r="A389" s="215" t="s">
        <v>1924</v>
      </c>
      <c r="B389" s="215" t="s">
        <v>1925</v>
      </c>
    </row>
    <row r="390" customFormat="false" ht="12" hidden="false" customHeight="false" outlineLevel="0" collapsed="false">
      <c r="A390" s="215" t="s">
        <v>1926</v>
      </c>
      <c r="B390" s="215" t="s">
        <v>1927</v>
      </c>
    </row>
    <row r="391" customFormat="false" ht="12" hidden="false" customHeight="false" outlineLevel="0" collapsed="false">
      <c r="A391" s="215" t="s">
        <v>1928</v>
      </c>
      <c r="B391" s="215" t="s">
        <v>1929</v>
      </c>
    </row>
    <row r="392" customFormat="false" ht="12" hidden="false" customHeight="false" outlineLevel="0" collapsed="false">
      <c r="A392" s="215" t="s">
        <v>1930</v>
      </c>
      <c r="B392" s="215" t="s">
        <v>1931</v>
      </c>
    </row>
    <row r="393" customFormat="false" ht="12" hidden="false" customHeight="false" outlineLevel="0" collapsed="false">
      <c r="A393" s="215" t="s">
        <v>1932</v>
      </c>
      <c r="B393" s="215" t="s">
        <v>1933</v>
      </c>
    </row>
    <row r="394" customFormat="false" ht="12" hidden="false" customHeight="false" outlineLevel="0" collapsed="false">
      <c r="A394" s="215" t="s">
        <v>1934</v>
      </c>
      <c r="B394" s="215" t="s">
        <v>1935</v>
      </c>
    </row>
    <row r="395" customFormat="false" ht="12" hidden="false" customHeight="false" outlineLevel="0" collapsed="false">
      <c r="A395" s="215" t="s">
        <v>1936</v>
      </c>
      <c r="B395" s="215" t="s">
        <v>1937</v>
      </c>
    </row>
    <row r="396" customFormat="false" ht="12" hidden="false" customHeight="false" outlineLevel="0" collapsed="false">
      <c r="A396" s="215" t="s">
        <v>1938</v>
      </c>
      <c r="B396" s="215" t="s">
        <v>1939</v>
      </c>
    </row>
    <row r="397" customFormat="false" ht="12" hidden="false" customHeight="false" outlineLevel="0" collapsed="false">
      <c r="A397" s="215" t="s">
        <v>1940</v>
      </c>
      <c r="B397" s="215" t="s">
        <v>1941</v>
      </c>
    </row>
    <row r="398" customFormat="false" ht="12" hidden="false" customHeight="false" outlineLevel="0" collapsed="false">
      <c r="A398" s="215" t="s">
        <v>1942</v>
      </c>
      <c r="B398" s="215" t="s">
        <v>1943</v>
      </c>
    </row>
    <row r="399" customFormat="false" ht="12" hidden="false" customHeight="false" outlineLevel="0" collapsed="false">
      <c r="A399" s="215" t="s">
        <v>1944</v>
      </c>
      <c r="B399" s="215" t="s">
        <v>1945</v>
      </c>
    </row>
    <row r="400" customFormat="false" ht="12" hidden="false" customHeight="false" outlineLevel="0" collapsed="false">
      <c r="A400" s="215" t="s">
        <v>1946</v>
      </c>
      <c r="B400" s="215" t="s">
        <v>1947</v>
      </c>
    </row>
    <row r="401" customFormat="false" ht="12" hidden="false" customHeight="false" outlineLevel="0" collapsed="false">
      <c r="A401" s="215" t="s">
        <v>1948</v>
      </c>
      <c r="B401" s="215" t="s">
        <v>1949</v>
      </c>
    </row>
    <row r="402" customFormat="false" ht="12" hidden="false" customHeight="false" outlineLevel="0" collapsed="false">
      <c r="A402" s="215" t="s">
        <v>1950</v>
      </c>
      <c r="B402" s="215" t="s">
        <v>1951</v>
      </c>
    </row>
    <row r="403" customFormat="false" ht="12" hidden="false" customHeight="false" outlineLevel="0" collapsed="false">
      <c r="A403" s="215" t="s">
        <v>1952</v>
      </c>
      <c r="B403" s="215" t="s">
        <v>1953</v>
      </c>
    </row>
    <row r="404" customFormat="false" ht="12" hidden="false" customHeight="false" outlineLevel="0" collapsed="false">
      <c r="A404" s="215" t="s">
        <v>1954</v>
      </c>
      <c r="B404" s="215" t="s">
        <v>1955</v>
      </c>
    </row>
    <row r="405" customFormat="false" ht="12" hidden="false" customHeight="false" outlineLevel="0" collapsed="false">
      <c r="A405" s="215" t="s">
        <v>1956</v>
      </c>
      <c r="B405" s="215" t="s">
        <v>1957</v>
      </c>
    </row>
    <row r="406" customFormat="false" ht="12" hidden="false" customHeight="false" outlineLevel="0" collapsed="false">
      <c r="A406" s="215" t="s">
        <v>1958</v>
      </c>
      <c r="B406" s="215" t="s">
        <v>1959</v>
      </c>
    </row>
    <row r="407" customFormat="false" ht="12" hidden="false" customHeight="false" outlineLevel="0" collapsed="false">
      <c r="A407" s="215" t="s">
        <v>1960</v>
      </c>
      <c r="B407" s="215" t="s">
        <v>1961</v>
      </c>
    </row>
    <row r="408" customFormat="false" ht="12" hidden="false" customHeight="false" outlineLevel="0" collapsed="false">
      <c r="A408" s="215" t="s">
        <v>1962</v>
      </c>
      <c r="B408" s="215" t="s">
        <v>1963</v>
      </c>
    </row>
    <row r="409" customFormat="false" ht="12" hidden="false" customHeight="false" outlineLevel="0" collapsed="false">
      <c r="A409" s="215" t="s">
        <v>1964</v>
      </c>
      <c r="B409" s="215" t="s">
        <v>1965</v>
      </c>
    </row>
    <row r="410" customFormat="false" ht="12" hidden="false" customHeight="false" outlineLevel="0" collapsed="false">
      <c r="A410" s="215" t="s">
        <v>1966</v>
      </c>
      <c r="B410" s="215" t="s">
        <v>1967</v>
      </c>
    </row>
    <row r="411" customFormat="false" ht="12" hidden="false" customHeight="false" outlineLevel="0" collapsed="false">
      <c r="A411" s="215" t="s">
        <v>1968</v>
      </c>
      <c r="B411" s="215" t="s">
        <v>1969</v>
      </c>
    </row>
    <row r="412" customFormat="false" ht="12" hidden="false" customHeight="false" outlineLevel="0" collapsed="false">
      <c r="A412" s="215" t="s">
        <v>1970</v>
      </c>
      <c r="B412" s="215" t="s">
        <v>1971</v>
      </c>
    </row>
    <row r="413" customFormat="false" ht="12" hidden="false" customHeight="false" outlineLevel="0" collapsed="false">
      <c r="A413" s="215" t="s">
        <v>1972</v>
      </c>
      <c r="B413" s="215" t="s">
        <v>1973</v>
      </c>
    </row>
    <row r="414" customFormat="false" ht="12" hidden="false" customHeight="false" outlineLevel="0" collapsed="false">
      <c r="A414" s="215" t="s">
        <v>1974</v>
      </c>
      <c r="B414" s="215" t="s">
        <v>1975</v>
      </c>
    </row>
    <row r="415" customFormat="false" ht="12" hidden="false" customHeight="false" outlineLevel="0" collapsed="false">
      <c r="A415" s="215" t="s">
        <v>1976</v>
      </c>
      <c r="B415" s="215" t="s">
        <v>1977</v>
      </c>
    </row>
    <row r="416" customFormat="false" ht="12" hidden="false" customHeight="false" outlineLevel="0" collapsed="false">
      <c r="A416" s="215" t="s">
        <v>1978</v>
      </c>
      <c r="B416" s="215" t="s">
        <v>1979</v>
      </c>
    </row>
    <row r="417" customFormat="false" ht="12" hidden="false" customHeight="false" outlineLevel="0" collapsed="false">
      <c r="A417" s="215" t="s">
        <v>1980</v>
      </c>
      <c r="B417" s="215" t="s">
        <v>1981</v>
      </c>
    </row>
    <row r="418" customFormat="false" ht="12" hidden="false" customHeight="false" outlineLevel="0" collapsed="false">
      <c r="A418" s="215" t="s">
        <v>1982</v>
      </c>
      <c r="B418" s="215" t="s">
        <v>1983</v>
      </c>
    </row>
    <row r="419" customFormat="false" ht="12" hidden="false" customHeight="false" outlineLevel="0" collapsed="false">
      <c r="A419" s="215" t="s">
        <v>1984</v>
      </c>
      <c r="B419" s="215" t="s">
        <v>1985</v>
      </c>
    </row>
    <row r="420" customFormat="false" ht="12" hidden="false" customHeight="false" outlineLevel="0" collapsed="false">
      <c r="A420" s="215" t="s">
        <v>1986</v>
      </c>
      <c r="B420" s="215" t="s">
        <v>1987</v>
      </c>
    </row>
    <row r="421" customFormat="false" ht="12" hidden="false" customHeight="false" outlineLevel="0" collapsed="false">
      <c r="A421" s="215" t="s">
        <v>1988</v>
      </c>
      <c r="B421" s="215" t="s">
        <v>1989</v>
      </c>
    </row>
    <row r="422" customFormat="false" ht="12" hidden="false" customHeight="false" outlineLevel="0" collapsed="false">
      <c r="A422" s="215" t="s">
        <v>1990</v>
      </c>
      <c r="B422" s="215" t="s">
        <v>1991</v>
      </c>
    </row>
    <row r="423" customFormat="false" ht="12" hidden="false" customHeight="false" outlineLevel="0" collapsed="false">
      <c r="A423" s="215" t="s">
        <v>1992</v>
      </c>
      <c r="B423" s="215" t="s">
        <v>1993</v>
      </c>
    </row>
    <row r="424" customFormat="false" ht="12" hidden="false" customHeight="false" outlineLevel="0" collapsed="false">
      <c r="A424" s="215" t="s">
        <v>1994</v>
      </c>
      <c r="B424" s="215" t="s">
        <v>1995</v>
      </c>
    </row>
    <row r="425" customFormat="false" ht="12" hidden="false" customHeight="false" outlineLevel="0" collapsed="false">
      <c r="A425" s="215" t="s">
        <v>1996</v>
      </c>
      <c r="B425" s="215" t="s">
        <v>1997</v>
      </c>
    </row>
    <row r="426" customFormat="false" ht="12" hidden="false" customHeight="false" outlineLevel="0" collapsed="false">
      <c r="A426" s="215" t="s">
        <v>1998</v>
      </c>
      <c r="B426" s="215" t="s">
        <v>1999</v>
      </c>
    </row>
    <row r="427" customFormat="false" ht="12" hidden="false" customHeight="false" outlineLevel="0" collapsed="false">
      <c r="A427" s="215" t="s">
        <v>2000</v>
      </c>
      <c r="B427" s="215" t="s">
        <v>2001</v>
      </c>
    </row>
    <row r="428" customFormat="false" ht="12" hidden="false" customHeight="false" outlineLevel="0" collapsed="false">
      <c r="A428" s="215" t="s">
        <v>2002</v>
      </c>
      <c r="B428" s="215" t="s">
        <v>2003</v>
      </c>
    </row>
    <row r="429" customFormat="false" ht="12" hidden="false" customHeight="false" outlineLevel="0" collapsed="false">
      <c r="A429" s="215" t="s">
        <v>2004</v>
      </c>
      <c r="B429" s="215" t="s">
        <v>2005</v>
      </c>
    </row>
    <row r="430" customFormat="false" ht="12" hidden="false" customHeight="false" outlineLevel="0" collapsed="false">
      <c r="A430" s="215" t="s">
        <v>2006</v>
      </c>
      <c r="B430" s="215" t="s">
        <v>2007</v>
      </c>
    </row>
    <row r="431" customFormat="false" ht="12" hidden="false" customHeight="false" outlineLevel="0" collapsed="false">
      <c r="A431" s="215" t="s">
        <v>2008</v>
      </c>
      <c r="B431" s="215" t="s">
        <v>2009</v>
      </c>
    </row>
    <row r="432" customFormat="false" ht="12" hidden="false" customHeight="false" outlineLevel="0" collapsed="false">
      <c r="A432" s="215" t="s">
        <v>2010</v>
      </c>
      <c r="B432" s="215" t="s">
        <v>2011</v>
      </c>
    </row>
    <row r="433" customFormat="false" ht="12" hidden="false" customHeight="false" outlineLevel="0" collapsed="false">
      <c r="A433" s="215" t="s">
        <v>2012</v>
      </c>
      <c r="B433" s="215" t="s">
        <v>2013</v>
      </c>
    </row>
    <row r="434" customFormat="false" ht="12" hidden="false" customHeight="false" outlineLevel="0" collapsed="false">
      <c r="A434" s="215" t="s">
        <v>2014</v>
      </c>
      <c r="B434" s="215" t="s">
        <v>2015</v>
      </c>
    </row>
    <row r="435" customFormat="false" ht="12" hidden="false" customHeight="false" outlineLevel="0" collapsed="false">
      <c r="A435" s="215" t="s">
        <v>2016</v>
      </c>
      <c r="B435" s="215" t="s">
        <v>2017</v>
      </c>
    </row>
    <row r="436" customFormat="false" ht="12" hidden="false" customHeight="false" outlineLevel="0" collapsed="false">
      <c r="A436" s="215" t="s">
        <v>2018</v>
      </c>
      <c r="B436" s="215" t="s">
        <v>2019</v>
      </c>
    </row>
    <row r="437" customFormat="false" ht="12" hidden="false" customHeight="false" outlineLevel="0" collapsed="false">
      <c r="A437" s="215" t="s">
        <v>2020</v>
      </c>
      <c r="B437" s="215" t="s">
        <v>2021</v>
      </c>
    </row>
    <row r="438" customFormat="false" ht="12" hidden="false" customHeight="false" outlineLevel="0" collapsed="false">
      <c r="A438" s="215" t="s">
        <v>2022</v>
      </c>
      <c r="B438" s="215" t="s">
        <v>2023</v>
      </c>
    </row>
    <row r="439" customFormat="false" ht="12" hidden="false" customHeight="false" outlineLevel="0" collapsed="false">
      <c r="A439" s="215" t="s">
        <v>2024</v>
      </c>
      <c r="B439" s="215" t="s">
        <v>2025</v>
      </c>
    </row>
    <row r="440" customFormat="false" ht="12" hidden="false" customHeight="false" outlineLevel="0" collapsed="false">
      <c r="A440" s="215" t="s">
        <v>2026</v>
      </c>
      <c r="B440" s="215" t="s">
        <v>2027</v>
      </c>
    </row>
    <row r="441" customFormat="false" ht="12" hidden="false" customHeight="false" outlineLevel="0" collapsed="false">
      <c r="A441" s="215" t="s">
        <v>2028</v>
      </c>
      <c r="B441" s="215" t="s">
        <v>2029</v>
      </c>
    </row>
    <row r="442" customFormat="false" ht="12" hidden="false" customHeight="false" outlineLevel="0" collapsed="false">
      <c r="A442" s="215" t="s">
        <v>2030</v>
      </c>
      <c r="B442" s="215" t="s">
        <v>2031</v>
      </c>
    </row>
    <row r="443" customFormat="false" ht="12" hidden="false" customHeight="false" outlineLevel="0" collapsed="false">
      <c r="A443" s="215" t="s">
        <v>2032</v>
      </c>
      <c r="B443" s="215" t="s">
        <v>2033</v>
      </c>
    </row>
    <row r="444" customFormat="false" ht="12" hidden="false" customHeight="false" outlineLevel="0" collapsed="false">
      <c r="A444" s="215" t="s">
        <v>2034</v>
      </c>
      <c r="B444" s="215" t="s">
        <v>2035</v>
      </c>
    </row>
    <row r="445" customFormat="false" ht="12" hidden="false" customHeight="false" outlineLevel="0" collapsed="false">
      <c r="A445" s="215" t="s">
        <v>2036</v>
      </c>
      <c r="B445" s="215" t="s">
        <v>2037</v>
      </c>
    </row>
    <row r="446" customFormat="false" ht="12" hidden="false" customHeight="false" outlineLevel="0" collapsed="false">
      <c r="A446" s="215" t="s">
        <v>2038</v>
      </c>
      <c r="B446" s="215" t="s">
        <v>2039</v>
      </c>
    </row>
    <row r="447" customFormat="false" ht="12" hidden="false" customHeight="false" outlineLevel="0" collapsed="false">
      <c r="A447" s="215" t="s">
        <v>2040</v>
      </c>
      <c r="B447" s="215" t="s">
        <v>2041</v>
      </c>
    </row>
    <row r="448" customFormat="false" ht="12" hidden="false" customHeight="false" outlineLevel="0" collapsed="false">
      <c r="A448" s="215" t="s">
        <v>2042</v>
      </c>
      <c r="B448" s="215" t="s">
        <v>2043</v>
      </c>
    </row>
    <row r="449" customFormat="false" ht="12" hidden="false" customHeight="false" outlineLevel="0" collapsed="false">
      <c r="A449" s="215" t="s">
        <v>2044</v>
      </c>
      <c r="B449" s="215" t="s">
        <v>2045</v>
      </c>
    </row>
    <row r="450" customFormat="false" ht="12" hidden="false" customHeight="false" outlineLevel="0" collapsed="false">
      <c r="A450" s="215" t="s">
        <v>2046</v>
      </c>
      <c r="B450" s="215" t="s">
        <v>2047</v>
      </c>
    </row>
    <row r="451" customFormat="false" ht="12" hidden="false" customHeight="false" outlineLevel="0" collapsed="false">
      <c r="A451" s="215" t="s">
        <v>2048</v>
      </c>
      <c r="B451" s="215" t="s">
        <v>2049</v>
      </c>
    </row>
    <row r="452" customFormat="false" ht="12" hidden="false" customHeight="false" outlineLevel="0" collapsed="false">
      <c r="A452" s="215" t="s">
        <v>2050</v>
      </c>
      <c r="B452" s="215" t="s">
        <v>2051</v>
      </c>
    </row>
    <row r="453" customFormat="false" ht="12" hidden="false" customHeight="false" outlineLevel="0" collapsed="false">
      <c r="A453" s="215" t="s">
        <v>2052</v>
      </c>
      <c r="B453" s="215" t="s">
        <v>2053</v>
      </c>
    </row>
    <row r="454" customFormat="false" ht="12" hidden="false" customHeight="false" outlineLevel="0" collapsed="false">
      <c r="A454" s="215" t="s">
        <v>2054</v>
      </c>
      <c r="B454" s="215" t="s">
        <v>2055</v>
      </c>
    </row>
    <row r="455" customFormat="false" ht="12" hidden="false" customHeight="false" outlineLevel="0" collapsed="false">
      <c r="A455" s="215" t="s">
        <v>2056</v>
      </c>
      <c r="B455" s="215" t="s">
        <v>2057</v>
      </c>
    </row>
    <row r="456" customFormat="false" ht="12" hidden="false" customHeight="false" outlineLevel="0" collapsed="false">
      <c r="A456" s="215" t="s">
        <v>2058</v>
      </c>
      <c r="B456" s="215" t="s">
        <v>2059</v>
      </c>
    </row>
    <row r="457" customFormat="false" ht="12" hidden="false" customHeight="false" outlineLevel="0" collapsed="false">
      <c r="A457" s="215" t="s">
        <v>2060</v>
      </c>
      <c r="B457" s="215" t="s">
        <v>2061</v>
      </c>
    </row>
    <row r="458" customFormat="false" ht="12" hidden="false" customHeight="false" outlineLevel="0" collapsed="false">
      <c r="A458" s="215" t="s">
        <v>2062</v>
      </c>
      <c r="B458" s="215" t="s">
        <v>2063</v>
      </c>
    </row>
    <row r="459" customFormat="false" ht="12" hidden="false" customHeight="false" outlineLevel="0" collapsed="false">
      <c r="A459" s="215" t="s">
        <v>2064</v>
      </c>
      <c r="B459" s="215" t="s">
        <v>2065</v>
      </c>
    </row>
    <row r="460" customFormat="false" ht="12" hidden="false" customHeight="false" outlineLevel="0" collapsed="false">
      <c r="A460" s="215" t="s">
        <v>2066</v>
      </c>
      <c r="B460" s="215" t="s">
        <v>2067</v>
      </c>
    </row>
    <row r="461" customFormat="false" ht="12" hidden="false" customHeight="false" outlineLevel="0" collapsed="false">
      <c r="A461" s="215" t="s">
        <v>2068</v>
      </c>
      <c r="B461" s="215" t="s">
        <v>2069</v>
      </c>
    </row>
    <row r="462" customFormat="false" ht="12" hidden="false" customHeight="false" outlineLevel="0" collapsed="false">
      <c r="A462" s="215" t="s">
        <v>2070</v>
      </c>
      <c r="B462" s="215" t="s">
        <v>2071</v>
      </c>
    </row>
    <row r="463" customFormat="false" ht="12" hidden="false" customHeight="false" outlineLevel="0" collapsed="false">
      <c r="A463" s="215" t="s">
        <v>2072</v>
      </c>
      <c r="B463" s="215" t="s">
        <v>2073</v>
      </c>
    </row>
    <row r="464" customFormat="false" ht="12" hidden="false" customHeight="false" outlineLevel="0" collapsed="false">
      <c r="A464" s="215" t="s">
        <v>2074</v>
      </c>
      <c r="B464" s="215" t="s">
        <v>2075</v>
      </c>
    </row>
    <row r="465" customFormat="false" ht="12" hidden="false" customHeight="false" outlineLevel="0" collapsed="false">
      <c r="A465" s="215" t="s">
        <v>2076</v>
      </c>
      <c r="B465" s="215" t="s">
        <v>2077</v>
      </c>
    </row>
    <row r="466" customFormat="false" ht="12" hidden="false" customHeight="false" outlineLevel="0" collapsed="false">
      <c r="A466" s="215" t="s">
        <v>2078</v>
      </c>
      <c r="B466" s="215" t="s">
        <v>2079</v>
      </c>
    </row>
    <row r="467" customFormat="false" ht="12" hidden="false" customHeight="false" outlineLevel="0" collapsed="false">
      <c r="A467" s="215" t="s">
        <v>2080</v>
      </c>
      <c r="B467" s="215" t="s">
        <v>2081</v>
      </c>
    </row>
    <row r="468" customFormat="false" ht="12" hidden="false" customHeight="false" outlineLevel="0" collapsed="false">
      <c r="A468" s="215" t="s">
        <v>2082</v>
      </c>
      <c r="B468" s="215" t="s">
        <v>2083</v>
      </c>
    </row>
    <row r="469" customFormat="false" ht="12" hidden="false" customHeight="false" outlineLevel="0" collapsed="false">
      <c r="A469" s="215" t="s">
        <v>2084</v>
      </c>
      <c r="B469" s="215" t="s">
        <v>2085</v>
      </c>
    </row>
    <row r="470" customFormat="false" ht="12" hidden="false" customHeight="false" outlineLevel="0" collapsed="false">
      <c r="A470" s="215" t="s">
        <v>2086</v>
      </c>
      <c r="B470" s="215" t="s">
        <v>2087</v>
      </c>
    </row>
    <row r="471" customFormat="false" ht="12" hidden="false" customHeight="false" outlineLevel="0" collapsed="false">
      <c r="A471" s="215" t="s">
        <v>2088</v>
      </c>
      <c r="B471" s="215" t="s">
        <v>2089</v>
      </c>
    </row>
    <row r="472" customFormat="false" ht="12" hidden="false" customHeight="false" outlineLevel="0" collapsed="false">
      <c r="A472" s="215" t="s">
        <v>2090</v>
      </c>
      <c r="B472" s="215" t="s">
        <v>2091</v>
      </c>
    </row>
    <row r="473" customFormat="false" ht="12" hidden="false" customHeight="false" outlineLevel="0" collapsed="false">
      <c r="A473" s="215" t="s">
        <v>2092</v>
      </c>
      <c r="B473" s="215" t="s">
        <v>2093</v>
      </c>
    </row>
    <row r="474" customFormat="false" ht="12" hidden="false" customHeight="false" outlineLevel="0" collapsed="false">
      <c r="A474" s="215" t="s">
        <v>2094</v>
      </c>
      <c r="B474" s="215" t="s">
        <v>2095</v>
      </c>
    </row>
    <row r="475" customFormat="false" ht="12" hidden="false" customHeight="false" outlineLevel="0" collapsed="false">
      <c r="A475" s="215" t="s">
        <v>2096</v>
      </c>
      <c r="B475" s="215" t="s">
        <v>2097</v>
      </c>
    </row>
    <row r="476" customFormat="false" ht="12" hidden="false" customHeight="false" outlineLevel="0" collapsed="false">
      <c r="A476" s="215" t="s">
        <v>2098</v>
      </c>
      <c r="B476" s="215" t="s">
        <v>2099</v>
      </c>
    </row>
    <row r="477" customFormat="false" ht="12" hidden="false" customHeight="false" outlineLevel="0" collapsed="false">
      <c r="A477" s="215" t="s">
        <v>2100</v>
      </c>
      <c r="B477" s="215" t="s">
        <v>2101</v>
      </c>
    </row>
    <row r="478" customFormat="false" ht="12" hidden="false" customHeight="false" outlineLevel="0" collapsed="false">
      <c r="A478" s="215" t="s">
        <v>2102</v>
      </c>
      <c r="B478" s="215" t="s">
        <v>2103</v>
      </c>
    </row>
    <row r="479" customFormat="false" ht="12" hidden="false" customHeight="false" outlineLevel="0" collapsed="false">
      <c r="A479" s="215" t="s">
        <v>2104</v>
      </c>
      <c r="B479" s="215" t="s">
        <v>2105</v>
      </c>
    </row>
    <row r="480" customFormat="false" ht="12" hidden="false" customHeight="false" outlineLevel="0" collapsed="false">
      <c r="A480" s="215" t="s">
        <v>2106</v>
      </c>
      <c r="B480" s="215" t="s">
        <v>2107</v>
      </c>
    </row>
    <row r="481" customFormat="false" ht="12" hidden="false" customHeight="false" outlineLevel="0" collapsed="false">
      <c r="A481" s="215" t="s">
        <v>2108</v>
      </c>
      <c r="B481" s="215" t="s">
        <v>2109</v>
      </c>
    </row>
    <row r="482" customFormat="false" ht="12" hidden="false" customHeight="false" outlineLevel="0" collapsed="false">
      <c r="A482" s="215" t="s">
        <v>2110</v>
      </c>
      <c r="B482" s="215" t="s">
        <v>2111</v>
      </c>
    </row>
    <row r="483" customFormat="false" ht="12" hidden="false" customHeight="false" outlineLevel="0" collapsed="false">
      <c r="A483" s="215" t="s">
        <v>2112</v>
      </c>
      <c r="B483" s="215" t="s">
        <v>2113</v>
      </c>
    </row>
    <row r="484" customFormat="false" ht="12" hidden="false" customHeight="false" outlineLevel="0" collapsed="false">
      <c r="A484" s="215" t="s">
        <v>2114</v>
      </c>
      <c r="B484" s="215" t="s">
        <v>2115</v>
      </c>
    </row>
    <row r="485" customFormat="false" ht="12" hidden="false" customHeight="false" outlineLevel="0" collapsed="false">
      <c r="A485" s="215" t="s">
        <v>2116</v>
      </c>
      <c r="B485" s="215" t="s">
        <v>2117</v>
      </c>
    </row>
    <row r="486" customFormat="false" ht="12" hidden="false" customHeight="false" outlineLevel="0" collapsed="false">
      <c r="A486" s="215" t="s">
        <v>2118</v>
      </c>
      <c r="B486" s="215" t="s">
        <v>2119</v>
      </c>
    </row>
    <row r="487" customFormat="false" ht="12" hidden="false" customHeight="false" outlineLevel="0" collapsed="false">
      <c r="A487" s="215" t="s">
        <v>2120</v>
      </c>
      <c r="B487" s="215" t="s">
        <v>2121</v>
      </c>
    </row>
    <row r="488" customFormat="false" ht="12" hidden="false" customHeight="false" outlineLevel="0" collapsed="false">
      <c r="A488" s="215" t="s">
        <v>2122</v>
      </c>
      <c r="B488" s="215" t="s">
        <v>2123</v>
      </c>
    </row>
    <row r="489" customFormat="false" ht="12" hidden="false" customHeight="false" outlineLevel="0" collapsed="false">
      <c r="A489" s="215" t="s">
        <v>2124</v>
      </c>
      <c r="B489" s="215" t="s">
        <v>2125</v>
      </c>
    </row>
    <row r="490" customFormat="false" ht="12" hidden="false" customHeight="false" outlineLevel="0" collapsed="false">
      <c r="A490" s="215" t="s">
        <v>2126</v>
      </c>
      <c r="B490" s="215" t="s">
        <v>2127</v>
      </c>
    </row>
    <row r="491" customFormat="false" ht="12" hidden="false" customHeight="false" outlineLevel="0" collapsed="false">
      <c r="A491" s="215" t="s">
        <v>2128</v>
      </c>
      <c r="B491" s="215" t="s">
        <v>2129</v>
      </c>
    </row>
    <row r="492" customFormat="false" ht="12" hidden="false" customHeight="false" outlineLevel="0" collapsed="false">
      <c r="A492" s="215" t="s">
        <v>2130</v>
      </c>
      <c r="B492" s="215" t="s">
        <v>2131</v>
      </c>
    </row>
    <row r="493" customFormat="false" ht="12" hidden="false" customHeight="false" outlineLevel="0" collapsed="false">
      <c r="A493" s="215" t="s">
        <v>2132</v>
      </c>
      <c r="B493" s="215" t="s">
        <v>2133</v>
      </c>
    </row>
    <row r="494" customFormat="false" ht="12" hidden="false" customHeight="false" outlineLevel="0" collapsed="false">
      <c r="A494" s="215" t="s">
        <v>2134</v>
      </c>
      <c r="B494" s="215" t="s">
        <v>2135</v>
      </c>
    </row>
    <row r="495" customFormat="false" ht="12" hidden="false" customHeight="false" outlineLevel="0" collapsed="false">
      <c r="A495" s="215" t="s">
        <v>2136</v>
      </c>
      <c r="B495" s="215" t="s">
        <v>2137</v>
      </c>
    </row>
    <row r="496" customFormat="false" ht="12" hidden="false" customHeight="false" outlineLevel="0" collapsed="false">
      <c r="A496" s="215" t="s">
        <v>2138</v>
      </c>
      <c r="B496" s="215" t="s">
        <v>2139</v>
      </c>
    </row>
    <row r="497" customFormat="false" ht="12" hidden="false" customHeight="false" outlineLevel="0" collapsed="false">
      <c r="A497" s="215" t="s">
        <v>2140</v>
      </c>
      <c r="B497" s="215" t="s">
        <v>2141</v>
      </c>
    </row>
    <row r="498" customFormat="false" ht="12" hidden="false" customHeight="false" outlineLevel="0" collapsed="false">
      <c r="A498" s="215" t="s">
        <v>2142</v>
      </c>
      <c r="B498" s="215" t="s">
        <v>2143</v>
      </c>
    </row>
    <row r="499" customFormat="false" ht="12" hidden="false" customHeight="false" outlineLevel="0" collapsed="false">
      <c r="A499" s="215" t="s">
        <v>2144</v>
      </c>
      <c r="B499" s="215" t="s">
        <v>2145</v>
      </c>
    </row>
    <row r="500" customFormat="false" ht="12" hidden="false" customHeight="false" outlineLevel="0" collapsed="false">
      <c r="A500" s="215" t="s">
        <v>2146</v>
      </c>
      <c r="B500" s="215" t="s">
        <v>2147</v>
      </c>
    </row>
    <row r="501" customFormat="false" ht="12" hidden="false" customHeight="false" outlineLevel="0" collapsed="false">
      <c r="A501" s="215" t="s">
        <v>2148</v>
      </c>
      <c r="B501" s="215" t="s">
        <v>895</v>
      </c>
    </row>
    <row r="502" customFormat="false" ht="12" hidden="false" customHeight="false" outlineLevel="0" collapsed="false">
      <c r="A502" s="215" t="s">
        <v>2149</v>
      </c>
      <c r="B502" s="215" t="s">
        <v>2150</v>
      </c>
    </row>
    <row r="503" customFormat="false" ht="12" hidden="false" customHeight="false" outlineLevel="0" collapsed="false">
      <c r="A503" s="215" t="s">
        <v>2151</v>
      </c>
      <c r="B503" s="215" t="s">
        <v>2152</v>
      </c>
    </row>
    <row r="504" customFormat="false" ht="12" hidden="false" customHeight="false" outlineLevel="0" collapsed="false">
      <c r="A504" s="215" t="s">
        <v>2153</v>
      </c>
      <c r="B504" s="215" t="s">
        <v>2154</v>
      </c>
    </row>
    <row r="505" customFormat="false" ht="12" hidden="false" customHeight="false" outlineLevel="0" collapsed="false">
      <c r="A505" s="215" t="s">
        <v>2155</v>
      </c>
      <c r="B505" s="215" t="s">
        <v>2156</v>
      </c>
    </row>
    <row r="506" customFormat="false" ht="12" hidden="false" customHeight="false" outlineLevel="0" collapsed="false">
      <c r="A506" s="215" t="s">
        <v>2157</v>
      </c>
      <c r="B506" s="215" t="s">
        <v>2158</v>
      </c>
    </row>
    <row r="507" customFormat="false" ht="12" hidden="false" customHeight="false" outlineLevel="0" collapsed="false">
      <c r="A507" s="215" t="s">
        <v>2159</v>
      </c>
      <c r="B507" s="215" t="s">
        <v>2160</v>
      </c>
    </row>
    <row r="508" customFormat="false" ht="12" hidden="false" customHeight="false" outlineLevel="0" collapsed="false">
      <c r="A508" s="215" t="s">
        <v>2161</v>
      </c>
      <c r="B508" s="215" t="s">
        <v>2162</v>
      </c>
    </row>
    <row r="509" customFormat="false" ht="12" hidden="false" customHeight="false" outlineLevel="0" collapsed="false">
      <c r="A509" s="215" t="s">
        <v>2163</v>
      </c>
      <c r="B509" s="215" t="s">
        <v>2164</v>
      </c>
    </row>
    <row r="510" customFormat="false" ht="12" hidden="false" customHeight="false" outlineLevel="0" collapsed="false">
      <c r="A510" s="215" t="s">
        <v>2165</v>
      </c>
      <c r="B510" s="215" t="s">
        <v>2166</v>
      </c>
    </row>
    <row r="511" customFormat="false" ht="12" hidden="false" customHeight="false" outlineLevel="0" collapsed="false">
      <c r="A511" s="215" t="s">
        <v>2167</v>
      </c>
      <c r="B511" s="215" t="s">
        <v>2168</v>
      </c>
    </row>
    <row r="512" customFormat="false" ht="12" hidden="false" customHeight="false" outlineLevel="0" collapsed="false">
      <c r="A512" s="215" t="s">
        <v>2169</v>
      </c>
      <c r="B512" s="215" t="s">
        <v>2170</v>
      </c>
    </row>
    <row r="513" customFormat="false" ht="12" hidden="false" customHeight="false" outlineLevel="0" collapsed="false">
      <c r="A513" s="215" t="s">
        <v>2171</v>
      </c>
      <c r="B513" s="215" t="s">
        <v>2172</v>
      </c>
    </row>
    <row r="514" customFormat="false" ht="12" hidden="false" customHeight="false" outlineLevel="0" collapsed="false">
      <c r="A514" s="215" t="s">
        <v>2173</v>
      </c>
      <c r="B514" s="215" t="s">
        <v>2174</v>
      </c>
    </row>
    <row r="515" customFormat="false" ht="12" hidden="false" customHeight="false" outlineLevel="0" collapsed="false">
      <c r="A515" s="215" t="s">
        <v>2175</v>
      </c>
      <c r="B515" s="215" t="s">
        <v>2176</v>
      </c>
    </row>
    <row r="516" customFormat="false" ht="12" hidden="false" customHeight="false" outlineLevel="0" collapsed="false">
      <c r="A516" s="215" t="s">
        <v>2177</v>
      </c>
      <c r="B516" s="215" t="s">
        <v>2178</v>
      </c>
    </row>
    <row r="517" customFormat="false" ht="12" hidden="false" customHeight="false" outlineLevel="0" collapsed="false">
      <c r="A517" s="215" t="s">
        <v>2179</v>
      </c>
      <c r="B517" s="215" t="s">
        <v>2180</v>
      </c>
    </row>
    <row r="518" customFormat="false" ht="12" hidden="false" customHeight="false" outlineLevel="0" collapsed="false">
      <c r="A518" s="215" t="s">
        <v>2181</v>
      </c>
      <c r="B518" s="215" t="s">
        <v>2182</v>
      </c>
    </row>
    <row r="519" customFormat="false" ht="12" hidden="false" customHeight="false" outlineLevel="0" collapsed="false">
      <c r="A519" s="215" t="s">
        <v>2183</v>
      </c>
      <c r="B519" s="215" t="s">
        <v>2184</v>
      </c>
    </row>
    <row r="520" customFormat="false" ht="12" hidden="false" customHeight="false" outlineLevel="0" collapsed="false">
      <c r="A520" s="215" t="s">
        <v>2185</v>
      </c>
      <c r="B520" s="215" t="s">
        <v>2186</v>
      </c>
    </row>
    <row r="521" customFormat="false" ht="12" hidden="false" customHeight="false" outlineLevel="0" collapsed="false">
      <c r="A521" s="215" t="s">
        <v>2187</v>
      </c>
      <c r="B521" s="215" t="s">
        <v>2188</v>
      </c>
    </row>
    <row r="522" customFormat="false" ht="12" hidden="false" customHeight="false" outlineLevel="0" collapsed="false">
      <c r="A522" s="215" t="s">
        <v>2189</v>
      </c>
      <c r="B522" s="215" t="s">
        <v>2190</v>
      </c>
    </row>
    <row r="523" customFormat="false" ht="12" hidden="false" customHeight="false" outlineLevel="0" collapsed="false">
      <c r="A523" s="215" t="s">
        <v>2191</v>
      </c>
      <c r="B523" s="215" t="s">
        <v>2192</v>
      </c>
    </row>
    <row r="524" customFormat="false" ht="12" hidden="false" customHeight="false" outlineLevel="0" collapsed="false">
      <c r="A524" s="215" t="s">
        <v>2193</v>
      </c>
      <c r="B524" s="215" t="s">
        <v>2194</v>
      </c>
    </row>
    <row r="525" customFormat="false" ht="12" hidden="false" customHeight="false" outlineLevel="0" collapsed="false">
      <c r="A525" s="215" t="s">
        <v>2195</v>
      </c>
      <c r="B525" s="215" t="s">
        <v>2196</v>
      </c>
    </row>
    <row r="526" customFormat="false" ht="12" hidden="false" customHeight="false" outlineLevel="0" collapsed="false">
      <c r="A526" s="215" t="s">
        <v>2197</v>
      </c>
      <c r="B526" s="215" t="s">
        <v>2198</v>
      </c>
    </row>
    <row r="527" customFormat="false" ht="12" hidden="false" customHeight="false" outlineLevel="0" collapsed="false">
      <c r="A527" s="215" t="s">
        <v>2199</v>
      </c>
      <c r="B527" s="215" t="s">
        <v>2200</v>
      </c>
    </row>
    <row r="528" customFormat="false" ht="12" hidden="false" customHeight="false" outlineLevel="0" collapsed="false">
      <c r="A528" s="215" t="s">
        <v>2201</v>
      </c>
      <c r="B528" s="215" t="s">
        <v>2202</v>
      </c>
    </row>
    <row r="529" customFormat="false" ht="12" hidden="false" customHeight="false" outlineLevel="0" collapsed="false">
      <c r="A529" s="215" t="s">
        <v>2203</v>
      </c>
      <c r="B529" s="215" t="s">
        <v>2204</v>
      </c>
    </row>
    <row r="530" customFormat="false" ht="12" hidden="false" customHeight="false" outlineLevel="0" collapsed="false">
      <c r="A530" s="215" t="s">
        <v>2205</v>
      </c>
      <c r="B530" s="215" t="s">
        <v>2206</v>
      </c>
    </row>
    <row r="531" customFormat="false" ht="12" hidden="false" customHeight="false" outlineLevel="0" collapsed="false">
      <c r="A531" s="215" t="s">
        <v>2207</v>
      </c>
      <c r="B531" s="215" t="s">
        <v>2208</v>
      </c>
    </row>
    <row r="532" customFormat="false" ht="12" hidden="false" customHeight="false" outlineLevel="0" collapsed="false">
      <c r="A532" s="215" t="s">
        <v>2209</v>
      </c>
      <c r="B532" s="215" t="s">
        <v>2210</v>
      </c>
    </row>
    <row r="533" customFormat="false" ht="12" hidden="false" customHeight="false" outlineLevel="0" collapsed="false">
      <c r="A533" s="215" t="s">
        <v>2211</v>
      </c>
      <c r="B533" s="215" t="s">
        <v>2212</v>
      </c>
    </row>
    <row r="534" customFormat="false" ht="12" hidden="false" customHeight="false" outlineLevel="0" collapsed="false">
      <c r="A534" s="215" t="s">
        <v>2213</v>
      </c>
      <c r="B534" s="215" t="s">
        <v>2214</v>
      </c>
    </row>
    <row r="535" customFormat="false" ht="12" hidden="false" customHeight="false" outlineLevel="0" collapsed="false">
      <c r="A535" s="215" t="s">
        <v>2215</v>
      </c>
      <c r="B535" s="215" t="s">
        <v>2216</v>
      </c>
    </row>
    <row r="536" customFormat="false" ht="12" hidden="false" customHeight="false" outlineLevel="0" collapsed="false">
      <c r="A536" s="215" t="s">
        <v>2217</v>
      </c>
      <c r="B536" s="215" t="s">
        <v>2218</v>
      </c>
    </row>
    <row r="537" customFormat="false" ht="12" hidden="false" customHeight="false" outlineLevel="0" collapsed="false">
      <c r="A537" s="215" t="s">
        <v>2219</v>
      </c>
      <c r="B537" s="215" t="s">
        <v>2220</v>
      </c>
    </row>
    <row r="538" customFormat="false" ht="12" hidden="false" customHeight="false" outlineLevel="0" collapsed="false">
      <c r="A538" s="215" t="s">
        <v>2221</v>
      </c>
      <c r="B538" s="215" t="s">
        <v>2222</v>
      </c>
    </row>
    <row r="539" customFormat="false" ht="12" hidden="false" customHeight="false" outlineLevel="0" collapsed="false">
      <c r="A539" s="215" t="s">
        <v>2223</v>
      </c>
      <c r="B539" s="215" t="s">
        <v>2224</v>
      </c>
    </row>
    <row r="540" customFormat="false" ht="12" hidden="false" customHeight="false" outlineLevel="0" collapsed="false">
      <c r="A540" s="215" t="s">
        <v>2225</v>
      </c>
      <c r="B540" s="215" t="s">
        <v>2226</v>
      </c>
    </row>
    <row r="541" customFormat="false" ht="12" hidden="false" customHeight="false" outlineLevel="0" collapsed="false">
      <c r="A541" s="215" t="s">
        <v>2227</v>
      </c>
      <c r="B541" s="215" t="s">
        <v>2228</v>
      </c>
    </row>
    <row r="542" customFormat="false" ht="12" hidden="false" customHeight="false" outlineLevel="0" collapsed="false">
      <c r="A542" s="215" t="s">
        <v>2229</v>
      </c>
      <c r="B542" s="215" t="s">
        <v>2230</v>
      </c>
    </row>
    <row r="543" customFormat="false" ht="12" hidden="false" customHeight="false" outlineLevel="0" collapsed="false">
      <c r="A543" s="215" t="s">
        <v>2231</v>
      </c>
      <c r="B543" s="215" t="s">
        <v>2232</v>
      </c>
    </row>
    <row r="544" customFormat="false" ht="12" hidden="false" customHeight="false" outlineLevel="0" collapsed="false">
      <c r="A544" s="215" t="s">
        <v>2233</v>
      </c>
      <c r="B544" s="215" t="s">
        <v>2234</v>
      </c>
    </row>
    <row r="545" customFormat="false" ht="12" hidden="false" customHeight="false" outlineLevel="0" collapsed="false">
      <c r="A545" s="215" t="s">
        <v>2235</v>
      </c>
      <c r="B545" s="215" t="s">
        <v>2236</v>
      </c>
    </row>
    <row r="546" customFormat="false" ht="12" hidden="false" customHeight="false" outlineLevel="0" collapsed="false">
      <c r="A546" s="215" t="s">
        <v>2237</v>
      </c>
      <c r="B546" s="215" t="s">
        <v>2238</v>
      </c>
    </row>
    <row r="547" customFormat="false" ht="12" hidden="false" customHeight="false" outlineLevel="0" collapsed="false">
      <c r="A547" s="215" t="s">
        <v>2239</v>
      </c>
      <c r="B547" s="215" t="s">
        <v>2240</v>
      </c>
    </row>
    <row r="548" customFormat="false" ht="12" hidden="false" customHeight="false" outlineLevel="0" collapsed="false">
      <c r="A548" s="215" t="s">
        <v>2241</v>
      </c>
      <c r="B548" s="215" t="s">
        <v>2242</v>
      </c>
    </row>
    <row r="549" customFormat="false" ht="12" hidden="false" customHeight="false" outlineLevel="0" collapsed="false">
      <c r="A549" s="215" t="s">
        <v>2243</v>
      </c>
      <c r="B549" s="215" t="s">
        <v>2244</v>
      </c>
    </row>
    <row r="550" customFormat="false" ht="12" hidden="false" customHeight="false" outlineLevel="0" collapsed="false">
      <c r="A550" s="215" t="s">
        <v>2245</v>
      </c>
      <c r="B550" s="215" t="s">
        <v>2246</v>
      </c>
    </row>
    <row r="551" customFormat="false" ht="12" hidden="false" customHeight="false" outlineLevel="0" collapsed="false">
      <c r="A551" s="215" t="s">
        <v>2247</v>
      </c>
      <c r="B551" s="215" t="s">
        <v>2248</v>
      </c>
    </row>
    <row r="552" customFormat="false" ht="12" hidden="false" customHeight="false" outlineLevel="0" collapsed="false">
      <c r="A552" s="215" t="s">
        <v>2249</v>
      </c>
      <c r="B552" s="215" t="s">
        <v>2250</v>
      </c>
    </row>
    <row r="553" customFormat="false" ht="12" hidden="false" customHeight="false" outlineLevel="0" collapsed="false">
      <c r="A553" s="215" t="s">
        <v>2251</v>
      </c>
      <c r="B553" s="215" t="s">
        <v>2252</v>
      </c>
    </row>
    <row r="554" customFormat="false" ht="12" hidden="false" customHeight="false" outlineLevel="0" collapsed="false">
      <c r="A554" s="215" t="s">
        <v>2253</v>
      </c>
      <c r="B554" s="215" t="s">
        <v>2254</v>
      </c>
    </row>
    <row r="555" customFormat="false" ht="12" hidden="false" customHeight="false" outlineLevel="0" collapsed="false">
      <c r="A555" s="215" t="s">
        <v>2255</v>
      </c>
      <c r="B555" s="215" t="s">
        <v>2256</v>
      </c>
    </row>
    <row r="556" customFormat="false" ht="12" hidden="false" customHeight="false" outlineLevel="0" collapsed="false">
      <c r="A556" s="215" t="s">
        <v>2257</v>
      </c>
      <c r="B556" s="215" t="s">
        <v>2258</v>
      </c>
    </row>
    <row r="557" customFormat="false" ht="12" hidden="false" customHeight="false" outlineLevel="0" collapsed="false">
      <c r="A557" s="215" t="s">
        <v>2259</v>
      </c>
      <c r="B557" s="215" t="s">
        <v>2260</v>
      </c>
    </row>
    <row r="558" customFormat="false" ht="12" hidden="false" customHeight="false" outlineLevel="0" collapsed="false">
      <c r="A558" s="215" t="s">
        <v>2261</v>
      </c>
      <c r="B558" s="215" t="s">
        <v>2262</v>
      </c>
    </row>
    <row r="559" customFormat="false" ht="12" hidden="false" customHeight="false" outlineLevel="0" collapsed="false">
      <c r="A559" s="215" t="s">
        <v>2263</v>
      </c>
      <c r="B559" s="215" t="s">
        <v>2264</v>
      </c>
    </row>
    <row r="560" customFormat="false" ht="12" hidden="false" customHeight="false" outlineLevel="0" collapsed="false">
      <c r="A560" s="215" t="s">
        <v>2265</v>
      </c>
      <c r="B560" s="215" t="s">
        <v>2266</v>
      </c>
    </row>
    <row r="561" customFormat="false" ht="12" hidden="false" customHeight="false" outlineLevel="0" collapsed="false">
      <c r="A561" s="215" t="s">
        <v>2267</v>
      </c>
      <c r="B561" s="215" t="s">
        <v>2268</v>
      </c>
    </row>
    <row r="562" customFormat="false" ht="12" hidden="false" customHeight="false" outlineLevel="0" collapsed="false">
      <c r="A562" s="215" t="s">
        <v>2269</v>
      </c>
      <c r="B562" s="215" t="s">
        <v>2270</v>
      </c>
    </row>
    <row r="563" customFormat="false" ht="12" hidden="false" customHeight="false" outlineLevel="0" collapsed="false">
      <c r="A563" s="215" t="s">
        <v>2271</v>
      </c>
      <c r="B563" s="215" t="s">
        <v>2272</v>
      </c>
    </row>
    <row r="564" customFormat="false" ht="12" hidden="false" customHeight="false" outlineLevel="0" collapsed="false">
      <c r="A564" s="215" t="s">
        <v>2273</v>
      </c>
      <c r="B564" s="215" t="s">
        <v>2274</v>
      </c>
    </row>
    <row r="565" customFormat="false" ht="12" hidden="false" customHeight="false" outlineLevel="0" collapsed="false">
      <c r="A565" s="215" t="s">
        <v>2275</v>
      </c>
      <c r="B565" s="215" t="s">
        <v>2276</v>
      </c>
    </row>
    <row r="566" customFormat="false" ht="12" hidden="false" customHeight="false" outlineLevel="0" collapsed="false">
      <c r="A566" s="215" t="s">
        <v>2277</v>
      </c>
      <c r="B566" s="215" t="s">
        <v>2278</v>
      </c>
    </row>
    <row r="567" customFormat="false" ht="12" hidden="false" customHeight="false" outlineLevel="0" collapsed="false">
      <c r="A567" s="215" t="s">
        <v>2279</v>
      </c>
      <c r="B567" s="215" t="s">
        <v>2280</v>
      </c>
    </row>
    <row r="568" customFormat="false" ht="12" hidden="false" customHeight="false" outlineLevel="0" collapsed="false">
      <c r="A568" s="215" t="s">
        <v>2281</v>
      </c>
      <c r="B568" s="215" t="s">
        <v>2282</v>
      </c>
    </row>
    <row r="569" customFormat="false" ht="12" hidden="false" customHeight="false" outlineLevel="0" collapsed="false">
      <c r="A569" s="215" t="s">
        <v>2283</v>
      </c>
      <c r="B569" s="215" t="s">
        <v>2284</v>
      </c>
    </row>
    <row r="570" customFormat="false" ht="12" hidden="false" customHeight="false" outlineLevel="0" collapsed="false">
      <c r="A570" s="215" t="s">
        <v>2285</v>
      </c>
      <c r="B570" s="215" t="s">
        <v>2286</v>
      </c>
    </row>
    <row r="571" customFormat="false" ht="12" hidden="false" customHeight="false" outlineLevel="0" collapsed="false">
      <c r="A571" s="215" t="s">
        <v>2287</v>
      </c>
      <c r="B571" s="215" t="s">
        <v>2288</v>
      </c>
    </row>
    <row r="572" customFormat="false" ht="12" hidden="false" customHeight="false" outlineLevel="0" collapsed="false">
      <c r="A572" s="215" t="s">
        <v>2289</v>
      </c>
      <c r="B572" s="215" t="s">
        <v>2290</v>
      </c>
    </row>
    <row r="573" customFormat="false" ht="12" hidden="false" customHeight="false" outlineLevel="0" collapsed="false">
      <c r="A573" s="215" t="s">
        <v>2291</v>
      </c>
      <c r="B573" s="215" t="s">
        <v>2292</v>
      </c>
    </row>
    <row r="574" customFormat="false" ht="12" hidden="false" customHeight="false" outlineLevel="0" collapsed="false">
      <c r="A574" s="215" t="s">
        <v>2293</v>
      </c>
      <c r="B574" s="215" t="s">
        <v>2294</v>
      </c>
    </row>
    <row r="575" customFormat="false" ht="12" hidden="false" customHeight="false" outlineLevel="0" collapsed="false">
      <c r="A575" s="215" t="s">
        <v>2295</v>
      </c>
      <c r="B575" s="215" t="s">
        <v>2296</v>
      </c>
    </row>
    <row r="576" customFormat="false" ht="12" hidden="false" customHeight="false" outlineLevel="0" collapsed="false">
      <c r="A576" s="215" t="s">
        <v>2297</v>
      </c>
      <c r="B576" s="215" t="s">
        <v>2298</v>
      </c>
    </row>
    <row r="577" customFormat="false" ht="12" hidden="false" customHeight="false" outlineLevel="0" collapsed="false">
      <c r="A577" s="215" t="s">
        <v>2299</v>
      </c>
      <c r="B577" s="215" t="s">
        <v>2300</v>
      </c>
    </row>
    <row r="578" customFormat="false" ht="12" hidden="false" customHeight="false" outlineLevel="0" collapsed="false">
      <c r="A578" s="215" t="s">
        <v>2301</v>
      </c>
      <c r="B578" s="215" t="s">
        <v>2302</v>
      </c>
    </row>
    <row r="579" customFormat="false" ht="12" hidden="false" customHeight="false" outlineLevel="0" collapsed="false">
      <c r="A579" s="215" t="s">
        <v>2303</v>
      </c>
      <c r="B579" s="215" t="s">
        <v>2304</v>
      </c>
    </row>
    <row r="580" customFormat="false" ht="12" hidden="false" customHeight="false" outlineLevel="0" collapsed="false">
      <c r="A580" s="215" t="s">
        <v>2305</v>
      </c>
      <c r="B580" s="215" t="s">
        <v>2306</v>
      </c>
    </row>
    <row r="581" customFormat="false" ht="12" hidden="false" customHeight="false" outlineLevel="0" collapsed="false">
      <c r="A581" s="215" t="s">
        <v>2307</v>
      </c>
      <c r="B581" s="215" t="s">
        <v>2308</v>
      </c>
    </row>
    <row r="582" customFormat="false" ht="12" hidden="false" customHeight="false" outlineLevel="0" collapsed="false">
      <c r="A582" s="215" t="s">
        <v>2309</v>
      </c>
      <c r="B582" s="215" t="s">
        <v>2310</v>
      </c>
    </row>
    <row r="583" customFormat="false" ht="12" hidden="false" customHeight="false" outlineLevel="0" collapsed="false">
      <c r="A583" s="215" t="s">
        <v>2311</v>
      </c>
      <c r="B583" s="215" t="s">
        <v>2312</v>
      </c>
    </row>
    <row r="584" customFormat="false" ht="12" hidden="false" customHeight="false" outlineLevel="0" collapsed="false">
      <c r="A584" s="215" t="s">
        <v>2313</v>
      </c>
      <c r="B584" s="215" t="s">
        <v>2314</v>
      </c>
    </row>
    <row r="585" customFormat="false" ht="12" hidden="false" customHeight="false" outlineLevel="0" collapsed="false">
      <c r="A585" s="215" t="s">
        <v>2315</v>
      </c>
      <c r="B585" s="215" t="s">
        <v>2316</v>
      </c>
    </row>
    <row r="586" customFormat="false" ht="12" hidden="false" customHeight="false" outlineLevel="0" collapsed="false">
      <c r="A586" s="215" t="s">
        <v>2317</v>
      </c>
      <c r="B586" s="215" t="s">
        <v>2318</v>
      </c>
    </row>
    <row r="587" customFormat="false" ht="12" hidden="false" customHeight="false" outlineLevel="0" collapsed="false">
      <c r="A587" s="215" t="s">
        <v>2319</v>
      </c>
      <c r="B587" s="215" t="s">
        <v>2320</v>
      </c>
    </row>
    <row r="588" customFormat="false" ht="12" hidden="false" customHeight="false" outlineLevel="0" collapsed="false">
      <c r="A588" s="215" t="s">
        <v>2321</v>
      </c>
      <c r="B588" s="215" t="s">
        <v>119</v>
      </c>
    </row>
    <row r="589" customFormat="false" ht="12" hidden="false" customHeight="false" outlineLevel="0" collapsed="false">
      <c r="A589" s="215" t="s">
        <v>2322</v>
      </c>
      <c r="B589" s="215" t="s">
        <v>2323</v>
      </c>
    </row>
    <row r="590" customFormat="false" ht="12" hidden="false" customHeight="false" outlineLevel="0" collapsed="false">
      <c r="A590" s="215" t="s">
        <v>2324</v>
      </c>
      <c r="B590" s="215" t="s">
        <v>2325</v>
      </c>
    </row>
    <row r="591" customFormat="false" ht="12" hidden="false" customHeight="false" outlineLevel="0" collapsed="false">
      <c r="A591" s="215" t="s">
        <v>2326</v>
      </c>
      <c r="B591" s="215" t="s">
        <v>2327</v>
      </c>
    </row>
    <row r="592" customFormat="false" ht="12" hidden="false" customHeight="false" outlineLevel="0" collapsed="false">
      <c r="A592" s="215" t="s">
        <v>2328</v>
      </c>
      <c r="B592" s="215" t="s">
        <v>2329</v>
      </c>
    </row>
    <row r="593" customFormat="false" ht="12" hidden="false" customHeight="false" outlineLevel="0" collapsed="false">
      <c r="A593" s="215" t="s">
        <v>2330</v>
      </c>
      <c r="B593" s="215" t="s">
        <v>2331</v>
      </c>
    </row>
    <row r="594" customFormat="false" ht="12" hidden="false" customHeight="false" outlineLevel="0" collapsed="false">
      <c r="A594" s="215" t="s">
        <v>2332</v>
      </c>
      <c r="B594" s="215" t="s">
        <v>2333</v>
      </c>
    </row>
    <row r="595" customFormat="false" ht="12" hidden="false" customHeight="false" outlineLevel="0" collapsed="false">
      <c r="A595" s="215" t="s">
        <v>2334</v>
      </c>
      <c r="B595" s="215" t="s">
        <v>2335</v>
      </c>
    </row>
    <row r="596" customFormat="false" ht="12" hidden="false" customHeight="false" outlineLevel="0" collapsed="false">
      <c r="A596" s="215" t="s">
        <v>2336</v>
      </c>
      <c r="B596" s="215" t="s">
        <v>2337</v>
      </c>
    </row>
    <row r="597" customFormat="false" ht="12" hidden="false" customHeight="false" outlineLevel="0" collapsed="false">
      <c r="A597" s="215" t="s">
        <v>2338</v>
      </c>
      <c r="B597" s="215" t="s">
        <v>2339</v>
      </c>
    </row>
    <row r="598" customFormat="false" ht="12" hidden="false" customHeight="false" outlineLevel="0" collapsed="false">
      <c r="A598" s="215" t="s">
        <v>2340</v>
      </c>
      <c r="B598" s="215" t="s">
        <v>2341</v>
      </c>
    </row>
    <row r="599" customFormat="false" ht="12" hidden="false" customHeight="false" outlineLevel="0" collapsed="false">
      <c r="A599" s="215" t="s">
        <v>2342</v>
      </c>
      <c r="B599" s="215" t="s">
        <v>2343</v>
      </c>
    </row>
    <row r="600" customFormat="false" ht="12" hidden="false" customHeight="false" outlineLevel="0" collapsed="false">
      <c r="A600" s="215" t="s">
        <v>2344</v>
      </c>
      <c r="B600" s="215" t="s">
        <v>2345</v>
      </c>
    </row>
    <row r="601" customFormat="false" ht="12" hidden="false" customHeight="false" outlineLevel="0" collapsed="false">
      <c r="A601" s="215" t="s">
        <v>2346</v>
      </c>
      <c r="B601" s="215" t="s">
        <v>2347</v>
      </c>
    </row>
    <row r="602" customFormat="false" ht="12" hidden="false" customHeight="false" outlineLevel="0" collapsed="false">
      <c r="A602" s="215" t="s">
        <v>2348</v>
      </c>
      <c r="B602" s="215" t="s">
        <v>2349</v>
      </c>
    </row>
    <row r="603" customFormat="false" ht="12" hidden="false" customHeight="false" outlineLevel="0" collapsed="false">
      <c r="A603" s="215" t="s">
        <v>2350</v>
      </c>
      <c r="B603" s="215" t="s">
        <v>2351</v>
      </c>
    </row>
    <row r="604" customFormat="false" ht="12" hidden="false" customHeight="false" outlineLevel="0" collapsed="false">
      <c r="A604" s="215" t="s">
        <v>2352</v>
      </c>
      <c r="B604" s="215" t="s">
        <v>2353</v>
      </c>
    </row>
    <row r="605" customFormat="false" ht="12" hidden="false" customHeight="false" outlineLevel="0" collapsed="false">
      <c r="A605" s="215" t="s">
        <v>2354</v>
      </c>
      <c r="B605" s="215" t="s">
        <v>2355</v>
      </c>
    </row>
    <row r="606" customFormat="false" ht="12" hidden="false" customHeight="false" outlineLevel="0" collapsed="false">
      <c r="A606" s="215" t="s">
        <v>2356</v>
      </c>
      <c r="B606" s="215" t="s">
        <v>2357</v>
      </c>
    </row>
    <row r="607" customFormat="false" ht="12" hidden="false" customHeight="false" outlineLevel="0" collapsed="false">
      <c r="A607" s="215" t="s">
        <v>2358</v>
      </c>
      <c r="B607" s="215" t="s">
        <v>2359</v>
      </c>
    </row>
    <row r="608" customFormat="false" ht="12" hidden="false" customHeight="false" outlineLevel="0" collapsed="false">
      <c r="A608" s="215" t="s">
        <v>2360</v>
      </c>
      <c r="B608" s="215" t="s">
        <v>2361</v>
      </c>
    </row>
    <row r="609" customFormat="false" ht="12" hidden="false" customHeight="false" outlineLevel="0" collapsed="false">
      <c r="A609" s="215" t="s">
        <v>2362</v>
      </c>
      <c r="B609" s="215" t="s">
        <v>2363</v>
      </c>
    </row>
    <row r="610" customFormat="false" ht="12" hidden="false" customHeight="false" outlineLevel="0" collapsed="false">
      <c r="A610" s="215" t="s">
        <v>2364</v>
      </c>
      <c r="B610" s="215" t="s">
        <v>2365</v>
      </c>
    </row>
    <row r="611" customFormat="false" ht="12" hidden="false" customHeight="false" outlineLevel="0" collapsed="false">
      <c r="A611" s="215" t="s">
        <v>2366</v>
      </c>
      <c r="B611" s="215" t="s">
        <v>2367</v>
      </c>
    </row>
    <row r="612" customFormat="false" ht="12" hidden="false" customHeight="false" outlineLevel="0" collapsed="false">
      <c r="A612" s="215" t="s">
        <v>2368</v>
      </c>
      <c r="B612" s="215" t="s">
        <v>2369</v>
      </c>
    </row>
    <row r="613" customFormat="false" ht="12" hidden="false" customHeight="false" outlineLevel="0" collapsed="false">
      <c r="A613" s="215" t="s">
        <v>2370</v>
      </c>
      <c r="B613" s="215" t="s">
        <v>2371</v>
      </c>
    </row>
    <row r="614" customFormat="false" ht="12" hidden="false" customHeight="false" outlineLevel="0" collapsed="false">
      <c r="A614" s="215" t="s">
        <v>2372</v>
      </c>
      <c r="B614" s="215" t="s">
        <v>2373</v>
      </c>
    </row>
    <row r="615" customFormat="false" ht="12" hidden="false" customHeight="false" outlineLevel="0" collapsed="false">
      <c r="A615" s="215" t="s">
        <v>2374</v>
      </c>
      <c r="B615" s="215" t="s">
        <v>2375</v>
      </c>
    </row>
    <row r="616" customFormat="false" ht="12" hidden="false" customHeight="false" outlineLevel="0" collapsed="false">
      <c r="A616" s="215" t="s">
        <v>2376</v>
      </c>
      <c r="B616" s="215" t="s">
        <v>2377</v>
      </c>
    </row>
    <row r="617" customFormat="false" ht="12" hidden="false" customHeight="false" outlineLevel="0" collapsed="false">
      <c r="A617" s="215" t="s">
        <v>2378</v>
      </c>
      <c r="B617" s="215" t="s">
        <v>2379</v>
      </c>
    </row>
    <row r="618" customFormat="false" ht="12" hidden="false" customHeight="false" outlineLevel="0" collapsed="false">
      <c r="A618" s="215" t="s">
        <v>2380</v>
      </c>
      <c r="B618" s="215" t="s">
        <v>2381</v>
      </c>
    </row>
    <row r="619" customFormat="false" ht="12" hidden="false" customHeight="false" outlineLevel="0" collapsed="false">
      <c r="A619" s="215" t="s">
        <v>2382</v>
      </c>
      <c r="B619" s="215" t="s">
        <v>2383</v>
      </c>
    </row>
    <row r="620" customFormat="false" ht="12" hidden="false" customHeight="false" outlineLevel="0" collapsed="false">
      <c r="A620" s="215" t="s">
        <v>2384</v>
      </c>
      <c r="B620" s="215" t="s">
        <v>2385</v>
      </c>
    </row>
    <row r="621" customFormat="false" ht="12" hidden="false" customHeight="false" outlineLevel="0" collapsed="false">
      <c r="A621" s="215" t="s">
        <v>2386</v>
      </c>
      <c r="B621" s="215" t="s">
        <v>2387</v>
      </c>
    </row>
    <row r="622" customFormat="false" ht="12" hidden="false" customHeight="false" outlineLevel="0" collapsed="false">
      <c r="A622" s="215" t="s">
        <v>2388</v>
      </c>
      <c r="B622" s="215" t="s">
        <v>2389</v>
      </c>
    </row>
    <row r="623" customFormat="false" ht="12" hidden="false" customHeight="false" outlineLevel="0" collapsed="false">
      <c r="A623" s="215" t="s">
        <v>2390</v>
      </c>
      <c r="B623" s="215" t="s">
        <v>2391</v>
      </c>
    </row>
    <row r="624" customFormat="false" ht="12" hidden="false" customHeight="false" outlineLevel="0" collapsed="false">
      <c r="A624" s="215" t="s">
        <v>2392</v>
      </c>
      <c r="B624" s="215" t="s">
        <v>2393</v>
      </c>
    </row>
    <row r="625" customFormat="false" ht="12" hidden="false" customHeight="false" outlineLevel="0" collapsed="false">
      <c r="A625" s="215" t="s">
        <v>2394</v>
      </c>
      <c r="B625" s="215" t="s">
        <v>2395</v>
      </c>
    </row>
    <row r="626" customFormat="false" ht="12" hidden="false" customHeight="false" outlineLevel="0" collapsed="false">
      <c r="A626" s="215" t="s">
        <v>2396</v>
      </c>
      <c r="B626" s="215" t="s">
        <v>2397</v>
      </c>
    </row>
    <row r="627" customFormat="false" ht="12" hidden="false" customHeight="false" outlineLevel="0" collapsed="false">
      <c r="A627" s="215" t="s">
        <v>2398</v>
      </c>
      <c r="B627" s="215" t="s">
        <v>900</v>
      </c>
    </row>
    <row r="628" customFormat="false" ht="12" hidden="false" customHeight="false" outlineLevel="0" collapsed="false">
      <c r="A628" s="215" t="s">
        <v>2399</v>
      </c>
      <c r="B628" s="215" t="s">
        <v>2400</v>
      </c>
    </row>
    <row r="629" customFormat="false" ht="12" hidden="false" customHeight="false" outlineLevel="0" collapsed="false">
      <c r="A629" s="215" t="s">
        <v>2401</v>
      </c>
      <c r="B629" s="215" t="s">
        <v>2402</v>
      </c>
    </row>
    <row r="630" customFormat="false" ht="12" hidden="false" customHeight="false" outlineLevel="0" collapsed="false">
      <c r="A630" s="215" t="s">
        <v>2403</v>
      </c>
      <c r="B630" s="215" t="s">
        <v>2404</v>
      </c>
    </row>
    <row r="631" customFormat="false" ht="12" hidden="false" customHeight="false" outlineLevel="0" collapsed="false">
      <c r="A631" s="215" t="s">
        <v>2405</v>
      </c>
      <c r="B631" s="215" t="s">
        <v>2406</v>
      </c>
    </row>
    <row r="632" customFormat="false" ht="12" hidden="false" customHeight="false" outlineLevel="0" collapsed="false">
      <c r="A632" s="215" t="s">
        <v>2407</v>
      </c>
      <c r="B632" s="215" t="s">
        <v>2408</v>
      </c>
    </row>
    <row r="633" customFormat="false" ht="12" hidden="false" customHeight="false" outlineLevel="0" collapsed="false">
      <c r="A633" s="215" t="s">
        <v>2409</v>
      </c>
      <c r="B633" s="215" t="s">
        <v>2410</v>
      </c>
    </row>
    <row r="634" customFormat="false" ht="12" hidden="false" customHeight="false" outlineLevel="0" collapsed="false">
      <c r="A634" s="215" t="s">
        <v>2411</v>
      </c>
      <c r="B634" s="215" t="s">
        <v>2412</v>
      </c>
    </row>
    <row r="635" customFormat="false" ht="12" hidden="false" customHeight="false" outlineLevel="0" collapsed="false">
      <c r="A635" s="215" t="s">
        <v>2413</v>
      </c>
      <c r="B635" s="215" t="s">
        <v>2414</v>
      </c>
    </row>
    <row r="636" customFormat="false" ht="12" hidden="false" customHeight="false" outlineLevel="0" collapsed="false">
      <c r="A636" s="215" t="s">
        <v>2415</v>
      </c>
      <c r="B636" s="215" t="s">
        <v>2416</v>
      </c>
    </row>
    <row r="637" customFormat="false" ht="12" hidden="false" customHeight="false" outlineLevel="0" collapsed="false">
      <c r="A637" s="215" t="s">
        <v>2417</v>
      </c>
      <c r="B637" s="215" t="s">
        <v>2418</v>
      </c>
    </row>
    <row r="638" customFormat="false" ht="12" hidden="false" customHeight="false" outlineLevel="0" collapsed="false">
      <c r="A638" s="215" t="s">
        <v>2419</v>
      </c>
      <c r="B638" s="215" t="s">
        <v>2420</v>
      </c>
    </row>
    <row r="639" customFormat="false" ht="12" hidden="false" customHeight="false" outlineLevel="0" collapsed="false">
      <c r="A639" s="215" t="s">
        <v>2421</v>
      </c>
      <c r="B639" s="215" t="s">
        <v>2422</v>
      </c>
    </row>
    <row r="640" customFormat="false" ht="12" hidden="false" customHeight="false" outlineLevel="0" collapsed="false">
      <c r="A640" s="215" t="s">
        <v>2423</v>
      </c>
      <c r="B640" s="215" t="s">
        <v>2424</v>
      </c>
    </row>
    <row r="641" customFormat="false" ht="12" hidden="false" customHeight="false" outlineLevel="0" collapsed="false">
      <c r="A641" s="215" t="s">
        <v>2425</v>
      </c>
      <c r="B641" s="215" t="s">
        <v>2426</v>
      </c>
    </row>
    <row r="642" customFormat="false" ht="12" hidden="false" customHeight="false" outlineLevel="0" collapsed="false">
      <c r="A642" s="215" t="s">
        <v>2427</v>
      </c>
      <c r="B642" s="215" t="s">
        <v>2428</v>
      </c>
    </row>
    <row r="643" customFormat="false" ht="12" hidden="false" customHeight="false" outlineLevel="0" collapsed="false">
      <c r="A643" s="215" t="s">
        <v>2429</v>
      </c>
      <c r="B643" s="215" t="s">
        <v>2430</v>
      </c>
    </row>
    <row r="644" customFormat="false" ht="12" hidden="false" customHeight="false" outlineLevel="0" collapsed="false">
      <c r="A644" s="215" t="s">
        <v>2431</v>
      </c>
      <c r="B644" s="215" t="s">
        <v>2432</v>
      </c>
    </row>
    <row r="645" customFormat="false" ht="12" hidden="false" customHeight="false" outlineLevel="0" collapsed="false">
      <c r="A645" s="215" t="s">
        <v>2433</v>
      </c>
      <c r="B645" s="215" t="s">
        <v>2434</v>
      </c>
    </row>
    <row r="646" customFormat="false" ht="12" hidden="false" customHeight="false" outlineLevel="0" collapsed="false">
      <c r="A646" s="215" t="s">
        <v>2435</v>
      </c>
      <c r="B646" s="215" t="s">
        <v>2436</v>
      </c>
    </row>
    <row r="647" customFormat="false" ht="12" hidden="false" customHeight="false" outlineLevel="0" collapsed="false">
      <c r="A647" s="215" t="s">
        <v>2437</v>
      </c>
      <c r="B647" s="215" t="s">
        <v>2438</v>
      </c>
    </row>
    <row r="648" customFormat="false" ht="12" hidden="false" customHeight="false" outlineLevel="0" collapsed="false">
      <c r="A648" s="215" t="s">
        <v>2439</v>
      </c>
      <c r="B648" s="215" t="s">
        <v>2440</v>
      </c>
    </row>
    <row r="649" customFormat="false" ht="12" hidden="false" customHeight="false" outlineLevel="0" collapsed="false">
      <c r="A649" s="215" t="s">
        <v>2441</v>
      </c>
      <c r="B649" s="215" t="s">
        <v>2442</v>
      </c>
    </row>
    <row r="650" customFormat="false" ht="12" hidden="false" customHeight="false" outlineLevel="0" collapsed="false">
      <c r="A650" s="215" t="s">
        <v>2443</v>
      </c>
      <c r="B650" s="215" t="s">
        <v>2444</v>
      </c>
    </row>
    <row r="651" customFormat="false" ht="12" hidden="false" customHeight="false" outlineLevel="0" collapsed="false">
      <c r="A651" s="215" t="s">
        <v>2445</v>
      </c>
      <c r="B651" s="215" t="s">
        <v>2446</v>
      </c>
    </row>
    <row r="652" customFormat="false" ht="12" hidden="false" customHeight="false" outlineLevel="0" collapsed="false">
      <c r="A652" s="215" t="s">
        <v>2447</v>
      </c>
      <c r="B652" s="215" t="s">
        <v>2448</v>
      </c>
    </row>
    <row r="653" customFormat="false" ht="12" hidden="false" customHeight="false" outlineLevel="0" collapsed="false">
      <c r="A653" s="215" t="s">
        <v>2449</v>
      </c>
      <c r="B653" s="215" t="s">
        <v>2450</v>
      </c>
    </row>
    <row r="654" customFormat="false" ht="12" hidden="false" customHeight="false" outlineLevel="0" collapsed="false">
      <c r="A654" s="215" t="s">
        <v>2451</v>
      </c>
      <c r="B654" s="215" t="s">
        <v>2452</v>
      </c>
    </row>
    <row r="655" customFormat="false" ht="12" hidden="false" customHeight="false" outlineLevel="0" collapsed="false">
      <c r="A655" s="215" t="s">
        <v>2453</v>
      </c>
      <c r="B655" s="215" t="s">
        <v>2454</v>
      </c>
    </row>
    <row r="656" customFormat="false" ht="12" hidden="false" customHeight="false" outlineLevel="0" collapsed="false">
      <c r="A656" s="215" t="s">
        <v>2455</v>
      </c>
      <c r="B656" s="215" t="s">
        <v>2456</v>
      </c>
    </row>
    <row r="657" customFormat="false" ht="12" hidden="false" customHeight="false" outlineLevel="0" collapsed="false">
      <c r="A657" s="215" t="s">
        <v>2457</v>
      </c>
      <c r="B657" s="215" t="s">
        <v>2458</v>
      </c>
    </row>
    <row r="658" customFormat="false" ht="12" hidden="false" customHeight="false" outlineLevel="0" collapsed="false">
      <c r="A658" s="215" t="s">
        <v>2459</v>
      </c>
      <c r="B658" s="215" t="s">
        <v>2460</v>
      </c>
    </row>
    <row r="659" customFormat="false" ht="12" hidden="false" customHeight="false" outlineLevel="0" collapsed="false">
      <c r="A659" s="215" t="s">
        <v>2461</v>
      </c>
      <c r="B659" s="215" t="s">
        <v>2462</v>
      </c>
    </row>
    <row r="660" customFormat="false" ht="12" hidden="false" customHeight="false" outlineLevel="0" collapsed="false">
      <c r="A660" s="215" t="s">
        <v>2463</v>
      </c>
      <c r="B660" s="215" t="s">
        <v>2464</v>
      </c>
    </row>
    <row r="661" customFormat="false" ht="12" hidden="false" customHeight="false" outlineLevel="0" collapsed="false">
      <c r="A661" s="215" t="s">
        <v>2465</v>
      </c>
      <c r="B661" s="215" t="s">
        <v>2466</v>
      </c>
    </row>
    <row r="662" customFormat="false" ht="12" hidden="false" customHeight="false" outlineLevel="0" collapsed="false">
      <c r="A662" s="215" t="s">
        <v>2467</v>
      </c>
      <c r="B662" s="215" t="s">
        <v>2468</v>
      </c>
    </row>
    <row r="663" customFormat="false" ht="12" hidden="false" customHeight="false" outlineLevel="0" collapsed="false">
      <c r="A663" s="215" t="s">
        <v>2469</v>
      </c>
      <c r="B663" s="215" t="s">
        <v>2470</v>
      </c>
    </row>
    <row r="664" customFormat="false" ht="12" hidden="false" customHeight="false" outlineLevel="0" collapsed="false">
      <c r="A664" s="215" t="s">
        <v>2471</v>
      </c>
      <c r="B664" s="215" t="s">
        <v>2472</v>
      </c>
    </row>
    <row r="665" customFormat="false" ht="12" hidden="false" customHeight="false" outlineLevel="0" collapsed="false">
      <c r="A665" s="215" t="s">
        <v>2473</v>
      </c>
      <c r="B665" s="215" t="s">
        <v>2474</v>
      </c>
    </row>
    <row r="666" customFormat="false" ht="12" hidden="false" customHeight="false" outlineLevel="0" collapsed="false">
      <c r="A666" s="215" t="s">
        <v>2475</v>
      </c>
      <c r="B666" s="215" t="s">
        <v>2476</v>
      </c>
    </row>
    <row r="667" customFormat="false" ht="12" hidden="false" customHeight="false" outlineLevel="0" collapsed="false">
      <c r="A667" s="215" t="s">
        <v>2477</v>
      </c>
      <c r="B667" s="215" t="s">
        <v>2478</v>
      </c>
    </row>
    <row r="668" customFormat="false" ht="12" hidden="false" customHeight="false" outlineLevel="0" collapsed="false">
      <c r="A668" s="215" t="s">
        <v>2479</v>
      </c>
      <c r="B668" s="215" t="s">
        <v>2480</v>
      </c>
    </row>
    <row r="669" customFormat="false" ht="12" hidden="false" customHeight="false" outlineLevel="0" collapsed="false">
      <c r="A669" s="215" t="s">
        <v>2481</v>
      </c>
      <c r="B669" s="215" t="s">
        <v>2482</v>
      </c>
    </row>
    <row r="670" customFormat="false" ht="12" hidden="false" customHeight="false" outlineLevel="0" collapsed="false">
      <c r="A670" s="215" t="s">
        <v>2483</v>
      </c>
      <c r="B670" s="215" t="s">
        <v>2484</v>
      </c>
    </row>
    <row r="671" customFormat="false" ht="12" hidden="false" customHeight="false" outlineLevel="0" collapsed="false">
      <c r="A671" s="215" t="s">
        <v>2485</v>
      </c>
      <c r="B671" s="215" t="s">
        <v>2486</v>
      </c>
    </row>
    <row r="672" customFormat="false" ht="12" hidden="false" customHeight="false" outlineLevel="0" collapsed="false">
      <c r="A672" s="215" t="s">
        <v>2487</v>
      </c>
      <c r="B672" s="215" t="s">
        <v>2488</v>
      </c>
    </row>
    <row r="673" customFormat="false" ht="12" hidden="false" customHeight="false" outlineLevel="0" collapsed="false">
      <c r="A673" s="215" t="s">
        <v>2489</v>
      </c>
      <c r="B673" s="215" t="s">
        <v>2490</v>
      </c>
    </row>
    <row r="674" customFormat="false" ht="12" hidden="false" customHeight="false" outlineLevel="0" collapsed="false">
      <c r="A674" s="215" t="s">
        <v>2491</v>
      </c>
      <c r="B674" s="215" t="s">
        <v>2492</v>
      </c>
    </row>
    <row r="675" customFormat="false" ht="12" hidden="false" customHeight="false" outlineLevel="0" collapsed="false">
      <c r="A675" s="215" t="s">
        <v>2493</v>
      </c>
      <c r="B675" s="215" t="s">
        <v>2494</v>
      </c>
    </row>
    <row r="676" customFormat="false" ht="12" hidden="false" customHeight="false" outlineLevel="0" collapsed="false">
      <c r="A676" s="215" t="s">
        <v>2495</v>
      </c>
      <c r="B676" s="215" t="s">
        <v>2496</v>
      </c>
    </row>
    <row r="677" customFormat="false" ht="12" hidden="false" customHeight="false" outlineLevel="0" collapsed="false">
      <c r="A677" s="215" t="s">
        <v>2497</v>
      </c>
      <c r="B677" s="215" t="s">
        <v>2498</v>
      </c>
    </row>
    <row r="678" customFormat="false" ht="12" hidden="false" customHeight="false" outlineLevel="0" collapsed="false">
      <c r="A678" s="215" t="s">
        <v>2499</v>
      </c>
      <c r="B678" s="215" t="s">
        <v>2500</v>
      </c>
    </row>
    <row r="679" customFormat="false" ht="12" hidden="false" customHeight="false" outlineLevel="0" collapsed="false">
      <c r="A679" s="215" t="s">
        <v>2501</v>
      </c>
      <c r="B679" s="215" t="s">
        <v>2502</v>
      </c>
    </row>
    <row r="680" customFormat="false" ht="12" hidden="false" customHeight="false" outlineLevel="0" collapsed="false">
      <c r="A680" s="215" t="s">
        <v>2503</v>
      </c>
      <c r="B680" s="215" t="s">
        <v>2504</v>
      </c>
    </row>
    <row r="681" customFormat="false" ht="12" hidden="false" customHeight="false" outlineLevel="0" collapsed="false">
      <c r="A681" s="215" t="s">
        <v>2505</v>
      </c>
      <c r="B681" s="215" t="s">
        <v>2506</v>
      </c>
    </row>
    <row r="682" customFormat="false" ht="12" hidden="false" customHeight="false" outlineLevel="0" collapsed="false">
      <c r="A682" s="215" t="s">
        <v>2507</v>
      </c>
      <c r="B682" s="215" t="s">
        <v>2508</v>
      </c>
    </row>
    <row r="683" customFormat="false" ht="12" hidden="false" customHeight="false" outlineLevel="0" collapsed="false">
      <c r="A683" s="215" t="s">
        <v>2509</v>
      </c>
      <c r="B683" s="215" t="s">
        <v>2510</v>
      </c>
    </row>
    <row r="684" customFormat="false" ht="12" hidden="false" customHeight="false" outlineLevel="0" collapsed="false">
      <c r="A684" s="215" t="s">
        <v>2511</v>
      </c>
      <c r="B684" s="215" t="s">
        <v>2512</v>
      </c>
    </row>
    <row r="685" customFormat="false" ht="12" hidden="false" customHeight="false" outlineLevel="0" collapsed="false">
      <c r="A685" s="215" t="s">
        <v>2513</v>
      </c>
      <c r="B685" s="215" t="s">
        <v>2514</v>
      </c>
    </row>
    <row r="686" customFormat="false" ht="12" hidden="false" customHeight="false" outlineLevel="0" collapsed="false">
      <c r="A686" s="215" t="s">
        <v>2515</v>
      </c>
      <c r="B686" s="215" t="s">
        <v>2516</v>
      </c>
    </row>
    <row r="687" customFormat="false" ht="12" hidden="false" customHeight="false" outlineLevel="0" collapsed="false">
      <c r="A687" s="215" t="s">
        <v>2517</v>
      </c>
      <c r="B687" s="215" t="s">
        <v>2518</v>
      </c>
    </row>
    <row r="688" customFormat="false" ht="12" hidden="false" customHeight="false" outlineLevel="0" collapsed="false">
      <c r="A688" s="215" t="s">
        <v>2519</v>
      </c>
      <c r="B688" s="215" t="s">
        <v>2520</v>
      </c>
    </row>
    <row r="689" customFormat="false" ht="12" hidden="false" customHeight="false" outlineLevel="0" collapsed="false">
      <c r="A689" s="215" t="s">
        <v>2521</v>
      </c>
      <c r="B689" s="215" t="s">
        <v>2522</v>
      </c>
    </row>
    <row r="690" customFormat="false" ht="12" hidden="false" customHeight="false" outlineLevel="0" collapsed="false">
      <c r="A690" s="215" t="s">
        <v>2523</v>
      </c>
      <c r="B690" s="215" t="s">
        <v>2524</v>
      </c>
    </row>
    <row r="691" customFormat="false" ht="12" hidden="false" customHeight="false" outlineLevel="0" collapsed="false">
      <c r="A691" s="215" t="s">
        <v>2525</v>
      </c>
      <c r="B691" s="215" t="s">
        <v>2526</v>
      </c>
    </row>
    <row r="692" customFormat="false" ht="12" hidden="false" customHeight="false" outlineLevel="0" collapsed="false">
      <c r="A692" s="215" t="s">
        <v>2527</v>
      </c>
      <c r="B692" s="215" t="s">
        <v>2528</v>
      </c>
    </row>
    <row r="693" customFormat="false" ht="12" hidden="false" customHeight="false" outlineLevel="0" collapsed="false">
      <c r="A693" s="215" t="s">
        <v>2529</v>
      </c>
      <c r="B693" s="215" t="s">
        <v>2530</v>
      </c>
    </row>
    <row r="694" customFormat="false" ht="12" hidden="false" customHeight="false" outlineLevel="0" collapsed="false">
      <c r="A694" s="215" t="s">
        <v>2531</v>
      </c>
      <c r="B694" s="215" t="s">
        <v>2532</v>
      </c>
    </row>
    <row r="695" customFormat="false" ht="12" hidden="false" customHeight="false" outlineLevel="0" collapsed="false">
      <c r="A695" s="215" t="s">
        <v>2533</v>
      </c>
      <c r="B695" s="215" t="s">
        <v>2534</v>
      </c>
    </row>
    <row r="696" customFormat="false" ht="12" hidden="false" customHeight="false" outlineLevel="0" collapsed="false">
      <c r="A696" s="215" t="s">
        <v>2535</v>
      </c>
      <c r="B696" s="215" t="s">
        <v>2536</v>
      </c>
    </row>
    <row r="697" customFormat="false" ht="12" hidden="false" customHeight="false" outlineLevel="0" collapsed="false">
      <c r="A697" s="215" t="s">
        <v>2537</v>
      </c>
      <c r="B697" s="215" t="s">
        <v>2538</v>
      </c>
    </row>
    <row r="698" customFormat="false" ht="12" hidden="false" customHeight="false" outlineLevel="0" collapsed="false">
      <c r="A698" s="215" t="s">
        <v>2539</v>
      </c>
      <c r="B698" s="215" t="s">
        <v>2540</v>
      </c>
    </row>
    <row r="699" customFormat="false" ht="12" hidden="false" customHeight="false" outlineLevel="0" collapsed="false">
      <c r="A699" s="215" t="s">
        <v>2541</v>
      </c>
      <c r="B699" s="215" t="s">
        <v>2542</v>
      </c>
    </row>
    <row r="700" customFormat="false" ht="12" hidden="false" customHeight="false" outlineLevel="0" collapsed="false">
      <c r="A700" s="215" t="s">
        <v>2543</v>
      </c>
      <c r="B700" s="215" t="s">
        <v>2544</v>
      </c>
    </row>
    <row r="701" customFormat="false" ht="12" hidden="false" customHeight="false" outlineLevel="0" collapsed="false">
      <c r="A701" s="215" t="s">
        <v>2545</v>
      </c>
      <c r="B701" s="215" t="s">
        <v>2546</v>
      </c>
    </row>
    <row r="702" customFormat="false" ht="12" hidden="false" customHeight="false" outlineLevel="0" collapsed="false">
      <c r="A702" s="215" t="s">
        <v>2547</v>
      </c>
      <c r="B702" s="215" t="s">
        <v>2548</v>
      </c>
    </row>
    <row r="703" customFormat="false" ht="12" hidden="false" customHeight="false" outlineLevel="0" collapsed="false">
      <c r="A703" s="215" t="s">
        <v>2549</v>
      </c>
      <c r="B703" s="215" t="s">
        <v>2550</v>
      </c>
    </row>
    <row r="704" customFormat="false" ht="12" hidden="false" customHeight="false" outlineLevel="0" collapsed="false">
      <c r="A704" s="215" t="s">
        <v>2551</v>
      </c>
      <c r="B704" s="215" t="s">
        <v>2552</v>
      </c>
    </row>
    <row r="705" customFormat="false" ht="12" hidden="false" customHeight="false" outlineLevel="0" collapsed="false">
      <c r="A705" s="215" t="s">
        <v>2553</v>
      </c>
      <c r="B705" s="215" t="s">
        <v>2554</v>
      </c>
    </row>
    <row r="706" customFormat="false" ht="12" hidden="false" customHeight="false" outlineLevel="0" collapsed="false">
      <c r="A706" s="215" t="s">
        <v>2555</v>
      </c>
      <c r="B706" s="215" t="s">
        <v>2556</v>
      </c>
    </row>
    <row r="707" customFormat="false" ht="12" hidden="false" customHeight="false" outlineLevel="0" collapsed="false">
      <c r="A707" s="215" t="s">
        <v>2557</v>
      </c>
      <c r="B707" s="215" t="s">
        <v>2558</v>
      </c>
    </row>
    <row r="708" customFormat="false" ht="12" hidden="false" customHeight="false" outlineLevel="0" collapsed="false">
      <c r="A708" s="215" t="s">
        <v>2559</v>
      </c>
      <c r="B708" s="215" t="s">
        <v>2560</v>
      </c>
    </row>
    <row r="709" customFormat="false" ht="12" hidden="false" customHeight="false" outlineLevel="0" collapsed="false">
      <c r="A709" s="215" t="s">
        <v>2561</v>
      </c>
      <c r="B709" s="215" t="s">
        <v>2562</v>
      </c>
    </row>
    <row r="710" customFormat="false" ht="12" hidden="false" customHeight="false" outlineLevel="0" collapsed="false">
      <c r="A710" s="215" t="s">
        <v>2563</v>
      </c>
      <c r="B710" s="215" t="s">
        <v>2564</v>
      </c>
    </row>
    <row r="711" customFormat="false" ht="12" hidden="false" customHeight="false" outlineLevel="0" collapsed="false">
      <c r="A711" s="215" t="s">
        <v>2565</v>
      </c>
      <c r="B711" s="215" t="s">
        <v>2566</v>
      </c>
    </row>
    <row r="712" customFormat="false" ht="12" hidden="false" customHeight="false" outlineLevel="0" collapsed="false">
      <c r="A712" s="215" t="s">
        <v>2567</v>
      </c>
      <c r="B712" s="215" t="s">
        <v>2568</v>
      </c>
    </row>
    <row r="713" customFormat="false" ht="12" hidden="false" customHeight="false" outlineLevel="0" collapsed="false">
      <c r="A713" s="215" t="s">
        <v>2569</v>
      </c>
      <c r="B713" s="215" t="s">
        <v>2570</v>
      </c>
    </row>
    <row r="714" customFormat="false" ht="12" hidden="false" customHeight="false" outlineLevel="0" collapsed="false">
      <c r="A714" s="215" t="s">
        <v>2571</v>
      </c>
      <c r="B714" s="215" t="s">
        <v>2572</v>
      </c>
    </row>
    <row r="715" customFormat="false" ht="12" hidden="false" customHeight="false" outlineLevel="0" collapsed="false">
      <c r="A715" s="215" t="s">
        <v>2573</v>
      </c>
      <c r="B715" s="215" t="s">
        <v>2574</v>
      </c>
    </row>
    <row r="716" customFormat="false" ht="12" hidden="false" customHeight="false" outlineLevel="0" collapsed="false">
      <c r="A716" s="215" t="s">
        <v>2575</v>
      </c>
      <c r="B716" s="215" t="s">
        <v>2576</v>
      </c>
    </row>
    <row r="717" customFormat="false" ht="12" hidden="false" customHeight="false" outlineLevel="0" collapsed="false">
      <c r="A717" s="215" t="s">
        <v>2577</v>
      </c>
      <c r="B717" s="215" t="s">
        <v>2578</v>
      </c>
    </row>
    <row r="718" customFormat="false" ht="12" hidden="false" customHeight="false" outlineLevel="0" collapsed="false">
      <c r="A718" s="215" t="s">
        <v>2579</v>
      </c>
      <c r="B718" s="215" t="s">
        <v>2580</v>
      </c>
    </row>
    <row r="719" customFormat="false" ht="12" hidden="false" customHeight="false" outlineLevel="0" collapsed="false">
      <c r="A719" s="215" t="s">
        <v>2581</v>
      </c>
      <c r="B719" s="215" t="s">
        <v>2582</v>
      </c>
    </row>
    <row r="720" customFormat="false" ht="12" hidden="false" customHeight="false" outlineLevel="0" collapsed="false">
      <c r="A720" s="215" t="s">
        <v>2583</v>
      </c>
      <c r="B720" s="215" t="s">
        <v>2584</v>
      </c>
    </row>
    <row r="721" customFormat="false" ht="12" hidden="false" customHeight="false" outlineLevel="0" collapsed="false">
      <c r="A721" s="215" t="s">
        <v>2585</v>
      </c>
      <c r="B721" s="215" t="s">
        <v>2586</v>
      </c>
    </row>
    <row r="722" customFormat="false" ht="12" hidden="false" customHeight="false" outlineLevel="0" collapsed="false">
      <c r="A722" s="215" t="s">
        <v>2587</v>
      </c>
      <c r="B722" s="215" t="s">
        <v>2588</v>
      </c>
    </row>
    <row r="723" customFormat="false" ht="12" hidden="false" customHeight="false" outlineLevel="0" collapsed="false">
      <c r="A723" s="215" t="s">
        <v>2589</v>
      </c>
      <c r="B723" s="215" t="s">
        <v>2590</v>
      </c>
    </row>
    <row r="724" customFormat="false" ht="12" hidden="false" customHeight="false" outlineLevel="0" collapsed="false">
      <c r="A724" s="215" t="s">
        <v>2591</v>
      </c>
      <c r="B724" s="215" t="s">
        <v>2592</v>
      </c>
    </row>
    <row r="725" customFormat="false" ht="12" hidden="false" customHeight="false" outlineLevel="0" collapsed="false">
      <c r="A725" s="215" t="s">
        <v>2593</v>
      </c>
      <c r="B725" s="215" t="s">
        <v>2594</v>
      </c>
    </row>
    <row r="726" customFormat="false" ht="12" hidden="false" customHeight="false" outlineLevel="0" collapsed="false">
      <c r="A726" s="215" t="s">
        <v>2595</v>
      </c>
      <c r="B726" s="215" t="s">
        <v>2596</v>
      </c>
    </row>
    <row r="727" customFormat="false" ht="12" hidden="false" customHeight="false" outlineLevel="0" collapsed="false">
      <c r="A727" s="215" t="s">
        <v>2597</v>
      </c>
      <c r="B727" s="215" t="s">
        <v>2598</v>
      </c>
    </row>
    <row r="728" customFormat="false" ht="12" hidden="false" customHeight="false" outlineLevel="0" collapsed="false">
      <c r="A728" s="215" t="s">
        <v>2599</v>
      </c>
      <c r="B728" s="215" t="s">
        <v>2600</v>
      </c>
    </row>
    <row r="729" customFormat="false" ht="12" hidden="false" customHeight="false" outlineLevel="0" collapsed="false">
      <c r="A729" s="215" t="s">
        <v>2601</v>
      </c>
      <c r="B729" s="215" t="s">
        <v>2602</v>
      </c>
    </row>
    <row r="730" customFormat="false" ht="12" hidden="false" customHeight="false" outlineLevel="0" collapsed="false">
      <c r="A730" s="215" t="s">
        <v>2603</v>
      </c>
      <c r="B730" s="215" t="s">
        <v>2604</v>
      </c>
    </row>
    <row r="731" customFormat="false" ht="12" hidden="false" customHeight="false" outlineLevel="0" collapsed="false">
      <c r="A731" s="215" t="s">
        <v>2605</v>
      </c>
      <c r="B731" s="215" t="s">
        <v>2606</v>
      </c>
    </row>
    <row r="732" customFormat="false" ht="12" hidden="false" customHeight="false" outlineLevel="0" collapsed="false">
      <c r="A732" s="215" t="s">
        <v>2607</v>
      </c>
      <c r="B732" s="215" t="s">
        <v>2608</v>
      </c>
    </row>
    <row r="733" customFormat="false" ht="12" hidden="false" customHeight="false" outlineLevel="0" collapsed="false">
      <c r="A733" s="215" t="s">
        <v>2609</v>
      </c>
      <c r="B733" s="215" t="s">
        <v>2610</v>
      </c>
    </row>
    <row r="734" customFormat="false" ht="12" hidden="false" customHeight="false" outlineLevel="0" collapsed="false">
      <c r="A734" s="215" t="s">
        <v>2611</v>
      </c>
      <c r="B734" s="215" t="s">
        <v>2612</v>
      </c>
    </row>
    <row r="735" customFormat="false" ht="12" hidden="false" customHeight="false" outlineLevel="0" collapsed="false">
      <c r="A735" s="215" t="s">
        <v>2613</v>
      </c>
      <c r="B735" s="215" t="s">
        <v>2614</v>
      </c>
    </row>
    <row r="736" customFormat="false" ht="12" hidden="false" customHeight="false" outlineLevel="0" collapsed="false">
      <c r="A736" s="215" t="s">
        <v>2615</v>
      </c>
      <c r="B736" s="215" t="s">
        <v>2616</v>
      </c>
    </row>
    <row r="737" customFormat="false" ht="12" hidden="false" customHeight="false" outlineLevel="0" collapsed="false">
      <c r="A737" s="215" t="s">
        <v>2617</v>
      </c>
      <c r="B737" s="215" t="s">
        <v>2618</v>
      </c>
    </row>
    <row r="738" customFormat="false" ht="12" hidden="false" customHeight="false" outlineLevel="0" collapsed="false">
      <c r="A738" s="215" t="s">
        <v>2619</v>
      </c>
      <c r="B738" s="215" t="s">
        <v>2620</v>
      </c>
    </row>
    <row r="739" customFormat="false" ht="12" hidden="false" customHeight="false" outlineLevel="0" collapsed="false">
      <c r="A739" s="215" t="s">
        <v>2621</v>
      </c>
      <c r="B739" s="215" t="s">
        <v>2622</v>
      </c>
    </row>
    <row r="740" customFormat="false" ht="12" hidden="false" customHeight="false" outlineLevel="0" collapsed="false">
      <c r="A740" s="215" t="s">
        <v>2623</v>
      </c>
      <c r="B740" s="215" t="s">
        <v>2624</v>
      </c>
    </row>
    <row r="741" customFormat="false" ht="12" hidden="false" customHeight="false" outlineLevel="0" collapsed="false">
      <c r="A741" s="215" t="s">
        <v>2625</v>
      </c>
      <c r="B741" s="215" t="s">
        <v>2626</v>
      </c>
    </row>
    <row r="742" customFormat="false" ht="12" hidden="false" customHeight="false" outlineLevel="0" collapsed="false">
      <c r="A742" s="215" t="s">
        <v>2627</v>
      </c>
      <c r="B742" s="215" t="s">
        <v>2628</v>
      </c>
    </row>
    <row r="743" customFormat="false" ht="12" hidden="false" customHeight="false" outlineLevel="0" collapsed="false">
      <c r="A743" s="215" t="s">
        <v>2629</v>
      </c>
      <c r="B743" s="215" t="s">
        <v>2630</v>
      </c>
    </row>
    <row r="744" customFormat="false" ht="12" hidden="false" customHeight="false" outlineLevel="0" collapsed="false">
      <c r="A744" s="215" t="s">
        <v>2631</v>
      </c>
      <c r="B744" s="215" t="s">
        <v>2632</v>
      </c>
    </row>
    <row r="745" customFormat="false" ht="12" hidden="false" customHeight="false" outlineLevel="0" collapsed="false">
      <c r="A745" s="215" t="s">
        <v>2633</v>
      </c>
      <c r="B745" s="215" t="s">
        <v>2634</v>
      </c>
    </row>
    <row r="746" customFormat="false" ht="12" hidden="false" customHeight="false" outlineLevel="0" collapsed="false">
      <c r="A746" s="215" t="s">
        <v>2635</v>
      </c>
      <c r="B746" s="215" t="s">
        <v>2636</v>
      </c>
    </row>
    <row r="747" customFormat="false" ht="12" hidden="false" customHeight="false" outlineLevel="0" collapsed="false">
      <c r="A747" s="215" t="s">
        <v>2637</v>
      </c>
      <c r="B747" s="215" t="s">
        <v>2638</v>
      </c>
    </row>
    <row r="748" customFormat="false" ht="12" hidden="false" customHeight="false" outlineLevel="0" collapsed="false">
      <c r="A748" s="215" t="s">
        <v>2639</v>
      </c>
      <c r="B748" s="215" t="s">
        <v>2640</v>
      </c>
    </row>
    <row r="749" customFormat="false" ht="12" hidden="false" customHeight="false" outlineLevel="0" collapsed="false">
      <c r="A749" s="215" t="s">
        <v>2641</v>
      </c>
      <c r="B749" s="215" t="s">
        <v>2642</v>
      </c>
    </row>
    <row r="750" customFormat="false" ht="12" hidden="false" customHeight="false" outlineLevel="0" collapsed="false">
      <c r="A750" s="215" t="s">
        <v>2643</v>
      </c>
      <c r="B750" s="215" t="s">
        <v>2644</v>
      </c>
    </row>
    <row r="751" customFormat="false" ht="12" hidden="false" customHeight="false" outlineLevel="0" collapsed="false">
      <c r="A751" s="215" t="s">
        <v>2645</v>
      </c>
      <c r="B751" s="215" t="s">
        <v>2646</v>
      </c>
    </row>
    <row r="752" customFormat="false" ht="12" hidden="false" customHeight="false" outlineLevel="0" collapsed="false">
      <c r="A752" s="215" t="s">
        <v>2647</v>
      </c>
      <c r="B752" s="215" t="s">
        <v>2648</v>
      </c>
    </row>
    <row r="753" customFormat="false" ht="12" hidden="false" customHeight="false" outlineLevel="0" collapsed="false">
      <c r="A753" s="215" t="s">
        <v>2649</v>
      </c>
      <c r="B753" s="215" t="s">
        <v>2650</v>
      </c>
    </row>
    <row r="754" customFormat="false" ht="12" hidden="false" customHeight="false" outlineLevel="0" collapsed="false">
      <c r="A754" s="215" t="s">
        <v>2651</v>
      </c>
      <c r="B754" s="215" t="s">
        <v>2652</v>
      </c>
    </row>
    <row r="755" customFormat="false" ht="12" hidden="false" customHeight="false" outlineLevel="0" collapsed="false">
      <c r="A755" s="215" t="s">
        <v>2653</v>
      </c>
      <c r="B755" s="215" t="s">
        <v>2654</v>
      </c>
    </row>
    <row r="756" customFormat="false" ht="12" hidden="false" customHeight="false" outlineLevel="0" collapsed="false">
      <c r="A756" s="215" t="s">
        <v>2655</v>
      </c>
      <c r="B756" s="215" t="s">
        <v>2656</v>
      </c>
    </row>
    <row r="757" customFormat="false" ht="12" hidden="false" customHeight="false" outlineLevel="0" collapsed="false">
      <c r="A757" s="215" t="s">
        <v>2657</v>
      </c>
      <c r="B757" s="215" t="s">
        <v>2658</v>
      </c>
    </row>
    <row r="758" customFormat="false" ht="12" hidden="false" customHeight="false" outlineLevel="0" collapsed="false">
      <c r="A758" s="215" t="s">
        <v>2659</v>
      </c>
      <c r="B758" s="215" t="s">
        <v>2660</v>
      </c>
    </row>
    <row r="759" customFormat="false" ht="12" hidden="false" customHeight="false" outlineLevel="0" collapsed="false">
      <c r="A759" s="215" t="s">
        <v>2661</v>
      </c>
      <c r="B759" s="215" t="s">
        <v>2662</v>
      </c>
    </row>
    <row r="760" customFormat="false" ht="12" hidden="false" customHeight="false" outlineLevel="0" collapsed="false">
      <c r="A760" s="215" t="s">
        <v>2663</v>
      </c>
      <c r="B760" s="215" t="s">
        <v>2664</v>
      </c>
    </row>
    <row r="761" customFormat="false" ht="12" hidden="false" customHeight="false" outlineLevel="0" collapsed="false">
      <c r="A761" s="215" t="s">
        <v>2665</v>
      </c>
      <c r="B761" s="215" t="s">
        <v>2666</v>
      </c>
    </row>
    <row r="762" customFormat="false" ht="12" hidden="false" customHeight="false" outlineLevel="0" collapsed="false">
      <c r="A762" s="215" t="s">
        <v>2667</v>
      </c>
      <c r="B762" s="215" t="s">
        <v>2668</v>
      </c>
    </row>
    <row r="763" customFormat="false" ht="12" hidden="false" customHeight="false" outlineLevel="0" collapsed="false">
      <c r="A763" s="215" t="s">
        <v>2669</v>
      </c>
      <c r="B763" s="215" t="s">
        <v>2670</v>
      </c>
    </row>
    <row r="764" customFormat="false" ht="12" hidden="false" customHeight="false" outlineLevel="0" collapsed="false">
      <c r="A764" s="215" t="s">
        <v>2671</v>
      </c>
      <c r="B764" s="215" t="s">
        <v>2672</v>
      </c>
    </row>
    <row r="765" customFormat="false" ht="12" hidden="false" customHeight="false" outlineLevel="0" collapsed="false">
      <c r="A765" s="215" t="s">
        <v>2673</v>
      </c>
      <c r="B765" s="215" t="s">
        <v>2674</v>
      </c>
    </row>
    <row r="766" customFormat="false" ht="12" hidden="false" customHeight="false" outlineLevel="0" collapsed="false">
      <c r="A766" s="215" t="s">
        <v>2675</v>
      </c>
      <c r="B766" s="215" t="s">
        <v>2676</v>
      </c>
    </row>
    <row r="767" customFormat="false" ht="12" hidden="false" customHeight="false" outlineLevel="0" collapsed="false">
      <c r="A767" s="215" t="s">
        <v>2677</v>
      </c>
      <c r="B767" s="215" t="s">
        <v>2678</v>
      </c>
    </row>
    <row r="768" customFormat="false" ht="12" hidden="false" customHeight="false" outlineLevel="0" collapsed="false">
      <c r="A768" s="215" t="s">
        <v>2679</v>
      </c>
      <c r="B768" s="215" t="s">
        <v>2680</v>
      </c>
    </row>
    <row r="769" customFormat="false" ht="12" hidden="false" customHeight="false" outlineLevel="0" collapsed="false">
      <c r="A769" s="215" t="s">
        <v>2681</v>
      </c>
      <c r="B769" s="215" t="s">
        <v>2682</v>
      </c>
    </row>
    <row r="770" customFormat="false" ht="12" hidden="false" customHeight="false" outlineLevel="0" collapsed="false">
      <c r="A770" s="215" t="s">
        <v>2683</v>
      </c>
      <c r="B770" s="215" t="s">
        <v>2684</v>
      </c>
    </row>
    <row r="771" customFormat="false" ht="12" hidden="false" customHeight="false" outlineLevel="0" collapsed="false">
      <c r="A771" s="215" t="s">
        <v>2685</v>
      </c>
      <c r="B771" s="215" t="s">
        <v>2686</v>
      </c>
    </row>
    <row r="772" customFormat="false" ht="12" hidden="false" customHeight="false" outlineLevel="0" collapsed="false">
      <c r="A772" s="215" t="s">
        <v>2687</v>
      </c>
      <c r="B772" s="215" t="s">
        <v>2688</v>
      </c>
    </row>
    <row r="773" customFormat="false" ht="12" hidden="false" customHeight="false" outlineLevel="0" collapsed="false">
      <c r="A773" s="215" t="s">
        <v>2689</v>
      </c>
      <c r="B773" s="215" t="s">
        <v>2690</v>
      </c>
    </row>
    <row r="774" customFormat="false" ht="12" hidden="false" customHeight="false" outlineLevel="0" collapsed="false">
      <c r="A774" s="215" t="s">
        <v>2691</v>
      </c>
      <c r="B774" s="215" t="s">
        <v>2692</v>
      </c>
    </row>
    <row r="775" customFormat="false" ht="12" hidden="false" customHeight="false" outlineLevel="0" collapsed="false">
      <c r="A775" s="215" t="s">
        <v>2693</v>
      </c>
      <c r="B775" s="215" t="s">
        <v>2694</v>
      </c>
    </row>
    <row r="776" customFormat="false" ht="12" hidden="false" customHeight="false" outlineLevel="0" collapsed="false">
      <c r="A776" s="215" t="s">
        <v>2695</v>
      </c>
      <c r="B776" s="215" t="s">
        <v>2696</v>
      </c>
    </row>
    <row r="777" customFormat="false" ht="12" hidden="false" customHeight="false" outlineLevel="0" collapsed="false">
      <c r="A777" s="215" t="s">
        <v>2697</v>
      </c>
      <c r="B777" s="215" t="s">
        <v>2698</v>
      </c>
    </row>
    <row r="778" customFormat="false" ht="12" hidden="false" customHeight="false" outlineLevel="0" collapsed="false">
      <c r="A778" s="215" t="s">
        <v>2699</v>
      </c>
      <c r="B778" s="215" t="s">
        <v>2700</v>
      </c>
    </row>
    <row r="779" customFormat="false" ht="12" hidden="false" customHeight="false" outlineLevel="0" collapsed="false">
      <c r="A779" s="215" t="s">
        <v>2701</v>
      </c>
      <c r="B779" s="215" t="s">
        <v>2702</v>
      </c>
    </row>
    <row r="780" customFormat="false" ht="12" hidden="false" customHeight="false" outlineLevel="0" collapsed="false">
      <c r="A780" s="215" t="s">
        <v>2703</v>
      </c>
      <c r="B780" s="215" t="s">
        <v>2704</v>
      </c>
    </row>
    <row r="781" customFormat="false" ht="12" hidden="false" customHeight="false" outlineLevel="0" collapsed="false">
      <c r="A781" s="215" t="s">
        <v>2705</v>
      </c>
      <c r="B781" s="215" t="s">
        <v>2706</v>
      </c>
    </row>
    <row r="782" customFormat="false" ht="12" hidden="false" customHeight="false" outlineLevel="0" collapsed="false">
      <c r="A782" s="215" t="s">
        <v>2707</v>
      </c>
      <c r="B782" s="215" t="s">
        <v>2708</v>
      </c>
    </row>
    <row r="783" customFormat="false" ht="12" hidden="false" customHeight="false" outlineLevel="0" collapsed="false">
      <c r="A783" s="215" t="s">
        <v>2709</v>
      </c>
      <c r="B783" s="215" t="s">
        <v>2710</v>
      </c>
    </row>
    <row r="784" customFormat="false" ht="12" hidden="false" customHeight="false" outlineLevel="0" collapsed="false">
      <c r="A784" s="215" t="s">
        <v>2711</v>
      </c>
      <c r="B784" s="215" t="s">
        <v>2712</v>
      </c>
    </row>
    <row r="785" customFormat="false" ht="12" hidden="false" customHeight="false" outlineLevel="0" collapsed="false">
      <c r="A785" s="215" t="s">
        <v>2713</v>
      </c>
      <c r="B785" s="215" t="s">
        <v>2714</v>
      </c>
    </row>
    <row r="786" customFormat="false" ht="12" hidden="false" customHeight="false" outlineLevel="0" collapsed="false">
      <c r="A786" s="215" t="s">
        <v>2715</v>
      </c>
      <c r="B786" s="215" t="s">
        <v>2716</v>
      </c>
    </row>
    <row r="787" customFormat="false" ht="12" hidden="false" customHeight="false" outlineLevel="0" collapsed="false">
      <c r="A787" s="215" t="s">
        <v>2717</v>
      </c>
      <c r="B787" s="215" t="s">
        <v>2718</v>
      </c>
    </row>
    <row r="788" customFormat="false" ht="12" hidden="false" customHeight="false" outlineLevel="0" collapsed="false">
      <c r="A788" s="215" t="s">
        <v>2719</v>
      </c>
      <c r="B788" s="215" t="s">
        <v>2720</v>
      </c>
    </row>
    <row r="789" customFormat="false" ht="12" hidden="false" customHeight="false" outlineLevel="0" collapsed="false">
      <c r="A789" s="215" t="s">
        <v>2721</v>
      </c>
      <c r="B789" s="215" t="s">
        <v>2722</v>
      </c>
    </row>
    <row r="790" customFormat="false" ht="12" hidden="false" customHeight="false" outlineLevel="0" collapsed="false">
      <c r="A790" s="215" t="s">
        <v>2723</v>
      </c>
      <c r="B790" s="215" t="s">
        <v>2724</v>
      </c>
    </row>
    <row r="791" customFormat="false" ht="12" hidden="false" customHeight="false" outlineLevel="0" collapsed="false">
      <c r="A791" s="215" t="s">
        <v>2725</v>
      </c>
      <c r="B791" s="215" t="s">
        <v>2726</v>
      </c>
    </row>
    <row r="792" customFormat="false" ht="12" hidden="false" customHeight="false" outlineLevel="0" collapsed="false">
      <c r="A792" s="215" t="s">
        <v>2727</v>
      </c>
      <c r="B792" s="215" t="s">
        <v>2728</v>
      </c>
    </row>
    <row r="793" customFormat="false" ht="12" hidden="false" customHeight="false" outlineLevel="0" collapsed="false">
      <c r="A793" s="215" t="s">
        <v>2729</v>
      </c>
      <c r="B793" s="215" t="s">
        <v>2730</v>
      </c>
    </row>
    <row r="794" customFormat="false" ht="12" hidden="false" customHeight="false" outlineLevel="0" collapsed="false">
      <c r="A794" s="215" t="s">
        <v>2731</v>
      </c>
      <c r="B794" s="215" t="s">
        <v>2732</v>
      </c>
    </row>
    <row r="795" customFormat="false" ht="12" hidden="false" customHeight="false" outlineLevel="0" collapsed="false">
      <c r="A795" s="215" t="s">
        <v>2733</v>
      </c>
      <c r="B795" s="215" t="s">
        <v>2734</v>
      </c>
    </row>
    <row r="796" customFormat="false" ht="12" hidden="false" customHeight="false" outlineLevel="0" collapsed="false">
      <c r="A796" s="215" t="s">
        <v>2735</v>
      </c>
      <c r="B796" s="215" t="s">
        <v>2736</v>
      </c>
    </row>
    <row r="797" customFormat="false" ht="12" hidden="false" customHeight="false" outlineLevel="0" collapsed="false">
      <c r="A797" s="215" t="s">
        <v>2737</v>
      </c>
      <c r="B797" s="215" t="s">
        <v>2738</v>
      </c>
    </row>
    <row r="798" customFormat="false" ht="12" hidden="false" customHeight="false" outlineLevel="0" collapsed="false">
      <c r="A798" s="215" t="s">
        <v>2739</v>
      </c>
      <c r="B798" s="215" t="s">
        <v>2740</v>
      </c>
    </row>
    <row r="799" customFormat="false" ht="12" hidden="false" customHeight="false" outlineLevel="0" collapsed="false">
      <c r="A799" s="215" t="s">
        <v>2741</v>
      </c>
      <c r="B799" s="215" t="s">
        <v>2742</v>
      </c>
    </row>
    <row r="800" customFormat="false" ht="12" hidden="false" customHeight="false" outlineLevel="0" collapsed="false">
      <c r="A800" s="215" t="s">
        <v>2743</v>
      </c>
      <c r="B800" s="215" t="s">
        <v>2744</v>
      </c>
    </row>
    <row r="801" customFormat="false" ht="12" hidden="false" customHeight="false" outlineLevel="0" collapsed="false">
      <c r="A801" s="215" t="s">
        <v>2745</v>
      </c>
      <c r="B801" s="215" t="s">
        <v>2746</v>
      </c>
    </row>
    <row r="802" customFormat="false" ht="12" hidden="false" customHeight="false" outlineLevel="0" collapsed="false">
      <c r="A802" s="215" t="s">
        <v>2747</v>
      </c>
      <c r="B802" s="215" t="s">
        <v>2748</v>
      </c>
    </row>
    <row r="803" customFormat="false" ht="12" hidden="false" customHeight="false" outlineLevel="0" collapsed="false">
      <c r="A803" s="215" t="s">
        <v>2749</v>
      </c>
      <c r="B803" s="215" t="s">
        <v>2750</v>
      </c>
    </row>
    <row r="804" customFormat="false" ht="12" hidden="false" customHeight="false" outlineLevel="0" collapsed="false">
      <c r="A804" s="215" t="s">
        <v>2751</v>
      </c>
      <c r="B804" s="215" t="s">
        <v>2752</v>
      </c>
    </row>
    <row r="805" customFormat="false" ht="12" hidden="false" customHeight="false" outlineLevel="0" collapsed="false">
      <c r="A805" s="215" t="s">
        <v>2753</v>
      </c>
      <c r="B805" s="215" t="s">
        <v>2754</v>
      </c>
    </row>
    <row r="806" customFormat="false" ht="12" hidden="false" customHeight="false" outlineLevel="0" collapsed="false">
      <c r="A806" s="215" t="s">
        <v>2755</v>
      </c>
      <c r="B806" s="215" t="s">
        <v>2756</v>
      </c>
    </row>
    <row r="807" customFormat="false" ht="12" hidden="false" customHeight="false" outlineLevel="0" collapsed="false">
      <c r="A807" s="215" t="s">
        <v>2757</v>
      </c>
      <c r="B807" s="215" t="s">
        <v>2758</v>
      </c>
    </row>
    <row r="808" customFormat="false" ht="12" hidden="false" customHeight="false" outlineLevel="0" collapsed="false">
      <c r="A808" s="215" t="s">
        <v>2759</v>
      </c>
      <c r="B808" s="215" t="s">
        <v>2760</v>
      </c>
    </row>
    <row r="809" customFormat="false" ht="12" hidden="false" customHeight="false" outlineLevel="0" collapsed="false">
      <c r="A809" s="215" t="s">
        <v>2761</v>
      </c>
      <c r="B809" s="215" t="s">
        <v>2762</v>
      </c>
    </row>
    <row r="810" customFormat="false" ht="12" hidden="false" customHeight="false" outlineLevel="0" collapsed="false">
      <c r="A810" s="215" t="s">
        <v>2763</v>
      </c>
      <c r="B810" s="215" t="s">
        <v>2764</v>
      </c>
    </row>
    <row r="811" customFormat="false" ht="12" hidden="false" customHeight="false" outlineLevel="0" collapsed="false">
      <c r="A811" s="215" t="s">
        <v>2765</v>
      </c>
      <c r="B811" s="215" t="s">
        <v>2766</v>
      </c>
    </row>
    <row r="812" customFormat="false" ht="12" hidden="false" customHeight="false" outlineLevel="0" collapsed="false">
      <c r="A812" s="215" t="s">
        <v>2767</v>
      </c>
      <c r="B812" s="215" t="s">
        <v>2768</v>
      </c>
    </row>
    <row r="813" customFormat="false" ht="12" hidden="false" customHeight="false" outlineLevel="0" collapsed="false">
      <c r="A813" s="215" t="s">
        <v>2769</v>
      </c>
      <c r="B813" s="215" t="s">
        <v>2770</v>
      </c>
    </row>
    <row r="814" customFormat="false" ht="12" hidden="false" customHeight="false" outlineLevel="0" collapsed="false">
      <c r="A814" s="215" t="s">
        <v>2771</v>
      </c>
      <c r="B814" s="215" t="s">
        <v>2772</v>
      </c>
    </row>
    <row r="815" customFormat="false" ht="12" hidden="false" customHeight="false" outlineLevel="0" collapsed="false">
      <c r="A815" s="215" t="s">
        <v>2773</v>
      </c>
      <c r="B815" s="215" t="s">
        <v>2774</v>
      </c>
    </row>
    <row r="816" customFormat="false" ht="12" hidden="false" customHeight="false" outlineLevel="0" collapsed="false">
      <c r="A816" s="215" t="s">
        <v>2775</v>
      </c>
      <c r="B816" s="215" t="s">
        <v>2776</v>
      </c>
    </row>
    <row r="817" customFormat="false" ht="12" hidden="false" customHeight="false" outlineLevel="0" collapsed="false">
      <c r="A817" s="215" t="s">
        <v>2777</v>
      </c>
      <c r="B817" s="215" t="s">
        <v>2778</v>
      </c>
    </row>
    <row r="818" customFormat="false" ht="12" hidden="false" customHeight="false" outlineLevel="0" collapsed="false">
      <c r="A818" s="215" t="s">
        <v>2779</v>
      </c>
      <c r="B818" s="215" t="s">
        <v>2780</v>
      </c>
    </row>
    <row r="819" customFormat="false" ht="12" hidden="false" customHeight="false" outlineLevel="0" collapsed="false">
      <c r="A819" s="215" t="s">
        <v>2781</v>
      </c>
      <c r="B819" s="215" t="s">
        <v>2782</v>
      </c>
    </row>
    <row r="820" customFormat="false" ht="12" hidden="false" customHeight="false" outlineLevel="0" collapsed="false">
      <c r="A820" s="215" t="s">
        <v>2783</v>
      </c>
      <c r="B820" s="215" t="s">
        <v>2784</v>
      </c>
    </row>
    <row r="821" customFormat="false" ht="12" hidden="false" customHeight="false" outlineLevel="0" collapsed="false">
      <c r="A821" s="215" t="s">
        <v>2785</v>
      </c>
      <c r="B821" s="215" t="s">
        <v>2786</v>
      </c>
    </row>
    <row r="822" customFormat="false" ht="12" hidden="false" customHeight="false" outlineLevel="0" collapsed="false">
      <c r="A822" s="215" t="s">
        <v>2787</v>
      </c>
      <c r="B822" s="215" t="s">
        <v>2788</v>
      </c>
    </row>
    <row r="823" customFormat="false" ht="12" hidden="false" customHeight="false" outlineLevel="0" collapsed="false">
      <c r="A823" s="215" t="s">
        <v>2789</v>
      </c>
      <c r="B823" s="215" t="s">
        <v>2790</v>
      </c>
    </row>
    <row r="824" customFormat="false" ht="12" hidden="false" customHeight="false" outlineLevel="0" collapsed="false">
      <c r="A824" s="215" t="s">
        <v>2791</v>
      </c>
      <c r="B824" s="215" t="s">
        <v>2792</v>
      </c>
    </row>
    <row r="825" customFormat="false" ht="12" hidden="false" customHeight="false" outlineLevel="0" collapsed="false">
      <c r="A825" s="215" t="s">
        <v>2793</v>
      </c>
      <c r="B825" s="215" t="s">
        <v>2794</v>
      </c>
    </row>
    <row r="826" customFormat="false" ht="12" hidden="false" customHeight="false" outlineLevel="0" collapsed="false">
      <c r="A826" s="215" t="s">
        <v>2795</v>
      </c>
      <c r="B826" s="215" t="s">
        <v>2796</v>
      </c>
    </row>
    <row r="827" customFormat="false" ht="12" hidden="false" customHeight="false" outlineLevel="0" collapsed="false">
      <c r="A827" s="215" t="s">
        <v>2797</v>
      </c>
      <c r="B827" s="215" t="s">
        <v>2798</v>
      </c>
    </row>
    <row r="828" customFormat="false" ht="12" hidden="false" customHeight="false" outlineLevel="0" collapsed="false">
      <c r="A828" s="215" t="s">
        <v>2799</v>
      </c>
      <c r="B828" s="215" t="s">
        <v>2800</v>
      </c>
    </row>
    <row r="829" customFormat="false" ht="12" hidden="false" customHeight="false" outlineLevel="0" collapsed="false">
      <c r="A829" s="215" t="s">
        <v>2801</v>
      </c>
      <c r="B829" s="215" t="s">
        <v>2802</v>
      </c>
    </row>
    <row r="830" customFormat="false" ht="12" hidden="false" customHeight="false" outlineLevel="0" collapsed="false">
      <c r="A830" s="215" t="s">
        <v>2803</v>
      </c>
      <c r="B830" s="215" t="s">
        <v>2804</v>
      </c>
    </row>
    <row r="831" customFormat="false" ht="12" hidden="false" customHeight="false" outlineLevel="0" collapsed="false">
      <c r="A831" s="215" t="s">
        <v>2805</v>
      </c>
      <c r="B831" s="215" t="s">
        <v>2806</v>
      </c>
    </row>
    <row r="832" customFormat="false" ht="12" hidden="false" customHeight="false" outlineLevel="0" collapsed="false">
      <c r="A832" s="215" t="s">
        <v>2807</v>
      </c>
      <c r="B832" s="215" t="s">
        <v>2808</v>
      </c>
    </row>
    <row r="833" customFormat="false" ht="12" hidden="false" customHeight="false" outlineLevel="0" collapsed="false">
      <c r="A833" s="215" t="s">
        <v>2809</v>
      </c>
      <c r="B833" s="215" t="s">
        <v>2810</v>
      </c>
    </row>
    <row r="834" customFormat="false" ht="12" hidden="false" customHeight="false" outlineLevel="0" collapsed="false">
      <c r="A834" s="215" t="s">
        <v>2811</v>
      </c>
      <c r="B834" s="215" t="s">
        <v>2812</v>
      </c>
    </row>
    <row r="835" customFormat="false" ht="12" hidden="false" customHeight="false" outlineLevel="0" collapsed="false">
      <c r="A835" s="215" t="s">
        <v>2813</v>
      </c>
      <c r="B835" s="215" t="s">
        <v>2814</v>
      </c>
    </row>
    <row r="836" customFormat="false" ht="12" hidden="false" customHeight="false" outlineLevel="0" collapsed="false">
      <c r="A836" s="215" t="s">
        <v>2815</v>
      </c>
      <c r="B836" s="215" t="s">
        <v>2816</v>
      </c>
    </row>
    <row r="837" customFormat="false" ht="12" hidden="false" customHeight="false" outlineLevel="0" collapsed="false">
      <c r="A837" s="215" t="s">
        <v>2817</v>
      </c>
      <c r="B837" s="215" t="s">
        <v>2818</v>
      </c>
    </row>
    <row r="838" customFormat="false" ht="12" hidden="false" customHeight="false" outlineLevel="0" collapsed="false">
      <c r="A838" s="215" t="s">
        <v>2819</v>
      </c>
      <c r="B838" s="215" t="s">
        <v>2820</v>
      </c>
    </row>
    <row r="839" customFormat="false" ht="12" hidden="false" customHeight="false" outlineLevel="0" collapsed="false">
      <c r="A839" s="215" t="s">
        <v>2821</v>
      </c>
      <c r="B839" s="215" t="s">
        <v>2822</v>
      </c>
    </row>
    <row r="840" customFormat="false" ht="12" hidden="false" customHeight="false" outlineLevel="0" collapsed="false">
      <c r="A840" s="215" t="s">
        <v>2823</v>
      </c>
      <c r="B840" s="215" t="s">
        <v>2824</v>
      </c>
    </row>
    <row r="841" customFormat="false" ht="12" hidden="false" customHeight="false" outlineLevel="0" collapsed="false">
      <c r="A841" s="215" t="s">
        <v>2825</v>
      </c>
      <c r="B841" s="215" t="s">
        <v>2826</v>
      </c>
    </row>
    <row r="842" customFormat="false" ht="12" hidden="false" customHeight="false" outlineLevel="0" collapsed="false">
      <c r="A842" s="215" t="s">
        <v>2827</v>
      </c>
      <c r="B842" s="215" t="s">
        <v>2828</v>
      </c>
    </row>
    <row r="843" customFormat="false" ht="12" hidden="false" customHeight="false" outlineLevel="0" collapsed="false">
      <c r="A843" s="215" t="s">
        <v>156</v>
      </c>
      <c r="B843" s="215" t="s">
        <v>2829</v>
      </c>
    </row>
    <row r="844" customFormat="false" ht="12" hidden="false" customHeight="false" outlineLevel="0" collapsed="false">
      <c r="A844" s="215" t="s">
        <v>2830</v>
      </c>
      <c r="B844" s="215" t="s">
        <v>2831</v>
      </c>
    </row>
    <row r="845" customFormat="false" ht="12" hidden="false" customHeight="false" outlineLevel="0" collapsed="false">
      <c r="A845" s="215" t="s">
        <v>2832</v>
      </c>
      <c r="B845" s="215" t="s">
        <v>2833</v>
      </c>
    </row>
    <row r="846" customFormat="false" ht="12" hidden="false" customHeight="false" outlineLevel="0" collapsed="false">
      <c r="A846" s="215" t="s">
        <v>2834</v>
      </c>
      <c r="B846" s="215" t="s">
        <v>2835</v>
      </c>
    </row>
    <row r="847" customFormat="false" ht="12" hidden="false" customHeight="false" outlineLevel="0" collapsed="false">
      <c r="A847" s="215" t="s">
        <v>2836</v>
      </c>
      <c r="B847" s="215" t="s">
        <v>2837</v>
      </c>
    </row>
    <row r="848" customFormat="false" ht="12" hidden="false" customHeight="false" outlineLevel="0" collapsed="false">
      <c r="A848" s="215" t="s">
        <v>2838</v>
      </c>
      <c r="B848" s="215" t="s">
        <v>2839</v>
      </c>
    </row>
    <row r="849" customFormat="false" ht="12" hidden="false" customHeight="false" outlineLevel="0" collapsed="false">
      <c r="A849" s="215" t="s">
        <v>2840</v>
      </c>
      <c r="B849" s="215" t="s">
        <v>2841</v>
      </c>
    </row>
    <row r="850" customFormat="false" ht="12" hidden="false" customHeight="false" outlineLevel="0" collapsed="false">
      <c r="A850" s="215" t="s">
        <v>2842</v>
      </c>
      <c r="B850" s="215" t="s">
        <v>2843</v>
      </c>
    </row>
    <row r="851" customFormat="false" ht="12" hidden="false" customHeight="false" outlineLevel="0" collapsed="false">
      <c r="A851" s="215" t="s">
        <v>2844</v>
      </c>
      <c r="B851" s="215" t="s">
        <v>2845</v>
      </c>
    </row>
    <row r="852" customFormat="false" ht="12" hidden="false" customHeight="false" outlineLevel="0" collapsed="false">
      <c r="A852" s="215" t="s">
        <v>2846</v>
      </c>
      <c r="B852" s="215" t="s">
        <v>2847</v>
      </c>
    </row>
    <row r="853" customFormat="false" ht="12" hidden="false" customHeight="false" outlineLevel="0" collapsed="false">
      <c r="A853" s="215" t="s">
        <v>2848</v>
      </c>
      <c r="B853" s="215" t="s">
        <v>2849</v>
      </c>
    </row>
    <row r="854" customFormat="false" ht="12" hidden="false" customHeight="false" outlineLevel="0" collapsed="false">
      <c r="A854" s="215" t="s">
        <v>2850</v>
      </c>
      <c r="B854" s="215" t="s">
        <v>2851</v>
      </c>
    </row>
    <row r="855" customFormat="false" ht="12" hidden="false" customHeight="false" outlineLevel="0" collapsed="false">
      <c r="A855" s="215" t="s">
        <v>2852</v>
      </c>
      <c r="B855" s="215" t="s">
        <v>2853</v>
      </c>
    </row>
    <row r="856" customFormat="false" ht="12" hidden="false" customHeight="false" outlineLevel="0" collapsed="false">
      <c r="A856" s="215" t="s">
        <v>2854</v>
      </c>
      <c r="B856" s="215" t="s">
        <v>2855</v>
      </c>
    </row>
    <row r="857" customFormat="false" ht="12" hidden="false" customHeight="false" outlineLevel="0" collapsed="false">
      <c r="A857" s="215" t="s">
        <v>2856</v>
      </c>
      <c r="B857" s="215" t="s">
        <v>2857</v>
      </c>
    </row>
    <row r="858" customFormat="false" ht="12" hidden="false" customHeight="false" outlineLevel="0" collapsed="false">
      <c r="A858" s="215" t="s">
        <v>2858</v>
      </c>
      <c r="B858" s="215" t="s">
        <v>2859</v>
      </c>
    </row>
    <row r="859" customFormat="false" ht="12" hidden="false" customHeight="false" outlineLevel="0" collapsed="false">
      <c r="A859" s="215" t="s">
        <v>2860</v>
      </c>
      <c r="B859" s="215" t="s">
        <v>2861</v>
      </c>
    </row>
    <row r="860" customFormat="false" ht="12" hidden="false" customHeight="false" outlineLevel="0" collapsed="false">
      <c r="A860" s="215" t="s">
        <v>2862</v>
      </c>
      <c r="B860" s="215" t="s">
        <v>2863</v>
      </c>
    </row>
    <row r="861" customFormat="false" ht="12" hidden="false" customHeight="false" outlineLevel="0" collapsed="false">
      <c r="A861" s="215" t="s">
        <v>2864</v>
      </c>
      <c r="B861" s="215" t="s">
        <v>2865</v>
      </c>
    </row>
    <row r="862" customFormat="false" ht="12" hidden="false" customHeight="false" outlineLevel="0" collapsed="false">
      <c r="A862" s="215" t="s">
        <v>2866</v>
      </c>
      <c r="B862" s="215" t="s">
        <v>2867</v>
      </c>
    </row>
    <row r="863" customFormat="false" ht="12" hidden="false" customHeight="false" outlineLevel="0" collapsed="false">
      <c r="A863" s="215" t="s">
        <v>2868</v>
      </c>
      <c r="B863" s="215" t="s">
        <v>2869</v>
      </c>
    </row>
    <row r="864" customFormat="false" ht="12" hidden="false" customHeight="false" outlineLevel="0" collapsed="false">
      <c r="A864" s="215" t="s">
        <v>2870</v>
      </c>
      <c r="B864" s="215" t="s">
        <v>2871</v>
      </c>
    </row>
    <row r="865" customFormat="false" ht="12" hidden="false" customHeight="false" outlineLevel="0" collapsed="false">
      <c r="A865" s="215" t="s">
        <v>2872</v>
      </c>
      <c r="B865" s="215" t="s">
        <v>2873</v>
      </c>
    </row>
    <row r="866" customFormat="false" ht="12" hidden="false" customHeight="false" outlineLevel="0" collapsed="false">
      <c r="A866" s="215" t="s">
        <v>2874</v>
      </c>
      <c r="B866" s="215" t="s">
        <v>2875</v>
      </c>
    </row>
    <row r="867" customFormat="false" ht="12" hidden="false" customHeight="false" outlineLevel="0" collapsed="false">
      <c r="A867" s="215" t="s">
        <v>2876</v>
      </c>
      <c r="B867" s="215" t="s">
        <v>2877</v>
      </c>
    </row>
    <row r="868" customFormat="false" ht="12" hidden="false" customHeight="false" outlineLevel="0" collapsed="false">
      <c r="A868" s="215" t="s">
        <v>2878</v>
      </c>
      <c r="B868" s="215" t="s">
        <v>2879</v>
      </c>
    </row>
    <row r="869" customFormat="false" ht="12" hidden="false" customHeight="false" outlineLevel="0" collapsed="false">
      <c r="A869" s="215" t="s">
        <v>2880</v>
      </c>
      <c r="B869" s="215" t="s">
        <v>2881</v>
      </c>
    </row>
    <row r="870" customFormat="false" ht="12" hidden="false" customHeight="false" outlineLevel="0" collapsed="false">
      <c r="A870" s="215" t="s">
        <v>2882</v>
      </c>
      <c r="B870" s="215" t="s">
        <v>2883</v>
      </c>
    </row>
    <row r="871" customFormat="false" ht="12" hidden="false" customHeight="false" outlineLevel="0" collapsed="false">
      <c r="A871" s="215" t="s">
        <v>2884</v>
      </c>
      <c r="B871" s="215" t="s">
        <v>2885</v>
      </c>
    </row>
    <row r="872" customFormat="false" ht="12" hidden="false" customHeight="false" outlineLevel="0" collapsed="false">
      <c r="A872" s="215" t="s">
        <v>2886</v>
      </c>
      <c r="B872" s="215" t="s">
        <v>976</v>
      </c>
    </row>
    <row r="873" customFormat="false" ht="12" hidden="false" customHeight="false" outlineLevel="0" collapsed="false">
      <c r="A873" s="215" t="s">
        <v>2887</v>
      </c>
      <c r="B873" s="215" t="s">
        <v>2888</v>
      </c>
    </row>
    <row r="874" customFormat="false" ht="12" hidden="false" customHeight="false" outlineLevel="0" collapsed="false">
      <c r="A874" s="215" t="s">
        <v>2889</v>
      </c>
      <c r="B874" s="215" t="s">
        <v>2890</v>
      </c>
    </row>
    <row r="875" customFormat="false" ht="12" hidden="false" customHeight="false" outlineLevel="0" collapsed="false">
      <c r="A875" s="215" t="s">
        <v>2891</v>
      </c>
      <c r="B875" s="215" t="s">
        <v>2892</v>
      </c>
    </row>
    <row r="876" customFormat="false" ht="12" hidden="false" customHeight="false" outlineLevel="0" collapsed="false">
      <c r="A876" s="215" t="s">
        <v>2893</v>
      </c>
      <c r="B876" s="215" t="s">
        <v>2894</v>
      </c>
    </row>
    <row r="877" customFormat="false" ht="12" hidden="false" customHeight="false" outlineLevel="0" collapsed="false">
      <c r="A877" s="215" t="s">
        <v>2895</v>
      </c>
      <c r="B877" s="215" t="s">
        <v>2896</v>
      </c>
    </row>
    <row r="878" customFormat="false" ht="12" hidden="false" customHeight="false" outlineLevel="0" collapsed="false">
      <c r="A878" s="215" t="s">
        <v>2897</v>
      </c>
      <c r="B878" s="215" t="s">
        <v>2898</v>
      </c>
    </row>
    <row r="879" customFormat="false" ht="12" hidden="false" customHeight="false" outlineLevel="0" collapsed="false">
      <c r="A879" s="215" t="s">
        <v>2899</v>
      </c>
      <c r="B879" s="215" t="s">
        <v>2900</v>
      </c>
    </row>
    <row r="880" customFormat="false" ht="12" hidden="false" customHeight="false" outlineLevel="0" collapsed="false">
      <c r="A880" s="215" t="s">
        <v>2901</v>
      </c>
      <c r="B880" s="215" t="s">
        <v>2902</v>
      </c>
    </row>
    <row r="881" customFormat="false" ht="12" hidden="false" customHeight="false" outlineLevel="0" collapsed="false">
      <c r="A881" s="215" t="s">
        <v>2903</v>
      </c>
      <c r="B881" s="215" t="s">
        <v>2904</v>
      </c>
    </row>
    <row r="882" customFormat="false" ht="12" hidden="false" customHeight="false" outlineLevel="0" collapsed="false">
      <c r="A882" s="215" t="s">
        <v>2905</v>
      </c>
      <c r="B882" s="215" t="s">
        <v>2906</v>
      </c>
    </row>
    <row r="883" customFormat="false" ht="12" hidden="false" customHeight="false" outlineLevel="0" collapsed="false">
      <c r="A883" s="215" t="s">
        <v>2907</v>
      </c>
      <c r="B883" s="215" t="s">
        <v>2908</v>
      </c>
    </row>
    <row r="884" customFormat="false" ht="12" hidden="false" customHeight="false" outlineLevel="0" collapsed="false">
      <c r="A884" s="215" t="s">
        <v>2909</v>
      </c>
      <c r="B884" s="215" t="s">
        <v>2910</v>
      </c>
    </row>
    <row r="885" customFormat="false" ht="12" hidden="false" customHeight="false" outlineLevel="0" collapsed="false">
      <c r="A885" s="215" t="s">
        <v>2911</v>
      </c>
      <c r="B885" s="215" t="s">
        <v>2912</v>
      </c>
    </row>
    <row r="886" customFormat="false" ht="12" hidden="false" customHeight="false" outlineLevel="0" collapsed="false">
      <c r="A886" s="215" t="s">
        <v>2913</v>
      </c>
      <c r="B886" s="215" t="s">
        <v>2914</v>
      </c>
    </row>
    <row r="887" customFormat="false" ht="12" hidden="false" customHeight="false" outlineLevel="0" collapsed="false">
      <c r="A887" s="215" t="s">
        <v>2915</v>
      </c>
      <c r="B887" s="215" t="s">
        <v>2916</v>
      </c>
    </row>
    <row r="888" customFormat="false" ht="12" hidden="false" customHeight="false" outlineLevel="0" collapsed="false">
      <c r="A888" s="215" t="s">
        <v>2917</v>
      </c>
      <c r="B888" s="215" t="s">
        <v>2918</v>
      </c>
    </row>
    <row r="889" customFormat="false" ht="12" hidden="false" customHeight="false" outlineLevel="0" collapsed="false">
      <c r="A889" s="215" t="s">
        <v>2919</v>
      </c>
      <c r="B889" s="215" t="s">
        <v>2920</v>
      </c>
    </row>
    <row r="890" customFormat="false" ht="12" hidden="false" customHeight="false" outlineLevel="0" collapsed="false">
      <c r="A890" s="215" t="s">
        <v>2921</v>
      </c>
      <c r="B890" s="215" t="s">
        <v>2922</v>
      </c>
    </row>
    <row r="891" customFormat="false" ht="12" hidden="false" customHeight="false" outlineLevel="0" collapsed="false">
      <c r="A891" s="215" t="s">
        <v>2923</v>
      </c>
      <c r="B891" s="215" t="s">
        <v>2924</v>
      </c>
    </row>
    <row r="892" customFormat="false" ht="12" hidden="false" customHeight="false" outlineLevel="0" collapsed="false">
      <c r="A892" s="215" t="s">
        <v>2925</v>
      </c>
      <c r="B892" s="215" t="s">
        <v>2926</v>
      </c>
    </row>
    <row r="893" customFormat="false" ht="12" hidden="false" customHeight="false" outlineLevel="0" collapsed="false">
      <c r="A893" s="215" t="s">
        <v>2927</v>
      </c>
      <c r="B893" s="215" t="s">
        <v>2928</v>
      </c>
    </row>
    <row r="894" customFormat="false" ht="12" hidden="false" customHeight="false" outlineLevel="0" collapsed="false">
      <c r="A894" s="215" t="s">
        <v>2929</v>
      </c>
      <c r="B894" s="215" t="s">
        <v>2930</v>
      </c>
    </row>
    <row r="895" customFormat="false" ht="12" hidden="false" customHeight="false" outlineLevel="0" collapsed="false">
      <c r="A895" s="215" t="s">
        <v>2931</v>
      </c>
      <c r="B895" s="215" t="s">
        <v>2932</v>
      </c>
    </row>
    <row r="896" customFormat="false" ht="12" hidden="false" customHeight="false" outlineLevel="0" collapsed="false">
      <c r="A896" s="215" t="s">
        <v>2933</v>
      </c>
      <c r="B896" s="215" t="s">
        <v>2934</v>
      </c>
    </row>
    <row r="897" customFormat="false" ht="12" hidden="false" customHeight="false" outlineLevel="0" collapsed="false">
      <c r="A897" s="215" t="s">
        <v>2935</v>
      </c>
      <c r="B897" s="215" t="s">
        <v>2936</v>
      </c>
    </row>
    <row r="898" customFormat="false" ht="12" hidden="false" customHeight="false" outlineLevel="0" collapsed="false">
      <c r="A898" s="215" t="s">
        <v>2937</v>
      </c>
      <c r="B898" s="215" t="s">
        <v>2938</v>
      </c>
    </row>
    <row r="899" customFormat="false" ht="12" hidden="false" customHeight="false" outlineLevel="0" collapsed="false">
      <c r="A899" s="215" t="s">
        <v>2939</v>
      </c>
      <c r="B899" s="215" t="s">
        <v>2940</v>
      </c>
    </row>
    <row r="900" customFormat="false" ht="12" hidden="false" customHeight="false" outlineLevel="0" collapsed="false">
      <c r="A900" s="215" t="s">
        <v>2941</v>
      </c>
      <c r="B900" s="215" t="s">
        <v>2942</v>
      </c>
    </row>
    <row r="901" customFormat="false" ht="12" hidden="false" customHeight="false" outlineLevel="0" collapsed="false">
      <c r="A901" s="215" t="s">
        <v>2943</v>
      </c>
      <c r="B901" s="215" t="s">
        <v>2944</v>
      </c>
    </row>
    <row r="902" customFormat="false" ht="12" hidden="false" customHeight="false" outlineLevel="0" collapsed="false">
      <c r="A902" s="215" t="s">
        <v>2945</v>
      </c>
      <c r="B902" s="215" t="s">
        <v>2946</v>
      </c>
    </row>
    <row r="903" customFormat="false" ht="12" hidden="false" customHeight="false" outlineLevel="0" collapsed="false">
      <c r="A903" s="215" t="s">
        <v>2947</v>
      </c>
      <c r="B903" s="215" t="s">
        <v>2948</v>
      </c>
    </row>
    <row r="904" customFormat="false" ht="12" hidden="false" customHeight="false" outlineLevel="0" collapsed="false">
      <c r="A904" s="215" t="s">
        <v>2949</v>
      </c>
      <c r="B904" s="215" t="s">
        <v>2950</v>
      </c>
    </row>
    <row r="905" customFormat="false" ht="12" hidden="false" customHeight="false" outlineLevel="0" collapsed="false">
      <c r="A905" s="215" t="s">
        <v>2951</v>
      </c>
      <c r="B905" s="215" t="s">
        <v>2952</v>
      </c>
    </row>
    <row r="906" customFormat="false" ht="12" hidden="false" customHeight="false" outlineLevel="0" collapsed="false">
      <c r="A906" s="215" t="s">
        <v>2953</v>
      </c>
      <c r="B906" s="215" t="s">
        <v>2954</v>
      </c>
    </row>
    <row r="907" customFormat="false" ht="12" hidden="false" customHeight="false" outlineLevel="0" collapsed="false">
      <c r="A907" s="215" t="s">
        <v>2955</v>
      </c>
      <c r="B907" s="215" t="s">
        <v>2956</v>
      </c>
    </row>
    <row r="908" customFormat="false" ht="12" hidden="false" customHeight="false" outlineLevel="0" collapsed="false">
      <c r="A908" s="215" t="s">
        <v>2957</v>
      </c>
      <c r="B908" s="215" t="s">
        <v>2958</v>
      </c>
    </row>
    <row r="909" customFormat="false" ht="12" hidden="false" customHeight="false" outlineLevel="0" collapsed="false">
      <c r="A909" s="215" t="s">
        <v>2959</v>
      </c>
      <c r="B909" s="215" t="s">
        <v>2960</v>
      </c>
    </row>
    <row r="910" customFormat="false" ht="12" hidden="false" customHeight="false" outlineLevel="0" collapsed="false">
      <c r="A910" s="215" t="s">
        <v>2961</v>
      </c>
      <c r="B910" s="215" t="s">
        <v>2962</v>
      </c>
    </row>
    <row r="911" customFormat="false" ht="12" hidden="false" customHeight="false" outlineLevel="0" collapsed="false">
      <c r="A911" s="215" t="s">
        <v>2963</v>
      </c>
      <c r="B911" s="215" t="s">
        <v>2964</v>
      </c>
    </row>
    <row r="912" customFormat="false" ht="12" hidden="false" customHeight="false" outlineLevel="0" collapsed="false">
      <c r="A912" s="215" t="s">
        <v>2965</v>
      </c>
      <c r="B912" s="215" t="s">
        <v>2966</v>
      </c>
    </row>
    <row r="913" customFormat="false" ht="12" hidden="false" customHeight="false" outlineLevel="0" collapsed="false">
      <c r="A913" s="215" t="s">
        <v>2967</v>
      </c>
      <c r="B913" s="215" t="s">
        <v>2968</v>
      </c>
    </row>
    <row r="914" customFormat="false" ht="12" hidden="false" customHeight="false" outlineLevel="0" collapsed="false">
      <c r="A914" s="215" t="s">
        <v>2969</v>
      </c>
      <c r="B914" s="215" t="s">
        <v>2970</v>
      </c>
    </row>
    <row r="915" customFormat="false" ht="12" hidden="false" customHeight="false" outlineLevel="0" collapsed="false">
      <c r="A915" s="215" t="s">
        <v>2971</v>
      </c>
      <c r="B915" s="215" t="s">
        <v>2972</v>
      </c>
    </row>
    <row r="916" customFormat="false" ht="12" hidden="false" customHeight="false" outlineLevel="0" collapsed="false">
      <c r="A916" s="215" t="s">
        <v>2973</v>
      </c>
      <c r="B916" s="215" t="s">
        <v>2974</v>
      </c>
    </row>
    <row r="917" customFormat="false" ht="12" hidden="false" customHeight="false" outlineLevel="0" collapsed="false">
      <c r="A917" s="215" t="s">
        <v>2975</v>
      </c>
      <c r="B917" s="215" t="s">
        <v>2976</v>
      </c>
    </row>
    <row r="918" customFormat="false" ht="12" hidden="false" customHeight="false" outlineLevel="0" collapsed="false">
      <c r="A918" s="215" t="s">
        <v>2977</v>
      </c>
      <c r="B918" s="215" t="s">
        <v>2978</v>
      </c>
    </row>
    <row r="919" customFormat="false" ht="12" hidden="false" customHeight="false" outlineLevel="0" collapsed="false">
      <c r="A919" s="215" t="s">
        <v>2979</v>
      </c>
      <c r="B919" s="215" t="s">
        <v>2980</v>
      </c>
    </row>
    <row r="920" customFormat="false" ht="12" hidden="false" customHeight="false" outlineLevel="0" collapsed="false">
      <c r="A920" s="215" t="s">
        <v>2981</v>
      </c>
      <c r="B920" s="215" t="s">
        <v>2982</v>
      </c>
    </row>
    <row r="921" customFormat="false" ht="12" hidden="false" customHeight="false" outlineLevel="0" collapsed="false">
      <c r="A921" s="215" t="s">
        <v>2983</v>
      </c>
      <c r="B921" s="215" t="s">
        <v>2984</v>
      </c>
    </row>
    <row r="922" customFormat="false" ht="12" hidden="false" customHeight="false" outlineLevel="0" collapsed="false">
      <c r="A922" s="215" t="s">
        <v>2985</v>
      </c>
      <c r="B922" s="215" t="s">
        <v>2986</v>
      </c>
    </row>
    <row r="923" customFormat="false" ht="12" hidden="false" customHeight="false" outlineLevel="0" collapsed="false">
      <c r="A923" s="215" t="s">
        <v>2987</v>
      </c>
      <c r="B923" s="215" t="s">
        <v>2988</v>
      </c>
    </row>
    <row r="924" customFormat="false" ht="12" hidden="false" customHeight="false" outlineLevel="0" collapsed="false">
      <c r="A924" s="215" t="s">
        <v>2989</v>
      </c>
      <c r="B924" s="215" t="s">
        <v>2990</v>
      </c>
    </row>
    <row r="925" customFormat="false" ht="12" hidden="false" customHeight="false" outlineLevel="0" collapsed="false">
      <c r="A925" s="215" t="s">
        <v>2991</v>
      </c>
      <c r="B925" s="215" t="s">
        <v>2992</v>
      </c>
    </row>
    <row r="926" customFormat="false" ht="12" hidden="false" customHeight="false" outlineLevel="0" collapsed="false">
      <c r="A926" s="215" t="s">
        <v>2993</v>
      </c>
      <c r="B926" s="215" t="s">
        <v>2994</v>
      </c>
    </row>
    <row r="927" customFormat="false" ht="12" hidden="false" customHeight="false" outlineLevel="0" collapsed="false">
      <c r="A927" s="215" t="s">
        <v>2995</v>
      </c>
      <c r="B927" s="215" t="s">
        <v>2996</v>
      </c>
    </row>
    <row r="928" customFormat="false" ht="12" hidden="false" customHeight="false" outlineLevel="0" collapsed="false">
      <c r="A928" s="215" t="s">
        <v>2997</v>
      </c>
      <c r="B928" s="215" t="s">
        <v>2998</v>
      </c>
    </row>
    <row r="929" customFormat="false" ht="12" hidden="false" customHeight="false" outlineLevel="0" collapsed="false">
      <c r="A929" s="215" t="s">
        <v>2999</v>
      </c>
      <c r="B929" s="215" t="s">
        <v>3000</v>
      </c>
    </row>
    <row r="930" customFormat="false" ht="12" hidden="false" customHeight="false" outlineLevel="0" collapsed="false">
      <c r="A930" s="215" t="s">
        <v>3001</v>
      </c>
      <c r="B930" s="215" t="s">
        <v>3002</v>
      </c>
    </row>
    <row r="931" customFormat="false" ht="12" hidden="false" customHeight="false" outlineLevel="0" collapsed="false">
      <c r="A931" s="215" t="s">
        <v>3003</v>
      </c>
      <c r="B931" s="215" t="s">
        <v>3004</v>
      </c>
    </row>
    <row r="932" customFormat="false" ht="12" hidden="false" customHeight="false" outlineLevel="0" collapsed="false">
      <c r="A932" s="215" t="s">
        <v>3005</v>
      </c>
      <c r="B932" s="215" t="s">
        <v>3006</v>
      </c>
    </row>
    <row r="933" customFormat="false" ht="12" hidden="false" customHeight="false" outlineLevel="0" collapsed="false">
      <c r="A933" s="215" t="s">
        <v>3007</v>
      </c>
      <c r="B933" s="215" t="s">
        <v>3008</v>
      </c>
    </row>
    <row r="934" customFormat="false" ht="12" hidden="false" customHeight="false" outlineLevel="0" collapsed="false">
      <c r="A934" s="215" t="s">
        <v>3009</v>
      </c>
      <c r="B934" s="215" t="s">
        <v>3010</v>
      </c>
    </row>
    <row r="935" customFormat="false" ht="12" hidden="false" customHeight="false" outlineLevel="0" collapsed="false">
      <c r="A935" s="215" t="s">
        <v>3011</v>
      </c>
      <c r="B935" s="215" t="s">
        <v>3012</v>
      </c>
    </row>
    <row r="936" customFormat="false" ht="12" hidden="false" customHeight="false" outlineLevel="0" collapsed="false">
      <c r="A936" s="215" t="s">
        <v>3013</v>
      </c>
      <c r="B936" s="215" t="s">
        <v>3014</v>
      </c>
    </row>
    <row r="937" customFormat="false" ht="12" hidden="false" customHeight="false" outlineLevel="0" collapsed="false">
      <c r="A937" s="215" t="s">
        <v>3015</v>
      </c>
      <c r="B937" s="215" t="s">
        <v>3016</v>
      </c>
    </row>
    <row r="938" customFormat="false" ht="12" hidden="false" customHeight="false" outlineLevel="0" collapsed="false">
      <c r="A938" s="215" t="s">
        <v>3017</v>
      </c>
      <c r="B938" s="215" t="s">
        <v>3018</v>
      </c>
    </row>
    <row r="939" customFormat="false" ht="12" hidden="false" customHeight="false" outlineLevel="0" collapsed="false">
      <c r="A939" s="215" t="s">
        <v>3019</v>
      </c>
      <c r="B939" s="215" t="s">
        <v>3020</v>
      </c>
    </row>
    <row r="940" customFormat="false" ht="12" hidden="false" customHeight="false" outlineLevel="0" collapsed="false">
      <c r="A940" s="215" t="s">
        <v>3021</v>
      </c>
      <c r="B940" s="215" t="s">
        <v>3022</v>
      </c>
    </row>
    <row r="941" customFormat="false" ht="12" hidden="false" customHeight="false" outlineLevel="0" collapsed="false">
      <c r="A941" s="215" t="s">
        <v>3023</v>
      </c>
      <c r="B941" s="215" t="s">
        <v>3024</v>
      </c>
    </row>
    <row r="942" customFormat="false" ht="12" hidden="false" customHeight="false" outlineLevel="0" collapsed="false">
      <c r="A942" s="215" t="s">
        <v>3025</v>
      </c>
      <c r="B942" s="215" t="s">
        <v>3026</v>
      </c>
    </row>
    <row r="943" customFormat="false" ht="12" hidden="false" customHeight="false" outlineLevel="0" collapsed="false">
      <c r="A943" s="215" t="s">
        <v>3027</v>
      </c>
      <c r="B943" s="215" t="s">
        <v>3028</v>
      </c>
    </row>
    <row r="944" customFormat="false" ht="12" hidden="false" customHeight="false" outlineLevel="0" collapsed="false">
      <c r="A944" s="215" t="s">
        <v>3029</v>
      </c>
      <c r="B944" s="215" t="s">
        <v>3030</v>
      </c>
    </row>
    <row r="945" customFormat="false" ht="12" hidden="false" customHeight="false" outlineLevel="0" collapsed="false">
      <c r="A945" s="215" t="s">
        <v>3031</v>
      </c>
      <c r="B945" s="215" t="s">
        <v>3032</v>
      </c>
    </row>
    <row r="946" customFormat="false" ht="12" hidden="false" customHeight="false" outlineLevel="0" collapsed="false">
      <c r="A946" s="215" t="s">
        <v>3033</v>
      </c>
      <c r="B946" s="215" t="s">
        <v>3034</v>
      </c>
    </row>
    <row r="947" customFormat="false" ht="12" hidden="false" customHeight="false" outlineLevel="0" collapsed="false">
      <c r="A947" s="215" t="s">
        <v>3035</v>
      </c>
      <c r="B947" s="215" t="s">
        <v>3036</v>
      </c>
    </row>
    <row r="948" customFormat="false" ht="12" hidden="false" customHeight="false" outlineLevel="0" collapsed="false">
      <c r="A948" s="215" t="s">
        <v>3037</v>
      </c>
      <c r="B948" s="215" t="s">
        <v>3038</v>
      </c>
    </row>
    <row r="949" customFormat="false" ht="12" hidden="false" customHeight="false" outlineLevel="0" collapsed="false">
      <c r="A949" s="215" t="s">
        <v>3039</v>
      </c>
      <c r="B949" s="215" t="s">
        <v>3040</v>
      </c>
    </row>
    <row r="950" customFormat="false" ht="12" hidden="false" customHeight="false" outlineLevel="0" collapsed="false">
      <c r="A950" s="215" t="s">
        <v>3041</v>
      </c>
      <c r="B950" s="215" t="s">
        <v>3042</v>
      </c>
    </row>
    <row r="951" customFormat="false" ht="12" hidden="false" customHeight="false" outlineLevel="0" collapsed="false">
      <c r="A951" s="215" t="s">
        <v>3043</v>
      </c>
      <c r="B951" s="215" t="s">
        <v>3044</v>
      </c>
    </row>
    <row r="952" customFormat="false" ht="12" hidden="false" customHeight="false" outlineLevel="0" collapsed="false">
      <c r="A952" s="215" t="s">
        <v>3045</v>
      </c>
      <c r="B952" s="215" t="s">
        <v>3046</v>
      </c>
    </row>
    <row r="953" customFormat="false" ht="12" hidden="false" customHeight="false" outlineLevel="0" collapsed="false">
      <c r="A953" s="215" t="s">
        <v>3047</v>
      </c>
      <c r="B953" s="215" t="s">
        <v>3048</v>
      </c>
    </row>
    <row r="954" customFormat="false" ht="12" hidden="false" customHeight="false" outlineLevel="0" collapsed="false">
      <c r="A954" s="215" t="s">
        <v>3049</v>
      </c>
      <c r="B954" s="215" t="s">
        <v>3050</v>
      </c>
    </row>
    <row r="955" customFormat="false" ht="12" hidden="false" customHeight="false" outlineLevel="0" collapsed="false">
      <c r="A955" s="215" t="s">
        <v>3051</v>
      </c>
      <c r="B955" s="215" t="s">
        <v>3052</v>
      </c>
    </row>
    <row r="956" customFormat="false" ht="12" hidden="false" customHeight="false" outlineLevel="0" collapsed="false">
      <c r="A956" s="215" t="s">
        <v>3053</v>
      </c>
      <c r="B956" s="215" t="s">
        <v>3054</v>
      </c>
    </row>
    <row r="957" customFormat="false" ht="12" hidden="false" customHeight="false" outlineLevel="0" collapsed="false">
      <c r="A957" s="215" t="s">
        <v>3055</v>
      </c>
      <c r="B957" s="215" t="s">
        <v>3056</v>
      </c>
    </row>
    <row r="958" customFormat="false" ht="12" hidden="false" customHeight="false" outlineLevel="0" collapsed="false">
      <c r="A958" s="215" t="s">
        <v>3057</v>
      </c>
      <c r="B958" s="215" t="s">
        <v>3058</v>
      </c>
    </row>
    <row r="959" customFormat="false" ht="12" hidden="false" customHeight="false" outlineLevel="0" collapsed="false">
      <c r="A959" s="215" t="s">
        <v>3059</v>
      </c>
      <c r="B959" s="215" t="s">
        <v>3060</v>
      </c>
    </row>
    <row r="960" customFormat="false" ht="12" hidden="false" customHeight="false" outlineLevel="0" collapsed="false">
      <c r="A960" s="215" t="s">
        <v>3061</v>
      </c>
      <c r="B960" s="215" t="s">
        <v>3062</v>
      </c>
    </row>
    <row r="961" customFormat="false" ht="12" hidden="false" customHeight="false" outlineLevel="0" collapsed="false">
      <c r="A961" s="215" t="s">
        <v>3063</v>
      </c>
      <c r="B961" s="215" t="s">
        <v>3064</v>
      </c>
    </row>
    <row r="962" customFormat="false" ht="12" hidden="false" customHeight="false" outlineLevel="0" collapsed="false">
      <c r="A962" s="215" t="s">
        <v>3065</v>
      </c>
      <c r="B962" s="215" t="s">
        <v>3066</v>
      </c>
    </row>
    <row r="963" customFormat="false" ht="12" hidden="false" customHeight="false" outlineLevel="0" collapsed="false">
      <c r="A963" s="215" t="s">
        <v>3067</v>
      </c>
      <c r="B963" s="215" t="s">
        <v>3068</v>
      </c>
    </row>
    <row r="964" customFormat="false" ht="12" hidden="false" customHeight="false" outlineLevel="0" collapsed="false">
      <c r="A964" s="215" t="s">
        <v>3069</v>
      </c>
      <c r="B964" s="215" t="s">
        <v>3070</v>
      </c>
    </row>
    <row r="965" customFormat="false" ht="12" hidden="false" customHeight="false" outlineLevel="0" collapsed="false">
      <c r="A965" s="215" t="s">
        <v>3071</v>
      </c>
      <c r="B965" s="215" t="s">
        <v>3072</v>
      </c>
    </row>
    <row r="966" customFormat="false" ht="12" hidden="false" customHeight="false" outlineLevel="0" collapsed="false">
      <c r="A966" s="215" t="s">
        <v>3073</v>
      </c>
      <c r="B966" s="215" t="s">
        <v>905</v>
      </c>
    </row>
    <row r="967" customFormat="false" ht="12" hidden="false" customHeight="false" outlineLevel="0" collapsed="false">
      <c r="A967" s="215" t="s">
        <v>3074</v>
      </c>
      <c r="B967" s="215" t="s">
        <v>3075</v>
      </c>
    </row>
    <row r="968" customFormat="false" ht="12" hidden="false" customHeight="false" outlineLevel="0" collapsed="false">
      <c r="A968" s="215" t="s">
        <v>3076</v>
      </c>
      <c r="B968" s="215" t="s">
        <v>3077</v>
      </c>
    </row>
    <row r="969" customFormat="false" ht="12" hidden="false" customHeight="false" outlineLevel="0" collapsed="false">
      <c r="A969" s="215" t="s">
        <v>3078</v>
      </c>
      <c r="B969" s="215" t="s">
        <v>3079</v>
      </c>
    </row>
    <row r="970" customFormat="false" ht="12" hidden="false" customHeight="false" outlineLevel="0" collapsed="false">
      <c r="A970" s="215" t="s">
        <v>3080</v>
      </c>
      <c r="B970" s="215" t="s">
        <v>3081</v>
      </c>
    </row>
    <row r="971" customFormat="false" ht="12" hidden="false" customHeight="false" outlineLevel="0" collapsed="false">
      <c r="A971" s="215" t="s">
        <v>3082</v>
      </c>
      <c r="B971" s="215" t="s">
        <v>3083</v>
      </c>
    </row>
    <row r="972" customFormat="false" ht="12" hidden="false" customHeight="false" outlineLevel="0" collapsed="false">
      <c r="A972" s="215" t="s">
        <v>3084</v>
      </c>
      <c r="B972" s="215" t="s">
        <v>3085</v>
      </c>
    </row>
    <row r="973" customFormat="false" ht="12" hidden="false" customHeight="false" outlineLevel="0" collapsed="false">
      <c r="A973" s="215" t="s">
        <v>3086</v>
      </c>
      <c r="B973" s="215" t="s">
        <v>3087</v>
      </c>
    </row>
    <row r="974" customFormat="false" ht="12" hidden="false" customHeight="false" outlineLevel="0" collapsed="false">
      <c r="A974" s="215" t="s">
        <v>3088</v>
      </c>
      <c r="B974" s="215" t="s">
        <v>3089</v>
      </c>
    </row>
    <row r="975" customFormat="false" ht="12" hidden="false" customHeight="false" outlineLevel="0" collapsed="false">
      <c r="A975" s="215" t="s">
        <v>3090</v>
      </c>
      <c r="B975" s="215" t="s">
        <v>3091</v>
      </c>
    </row>
    <row r="976" customFormat="false" ht="12" hidden="false" customHeight="false" outlineLevel="0" collapsed="false">
      <c r="A976" s="215" t="s">
        <v>3092</v>
      </c>
      <c r="B976" s="215" t="s">
        <v>3093</v>
      </c>
    </row>
    <row r="977" customFormat="false" ht="12" hidden="false" customHeight="false" outlineLevel="0" collapsed="false">
      <c r="A977" s="215" t="s">
        <v>3094</v>
      </c>
      <c r="B977" s="215" t="s">
        <v>3095</v>
      </c>
    </row>
    <row r="978" customFormat="false" ht="12" hidden="false" customHeight="false" outlineLevel="0" collapsed="false">
      <c r="A978" s="215" t="s">
        <v>3096</v>
      </c>
      <c r="B978" s="215" t="s">
        <v>3097</v>
      </c>
    </row>
    <row r="979" customFormat="false" ht="12" hidden="false" customHeight="false" outlineLevel="0" collapsed="false">
      <c r="A979" s="215" t="s">
        <v>3098</v>
      </c>
      <c r="B979" s="215" t="s">
        <v>3099</v>
      </c>
    </row>
    <row r="980" customFormat="false" ht="12" hidden="false" customHeight="false" outlineLevel="0" collapsed="false">
      <c r="A980" s="215" t="s">
        <v>3100</v>
      </c>
      <c r="B980" s="215" t="s">
        <v>3101</v>
      </c>
    </row>
    <row r="981" customFormat="false" ht="12" hidden="false" customHeight="false" outlineLevel="0" collapsed="false">
      <c r="A981" s="215" t="s">
        <v>3102</v>
      </c>
      <c r="B981" s="215" t="s">
        <v>3103</v>
      </c>
    </row>
    <row r="982" customFormat="false" ht="12" hidden="false" customHeight="false" outlineLevel="0" collapsed="false">
      <c r="A982" s="215" t="s">
        <v>3104</v>
      </c>
      <c r="B982" s="215" t="s">
        <v>3105</v>
      </c>
    </row>
    <row r="983" customFormat="false" ht="12" hidden="false" customHeight="false" outlineLevel="0" collapsed="false">
      <c r="A983" s="215" t="s">
        <v>3106</v>
      </c>
      <c r="B983" s="215" t="s">
        <v>3107</v>
      </c>
    </row>
    <row r="984" customFormat="false" ht="12" hidden="false" customHeight="false" outlineLevel="0" collapsed="false">
      <c r="A984" s="215" t="s">
        <v>3108</v>
      </c>
      <c r="B984" s="215" t="s">
        <v>3109</v>
      </c>
    </row>
    <row r="985" customFormat="false" ht="12" hidden="false" customHeight="false" outlineLevel="0" collapsed="false">
      <c r="A985" s="215" t="s">
        <v>3110</v>
      </c>
      <c r="B985" s="215" t="s">
        <v>3111</v>
      </c>
    </row>
    <row r="986" customFormat="false" ht="12" hidden="false" customHeight="false" outlineLevel="0" collapsed="false">
      <c r="A986" s="215" t="s">
        <v>3112</v>
      </c>
      <c r="B986" s="215" t="s">
        <v>3113</v>
      </c>
    </row>
    <row r="987" customFormat="false" ht="12" hidden="false" customHeight="false" outlineLevel="0" collapsed="false">
      <c r="A987" s="215" t="s">
        <v>3114</v>
      </c>
      <c r="B987" s="215" t="s">
        <v>3115</v>
      </c>
    </row>
    <row r="988" customFormat="false" ht="12" hidden="false" customHeight="false" outlineLevel="0" collapsed="false">
      <c r="A988" s="215" t="s">
        <v>3116</v>
      </c>
      <c r="B988" s="215" t="s">
        <v>3117</v>
      </c>
    </row>
    <row r="989" customFormat="false" ht="12" hidden="false" customHeight="false" outlineLevel="0" collapsed="false">
      <c r="A989" s="215" t="s">
        <v>3118</v>
      </c>
      <c r="B989" s="215" t="s">
        <v>3119</v>
      </c>
    </row>
    <row r="990" customFormat="false" ht="12" hidden="false" customHeight="false" outlineLevel="0" collapsed="false">
      <c r="A990" s="215" t="s">
        <v>3120</v>
      </c>
      <c r="B990" s="215" t="s">
        <v>3121</v>
      </c>
    </row>
    <row r="991" customFormat="false" ht="12" hidden="false" customHeight="false" outlineLevel="0" collapsed="false">
      <c r="A991" s="215" t="s">
        <v>3122</v>
      </c>
      <c r="B991" s="215" t="s">
        <v>910</v>
      </c>
    </row>
    <row r="992" customFormat="false" ht="12" hidden="false" customHeight="false" outlineLevel="0" collapsed="false">
      <c r="A992" s="215" t="s">
        <v>3123</v>
      </c>
      <c r="B992" s="215" t="s">
        <v>3124</v>
      </c>
    </row>
    <row r="993" customFormat="false" ht="12" hidden="false" customHeight="false" outlineLevel="0" collapsed="false">
      <c r="A993" s="215" t="s">
        <v>3125</v>
      </c>
      <c r="B993" s="215" t="s">
        <v>3126</v>
      </c>
    </row>
    <row r="994" customFormat="false" ht="12" hidden="false" customHeight="false" outlineLevel="0" collapsed="false">
      <c r="A994" s="215" t="s">
        <v>3127</v>
      </c>
      <c r="B994" s="215" t="s">
        <v>3128</v>
      </c>
    </row>
    <row r="995" customFormat="false" ht="12" hidden="false" customHeight="false" outlineLevel="0" collapsed="false">
      <c r="A995" s="215" t="s">
        <v>3129</v>
      </c>
      <c r="B995" s="215" t="s">
        <v>3130</v>
      </c>
    </row>
    <row r="996" customFormat="false" ht="12" hidden="false" customHeight="false" outlineLevel="0" collapsed="false">
      <c r="A996" s="215" t="s">
        <v>3131</v>
      </c>
      <c r="B996" s="215" t="s">
        <v>3132</v>
      </c>
    </row>
    <row r="997" customFormat="false" ht="12" hidden="false" customHeight="false" outlineLevel="0" collapsed="false">
      <c r="A997" s="215" t="s">
        <v>3133</v>
      </c>
      <c r="B997" s="215" t="s">
        <v>3134</v>
      </c>
    </row>
    <row r="998" customFormat="false" ht="12" hidden="false" customHeight="false" outlineLevel="0" collapsed="false">
      <c r="A998" s="215" t="s">
        <v>3135</v>
      </c>
      <c r="B998" s="215" t="s">
        <v>3136</v>
      </c>
    </row>
    <row r="999" customFormat="false" ht="12" hidden="false" customHeight="false" outlineLevel="0" collapsed="false">
      <c r="A999" s="215" t="s">
        <v>3137</v>
      </c>
      <c r="B999" s="215" t="s">
        <v>3138</v>
      </c>
    </row>
    <row r="1000" customFormat="false" ht="12" hidden="false" customHeight="false" outlineLevel="0" collapsed="false">
      <c r="A1000" s="215" t="s">
        <v>3139</v>
      </c>
      <c r="B1000" s="215" t="s">
        <v>3140</v>
      </c>
    </row>
    <row r="1001" customFormat="false" ht="12" hidden="false" customHeight="false" outlineLevel="0" collapsed="false">
      <c r="A1001" s="215" t="s">
        <v>3141</v>
      </c>
      <c r="B1001" s="215" t="s">
        <v>3142</v>
      </c>
    </row>
    <row r="1002" customFormat="false" ht="12" hidden="false" customHeight="false" outlineLevel="0" collapsed="false">
      <c r="A1002" s="215" t="s">
        <v>3143</v>
      </c>
      <c r="B1002" s="215" t="s">
        <v>3144</v>
      </c>
    </row>
    <row r="1003" customFormat="false" ht="12" hidden="false" customHeight="false" outlineLevel="0" collapsed="false">
      <c r="A1003" s="215" t="s">
        <v>3145</v>
      </c>
      <c r="B1003" s="215" t="s">
        <v>3146</v>
      </c>
    </row>
    <row r="1004" customFormat="false" ht="12" hidden="false" customHeight="false" outlineLevel="0" collapsed="false">
      <c r="A1004" s="215" t="s">
        <v>3147</v>
      </c>
      <c r="B1004" s="215" t="s">
        <v>3148</v>
      </c>
    </row>
    <row r="1005" customFormat="false" ht="12" hidden="false" customHeight="false" outlineLevel="0" collapsed="false">
      <c r="A1005" s="215" t="s">
        <v>3149</v>
      </c>
      <c r="B1005" s="215" t="s">
        <v>3150</v>
      </c>
    </row>
    <row r="1006" customFormat="false" ht="12" hidden="false" customHeight="false" outlineLevel="0" collapsed="false">
      <c r="A1006" s="215" t="s">
        <v>3151</v>
      </c>
      <c r="B1006" s="215" t="s">
        <v>3152</v>
      </c>
    </row>
    <row r="1007" customFormat="false" ht="12" hidden="false" customHeight="false" outlineLevel="0" collapsed="false">
      <c r="A1007" s="215" t="s">
        <v>3153</v>
      </c>
      <c r="B1007" s="215" t="s">
        <v>3154</v>
      </c>
    </row>
    <row r="1008" customFormat="false" ht="12" hidden="false" customHeight="false" outlineLevel="0" collapsed="false">
      <c r="A1008" s="215" t="s">
        <v>3155</v>
      </c>
      <c r="B1008" s="215" t="s">
        <v>3156</v>
      </c>
    </row>
    <row r="1009" customFormat="false" ht="12" hidden="false" customHeight="false" outlineLevel="0" collapsed="false">
      <c r="A1009" s="215" t="s">
        <v>3157</v>
      </c>
      <c r="B1009" s="215" t="s">
        <v>3158</v>
      </c>
    </row>
    <row r="1010" customFormat="false" ht="12" hidden="false" customHeight="false" outlineLevel="0" collapsed="false">
      <c r="A1010" s="215" t="s">
        <v>3159</v>
      </c>
      <c r="B1010" s="215" t="s">
        <v>3160</v>
      </c>
    </row>
    <row r="1011" customFormat="false" ht="12" hidden="false" customHeight="false" outlineLevel="0" collapsed="false">
      <c r="A1011" s="215" t="s">
        <v>3161</v>
      </c>
      <c r="B1011" s="215" t="s">
        <v>3162</v>
      </c>
    </row>
    <row r="1012" customFormat="false" ht="12" hidden="false" customHeight="false" outlineLevel="0" collapsed="false">
      <c r="A1012" s="215" t="s">
        <v>3163</v>
      </c>
      <c r="B1012" s="215" t="s">
        <v>3164</v>
      </c>
    </row>
    <row r="1013" customFormat="false" ht="12" hidden="false" customHeight="false" outlineLevel="0" collapsed="false">
      <c r="A1013" s="215" t="s">
        <v>3165</v>
      </c>
      <c r="B1013" s="215" t="s">
        <v>3166</v>
      </c>
    </row>
    <row r="1014" customFormat="false" ht="12" hidden="false" customHeight="false" outlineLevel="0" collapsed="false">
      <c r="A1014" s="215" t="s">
        <v>3167</v>
      </c>
      <c r="B1014" s="215" t="s">
        <v>3168</v>
      </c>
    </row>
    <row r="1015" customFormat="false" ht="12" hidden="false" customHeight="false" outlineLevel="0" collapsed="false">
      <c r="A1015" s="215" t="s">
        <v>3169</v>
      </c>
      <c r="B1015" s="215" t="s">
        <v>3170</v>
      </c>
    </row>
    <row r="1016" customFormat="false" ht="12" hidden="false" customHeight="false" outlineLevel="0" collapsed="false">
      <c r="A1016" s="215" t="s">
        <v>3171</v>
      </c>
      <c r="B1016" s="215" t="s">
        <v>3172</v>
      </c>
    </row>
    <row r="1017" customFormat="false" ht="12" hidden="false" customHeight="false" outlineLevel="0" collapsed="false">
      <c r="A1017" s="215" t="s">
        <v>3173</v>
      </c>
      <c r="B1017" s="215" t="s">
        <v>3174</v>
      </c>
    </row>
    <row r="1018" customFormat="false" ht="12" hidden="false" customHeight="false" outlineLevel="0" collapsed="false">
      <c r="A1018" s="215" t="s">
        <v>3175</v>
      </c>
      <c r="B1018" s="215" t="s">
        <v>3176</v>
      </c>
    </row>
    <row r="1019" customFormat="false" ht="12" hidden="false" customHeight="false" outlineLevel="0" collapsed="false">
      <c r="A1019" s="215" t="s">
        <v>3177</v>
      </c>
      <c r="B1019" s="215" t="s">
        <v>3178</v>
      </c>
    </row>
    <row r="1020" customFormat="false" ht="12" hidden="false" customHeight="false" outlineLevel="0" collapsed="false">
      <c r="A1020" s="215" t="s">
        <v>3179</v>
      </c>
      <c r="B1020" s="215" t="s">
        <v>3180</v>
      </c>
    </row>
    <row r="1021" customFormat="false" ht="12" hidden="false" customHeight="false" outlineLevel="0" collapsed="false">
      <c r="A1021" s="215" t="s">
        <v>3181</v>
      </c>
      <c r="B1021" s="215" t="s">
        <v>3182</v>
      </c>
    </row>
    <row r="1022" customFormat="false" ht="12" hidden="false" customHeight="false" outlineLevel="0" collapsed="false">
      <c r="A1022" s="215" t="s">
        <v>3183</v>
      </c>
      <c r="B1022" s="215" t="s">
        <v>3184</v>
      </c>
    </row>
    <row r="1023" customFormat="false" ht="12" hidden="false" customHeight="false" outlineLevel="0" collapsed="false">
      <c r="A1023" s="215" t="s">
        <v>3185</v>
      </c>
      <c r="B1023" s="215" t="s">
        <v>3186</v>
      </c>
    </row>
    <row r="1024" customFormat="false" ht="12" hidden="false" customHeight="false" outlineLevel="0" collapsed="false">
      <c r="A1024" s="215" t="s">
        <v>3187</v>
      </c>
      <c r="B1024" s="215" t="s">
        <v>3188</v>
      </c>
    </row>
    <row r="1025" customFormat="false" ht="12" hidden="false" customHeight="false" outlineLevel="0" collapsed="false">
      <c r="A1025" s="215" t="s">
        <v>3189</v>
      </c>
      <c r="B1025" s="215" t="s">
        <v>3190</v>
      </c>
    </row>
    <row r="1026" customFormat="false" ht="12" hidden="false" customHeight="false" outlineLevel="0" collapsed="false">
      <c r="A1026" s="215" t="s">
        <v>3191</v>
      </c>
      <c r="B1026" s="215" t="s">
        <v>3192</v>
      </c>
    </row>
    <row r="1027" customFormat="false" ht="12" hidden="false" customHeight="false" outlineLevel="0" collapsed="false">
      <c r="A1027" s="215" t="s">
        <v>3193</v>
      </c>
      <c r="B1027" s="215" t="s">
        <v>3194</v>
      </c>
    </row>
    <row r="1028" customFormat="false" ht="12" hidden="false" customHeight="false" outlineLevel="0" collapsed="false">
      <c r="A1028" s="215" t="s">
        <v>3195</v>
      </c>
      <c r="B1028" s="215" t="s">
        <v>3196</v>
      </c>
    </row>
    <row r="1029" customFormat="false" ht="12" hidden="false" customHeight="false" outlineLevel="0" collapsed="false">
      <c r="A1029" s="215" t="s">
        <v>3197</v>
      </c>
      <c r="B1029" s="215" t="s">
        <v>3198</v>
      </c>
    </row>
    <row r="1030" customFormat="false" ht="12" hidden="false" customHeight="false" outlineLevel="0" collapsed="false">
      <c r="A1030" s="215" t="s">
        <v>3199</v>
      </c>
      <c r="B1030" s="215" t="s">
        <v>3200</v>
      </c>
    </row>
    <row r="1031" customFormat="false" ht="12" hidden="false" customHeight="false" outlineLevel="0" collapsed="false">
      <c r="A1031" s="215" t="s">
        <v>3201</v>
      </c>
      <c r="B1031" s="215" t="s">
        <v>3202</v>
      </c>
    </row>
    <row r="1032" customFormat="false" ht="12" hidden="false" customHeight="false" outlineLevel="0" collapsed="false">
      <c r="A1032" s="215" t="s">
        <v>3203</v>
      </c>
      <c r="B1032" s="215" t="s">
        <v>3204</v>
      </c>
    </row>
    <row r="1033" customFormat="false" ht="12" hidden="false" customHeight="false" outlineLevel="0" collapsed="false">
      <c r="A1033" s="215" t="s">
        <v>3205</v>
      </c>
      <c r="B1033" s="215" t="s">
        <v>3206</v>
      </c>
    </row>
    <row r="1034" customFormat="false" ht="12" hidden="false" customHeight="false" outlineLevel="0" collapsed="false">
      <c r="A1034" s="215" t="s">
        <v>3207</v>
      </c>
      <c r="B1034" s="215" t="s">
        <v>3208</v>
      </c>
    </row>
    <row r="1035" customFormat="false" ht="12" hidden="false" customHeight="false" outlineLevel="0" collapsed="false">
      <c r="A1035" s="215" t="s">
        <v>3209</v>
      </c>
      <c r="B1035" s="215" t="s">
        <v>3210</v>
      </c>
    </row>
    <row r="1036" customFormat="false" ht="12" hidden="false" customHeight="false" outlineLevel="0" collapsed="false">
      <c r="A1036" s="215" t="s">
        <v>3211</v>
      </c>
      <c r="B1036" s="215" t="s">
        <v>3212</v>
      </c>
    </row>
    <row r="1037" customFormat="false" ht="12" hidden="false" customHeight="false" outlineLevel="0" collapsed="false">
      <c r="A1037" s="215" t="s">
        <v>3213</v>
      </c>
      <c r="B1037" s="215" t="s">
        <v>3214</v>
      </c>
    </row>
    <row r="1038" customFormat="false" ht="12" hidden="false" customHeight="false" outlineLevel="0" collapsed="false">
      <c r="A1038" s="215" t="s">
        <v>3215</v>
      </c>
      <c r="B1038" s="215" t="s">
        <v>3216</v>
      </c>
    </row>
    <row r="1039" customFormat="false" ht="12" hidden="false" customHeight="false" outlineLevel="0" collapsed="false">
      <c r="A1039" s="215" t="s">
        <v>3217</v>
      </c>
      <c r="B1039" s="215" t="s">
        <v>3218</v>
      </c>
    </row>
    <row r="1040" customFormat="false" ht="12" hidden="false" customHeight="false" outlineLevel="0" collapsed="false">
      <c r="A1040" s="215" t="s">
        <v>3219</v>
      </c>
      <c r="B1040" s="215" t="s">
        <v>3220</v>
      </c>
    </row>
    <row r="1041" customFormat="false" ht="12" hidden="false" customHeight="false" outlineLevel="0" collapsed="false">
      <c r="A1041" s="215" t="s">
        <v>3221</v>
      </c>
      <c r="B1041" s="215" t="s">
        <v>3222</v>
      </c>
    </row>
    <row r="1042" customFormat="false" ht="12" hidden="false" customHeight="false" outlineLevel="0" collapsed="false">
      <c r="A1042" s="215" t="s">
        <v>3223</v>
      </c>
      <c r="B1042" s="215" t="s">
        <v>3224</v>
      </c>
    </row>
    <row r="1043" customFormat="false" ht="12" hidden="false" customHeight="false" outlineLevel="0" collapsed="false">
      <c r="A1043" s="215" t="s">
        <v>3225</v>
      </c>
      <c r="B1043" s="215" t="s">
        <v>3226</v>
      </c>
    </row>
    <row r="1044" customFormat="false" ht="12" hidden="false" customHeight="false" outlineLevel="0" collapsed="false">
      <c r="A1044" s="215" t="s">
        <v>3227</v>
      </c>
      <c r="B1044" s="215" t="s">
        <v>3228</v>
      </c>
    </row>
    <row r="1045" customFormat="false" ht="12" hidden="false" customHeight="false" outlineLevel="0" collapsed="false">
      <c r="A1045" s="215" t="s">
        <v>3229</v>
      </c>
      <c r="B1045" s="215" t="s">
        <v>3230</v>
      </c>
    </row>
    <row r="1046" customFormat="false" ht="12" hidden="false" customHeight="false" outlineLevel="0" collapsed="false">
      <c r="A1046" s="215" t="s">
        <v>3231</v>
      </c>
      <c r="B1046" s="215" t="s">
        <v>3232</v>
      </c>
    </row>
    <row r="1047" customFormat="false" ht="12" hidden="false" customHeight="false" outlineLevel="0" collapsed="false">
      <c r="A1047" s="215" t="s">
        <v>3233</v>
      </c>
      <c r="B1047" s="215" t="s">
        <v>3234</v>
      </c>
    </row>
    <row r="1048" customFormat="false" ht="12" hidden="false" customHeight="false" outlineLevel="0" collapsed="false">
      <c r="A1048" s="215" t="s">
        <v>3235</v>
      </c>
      <c r="B1048" s="215" t="s">
        <v>3236</v>
      </c>
    </row>
    <row r="1049" customFormat="false" ht="12" hidden="false" customHeight="false" outlineLevel="0" collapsed="false">
      <c r="A1049" s="215" t="s">
        <v>3237</v>
      </c>
      <c r="B1049" s="215" t="s">
        <v>3238</v>
      </c>
    </row>
    <row r="1050" customFormat="false" ht="12" hidden="false" customHeight="false" outlineLevel="0" collapsed="false">
      <c r="A1050" s="215" t="s">
        <v>3239</v>
      </c>
      <c r="B1050" s="215" t="s">
        <v>3240</v>
      </c>
    </row>
    <row r="1051" customFormat="false" ht="12" hidden="false" customHeight="false" outlineLevel="0" collapsed="false">
      <c r="A1051" s="215" t="s">
        <v>3241</v>
      </c>
      <c r="B1051" s="215" t="s">
        <v>3242</v>
      </c>
    </row>
    <row r="1052" customFormat="false" ht="12" hidden="false" customHeight="false" outlineLevel="0" collapsed="false">
      <c r="A1052" s="215" t="s">
        <v>3243</v>
      </c>
      <c r="B1052" s="215" t="s">
        <v>3244</v>
      </c>
    </row>
    <row r="1053" customFormat="false" ht="12" hidden="false" customHeight="false" outlineLevel="0" collapsed="false">
      <c r="A1053" s="215" t="s">
        <v>3245</v>
      </c>
      <c r="B1053" s="215" t="s">
        <v>3246</v>
      </c>
    </row>
    <row r="1054" customFormat="false" ht="12" hidden="false" customHeight="false" outlineLevel="0" collapsed="false">
      <c r="A1054" s="215" t="s">
        <v>3247</v>
      </c>
      <c r="B1054" s="215" t="s">
        <v>3248</v>
      </c>
    </row>
    <row r="1055" customFormat="false" ht="12" hidden="false" customHeight="false" outlineLevel="0" collapsed="false">
      <c r="A1055" s="215" t="s">
        <v>3249</v>
      </c>
      <c r="B1055" s="215" t="s">
        <v>3250</v>
      </c>
    </row>
    <row r="1056" customFormat="false" ht="12" hidden="false" customHeight="false" outlineLevel="0" collapsed="false">
      <c r="A1056" s="215" t="s">
        <v>3251</v>
      </c>
      <c r="B1056" s="215" t="s">
        <v>3252</v>
      </c>
    </row>
    <row r="1057" customFormat="false" ht="12" hidden="false" customHeight="false" outlineLevel="0" collapsed="false">
      <c r="A1057" s="215" t="s">
        <v>3253</v>
      </c>
      <c r="B1057" s="215" t="s">
        <v>3254</v>
      </c>
    </row>
    <row r="1058" customFormat="false" ht="12" hidden="false" customHeight="false" outlineLevel="0" collapsed="false">
      <c r="A1058" s="215" t="s">
        <v>3255</v>
      </c>
      <c r="B1058" s="215" t="s">
        <v>3256</v>
      </c>
    </row>
    <row r="1059" customFormat="false" ht="12" hidden="false" customHeight="false" outlineLevel="0" collapsed="false">
      <c r="A1059" s="215" t="s">
        <v>3257</v>
      </c>
      <c r="B1059" s="215" t="s">
        <v>3258</v>
      </c>
    </row>
    <row r="1060" customFormat="false" ht="12" hidden="false" customHeight="false" outlineLevel="0" collapsed="false">
      <c r="A1060" s="215" t="s">
        <v>3259</v>
      </c>
      <c r="B1060" s="215" t="s">
        <v>3260</v>
      </c>
    </row>
    <row r="1061" customFormat="false" ht="12" hidden="false" customHeight="false" outlineLevel="0" collapsed="false">
      <c r="A1061" s="215" t="s">
        <v>3261</v>
      </c>
      <c r="B1061" s="215" t="s">
        <v>3262</v>
      </c>
    </row>
    <row r="1062" customFormat="false" ht="12" hidden="false" customHeight="false" outlineLevel="0" collapsed="false">
      <c r="A1062" s="215" t="s">
        <v>3263</v>
      </c>
      <c r="B1062" s="215" t="s">
        <v>3264</v>
      </c>
    </row>
    <row r="1063" customFormat="false" ht="12" hidden="false" customHeight="false" outlineLevel="0" collapsed="false">
      <c r="A1063" s="215" t="s">
        <v>3265</v>
      </c>
      <c r="B1063" s="215" t="s">
        <v>3266</v>
      </c>
    </row>
    <row r="1064" customFormat="false" ht="12" hidden="false" customHeight="false" outlineLevel="0" collapsed="false">
      <c r="A1064" s="215" t="s">
        <v>3267</v>
      </c>
      <c r="B1064" s="215" t="s">
        <v>3268</v>
      </c>
    </row>
    <row r="1065" customFormat="false" ht="12" hidden="false" customHeight="false" outlineLevel="0" collapsed="false">
      <c r="A1065" s="215" t="s">
        <v>3269</v>
      </c>
      <c r="B1065" s="215" t="s">
        <v>3270</v>
      </c>
    </row>
    <row r="1066" customFormat="false" ht="12" hidden="false" customHeight="false" outlineLevel="0" collapsed="false">
      <c r="A1066" s="215" t="s">
        <v>3271</v>
      </c>
      <c r="B1066" s="215" t="s">
        <v>3272</v>
      </c>
    </row>
    <row r="1067" customFormat="false" ht="12" hidden="false" customHeight="false" outlineLevel="0" collapsed="false">
      <c r="A1067" s="215" t="s">
        <v>3273</v>
      </c>
      <c r="B1067" s="215" t="s">
        <v>3274</v>
      </c>
    </row>
    <row r="1068" customFormat="false" ht="12" hidden="false" customHeight="false" outlineLevel="0" collapsed="false">
      <c r="A1068" s="215" t="s">
        <v>3275</v>
      </c>
      <c r="B1068" s="215" t="s">
        <v>3276</v>
      </c>
    </row>
    <row r="1069" customFormat="false" ht="12" hidden="false" customHeight="false" outlineLevel="0" collapsed="false">
      <c r="A1069" s="215" t="s">
        <v>3277</v>
      </c>
      <c r="B1069" s="215" t="s">
        <v>3278</v>
      </c>
    </row>
    <row r="1070" customFormat="false" ht="12" hidden="false" customHeight="false" outlineLevel="0" collapsed="false">
      <c r="A1070" s="215" t="s">
        <v>3279</v>
      </c>
      <c r="B1070" s="215" t="s">
        <v>3280</v>
      </c>
    </row>
    <row r="1071" customFormat="false" ht="12" hidden="false" customHeight="false" outlineLevel="0" collapsed="false">
      <c r="A1071" s="215" t="s">
        <v>3281</v>
      </c>
      <c r="B1071" s="215" t="s">
        <v>3282</v>
      </c>
    </row>
    <row r="1072" customFormat="false" ht="12" hidden="false" customHeight="false" outlineLevel="0" collapsed="false">
      <c r="A1072" s="215" t="s">
        <v>3283</v>
      </c>
      <c r="B1072" s="215" t="s">
        <v>3284</v>
      </c>
    </row>
    <row r="1073" customFormat="false" ht="12" hidden="false" customHeight="false" outlineLevel="0" collapsed="false">
      <c r="A1073" s="215" t="s">
        <v>3285</v>
      </c>
      <c r="B1073" s="215" t="s">
        <v>3286</v>
      </c>
    </row>
    <row r="1074" customFormat="false" ht="12" hidden="false" customHeight="false" outlineLevel="0" collapsed="false">
      <c r="A1074" s="215" t="s">
        <v>3287</v>
      </c>
      <c r="B1074" s="215" t="s">
        <v>3288</v>
      </c>
    </row>
    <row r="1075" customFormat="false" ht="12" hidden="false" customHeight="false" outlineLevel="0" collapsed="false">
      <c r="A1075" s="215" t="s">
        <v>3289</v>
      </c>
      <c r="B1075" s="215" t="s">
        <v>3290</v>
      </c>
    </row>
    <row r="1076" customFormat="false" ht="12" hidden="false" customHeight="false" outlineLevel="0" collapsed="false">
      <c r="A1076" s="215" t="s">
        <v>3291</v>
      </c>
      <c r="B1076" s="215" t="s">
        <v>3292</v>
      </c>
    </row>
    <row r="1077" customFormat="false" ht="12" hidden="false" customHeight="false" outlineLevel="0" collapsed="false">
      <c r="A1077" s="215" t="s">
        <v>3293</v>
      </c>
      <c r="B1077" s="215" t="s">
        <v>3294</v>
      </c>
    </row>
    <row r="1078" customFormat="false" ht="12" hidden="false" customHeight="false" outlineLevel="0" collapsed="false">
      <c r="A1078" s="215" t="s">
        <v>3295</v>
      </c>
      <c r="B1078" s="215" t="s">
        <v>3296</v>
      </c>
    </row>
    <row r="1079" customFormat="false" ht="12" hidden="false" customHeight="false" outlineLevel="0" collapsed="false">
      <c r="A1079" s="215" t="s">
        <v>3297</v>
      </c>
      <c r="B1079" s="215" t="s">
        <v>3298</v>
      </c>
    </row>
    <row r="1080" customFormat="false" ht="12" hidden="false" customHeight="false" outlineLevel="0" collapsed="false">
      <c r="A1080" s="215" t="s">
        <v>3299</v>
      </c>
      <c r="B1080" s="215" t="s">
        <v>3300</v>
      </c>
    </row>
    <row r="1081" customFormat="false" ht="12" hidden="false" customHeight="false" outlineLevel="0" collapsed="false">
      <c r="A1081" s="215" t="s">
        <v>3301</v>
      </c>
      <c r="B1081" s="215" t="s">
        <v>3302</v>
      </c>
    </row>
    <row r="1082" customFormat="false" ht="12" hidden="false" customHeight="false" outlineLevel="0" collapsed="false">
      <c r="A1082" s="215" t="s">
        <v>3303</v>
      </c>
      <c r="B1082" s="215" t="s">
        <v>3304</v>
      </c>
    </row>
    <row r="1083" customFormat="false" ht="12" hidden="false" customHeight="false" outlineLevel="0" collapsed="false">
      <c r="A1083" s="215" t="s">
        <v>3305</v>
      </c>
      <c r="B1083" s="215" t="s">
        <v>3306</v>
      </c>
    </row>
    <row r="1084" customFormat="false" ht="12" hidden="false" customHeight="false" outlineLevel="0" collapsed="false">
      <c r="A1084" s="215" t="s">
        <v>3307</v>
      </c>
      <c r="B1084" s="215" t="s">
        <v>3308</v>
      </c>
    </row>
    <row r="1085" customFormat="false" ht="12" hidden="false" customHeight="false" outlineLevel="0" collapsed="false">
      <c r="A1085" s="215" t="s">
        <v>3309</v>
      </c>
      <c r="B1085" s="215" t="s">
        <v>3310</v>
      </c>
    </row>
    <row r="1086" customFormat="false" ht="12" hidden="false" customHeight="false" outlineLevel="0" collapsed="false">
      <c r="A1086" s="215" t="s">
        <v>3311</v>
      </c>
      <c r="B1086" s="215" t="s">
        <v>3312</v>
      </c>
    </row>
    <row r="1087" customFormat="false" ht="12" hidden="false" customHeight="false" outlineLevel="0" collapsed="false">
      <c r="A1087" s="215" t="s">
        <v>3313</v>
      </c>
      <c r="B1087" s="215" t="s">
        <v>3314</v>
      </c>
    </row>
    <row r="1088" customFormat="false" ht="12" hidden="false" customHeight="false" outlineLevel="0" collapsed="false">
      <c r="A1088" s="215" t="s">
        <v>3315</v>
      </c>
      <c r="B1088" s="215" t="s">
        <v>3316</v>
      </c>
    </row>
    <row r="1089" customFormat="false" ht="12" hidden="false" customHeight="false" outlineLevel="0" collapsed="false">
      <c r="A1089" s="215" t="s">
        <v>3317</v>
      </c>
      <c r="B1089" s="215" t="s">
        <v>3318</v>
      </c>
    </row>
    <row r="1090" customFormat="false" ht="12" hidden="false" customHeight="false" outlineLevel="0" collapsed="false">
      <c r="A1090" s="215" t="s">
        <v>3319</v>
      </c>
      <c r="B1090" s="215" t="s">
        <v>3320</v>
      </c>
    </row>
    <row r="1091" customFormat="false" ht="12" hidden="false" customHeight="false" outlineLevel="0" collapsed="false">
      <c r="A1091" s="215" t="s">
        <v>3321</v>
      </c>
      <c r="B1091" s="215" t="s">
        <v>3322</v>
      </c>
    </row>
    <row r="1092" customFormat="false" ht="12" hidden="false" customHeight="false" outlineLevel="0" collapsed="false">
      <c r="A1092" s="215" t="s">
        <v>3323</v>
      </c>
      <c r="B1092" s="215" t="s">
        <v>3324</v>
      </c>
    </row>
    <row r="1093" customFormat="false" ht="12" hidden="false" customHeight="false" outlineLevel="0" collapsed="false">
      <c r="A1093" s="215" t="s">
        <v>3325</v>
      </c>
      <c r="B1093" s="215" t="s">
        <v>3326</v>
      </c>
    </row>
    <row r="1094" customFormat="false" ht="12" hidden="false" customHeight="false" outlineLevel="0" collapsed="false">
      <c r="A1094" s="215" t="s">
        <v>3327</v>
      </c>
      <c r="B1094" s="215" t="s">
        <v>3328</v>
      </c>
    </row>
    <row r="1095" customFormat="false" ht="12" hidden="false" customHeight="false" outlineLevel="0" collapsed="false">
      <c r="A1095" s="215" t="s">
        <v>3329</v>
      </c>
      <c r="B1095" s="215" t="s">
        <v>3330</v>
      </c>
    </row>
    <row r="1096" customFormat="false" ht="12" hidden="false" customHeight="false" outlineLevel="0" collapsed="false">
      <c r="A1096" s="215" t="s">
        <v>3331</v>
      </c>
      <c r="B1096" s="215" t="s">
        <v>3332</v>
      </c>
    </row>
    <row r="1097" customFormat="false" ht="12" hidden="false" customHeight="false" outlineLevel="0" collapsed="false">
      <c r="A1097" s="215" t="s">
        <v>3333</v>
      </c>
      <c r="B1097" s="215" t="s">
        <v>3334</v>
      </c>
    </row>
    <row r="1098" customFormat="false" ht="12" hidden="false" customHeight="false" outlineLevel="0" collapsed="false">
      <c r="A1098" s="215" t="s">
        <v>3335</v>
      </c>
      <c r="B1098" s="215" t="s">
        <v>3336</v>
      </c>
    </row>
    <row r="1099" customFormat="false" ht="12" hidden="false" customHeight="false" outlineLevel="0" collapsed="false">
      <c r="A1099" s="215" t="s">
        <v>3337</v>
      </c>
      <c r="B1099" s="215" t="s">
        <v>3338</v>
      </c>
    </row>
    <row r="1100" customFormat="false" ht="12" hidden="false" customHeight="false" outlineLevel="0" collapsed="false">
      <c r="A1100" s="215" t="s">
        <v>3339</v>
      </c>
      <c r="B1100" s="215" t="s">
        <v>3340</v>
      </c>
    </row>
    <row r="1101" customFormat="false" ht="12" hidden="false" customHeight="false" outlineLevel="0" collapsed="false">
      <c r="A1101" s="215" t="s">
        <v>3341</v>
      </c>
      <c r="B1101" s="215" t="s">
        <v>3342</v>
      </c>
    </row>
    <row r="1102" customFormat="false" ht="12" hidden="false" customHeight="false" outlineLevel="0" collapsed="false">
      <c r="A1102" s="215" t="s">
        <v>3343</v>
      </c>
      <c r="B1102" s="215" t="s">
        <v>3344</v>
      </c>
    </row>
    <row r="1103" customFormat="false" ht="12" hidden="false" customHeight="false" outlineLevel="0" collapsed="false">
      <c r="A1103" s="215" t="s">
        <v>3345</v>
      </c>
      <c r="B1103" s="215" t="s">
        <v>3346</v>
      </c>
    </row>
    <row r="1104" customFormat="false" ht="12" hidden="false" customHeight="false" outlineLevel="0" collapsed="false">
      <c r="A1104" s="215" t="s">
        <v>3347</v>
      </c>
      <c r="B1104" s="215" t="s">
        <v>3348</v>
      </c>
    </row>
    <row r="1105" customFormat="false" ht="12" hidden="false" customHeight="false" outlineLevel="0" collapsed="false">
      <c r="A1105" s="215" t="s">
        <v>3349</v>
      </c>
      <c r="B1105" s="215" t="s">
        <v>3350</v>
      </c>
    </row>
    <row r="1106" customFormat="false" ht="12" hidden="false" customHeight="false" outlineLevel="0" collapsed="false">
      <c r="A1106" s="215" t="s">
        <v>3351</v>
      </c>
      <c r="B1106" s="215" t="s">
        <v>3352</v>
      </c>
    </row>
    <row r="1107" customFormat="false" ht="12" hidden="false" customHeight="false" outlineLevel="0" collapsed="false">
      <c r="A1107" s="215" t="s">
        <v>3353</v>
      </c>
      <c r="B1107" s="215" t="s">
        <v>3354</v>
      </c>
    </row>
    <row r="1108" customFormat="false" ht="12" hidden="false" customHeight="false" outlineLevel="0" collapsed="false">
      <c r="A1108" s="215" t="s">
        <v>3355</v>
      </c>
      <c r="B1108" s="215" t="s">
        <v>3356</v>
      </c>
    </row>
    <row r="1109" customFormat="false" ht="12" hidden="false" customHeight="false" outlineLevel="0" collapsed="false">
      <c r="A1109" s="215" t="s">
        <v>3357</v>
      </c>
      <c r="B1109" s="215" t="s">
        <v>3358</v>
      </c>
    </row>
    <row r="1110" customFormat="false" ht="12" hidden="false" customHeight="false" outlineLevel="0" collapsed="false">
      <c r="A1110" s="215" t="s">
        <v>3359</v>
      </c>
      <c r="B1110" s="215" t="s">
        <v>3360</v>
      </c>
    </row>
    <row r="1111" customFormat="false" ht="12" hidden="false" customHeight="false" outlineLevel="0" collapsed="false">
      <c r="A1111" s="215" t="s">
        <v>3361</v>
      </c>
      <c r="B1111" s="215" t="s">
        <v>3362</v>
      </c>
    </row>
    <row r="1112" customFormat="false" ht="12" hidden="false" customHeight="false" outlineLevel="0" collapsed="false">
      <c r="A1112" s="215" t="s">
        <v>3363</v>
      </c>
      <c r="B1112" s="215" t="s">
        <v>3364</v>
      </c>
    </row>
    <row r="1113" customFormat="false" ht="12" hidden="false" customHeight="false" outlineLevel="0" collapsed="false">
      <c r="A1113" s="215" t="s">
        <v>3365</v>
      </c>
      <c r="B1113" s="215" t="s">
        <v>3366</v>
      </c>
    </row>
    <row r="1114" customFormat="false" ht="12" hidden="false" customHeight="false" outlineLevel="0" collapsed="false">
      <c r="A1114" s="215" t="s">
        <v>3367</v>
      </c>
      <c r="B1114" s="215" t="s">
        <v>3368</v>
      </c>
    </row>
    <row r="1115" customFormat="false" ht="12" hidden="false" customHeight="false" outlineLevel="0" collapsed="false">
      <c r="A1115" s="215" t="s">
        <v>3369</v>
      </c>
      <c r="B1115" s="215" t="s">
        <v>3370</v>
      </c>
    </row>
    <row r="1116" customFormat="false" ht="12" hidden="false" customHeight="false" outlineLevel="0" collapsed="false">
      <c r="A1116" s="215" t="s">
        <v>3371</v>
      </c>
      <c r="B1116" s="215" t="s">
        <v>3372</v>
      </c>
    </row>
    <row r="1117" customFormat="false" ht="12" hidden="false" customHeight="false" outlineLevel="0" collapsed="false">
      <c r="A1117" s="215" t="s">
        <v>3373</v>
      </c>
      <c r="B1117" s="215" t="s">
        <v>3374</v>
      </c>
    </row>
    <row r="1118" customFormat="false" ht="12" hidden="false" customHeight="false" outlineLevel="0" collapsed="false">
      <c r="A1118" s="215" t="s">
        <v>3375</v>
      </c>
      <c r="B1118" s="215" t="s">
        <v>3376</v>
      </c>
    </row>
    <row r="1119" customFormat="false" ht="12" hidden="false" customHeight="false" outlineLevel="0" collapsed="false">
      <c r="A1119" s="215" t="s">
        <v>3377</v>
      </c>
      <c r="B1119" s="215" t="s">
        <v>3378</v>
      </c>
    </row>
    <row r="1120" customFormat="false" ht="12" hidden="false" customHeight="false" outlineLevel="0" collapsed="false">
      <c r="A1120" s="215" t="s">
        <v>3379</v>
      </c>
      <c r="B1120" s="215" t="s">
        <v>3380</v>
      </c>
    </row>
    <row r="1121" customFormat="false" ht="12" hidden="false" customHeight="false" outlineLevel="0" collapsed="false">
      <c r="A1121" s="215" t="s">
        <v>3381</v>
      </c>
      <c r="B1121" s="215" t="s">
        <v>3382</v>
      </c>
    </row>
    <row r="1122" customFormat="false" ht="12" hidden="false" customHeight="false" outlineLevel="0" collapsed="false">
      <c r="A1122" s="215" t="s">
        <v>3383</v>
      </c>
      <c r="B1122" s="215" t="s">
        <v>3384</v>
      </c>
    </row>
    <row r="1123" customFormat="false" ht="12" hidden="false" customHeight="false" outlineLevel="0" collapsed="false">
      <c r="A1123" s="215" t="s">
        <v>3385</v>
      </c>
      <c r="B1123" s="215" t="s">
        <v>3386</v>
      </c>
    </row>
    <row r="1124" customFormat="false" ht="12" hidden="false" customHeight="false" outlineLevel="0" collapsed="false">
      <c r="A1124" s="215" t="s">
        <v>3387</v>
      </c>
      <c r="B1124" s="215" t="s">
        <v>3388</v>
      </c>
    </row>
    <row r="1125" customFormat="false" ht="12" hidden="false" customHeight="false" outlineLevel="0" collapsed="false">
      <c r="A1125" s="215" t="s">
        <v>3389</v>
      </c>
      <c r="B1125" s="215" t="s">
        <v>3390</v>
      </c>
    </row>
    <row r="1126" customFormat="false" ht="12" hidden="false" customHeight="false" outlineLevel="0" collapsed="false">
      <c r="A1126" s="215" t="s">
        <v>3391</v>
      </c>
      <c r="B1126" s="215" t="s">
        <v>3392</v>
      </c>
    </row>
    <row r="1127" customFormat="false" ht="12" hidden="false" customHeight="false" outlineLevel="0" collapsed="false">
      <c r="A1127" s="215" t="s">
        <v>3393</v>
      </c>
      <c r="B1127" s="215" t="s">
        <v>3394</v>
      </c>
    </row>
    <row r="1128" customFormat="false" ht="12" hidden="false" customHeight="false" outlineLevel="0" collapsed="false">
      <c r="A1128" s="215" t="s">
        <v>3395</v>
      </c>
      <c r="B1128" s="215" t="s">
        <v>3396</v>
      </c>
    </row>
    <row r="1129" customFormat="false" ht="12" hidden="false" customHeight="false" outlineLevel="0" collapsed="false">
      <c r="A1129" s="215" t="s">
        <v>3397</v>
      </c>
      <c r="B1129" s="215" t="s">
        <v>3398</v>
      </c>
    </row>
    <row r="1130" customFormat="false" ht="12" hidden="false" customHeight="false" outlineLevel="0" collapsed="false">
      <c r="A1130" s="215" t="s">
        <v>3399</v>
      </c>
      <c r="B1130" s="215" t="s">
        <v>3400</v>
      </c>
    </row>
    <row r="1131" customFormat="false" ht="12" hidden="false" customHeight="false" outlineLevel="0" collapsed="false">
      <c r="A1131" s="215" t="s">
        <v>3401</v>
      </c>
      <c r="B1131" s="215" t="s">
        <v>3402</v>
      </c>
    </row>
    <row r="1132" customFormat="false" ht="12" hidden="false" customHeight="false" outlineLevel="0" collapsed="false">
      <c r="A1132" s="215" t="s">
        <v>3403</v>
      </c>
      <c r="B1132" s="215" t="s">
        <v>3404</v>
      </c>
    </row>
    <row r="1133" customFormat="false" ht="12" hidden="false" customHeight="false" outlineLevel="0" collapsed="false">
      <c r="A1133" s="215" t="s">
        <v>3405</v>
      </c>
      <c r="B1133" s="215" t="s">
        <v>3406</v>
      </c>
    </row>
    <row r="1134" customFormat="false" ht="12" hidden="false" customHeight="false" outlineLevel="0" collapsed="false">
      <c r="A1134" s="215" t="s">
        <v>3407</v>
      </c>
      <c r="B1134" s="215" t="s">
        <v>3408</v>
      </c>
    </row>
    <row r="1135" customFormat="false" ht="12" hidden="false" customHeight="false" outlineLevel="0" collapsed="false">
      <c r="A1135" s="215" t="s">
        <v>3409</v>
      </c>
      <c r="B1135" s="215" t="s">
        <v>3410</v>
      </c>
    </row>
    <row r="1136" customFormat="false" ht="12" hidden="false" customHeight="false" outlineLevel="0" collapsed="false">
      <c r="A1136" s="215" t="s">
        <v>3411</v>
      </c>
      <c r="B1136" s="215" t="s">
        <v>3412</v>
      </c>
    </row>
    <row r="1137" customFormat="false" ht="12" hidden="false" customHeight="false" outlineLevel="0" collapsed="false">
      <c r="A1137" s="215" t="s">
        <v>3413</v>
      </c>
      <c r="B1137" s="215" t="s">
        <v>3414</v>
      </c>
    </row>
    <row r="1138" customFormat="false" ht="12" hidden="false" customHeight="false" outlineLevel="0" collapsed="false">
      <c r="A1138" s="215" t="s">
        <v>3415</v>
      </c>
      <c r="B1138" s="215" t="s">
        <v>3416</v>
      </c>
    </row>
    <row r="1139" customFormat="false" ht="12" hidden="false" customHeight="false" outlineLevel="0" collapsed="false">
      <c r="A1139" s="215" t="s">
        <v>3417</v>
      </c>
      <c r="B1139" s="215" t="s">
        <v>3418</v>
      </c>
    </row>
    <row r="1140" customFormat="false" ht="12" hidden="false" customHeight="false" outlineLevel="0" collapsed="false">
      <c r="A1140" s="215" t="s">
        <v>3419</v>
      </c>
      <c r="B1140" s="215" t="s">
        <v>3420</v>
      </c>
    </row>
    <row r="1141" customFormat="false" ht="12" hidden="false" customHeight="false" outlineLevel="0" collapsed="false">
      <c r="A1141" s="215" t="s">
        <v>3421</v>
      </c>
      <c r="B1141" s="215" t="s">
        <v>3422</v>
      </c>
    </row>
    <row r="1142" customFormat="false" ht="12" hidden="false" customHeight="false" outlineLevel="0" collapsed="false">
      <c r="A1142" s="215" t="s">
        <v>3423</v>
      </c>
      <c r="B1142" s="215" t="s">
        <v>3424</v>
      </c>
    </row>
    <row r="1143" customFormat="false" ht="12" hidden="false" customHeight="false" outlineLevel="0" collapsed="false">
      <c r="A1143" s="215" t="s">
        <v>3425</v>
      </c>
      <c r="B1143" s="215" t="s">
        <v>3426</v>
      </c>
    </row>
    <row r="1144" customFormat="false" ht="12" hidden="false" customHeight="false" outlineLevel="0" collapsed="false">
      <c r="A1144" s="215" t="s">
        <v>3427</v>
      </c>
      <c r="B1144" s="215" t="s">
        <v>3428</v>
      </c>
    </row>
    <row r="1145" customFormat="false" ht="12" hidden="false" customHeight="false" outlineLevel="0" collapsed="false">
      <c r="A1145" s="215" t="s">
        <v>3429</v>
      </c>
      <c r="B1145" s="215" t="s">
        <v>3430</v>
      </c>
    </row>
    <row r="1146" customFormat="false" ht="12" hidden="false" customHeight="false" outlineLevel="0" collapsed="false">
      <c r="A1146" s="215" t="s">
        <v>3431</v>
      </c>
      <c r="B1146" s="215" t="s">
        <v>3432</v>
      </c>
    </row>
    <row r="1147" customFormat="false" ht="12" hidden="false" customHeight="false" outlineLevel="0" collapsed="false">
      <c r="A1147" s="215" t="s">
        <v>3433</v>
      </c>
      <c r="B1147" s="215" t="s">
        <v>3434</v>
      </c>
    </row>
    <row r="1148" customFormat="false" ht="12" hidden="false" customHeight="false" outlineLevel="0" collapsed="false">
      <c r="A1148" s="215" t="s">
        <v>3435</v>
      </c>
      <c r="B1148" s="215" t="s">
        <v>3436</v>
      </c>
    </row>
    <row r="1149" customFormat="false" ht="12" hidden="false" customHeight="false" outlineLevel="0" collapsed="false">
      <c r="A1149" s="215" t="s">
        <v>3437</v>
      </c>
      <c r="B1149" s="215" t="s">
        <v>3438</v>
      </c>
    </row>
    <row r="1150" customFormat="false" ht="12" hidden="false" customHeight="false" outlineLevel="0" collapsed="false">
      <c r="A1150" s="215" t="s">
        <v>3439</v>
      </c>
      <c r="B1150" s="215" t="s">
        <v>3440</v>
      </c>
    </row>
    <row r="1151" customFormat="false" ht="12" hidden="false" customHeight="false" outlineLevel="0" collapsed="false">
      <c r="A1151" s="215" t="s">
        <v>3441</v>
      </c>
      <c r="B1151" s="215" t="s">
        <v>3442</v>
      </c>
    </row>
    <row r="1152" customFormat="false" ht="12" hidden="false" customHeight="false" outlineLevel="0" collapsed="false">
      <c r="A1152" s="215" t="s">
        <v>3443</v>
      </c>
      <c r="B1152" s="215" t="s">
        <v>3444</v>
      </c>
    </row>
    <row r="1153" customFormat="false" ht="12" hidden="false" customHeight="false" outlineLevel="0" collapsed="false">
      <c r="A1153" s="215" t="s">
        <v>3445</v>
      </c>
      <c r="B1153" s="215" t="s">
        <v>3446</v>
      </c>
    </row>
    <row r="1154" customFormat="false" ht="12" hidden="false" customHeight="false" outlineLevel="0" collapsed="false">
      <c r="A1154" s="215" t="s">
        <v>3447</v>
      </c>
      <c r="B1154" s="215" t="s">
        <v>3448</v>
      </c>
    </row>
    <row r="1155" customFormat="false" ht="12" hidden="false" customHeight="false" outlineLevel="0" collapsed="false">
      <c r="A1155" s="215" t="s">
        <v>3449</v>
      </c>
      <c r="B1155" s="215" t="s">
        <v>3450</v>
      </c>
    </row>
    <row r="1156" customFormat="false" ht="12" hidden="false" customHeight="false" outlineLevel="0" collapsed="false">
      <c r="A1156" s="215" t="s">
        <v>3451</v>
      </c>
      <c r="B1156" s="215" t="s">
        <v>3452</v>
      </c>
    </row>
    <row r="1157" customFormat="false" ht="12" hidden="false" customHeight="false" outlineLevel="0" collapsed="false">
      <c r="A1157" s="215" t="s">
        <v>3453</v>
      </c>
      <c r="B1157" s="215" t="s">
        <v>3454</v>
      </c>
    </row>
    <row r="1158" customFormat="false" ht="12" hidden="false" customHeight="false" outlineLevel="0" collapsed="false">
      <c r="A1158" s="215" t="s">
        <v>3455</v>
      </c>
      <c r="B1158" s="215" t="s">
        <v>3456</v>
      </c>
    </row>
    <row r="1159" customFormat="false" ht="12" hidden="false" customHeight="false" outlineLevel="0" collapsed="false">
      <c r="A1159" s="215" t="s">
        <v>3457</v>
      </c>
      <c r="B1159" s="215" t="s">
        <v>3458</v>
      </c>
    </row>
    <row r="1160" customFormat="false" ht="12" hidden="false" customHeight="false" outlineLevel="0" collapsed="false">
      <c r="A1160" s="215" t="s">
        <v>3459</v>
      </c>
      <c r="B1160" s="215" t="s">
        <v>3460</v>
      </c>
    </row>
    <row r="1161" customFormat="false" ht="12" hidden="false" customHeight="false" outlineLevel="0" collapsed="false">
      <c r="A1161" s="215" t="s">
        <v>3461</v>
      </c>
      <c r="B1161" s="215" t="s">
        <v>3462</v>
      </c>
    </row>
    <row r="1162" customFormat="false" ht="12" hidden="false" customHeight="false" outlineLevel="0" collapsed="false">
      <c r="A1162" s="215" t="s">
        <v>3463</v>
      </c>
      <c r="B1162" s="215" t="s">
        <v>3464</v>
      </c>
    </row>
    <row r="1163" customFormat="false" ht="12" hidden="false" customHeight="false" outlineLevel="0" collapsed="false">
      <c r="A1163" s="215" t="s">
        <v>3465</v>
      </c>
      <c r="B1163" s="215" t="s">
        <v>3466</v>
      </c>
    </row>
    <row r="1164" customFormat="false" ht="12" hidden="false" customHeight="false" outlineLevel="0" collapsed="false">
      <c r="A1164" s="215" t="s">
        <v>3467</v>
      </c>
      <c r="B1164" s="215" t="s">
        <v>3468</v>
      </c>
    </row>
    <row r="1165" customFormat="false" ht="12" hidden="false" customHeight="false" outlineLevel="0" collapsed="false">
      <c r="A1165" s="215" t="s">
        <v>3469</v>
      </c>
      <c r="B1165" s="215" t="s">
        <v>3470</v>
      </c>
    </row>
    <row r="1166" customFormat="false" ht="12" hidden="false" customHeight="false" outlineLevel="0" collapsed="false">
      <c r="A1166" s="215" t="s">
        <v>3471</v>
      </c>
      <c r="B1166" s="215" t="s">
        <v>3472</v>
      </c>
    </row>
    <row r="1167" customFormat="false" ht="12" hidden="false" customHeight="false" outlineLevel="0" collapsed="false">
      <c r="A1167" s="215" t="s">
        <v>3473</v>
      </c>
      <c r="B1167" s="215" t="s">
        <v>3474</v>
      </c>
    </row>
    <row r="1168" customFormat="false" ht="12" hidden="false" customHeight="false" outlineLevel="0" collapsed="false">
      <c r="A1168" s="215" t="s">
        <v>3475</v>
      </c>
      <c r="B1168" s="215" t="s">
        <v>3476</v>
      </c>
    </row>
    <row r="1169" customFormat="false" ht="12" hidden="false" customHeight="false" outlineLevel="0" collapsed="false">
      <c r="A1169" s="215" t="s">
        <v>3477</v>
      </c>
      <c r="B1169" s="215" t="s">
        <v>3478</v>
      </c>
    </row>
    <row r="1170" customFormat="false" ht="12" hidden="false" customHeight="false" outlineLevel="0" collapsed="false">
      <c r="A1170" s="215" t="s">
        <v>3479</v>
      </c>
      <c r="B1170" s="215" t="s">
        <v>3480</v>
      </c>
    </row>
    <row r="1171" customFormat="false" ht="12" hidden="false" customHeight="false" outlineLevel="0" collapsed="false">
      <c r="A1171" s="215" t="s">
        <v>3481</v>
      </c>
      <c r="B1171" s="215" t="s">
        <v>3482</v>
      </c>
    </row>
    <row r="1172" customFormat="false" ht="12" hidden="false" customHeight="false" outlineLevel="0" collapsed="false">
      <c r="A1172" s="215" t="s">
        <v>3483</v>
      </c>
      <c r="B1172" s="215" t="s">
        <v>3484</v>
      </c>
    </row>
    <row r="1173" customFormat="false" ht="12" hidden="false" customHeight="false" outlineLevel="0" collapsed="false">
      <c r="A1173" s="215" t="s">
        <v>3485</v>
      </c>
      <c r="B1173" s="215" t="s">
        <v>3486</v>
      </c>
    </row>
    <row r="1174" customFormat="false" ht="12" hidden="false" customHeight="false" outlineLevel="0" collapsed="false">
      <c r="A1174" s="215" t="s">
        <v>3487</v>
      </c>
      <c r="B1174" s="215" t="s">
        <v>3488</v>
      </c>
    </row>
    <row r="1175" customFormat="false" ht="12" hidden="false" customHeight="false" outlineLevel="0" collapsed="false">
      <c r="A1175" s="215" t="s">
        <v>3489</v>
      </c>
      <c r="B1175" s="215" t="s">
        <v>3490</v>
      </c>
    </row>
    <row r="1176" customFormat="false" ht="12" hidden="false" customHeight="false" outlineLevel="0" collapsed="false">
      <c r="A1176" s="215" t="s">
        <v>3491</v>
      </c>
      <c r="B1176" s="215" t="s">
        <v>3492</v>
      </c>
    </row>
    <row r="1177" customFormat="false" ht="12" hidden="false" customHeight="false" outlineLevel="0" collapsed="false">
      <c r="A1177" s="215" t="s">
        <v>3493</v>
      </c>
      <c r="B1177" s="215" t="s">
        <v>3494</v>
      </c>
    </row>
    <row r="1178" customFormat="false" ht="12" hidden="false" customHeight="false" outlineLevel="0" collapsed="false">
      <c r="A1178" s="215" t="s">
        <v>3495</v>
      </c>
      <c r="B1178" s="215" t="s">
        <v>3496</v>
      </c>
    </row>
    <row r="1179" customFormat="false" ht="12" hidden="false" customHeight="false" outlineLevel="0" collapsed="false">
      <c r="A1179" s="215" t="s">
        <v>3497</v>
      </c>
      <c r="B1179" s="215" t="s">
        <v>3498</v>
      </c>
    </row>
    <row r="1180" customFormat="false" ht="12" hidden="false" customHeight="false" outlineLevel="0" collapsed="false">
      <c r="A1180" s="215" t="s">
        <v>3499</v>
      </c>
      <c r="B1180" s="215" t="s">
        <v>3500</v>
      </c>
    </row>
    <row r="1181" customFormat="false" ht="12" hidden="false" customHeight="false" outlineLevel="0" collapsed="false">
      <c r="A1181" s="215" t="s">
        <v>3501</v>
      </c>
      <c r="B1181" s="215" t="s">
        <v>3502</v>
      </c>
    </row>
    <row r="1182" customFormat="false" ht="12" hidden="false" customHeight="false" outlineLevel="0" collapsed="false">
      <c r="A1182" s="215" t="s">
        <v>3503</v>
      </c>
      <c r="B1182" s="215" t="s">
        <v>3504</v>
      </c>
    </row>
    <row r="1183" customFormat="false" ht="12" hidden="false" customHeight="false" outlineLevel="0" collapsed="false">
      <c r="A1183" s="215" t="s">
        <v>3505</v>
      </c>
      <c r="B1183" s="215" t="s">
        <v>3506</v>
      </c>
    </row>
    <row r="1184" customFormat="false" ht="12" hidden="false" customHeight="false" outlineLevel="0" collapsed="false">
      <c r="A1184" s="215" t="s">
        <v>3507</v>
      </c>
      <c r="B1184" s="215" t="s">
        <v>3508</v>
      </c>
    </row>
    <row r="1185" customFormat="false" ht="12" hidden="false" customHeight="false" outlineLevel="0" collapsed="false">
      <c r="A1185" s="215" t="s">
        <v>3509</v>
      </c>
      <c r="B1185" s="215" t="s">
        <v>3510</v>
      </c>
    </row>
    <row r="1186" customFormat="false" ht="12" hidden="false" customHeight="false" outlineLevel="0" collapsed="false">
      <c r="A1186" s="215" t="s">
        <v>3511</v>
      </c>
      <c r="B1186" s="215" t="s">
        <v>3512</v>
      </c>
    </row>
    <row r="1187" customFormat="false" ht="12" hidden="false" customHeight="false" outlineLevel="0" collapsed="false">
      <c r="A1187" s="215" t="s">
        <v>3513</v>
      </c>
      <c r="B1187" s="215" t="s">
        <v>3514</v>
      </c>
    </row>
    <row r="1188" customFormat="false" ht="12" hidden="false" customHeight="false" outlineLevel="0" collapsed="false">
      <c r="A1188" s="215" t="s">
        <v>3515</v>
      </c>
      <c r="B1188" s="215" t="s">
        <v>3516</v>
      </c>
    </row>
    <row r="1189" customFormat="false" ht="12" hidden="false" customHeight="false" outlineLevel="0" collapsed="false">
      <c r="A1189" s="215" t="s">
        <v>3517</v>
      </c>
      <c r="B1189" s="215" t="s">
        <v>3518</v>
      </c>
    </row>
    <row r="1190" customFormat="false" ht="12" hidden="false" customHeight="false" outlineLevel="0" collapsed="false">
      <c r="A1190" s="215" t="s">
        <v>3519</v>
      </c>
      <c r="B1190" s="215" t="s">
        <v>3520</v>
      </c>
    </row>
    <row r="1191" customFormat="false" ht="12" hidden="false" customHeight="false" outlineLevel="0" collapsed="false">
      <c r="A1191" s="215" t="s">
        <v>3521</v>
      </c>
      <c r="B1191" s="215" t="s">
        <v>3522</v>
      </c>
    </row>
    <row r="1192" customFormat="false" ht="12" hidden="false" customHeight="false" outlineLevel="0" collapsed="false">
      <c r="A1192" s="215" t="s">
        <v>3523</v>
      </c>
      <c r="B1192" s="215" t="s">
        <v>3524</v>
      </c>
    </row>
    <row r="1193" customFormat="false" ht="12" hidden="false" customHeight="false" outlineLevel="0" collapsed="false">
      <c r="A1193" s="215" t="s">
        <v>3525</v>
      </c>
      <c r="B1193" s="215" t="s">
        <v>3526</v>
      </c>
    </row>
    <row r="1194" customFormat="false" ht="12" hidden="false" customHeight="false" outlineLevel="0" collapsed="false">
      <c r="A1194" s="215" t="s">
        <v>3527</v>
      </c>
      <c r="B1194" s="215" t="s">
        <v>3528</v>
      </c>
    </row>
    <row r="1195" customFormat="false" ht="12" hidden="false" customHeight="false" outlineLevel="0" collapsed="false">
      <c r="A1195" s="215" t="s">
        <v>3529</v>
      </c>
      <c r="B1195" s="215" t="s">
        <v>3530</v>
      </c>
    </row>
    <row r="1196" customFormat="false" ht="12" hidden="false" customHeight="false" outlineLevel="0" collapsed="false">
      <c r="A1196" s="215" t="s">
        <v>3531</v>
      </c>
      <c r="B1196" s="215" t="s">
        <v>3532</v>
      </c>
    </row>
    <row r="1197" customFormat="false" ht="12" hidden="false" customHeight="false" outlineLevel="0" collapsed="false">
      <c r="A1197" s="215" t="s">
        <v>3533</v>
      </c>
      <c r="B1197" s="215" t="s">
        <v>3534</v>
      </c>
    </row>
    <row r="1198" customFormat="false" ht="12" hidden="false" customHeight="false" outlineLevel="0" collapsed="false">
      <c r="A1198" s="215" t="s">
        <v>3535</v>
      </c>
      <c r="B1198" s="215" t="s">
        <v>3536</v>
      </c>
    </row>
    <row r="1199" customFormat="false" ht="12" hidden="false" customHeight="false" outlineLevel="0" collapsed="false">
      <c r="A1199" s="215" t="s">
        <v>3537</v>
      </c>
      <c r="B1199" s="215" t="s">
        <v>3538</v>
      </c>
    </row>
    <row r="1200" customFormat="false" ht="12" hidden="false" customHeight="false" outlineLevel="0" collapsed="false">
      <c r="A1200" s="215" t="s">
        <v>3539</v>
      </c>
      <c r="B1200" s="215" t="s">
        <v>3540</v>
      </c>
    </row>
    <row r="1201" customFormat="false" ht="12" hidden="false" customHeight="false" outlineLevel="0" collapsed="false">
      <c r="A1201" s="215" t="s">
        <v>3541</v>
      </c>
      <c r="B1201" s="215" t="s">
        <v>3542</v>
      </c>
    </row>
    <row r="1202" customFormat="false" ht="12" hidden="false" customHeight="false" outlineLevel="0" collapsed="false">
      <c r="A1202" s="215" t="s">
        <v>3543</v>
      </c>
      <c r="B1202" s="215" t="s">
        <v>3544</v>
      </c>
    </row>
    <row r="1203" customFormat="false" ht="12" hidden="false" customHeight="false" outlineLevel="0" collapsed="false">
      <c r="A1203" s="215" t="s">
        <v>3545</v>
      </c>
      <c r="B1203" s="215" t="s">
        <v>3546</v>
      </c>
    </row>
    <row r="1204" customFormat="false" ht="12" hidden="false" customHeight="false" outlineLevel="0" collapsed="false">
      <c r="A1204" s="215" t="s">
        <v>3547</v>
      </c>
      <c r="B1204" s="215" t="s">
        <v>3548</v>
      </c>
    </row>
    <row r="1205" customFormat="false" ht="12" hidden="false" customHeight="false" outlineLevel="0" collapsed="false">
      <c r="A1205" s="215" t="s">
        <v>3549</v>
      </c>
      <c r="B1205" s="215" t="s">
        <v>3550</v>
      </c>
    </row>
    <row r="1206" customFormat="false" ht="12" hidden="false" customHeight="false" outlineLevel="0" collapsed="false">
      <c r="A1206" s="215" t="s">
        <v>3551</v>
      </c>
      <c r="B1206" s="215" t="s">
        <v>3552</v>
      </c>
    </row>
    <row r="1207" customFormat="false" ht="12" hidden="false" customHeight="false" outlineLevel="0" collapsed="false">
      <c r="A1207" s="215" t="s">
        <v>3553</v>
      </c>
      <c r="B1207" s="215" t="s">
        <v>3554</v>
      </c>
    </row>
    <row r="1208" customFormat="false" ht="12" hidden="false" customHeight="false" outlineLevel="0" collapsed="false">
      <c r="A1208" s="215" t="s">
        <v>3555</v>
      </c>
      <c r="B1208" s="215" t="s">
        <v>3556</v>
      </c>
    </row>
    <row r="1209" customFormat="false" ht="12" hidden="false" customHeight="false" outlineLevel="0" collapsed="false">
      <c r="A1209" s="215" t="s">
        <v>3557</v>
      </c>
      <c r="B1209" s="215" t="s">
        <v>3558</v>
      </c>
    </row>
    <row r="1210" customFormat="false" ht="12" hidden="false" customHeight="false" outlineLevel="0" collapsed="false">
      <c r="A1210" s="215" t="s">
        <v>3559</v>
      </c>
      <c r="B1210" s="215" t="s">
        <v>3560</v>
      </c>
    </row>
    <row r="1211" customFormat="false" ht="12" hidden="false" customHeight="false" outlineLevel="0" collapsed="false">
      <c r="A1211" s="215" t="s">
        <v>3561</v>
      </c>
      <c r="B1211" s="215" t="s">
        <v>3562</v>
      </c>
    </row>
    <row r="1212" customFormat="false" ht="12" hidden="false" customHeight="false" outlineLevel="0" collapsed="false">
      <c r="A1212" s="215" t="s">
        <v>3563</v>
      </c>
      <c r="B1212" s="215" t="s">
        <v>3564</v>
      </c>
    </row>
    <row r="1213" customFormat="false" ht="12" hidden="false" customHeight="false" outlineLevel="0" collapsed="false">
      <c r="A1213" s="215" t="s">
        <v>3565</v>
      </c>
      <c r="B1213" s="215" t="s">
        <v>3566</v>
      </c>
    </row>
    <row r="1214" customFormat="false" ht="12" hidden="false" customHeight="false" outlineLevel="0" collapsed="false">
      <c r="A1214" s="215" t="s">
        <v>3567</v>
      </c>
      <c r="B1214" s="215" t="s">
        <v>3568</v>
      </c>
    </row>
    <row r="1215" customFormat="false" ht="12" hidden="false" customHeight="false" outlineLevel="0" collapsed="false">
      <c r="A1215" s="215" t="s">
        <v>3569</v>
      </c>
      <c r="B1215" s="215" t="s">
        <v>3570</v>
      </c>
    </row>
    <row r="1216" customFormat="false" ht="12" hidden="false" customHeight="false" outlineLevel="0" collapsed="false">
      <c r="A1216" s="215" t="s">
        <v>3571</v>
      </c>
      <c r="B1216" s="215" t="s">
        <v>3572</v>
      </c>
    </row>
    <row r="1217" customFormat="false" ht="12" hidden="false" customHeight="false" outlineLevel="0" collapsed="false">
      <c r="A1217" s="215" t="s">
        <v>3573</v>
      </c>
      <c r="B1217" s="215" t="s">
        <v>3574</v>
      </c>
    </row>
    <row r="1218" customFormat="false" ht="12" hidden="false" customHeight="false" outlineLevel="0" collapsed="false">
      <c r="A1218" s="215" t="s">
        <v>3575</v>
      </c>
      <c r="B1218" s="215" t="s">
        <v>3576</v>
      </c>
    </row>
    <row r="1219" customFormat="false" ht="12" hidden="false" customHeight="false" outlineLevel="0" collapsed="false">
      <c r="A1219" s="215" t="s">
        <v>3577</v>
      </c>
      <c r="B1219" s="215" t="s">
        <v>3578</v>
      </c>
    </row>
    <row r="1220" customFormat="false" ht="12" hidden="false" customHeight="false" outlineLevel="0" collapsed="false">
      <c r="A1220" s="215" t="s">
        <v>3579</v>
      </c>
      <c r="B1220" s="215" t="s">
        <v>3580</v>
      </c>
    </row>
    <row r="1221" customFormat="false" ht="12" hidden="false" customHeight="false" outlineLevel="0" collapsed="false">
      <c r="A1221" s="215" t="s">
        <v>3581</v>
      </c>
      <c r="B1221" s="215" t="s">
        <v>3582</v>
      </c>
    </row>
    <row r="1222" customFormat="false" ht="12" hidden="false" customHeight="false" outlineLevel="0" collapsed="false">
      <c r="A1222" s="215" t="s">
        <v>3583</v>
      </c>
      <c r="B1222" s="215" t="s">
        <v>3584</v>
      </c>
    </row>
    <row r="1223" customFormat="false" ht="12" hidden="false" customHeight="false" outlineLevel="0" collapsed="false">
      <c r="A1223" s="215" t="s">
        <v>3585</v>
      </c>
      <c r="B1223" s="215" t="s">
        <v>3586</v>
      </c>
    </row>
    <row r="1224" customFormat="false" ht="12" hidden="false" customHeight="false" outlineLevel="0" collapsed="false">
      <c r="A1224" s="215" t="s">
        <v>3587</v>
      </c>
      <c r="B1224" s="215" t="s">
        <v>3588</v>
      </c>
    </row>
    <row r="1225" customFormat="false" ht="12" hidden="false" customHeight="false" outlineLevel="0" collapsed="false">
      <c r="A1225" s="215" t="s">
        <v>3589</v>
      </c>
      <c r="B1225" s="215" t="s">
        <v>3590</v>
      </c>
    </row>
    <row r="1226" customFormat="false" ht="12" hidden="false" customHeight="false" outlineLevel="0" collapsed="false">
      <c r="A1226" s="215" t="s">
        <v>3591</v>
      </c>
      <c r="B1226" s="215" t="s">
        <v>3592</v>
      </c>
    </row>
    <row r="1227" customFormat="false" ht="12" hidden="false" customHeight="false" outlineLevel="0" collapsed="false">
      <c r="A1227" s="215" t="s">
        <v>3593</v>
      </c>
      <c r="B1227" s="215" t="s">
        <v>3594</v>
      </c>
    </row>
    <row r="1228" customFormat="false" ht="12" hidden="false" customHeight="false" outlineLevel="0" collapsed="false">
      <c r="A1228" s="215" t="s">
        <v>3595</v>
      </c>
      <c r="B1228" s="215" t="s">
        <v>3596</v>
      </c>
    </row>
    <row r="1229" customFormat="false" ht="12" hidden="false" customHeight="false" outlineLevel="0" collapsed="false">
      <c r="A1229" s="215" t="s">
        <v>3597</v>
      </c>
      <c r="B1229" s="215" t="s">
        <v>3598</v>
      </c>
    </row>
    <row r="1230" customFormat="false" ht="12" hidden="false" customHeight="false" outlineLevel="0" collapsed="false">
      <c r="A1230" s="215" t="s">
        <v>3599</v>
      </c>
      <c r="B1230" s="215" t="s">
        <v>3600</v>
      </c>
    </row>
    <row r="1231" customFormat="false" ht="12" hidden="false" customHeight="false" outlineLevel="0" collapsed="false">
      <c r="A1231" s="215" t="s">
        <v>3601</v>
      </c>
      <c r="B1231" s="215" t="s">
        <v>3602</v>
      </c>
    </row>
    <row r="1232" customFormat="false" ht="12" hidden="false" customHeight="false" outlineLevel="0" collapsed="false">
      <c r="A1232" s="215" t="s">
        <v>3603</v>
      </c>
      <c r="B1232" s="215" t="s">
        <v>3604</v>
      </c>
    </row>
    <row r="1233" customFormat="false" ht="12" hidden="false" customHeight="false" outlineLevel="0" collapsed="false">
      <c r="A1233" s="215" t="s">
        <v>3605</v>
      </c>
      <c r="B1233" s="215" t="s">
        <v>3606</v>
      </c>
    </row>
    <row r="1234" customFormat="false" ht="12" hidden="false" customHeight="false" outlineLevel="0" collapsed="false">
      <c r="A1234" s="215" t="s">
        <v>3607</v>
      </c>
      <c r="B1234" s="215" t="s">
        <v>3608</v>
      </c>
    </row>
    <row r="1235" customFormat="false" ht="12" hidden="false" customHeight="false" outlineLevel="0" collapsed="false">
      <c r="A1235" s="215" t="s">
        <v>3609</v>
      </c>
      <c r="B1235" s="215" t="s">
        <v>3610</v>
      </c>
    </row>
    <row r="1236" customFormat="false" ht="12" hidden="false" customHeight="false" outlineLevel="0" collapsed="false">
      <c r="A1236" s="215" t="s">
        <v>3611</v>
      </c>
      <c r="B1236" s="215" t="s">
        <v>3612</v>
      </c>
    </row>
    <row r="1237" customFormat="false" ht="12" hidden="false" customHeight="false" outlineLevel="0" collapsed="false">
      <c r="A1237" s="215" t="s">
        <v>3613</v>
      </c>
      <c r="B1237" s="215" t="s">
        <v>3614</v>
      </c>
    </row>
    <row r="1238" customFormat="false" ht="12" hidden="false" customHeight="false" outlineLevel="0" collapsed="false">
      <c r="A1238" s="215" t="s">
        <v>3615</v>
      </c>
      <c r="B1238" s="215" t="s">
        <v>3616</v>
      </c>
    </row>
    <row r="1239" customFormat="false" ht="12" hidden="false" customHeight="false" outlineLevel="0" collapsed="false">
      <c r="A1239" s="215" t="s">
        <v>3617</v>
      </c>
      <c r="B1239" s="215" t="s">
        <v>3618</v>
      </c>
    </row>
    <row r="1240" customFormat="false" ht="12" hidden="false" customHeight="false" outlineLevel="0" collapsed="false">
      <c r="A1240" s="215" t="s">
        <v>3619</v>
      </c>
      <c r="B1240" s="215" t="s">
        <v>3620</v>
      </c>
    </row>
    <row r="1241" customFormat="false" ht="12" hidden="false" customHeight="false" outlineLevel="0" collapsed="false">
      <c r="A1241" s="215" t="s">
        <v>3621</v>
      </c>
      <c r="B1241" s="215" t="s">
        <v>3622</v>
      </c>
    </row>
    <row r="1242" customFormat="false" ht="12" hidden="false" customHeight="false" outlineLevel="0" collapsed="false">
      <c r="A1242" s="215" t="s">
        <v>3623</v>
      </c>
      <c r="B1242" s="215" t="s">
        <v>3624</v>
      </c>
    </row>
    <row r="1243" customFormat="false" ht="12" hidden="false" customHeight="false" outlineLevel="0" collapsed="false">
      <c r="A1243" s="215" t="s">
        <v>3625</v>
      </c>
      <c r="B1243" s="215" t="s">
        <v>3626</v>
      </c>
    </row>
    <row r="1244" customFormat="false" ht="12" hidden="false" customHeight="false" outlineLevel="0" collapsed="false">
      <c r="A1244" s="215" t="s">
        <v>3627</v>
      </c>
      <c r="B1244" s="215" t="s">
        <v>3628</v>
      </c>
    </row>
    <row r="1245" customFormat="false" ht="12" hidden="false" customHeight="false" outlineLevel="0" collapsed="false">
      <c r="A1245" s="215" t="s">
        <v>3629</v>
      </c>
      <c r="B1245" s="215" t="s">
        <v>3630</v>
      </c>
    </row>
    <row r="1246" customFormat="false" ht="12" hidden="false" customHeight="false" outlineLevel="0" collapsed="false">
      <c r="A1246" s="215" t="s">
        <v>3631</v>
      </c>
      <c r="B1246" s="215" t="s">
        <v>3632</v>
      </c>
    </row>
    <row r="1247" customFormat="false" ht="12" hidden="false" customHeight="false" outlineLevel="0" collapsed="false">
      <c r="A1247" s="215" t="s">
        <v>3633</v>
      </c>
      <c r="B1247" s="215" t="s">
        <v>3634</v>
      </c>
    </row>
    <row r="1248" customFormat="false" ht="12" hidden="false" customHeight="false" outlineLevel="0" collapsed="false">
      <c r="A1248" s="215" t="s">
        <v>3635</v>
      </c>
      <c r="B1248" s="215" t="s">
        <v>3636</v>
      </c>
    </row>
    <row r="1249" customFormat="false" ht="12" hidden="false" customHeight="false" outlineLevel="0" collapsed="false">
      <c r="A1249" s="215" t="s">
        <v>3637</v>
      </c>
      <c r="B1249" s="215" t="s">
        <v>3638</v>
      </c>
    </row>
    <row r="1250" customFormat="false" ht="12" hidden="false" customHeight="false" outlineLevel="0" collapsed="false">
      <c r="A1250" s="215" t="s">
        <v>3639</v>
      </c>
      <c r="B1250" s="215" t="s">
        <v>3640</v>
      </c>
    </row>
    <row r="1251" customFormat="false" ht="12" hidden="false" customHeight="false" outlineLevel="0" collapsed="false">
      <c r="A1251" s="215" t="s">
        <v>3641</v>
      </c>
      <c r="B1251" s="215" t="s">
        <v>3642</v>
      </c>
    </row>
    <row r="1252" customFormat="false" ht="12" hidden="false" customHeight="false" outlineLevel="0" collapsed="false">
      <c r="A1252" s="215" t="s">
        <v>3643</v>
      </c>
      <c r="B1252" s="215" t="s">
        <v>3644</v>
      </c>
    </row>
    <row r="1253" customFormat="false" ht="12" hidden="false" customHeight="false" outlineLevel="0" collapsed="false">
      <c r="A1253" s="215" t="s">
        <v>3645</v>
      </c>
      <c r="B1253" s="215" t="s">
        <v>3646</v>
      </c>
    </row>
    <row r="1254" customFormat="false" ht="12" hidden="false" customHeight="false" outlineLevel="0" collapsed="false">
      <c r="A1254" s="215" t="s">
        <v>3647</v>
      </c>
      <c r="B1254" s="215" t="s">
        <v>3648</v>
      </c>
    </row>
    <row r="1255" customFormat="false" ht="12" hidden="false" customHeight="false" outlineLevel="0" collapsed="false">
      <c r="A1255" s="215" t="s">
        <v>3649</v>
      </c>
      <c r="B1255" s="215" t="s">
        <v>3650</v>
      </c>
    </row>
    <row r="1256" customFormat="false" ht="12" hidden="false" customHeight="false" outlineLevel="0" collapsed="false">
      <c r="A1256" s="215" t="s">
        <v>3651</v>
      </c>
      <c r="B1256" s="215" t="s">
        <v>3652</v>
      </c>
    </row>
    <row r="1257" customFormat="false" ht="12" hidden="false" customHeight="false" outlineLevel="0" collapsed="false">
      <c r="A1257" s="215" t="s">
        <v>3653</v>
      </c>
      <c r="B1257" s="215" t="s">
        <v>3654</v>
      </c>
    </row>
    <row r="1258" customFormat="false" ht="12" hidden="false" customHeight="false" outlineLevel="0" collapsed="false">
      <c r="A1258" s="215" t="s">
        <v>3655</v>
      </c>
      <c r="B1258" s="215" t="s">
        <v>3656</v>
      </c>
    </row>
    <row r="1259" customFormat="false" ht="12" hidden="false" customHeight="false" outlineLevel="0" collapsed="false">
      <c r="A1259" s="215" t="s">
        <v>3657</v>
      </c>
      <c r="B1259" s="215" t="s">
        <v>3658</v>
      </c>
    </row>
    <row r="1260" customFormat="false" ht="12" hidden="false" customHeight="false" outlineLevel="0" collapsed="false">
      <c r="A1260" s="215" t="s">
        <v>3659</v>
      </c>
      <c r="B1260" s="215" t="s">
        <v>3660</v>
      </c>
    </row>
    <row r="1261" customFormat="false" ht="12" hidden="false" customHeight="false" outlineLevel="0" collapsed="false">
      <c r="A1261" s="215" t="s">
        <v>3661</v>
      </c>
      <c r="B1261" s="215" t="s">
        <v>3662</v>
      </c>
    </row>
    <row r="1262" customFormat="false" ht="12" hidden="false" customHeight="false" outlineLevel="0" collapsed="false">
      <c r="A1262" s="215" t="s">
        <v>3663</v>
      </c>
      <c r="B1262" s="215" t="s">
        <v>914</v>
      </c>
    </row>
    <row r="1263" customFormat="false" ht="12" hidden="false" customHeight="false" outlineLevel="0" collapsed="false">
      <c r="A1263" s="215" t="s">
        <v>3664</v>
      </c>
      <c r="B1263" s="215" t="s">
        <v>3665</v>
      </c>
    </row>
    <row r="1264" customFormat="false" ht="12" hidden="false" customHeight="false" outlineLevel="0" collapsed="false">
      <c r="A1264" s="215" t="s">
        <v>3666</v>
      </c>
      <c r="B1264" s="215" t="s">
        <v>3667</v>
      </c>
    </row>
    <row r="1265" customFormat="false" ht="12" hidden="false" customHeight="false" outlineLevel="0" collapsed="false">
      <c r="A1265" s="215" t="s">
        <v>3668</v>
      </c>
      <c r="B1265" s="215" t="s">
        <v>3669</v>
      </c>
    </row>
    <row r="1266" customFormat="false" ht="12" hidden="false" customHeight="false" outlineLevel="0" collapsed="false">
      <c r="A1266" s="215" t="s">
        <v>3670</v>
      </c>
      <c r="B1266" s="215" t="s">
        <v>3671</v>
      </c>
    </row>
    <row r="1267" customFormat="false" ht="12" hidden="false" customHeight="false" outlineLevel="0" collapsed="false">
      <c r="A1267" s="215" t="s">
        <v>3672</v>
      </c>
      <c r="B1267" s="215" t="s">
        <v>3673</v>
      </c>
    </row>
    <row r="1268" customFormat="false" ht="12" hidden="false" customHeight="false" outlineLevel="0" collapsed="false">
      <c r="A1268" s="215" t="s">
        <v>3674</v>
      </c>
      <c r="B1268" s="215" t="s">
        <v>3675</v>
      </c>
    </row>
    <row r="1269" customFormat="false" ht="12" hidden="false" customHeight="false" outlineLevel="0" collapsed="false">
      <c r="A1269" s="215" t="s">
        <v>3676</v>
      </c>
      <c r="B1269" s="215" t="s">
        <v>919</v>
      </c>
    </row>
    <row r="1270" customFormat="false" ht="12" hidden="false" customHeight="false" outlineLevel="0" collapsed="false">
      <c r="A1270" s="215" t="s">
        <v>3677</v>
      </c>
      <c r="B1270" s="215" t="s">
        <v>3678</v>
      </c>
    </row>
    <row r="1271" customFormat="false" ht="12" hidden="false" customHeight="false" outlineLevel="0" collapsed="false">
      <c r="A1271" s="215" t="s">
        <v>3679</v>
      </c>
      <c r="B1271" s="215" t="s">
        <v>3680</v>
      </c>
    </row>
    <row r="1272" customFormat="false" ht="12" hidden="false" customHeight="false" outlineLevel="0" collapsed="false">
      <c r="A1272" s="215" t="s">
        <v>3681</v>
      </c>
      <c r="B1272" s="215" t="s">
        <v>3682</v>
      </c>
    </row>
    <row r="1273" customFormat="false" ht="12" hidden="false" customHeight="false" outlineLevel="0" collapsed="false">
      <c r="A1273" s="215" t="s">
        <v>3683</v>
      </c>
      <c r="B1273" s="215" t="s">
        <v>3684</v>
      </c>
    </row>
    <row r="1274" customFormat="false" ht="12" hidden="false" customHeight="false" outlineLevel="0" collapsed="false">
      <c r="A1274" s="215" t="s">
        <v>3685</v>
      </c>
      <c r="B1274" s="215" t="s">
        <v>3686</v>
      </c>
    </row>
    <row r="1275" customFormat="false" ht="12" hidden="false" customHeight="false" outlineLevel="0" collapsed="false">
      <c r="A1275" s="215" t="s">
        <v>3687</v>
      </c>
      <c r="B1275" s="215" t="s">
        <v>3688</v>
      </c>
    </row>
    <row r="1276" customFormat="false" ht="12" hidden="false" customHeight="false" outlineLevel="0" collapsed="false">
      <c r="A1276" s="215" t="s">
        <v>3689</v>
      </c>
      <c r="B1276" s="215" t="s">
        <v>3690</v>
      </c>
    </row>
    <row r="1277" customFormat="false" ht="12" hidden="false" customHeight="false" outlineLevel="0" collapsed="false">
      <c r="A1277" s="215" t="s">
        <v>3691</v>
      </c>
      <c r="B1277" s="215" t="s">
        <v>3692</v>
      </c>
    </row>
    <row r="1278" customFormat="false" ht="12" hidden="false" customHeight="false" outlineLevel="0" collapsed="false">
      <c r="A1278" s="215" t="s">
        <v>3693</v>
      </c>
      <c r="B1278" s="215" t="s">
        <v>3694</v>
      </c>
    </row>
    <row r="1279" customFormat="false" ht="12" hidden="false" customHeight="false" outlineLevel="0" collapsed="false">
      <c r="A1279" s="215" t="s">
        <v>3695</v>
      </c>
      <c r="B1279" s="215" t="s">
        <v>924</v>
      </c>
    </row>
    <row r="1280" customFormat="false" ht="12" hidden="false" customHeight="false" outlineLevel="0" collapsed="false">
      <c r="A1280" s="215" t="s">
        <v>3696</v>
      </c>
      <c r="B1280" s="215" t="s">
        <v>3697</v>
      </c>
    </row>
    <row r="1281" customFormat="false" ht="12" hidden="false" customHeight="false" outlineLevel="0" collapsed="false">
      <c r="A1281" s="215" t="s">
        <v>3698</v>
      </c>
      <c r="B1281" s="215" t="s">
        <v>3699</v>
      </c>
    </row>
    <row r="1282" customFormat="false" ht="12" hidden="false" customHeight="false" outlineLevel="0" collapsed="false">
      <c r="A1282" s="215" t="s">
        <v>3700</v>
      </c>
      <c r="B1282" s="215" t="s">
        <v>3701</v>
      </c>
    </row>
    <row r="1283" customFormat="false" ht="12" hidden="false" customHeight="false" outlineLevel="0" collapsed="false">
      <c r="A1283" s="215" t="s">
        <v>3702</v>
      </c>
      <c r="B1283" s="215" t="s">
        <v>929</v>
      </c>
    </row>
    <row r="1284" customFormat="false" ht="12" hidden="false" customHeight="false" outlineLevel="0" collapsed="false">
      <c r="A1284" s="215" t="s">
        <v>3703</v>
      </c>
      <c r="B1284" s="215" t="s">
        <v>934</v>
      </c>
    </row>
    <row r="1285" customFormat="false" ht="12" hidden="false" customHeight="false" outlineLevel="0" collapsed="false">
      <c r="A1285" s="215" t="s">
        <v>3704</v>
      </c>
      <c r="B1285" s="215" t="s">
        <v>939</v>
      </c>
    </row>
    <row r="1286" customFormat="false" ht="12" hidden="false" customHeight="false" outlineLevel="0" collapsed="false">
      <c r="A1286" s="215" t="s">
        <v>3705</v>
      </c>
      <c r="B1286" s="215" t="s">
        <v>3706</v>
      </c>
    </row>
    <row r="1287" customFormat="false" ht="12" hidden="false" customHeight="false" outlineLevel="0" collapsed="false">
      <c r="A1287" s="215" t="s">
        <v>3707</v>
      </c>
      <c r="B1287" s="215" t="s">
        <v>3708</v>
      </c>
    </row>
    <row r="1288" customFormat="false" ht="12" hidden="false" customHeight="false" outlineLevel="0" collapsed="false">
      <c r="A1288" s="215" t="s">
        <v>3709</v>
      </c>
      <c r="B1288" s="215" t="s">
        <v>3710</v>
      </c>
    </row>
    <row r="1289" customFormat="false" ht="12" hidden="false" customHeight="false" outlineLevel="0" collapsed="false">
      <c r="A1289" s="215" t="s">
        <v>3711</v>
      </c>
      <c r="B1289" s="215" t="s">
        <v>3712</v>
      </c>
    </row>
    <row r="1290" customFormat="false" ht="12" hidden="false" customHeight="false" outlineLevel="0" collapsed="false">
      <c r="A1290" s="215" t="s">
        <v>3713</v>
      </c>
      <c r="B1290" s="215" t="s">
        <v>3714</v>
      </c>
    </row>
    <row r="1291" customFormat="false" ht="12" hidden="false" customHeight="false" outlineLevel="0" collapsed="false">
      <c r="A1291" s="215" t="s">
        <v>3715</v>
      </c>
      <c r="B1291" s="215" t="s">
        <v>3716</v>
      </c>
    </row>
    <row r="1292" customFormat="false" ht="12" hidden="false" customHeight="false" outlineLevel="0" collapsed="false">
      <c r="A1292" s="215" t="s">
        <v>3717</v>
      </c>
      <c r="B1292" s="215" t="s">
        <v>3718</v>
      </c>
    </row>
    <row r="1293" customFormat="false" ht="12" hidden="false" customHeight="false" outlineLevel="0" collapsed="false">
      <c r="A1293" s="215" t="s">
        <v>3719</v>
      </c>
      <c r="B1293" s="215" t="s">
        <v>3720</v>
      </c>
    </row>
    <row r="1294" customFormat="false" ht="12" hidden="false" customHeight="false" outlineLevel="0" collapsed="false">
      <c r="A1294" s="215" t="s">
        <v>3721</v>
      </c>
      <c r="B1294" s="215" t="s">
        <v>3722</v>
      </c>
    </row>
    <row r="1295" customFormat="false" ht="12" hidden="false" customHeight="false" outlineLevel="0" collapsed="false">
      <c r="A1295" s="215" t="s">
        <v>3723</v>
      </c>
      <c r="B1295" s="215" t="s">
        <v>3724</v>
      </c>
    </row>
    <row r="1296" customFormat="false" ht="12" hidden="false" customHeight="false" outlineLevel="0" collapsed="false">
      <c r="A1296" s="215" t="s">
        <v>3725</v>
      </c>
      <c r="B1296" s="215" t="s">
        <v>3726</v>
      </c>
    </row>
    <row r="1297" customFormat="false" ht="12" hidden="false" customHeight="false" outlineLevel="0" collapsed="false">
      <c r="A1297" s="215" t="s">
        <v>3727</v>
      </c>
      <c r="B1297" s="215" t="s">
        <v>3728</v>
      </c>
    </row>
    <row r="1298" customFormat="false" ht="12" hidden="false" customHeight="false" outlineLevel="0" collapsed="false">
      <c r="A1298" s="215" t="s">
        <v>3729</v>
      </c>
      <c r="B1298" s="215" t="s">
        <v>3730</v>
      </c>
    </row>
    <row r="1299" customFormat="false" ht="12" hidden="false" customHeight="false" outlineLevel="0" collapsed="false">
      <c r="A1299" s="215" t="s">
        <v>3731</v>
      </c>
      <c r="B1299" s="215" t="s">
        <v>3732</v>
      </c>
    </row>
    <row r="1300" customFormat="false" ht="12" hidden="false" customHeight="false" outlineLevel="0" collapsed="false">
      <c r="A1300" s="215" t="s">
        <v>3733</v>
      </c>
      <c r="B1300" s="215" t="s">
        <v>944</v>
      </c>
    </row>
    <row r="1301" customFormat="false" ht="12" hidden="false" customHeight="false" outlineLevel="0" collapsed="false">
      <c r="A1301" s="215" t="s">
        <v>3734</v>
      </c>
      <c r="B1301" s="215" t="s">
        <v>3735</v>
      </c>
    </row>
    <row r="1302" customFormat="false" ht="12" hidden="false" customHeight="false" outlineLevel="0" collapsed="false">
      <c r="A1302" s="215" t="s">
        <v>3736</v>
      </c>
      <c r="B1302" s="215" t="s">
        <v>3737</v>
      </c>
    </row>
    <row r="1303" customFormat="false" ht="12" hidden="false" customHeight="false" outlineLevel="0" collapsed="false">
      <c r="A1303" s="215" t="s">
        <v>3738</v>
      </c>
      <c r="B1303" s="215" t="s">
        <v>949</v>
      </c>
    </row>
    <row r="1304" customFormat="false" ht="12" hidden="false" customHeight="false" outlineLevel="0" collapsed="false">
      <c r="A1304" s="215" t="s">
        <v>3739</v>
      </c>
      <c r="B1304" s="215" t="s">
        <v>3740</v>
      </c>
    </row>
    <row r="1305" customFormat="false" ht="12" hidden="false" customHeight="false" outlineLevel="0" collapsed="false">
      <c r="A1305" s="215" t="s">
        <v>3741</v>
      </c>
      <c r="B1305" s="215" t="s">
        <v>3742</v>
      </c>
    </row>
    <row r="1306" customFormat="false" ht="12" hidden="false" customHeight="false" outlineLevel="0" collapsed="false">
      <c r="A1306" s="215" t="s">
        <v>3743</v>
      </c>
      <c r="B1306" s="215" t="s">
        <v>3744</v>
      </c>
    </row>
    <row r="1307" customFormat="false" ht="12" hidden="false" customHeight="false" outlineLevel="0" collapsed="false">
      <c r="A1307" s="215" t="s">
        <v>3745</v>
      </c>
      <c r="B1307" s="215" t="s">
        <v>3746</v>
      </c>
    </row>
    <row r="1308" customFormat="false" ht="12" hidden="false" customHeight="false" outlineLevel="0" collapsed="false">
      <c r="A1308" s="215" t="s">
        <v>3747</v>
      </c>
      <c r="B1308" s="215" t="s">
        <v>3748</v>
      </c>
    </row>
    <row r="1309" customFormat="false" ht="12" hidden="false" customHeight="false" outlineLevel="0" collapsed="false">
      <c r="A1309" s="215" t="s">
        <v>3749</v>
      </c>
      <c r="B1309" s="215" t="s">
        <v>3750</v>
      </c>
    </row>
    <row r="1310" customFormat="false" ht="12" hidden="false" customHeight="false" outlineLevel="0" collapsed="false">
      <c r="A1310" s="215" t="s">
        <v>3751</v>
      </c>
      <c r="B1310" s="215" t="s">
        <v>3752</v>
      </c>
    </row>
    <row r="1311" customFormat="false" ht="12" hidden="false" customHeight="false" outlineLevel="0" collapsed="false">
      <c r="A1311" s="215" t="s">
        <v>3753</v>
      </c>
      <c r="B1311" s="215" t="s">
        <v>3754</v>
      </c>
    </row>
    <row r="1312" customFormat="false" ht="12" hidden="false" customHeight="false" outlineLevel="0" collapsed="false">
      <c r="A1312" s="215" t="s">
        <v>3755</v>
      </c>
      <c r="B1312" s="215" t="s">
        <v>3756</v>
      </c>
    </row>
    <row r="1313" customFormat="false" ht="12" hidden="false" customHeight="false" outlineLevel="0" collapsed="false">
      <c r="A1313" s="215" t="s">
        <v>3757</v>
      </c>
      <c r="B1313" s="215" t="s">
        <v>3758</v>
      </c>
    </row>
    <row r="1314" customFormat="false" ht="12" hidden="false" customHeight="false" outlineLevel="0" collapsed="false">
      <c r="A1314" s="215" t="s">
        <v>3759</v>
      </c>
      <c r="B1314" s="215" t="s">
        <v>3760</v>
      </c>
    </row>
    <row r="1315" customFormat="false" ht="12" hidden="false" customHeight="false" outlineLevel="0" collapsed="false">
      <c r="A1315" s="215" t="s">
        <v>3761</v>
      </c>
      <c r="B1315" s="215" t="s">
        <v>3762</v>
      </c>
    </row>
    <row r="1316" customFormat="false" ht="12" hidden="false" customHeight="false" outlineLevel="0" collapsed="false">
      <c r="A1316" s="215" t="s">
        <v>3763</v>
      </c>
      <c r="B1316" s="215" t="s">
        <v>3764</v>
      </c>
    </row>
    <row r="1317" customFormat="false" ht="12" hidden="false" customHeight="false" outlineLevel="0" collapsed="false">
      <c r="A1317" s="215" t="s">
        <v>3765</v>
      </c>
      <c r="B1317" s="215" t="s">
        <v>3766</v>
      </c>
    </row>
    <row r="1318" customFormat="false" ht="12" hidden="false" customHeight="false" outlineLevel="0" collapsed="false">
      <c r="A1318" s="215" t="s">
        <v>3767</v>
      </c>
      <c r="B1318" s="215" t="s">
        <v>3768</v>
      </c>
    </row>
    <row r="1319" customFormat="false" ht="12" hidden="false" customHeight="false" outlineLevel="0" collapsed="false">
      <c r="A1319" s="215" t="s">
        <v>3769</v>
      </c>
      <c r="B1319" s="215" t="s">
        <v>3770</v>
      </c>
    </row>
    <row r="1320" customFormat="false" ht="12" hidden="false" customHeight="false" outlineLevel="0" collapsed="false">
      <c r="A1320" s="215" t="s">
        <v>3771</v>
      </c>
      <c r="B1320" s="215" t="s">
        <v>3772</v>
      </c>
    </row>
    <row r="1321" customFormat="false" ht="12" hidden="false" customHeight="false" outlineLevel="0" collapsed="false">
      <c r="A1321" s="215" t="s">
        <v>3773</v>
      </c>
      <c r="B1321" s="215" t="s">
        <v>3774</v>
      </c>
    </row>
    <row r="1322" customFormat="false" ht="12" hidden="false" customHeight="false" outlineLevel="0" collapsed="false">
      <c r="A1322" s="215" t="s">
        <v>3775</v>
      </c>
      <c r="B1322" s="215" t="s">
        <v>3776</v>
      </c>
    </row>
    <row r="1323" customFormat="false" ht="12" hidden="false" customHeight="false" outlineLevel="0" collapsed="false">
      <c r="A1323" s="215" t="s">
        <v>3777</v>
      </c>
      <c r="B1323" s="215" t="s">
        <v>3778</v>
      </c>
    </row>
    <row r="1324" customFormat="false" ht="12" hidden="false" customHeight="false" outlineLevel="0" collapsed="false">
      <c r="A1324" s="215" t="s">
        <v>3779</v>
      </c>
      <c r="B1324" s="215" t="s">
        <v>3780</v>
      </c>
    </row>
    <row r="1325" customFormat="false" ht="12" hidden="false" customHeight="false" outlineLevel="0" collapsed="false">
      <c r="A1325" s="215" t="s">
        <v>3781</v>
      </c>
      <c r="B1325" s="215" t="s">
        <v>3782</v>
      </c>
    </row>
    <row r="1326" customFormat="false" ht="12" hidden="false" customHeight="false" outlineLevel="0" collapsed="false">
      <c r="A1326" s="215" t="s">
        <v>3783</v>
      </c>
      <c r="B1326" s="215" t="s">
        <v>3784</v>
      </c>
    </row>
    <row r="1327" customFormat="false" ht="12" hidden="false" customHeight="false" outlineLevel="0" collapsed="false">
      <c r="A1327" s="215" t="s">
        <v>3785</v>
      </c>
      <c r="B1327" s="215" t="s">
        <v>3786</v>
      </c>
    </row>
    <row r="1328" customFormat="false" ht="12" hidden="false" customHeight="false" outlineLevel="0" collapsed="false">
      <c r="A1328" s="215" t="s">
        <v>3787</v>
      </c>
      <c r="B1328" s="215" t="s">
        <v>3788</v>
      </c>
    </row>
    <row r="1329" customFormat="false" ht="12" hidden="false" customHeight="false" outlineLevel="0" collapsed="false">
      <c r="A1329" s="215" t="s">
        <v>3789</v>
      </c>
      <c r="B1329" s="215" t="s">
        <v>3790</v>
      </c>
    </row>
    <row r="1330" customFormat="false" ht="12" hidden="false" customHeight="false" outlineLevel="0" collapsed="false">
      <c r="A1330" s="215" t="s">
        <v>3791</v>
      </c>
      <c r="B1330" s="215" t="s">
        <v>3792</v>
      </c>
    </row>
    <row r="1331" customFormat="false" ht="12" hidden="false" customHeight="false" outlineLevel="0" collapsed="false">
      <c r="A1331" s="215" t="s">
        <v>3793</v>
      </c>
      <c r="B1331" s="215" t="s">
        <v>3794</v>
      </c>
    </row>
    <row r="1332" customFormat="false" ht="12" hidden="false" customHeight="false" outlineLevel="0" collapsed="false">
      <c r="A1332" s="215" t="s">
        <v>3795</v>
      </c>
      <c r="B1332" s="215" t="s">
        <v>3796</v>
      </c>
    </row>
    <row r="1333" customFormat="false" ht="12" hidden="false" customHeight="false" outlineLevel="0" collapsed="false">
      <c r="A1333" s="215" t="s">
        <v>3797</v>
      </c>
      <c r="B1333" s="215" t="s">
        <v>3798</v>
      </c>
    </row>
    <row r="1334" customFormat="false" ht="12" hidden="false" customHeight="false" outlineLevel="0" collapsed="false">
      <c r="A1334" s="215" t="s">
        <v>3799</v>
      </c>
      <c r="B1334" s="215" t="s">
        <v>3800</v>
      </c>
    </row>
    <row r="1335" customFormat="false" ht="12" hidden="false" customHeight="false" outlineLevel="0" collapsed="false">
      <c r="A1335" s="215" t="s">
        <v>3801</v>
      </c>
      <c r="B1335" s="215" t="s">
        <v>3802</v>
      </c>
    </row>
    <row r="1336" customFormat="false" ht="12" hidden="false" customHeight="false" outlineLevel="0" collapsed="false">
      <c r="A1336" s="215" t="s">
        <v>3803</v>
      </c>
      <c r="B1336" s="215" t="s">
        <v>3804</v>
      </c>
    </row>
    <row r="1337" customFormat="false" ht="12" hidden="false" customHeight="false" outlineLevel="0" collapsed="false">
      <c r="A1337" s="215" t="s">
        <v>3805</v>
      </c>
      <c r="B1337" s="215" t="s">
        <v>3806</v>
      </c>
    </row>
    <row r="1338" customFormat="false" ht="12" hidden="false" customHeight="false" outlineLevel="0" collapsed="false">
      <c r="A1338" s="215" t="s">
        <v>3807</v>
      </c>
      <c r="B1338" s="215" t="s">
        <v>3808</v>
      </c>
    </row>
    <row r="1339" customFormat="false" ht="12" hidden="false" customHeight="false" outlineLevel="0" collapsed="false">
      <c r="A1339" s="215" t="s">
        <v>3809</v>
      </c>
      <c r="B1339" s="215" t="s">
        <v>3810</v>
      </c>
    </row>
    <row r="1340" customFormat="false" ht="12" hidden="false" customHeight="false" outlineLevel="0" collapsed="false">
      <c r="A1340" s="215" t="s">
        <v>3811</v>
      </c>
      <c r="B1340" s="215" t="s">
        <v>3812</v>
      </c>
    </row>
    <row r="1341" customFormat="false" ht="12" hidden="false" customHeight="false" outlineLevel="0" collapsed="false">
      <c r="A1341" s="215" t="s">
        <v>3813</v>
      </c>
      <c r="B1341" s="215" t="s">
        <v>3814</v>
      </c>
    </row>
    <row r="1342" customFormat="false" ht="12" hidden="false" customHeight="false" outlineLevel="0" collapsed="false">
      <c r="A1342" s="215" t="s">
        <v>3815</v>
      </c>
      <c r="B1342" s="215" t="s">
        <v>3816</v>
      </c>
    </row>
    <row r="1343" customFormat="false" ht="12" hidden="false" customHeight="false" outlineLevel="0" collapsed="false">
      <c r="A1343" s="215" t="s">
        <v>3817</v>
      </c>
      <c r="B1343" s="215" t="s">
        <v>3818</v>
      </c>
    </row>
    <row r="1344" customFormat="false" ht="12" hidden="false" customHeight="false" outlineLevel="0" collapsed="false">
      <c r="A1344" s="215" t="s">
        <v>3819</v>
      </c>
      <c r="B1344" s="215" t="s">
        <v>3820</v>
      </c>
    </row>
    <row r="1345" customFormat="false" ht="12" hidden="false" customHeight="false" outlineLevel="0" collapsed="false">
      <c r="A1345" s="215" t="s">
        <v>3821</v>
      </c>
      <c r="B1345" s="215" t="s">
        <v>3822</v>
      </c>
    </row>
    <row r="1346" customFormat="false" ht="12" hidden="false" customHeight="false" outlineLevel="0" collapsed="false">
      <c r="A1346" s="215" t="s">
        <v>3823</v>
      </c>
      <c r="B1346" s="215" t="s">
        <v>3824</v>
      </c>
    </row>
    <row r="1347" customFormat="false" ht="12" hidden="false" customHeight="false" outlineLevel="0" collapsed="false">
      <c r="A1347" s="215" t="s">
        <v>3825</v>
      </c>
      <c r="B1347" s="215" t="s">
        <v>3826</v>
      </c>
    </row>
    <row r="1348" customFormat="false" ht="12" hidden="false" customHeight="false" outlineLevel="0" collapsed="false">
      <c r="A1348" s="215" t="s">
        <v>3827</v>
      </c>
      <c r="B1348" s="215" t="s">
        <v>3828</v>
      </c>
    </row>
    <row r="1349" customFormat="false" ht="12" hidden="false" customHeight="false" outlineLevel="0" collapsed="false">
      <c r="A1349" s="215" t="s">
        <v>3829</v>
      </c>
      <c r="B1349" s="215" t="s">
        <v>3830</v>
      </c>
    </row>
    <row r="1350" customFormat="false" ht="12" hidden="false" customHeight="false" outlineLevel="0" collapsed="false">
      <c r="A1350" s="215" t="s">
        <v>3831</v>
      </c>
      <c r="B1350" s="215" t="s">
        <v>3832</v>
      </c>
    </row>
    <row r="1351" customFormat="false" ht="12" hidden="false" customHeight="false" outlineLevel="0" collapsed="false">
      <c r="A1351" s="215" t="s">
        <v>3833</v>
      </c>
      <c r="B1351" s="215" t="s">
        <v>3834</v>
      </c>
    </row>
    <row r="1352" customFormat="false" ht="12" hidden="false" customHeight="false" outlineLevel="0" collapsed="false">
      <c r="A1352" s="215" t="s">
        <v>3835</v>
      </c>
      <c r="B1352" s="215" t="s">
        <v>3836</v>
      </c>
    </row>
    <row r="1353" customFormat="false" ht="12" hidden="false" customHeight="false" outlineLevel="0" collapsed="false">
      <c r="A1353" s="215" t="s">
        <v>3837</v>
      </c>
      <c r="B1353" s="215" t="s">
        <v>3838</v>
      </c>
    </row>
    <row r="1354" customFormat="false" ht="12" hidden="false" customHeight="false" outlineLevel="0" collapsed="false">
      <c r="A1354" s="215" t="s">
        <v>3839</v>
      </c>
      <c r="B1354" s="215" t="s">
        <v>3840</v>
      </c>
    </row>
    <row r="1355" customFormat="false" ht="12" hidden="false" customHeight="false" outlineLevel="0" collapsed="false">
      <c r="A1355" s="215" t="s">
        <v>3841</v>
      </c>
      <c r="B1355" s="215" t="s">
        <v>954</v>
      </c>
    </row>
    <row r="1356" customFormat="false" ht="12" hidden="false" customHeight="false" outlineLevel="0" collapsed="false">
      <c r="A1356" s="215" t="s">
        <v>3842</v>
      </c>
      <c r="B1356" s="215" t="s">
        <v>3843</v>
      </c>
    </row>
    <row r="1357" customFormat="false" ht="12" hidden="false" customHeight="false" outlineLevel="0" collapsed="false">
      <c r="A1357" s="215" t="s">
        <v>3844</v>
      </c>
      <c r="B1357" s="215" t="s">
        <v>959</v>
      </c>
    </row>
    <row r="1358" customFormat="false" ht="12" hidden="false" customHeight="false" outlineLevel="0" collapsed="false">
      <c r="A1358" s="215" t="s">
        <v>3845</v>
      </c>
      <c r="B1358" s="215" t="s">
        <v>3846</v>
      </c>
    </row>
    <row r="1359" customFormat="false" ht="12" hidden="false" customHeight="false" outlineLevel="0" collapsed="false">
      <c r="A1359" s="215" t="s">
        <v>3847</v>
      </c>
      <c r="B1359" s="215" t="s">
        <v>3848</v>
      </c>
    </row>
    <row r="1360" customFormat="false" ht="12" hidden="false" customHeight="false" outlineLevel="0" collapsed="false">
      <c r="A1360" s="215" t="s">
        <v>3849</v>
      </c>
      <c r="B1360" s="215" t="s">
        <v>3850</v>
      </c>
    </row>
    <row r="1361" customFormat="false" ht="12" hidden="false" customHeight="false" outlineLevel="0" collapsed="false">
      <c r="A1361" s="215" t="s">
        <v>3851</v>
      </c>
      <c r="B1361" s="215" t="s">
        <v>3852</v>
      </c>
    </row>
    <row r="1362" customFormat="false" ht="12" hidden="false" customHeight="false" outlineLevel="0" collapsed="false">
      <c r="A1362" s="215" t="s">
        <v>3853</v>
      </c>
      <c r="B1362" s="215" t="s">
        <v>3854</v>
      </c>
    </row>
    <row r="1363" customFormat="false" ht="12" hidden="false" customHeight="false" outlineLevel="0" collapsed="false">
      <c r="A1363" s="215" t="s">
        <v>3855</v>
      </c>
      <c r="B1363" s="215" t="s">
        <v>3856</v>
      </c>
    </row>
    <row r="1364" customFormat="false" ht="12" hidden="false" customHeight="false" outlineLevel="0" collapsed="false">
      <c r="A1364" s="215" t="s">
        <v>3857</v>
      </c>
      <c r="B1364" s="215" t="s">
        <v>3858</v>
      </c>
    </row>
    <row r="1365" customFormat="false" ht="12" hidden="false" customHeight="false" outlineLevel="0" collapsed="false">
      <c r="A1365" s="215" t="s">
        <v>3859</v>
      </c>
      <c r="B1365" s="215" t="s">
        <v>3860</v>
      </c>
    </row>
    <row r="1366" customFormat="false" ht="12" hidden="false" customHeight="false" outlineLevel="0" collapsed="false">
      <c r="A1366" s="215" t="s">
        <v>3861</v>
      </c>
      <c r="B1366" s="215" t="s">
        <v>3862</v>
      </c>
    </row>
    <row r="1367" customFormat="false" ht="12" hidden="false" customHeight="false" outlineLevel="0" collapsed="false">
      <c r="A1367" s="215" t="s">
        <v>3863</v>
      </c>
      <c r="B1367" s="215" t="s">
        <v>3864</v>
      </c>
    </row>
    <row r="1368" customFormat="false" ht="12" hidden="false" customHeight="false" outlineLevel="0" collapsed="false">
      <c r="A1368" s="215" t="s">
        <v>3865</v>
      </c>
      <c r="B1368" s="215" t="s">
        <v>3866</v>
      </c>
    </row>
    <row r="1369" customFormat="false" ht="12" hidden="false" customHeight="false" outlineLevel="0" collapsed="false">
      <c r="A1369" s="215" t="s">
        <v>3867</v>
      </c>
      <c r="B1369" s="215" t="s">
        <v>3868</v>
      </c>
    </row>
    <row r="1370" customFormat="false" ht="12" hidden="false" customHeight="false" outlineLevel="0" collapsed="false">
      <c r="A1370" s="215" t="s">
        <v>3869</v>
      </c>
      <c r="B1370" s="215" t="s">
        <v>3870</v>
      </c>
    </row>
    <row r="1371" customFormat="false" ht="12" hidden="false" customHeight="false" outlineLevel="0" collapsed="false">
      <c r="A1371" s="215" t="s">
        <v>3871</v>
      </c>
      <c r="B1371" s="215" t="s">
        <v>3872</v>
      </c>
    </row>
    <row r="1372" customFormat="false" ht="12" hidden="false" customHeight="false" outlineLevel="0" collapsed="false">
      <c r="A1372" s="215" t="s">
        <v>3873</v>
      </c>
      <c r="B1372" s="215" t="s">
        <v>3874</v>
      </c>
    </row>
    <row r="1373" customFormat="false" ht="12" hidden="false" customHeight="false" outlineLevel="0" collapsed="false">
      <c r="A1373" s="215" t="s">
        <v>3875</v>
      </c>
      <c r="B1373" s="215" t="s">
        <v>3876</v>
      </c>
    </row>
    <row r="1374" customFormat="false" ht="12" hidden="false" customHeight="false" outlineLevel="0" collapsed="false">
      <c r="A1374" s="215" t="s">
        <v>3877</v>
      </c>
      <c r="B1374" s="215" t="s">
        <v>3878</v>
      </c>
    </row>
    <row r="1375" customFormat="false" ht="12" hidden="false" customHeight="false" outlineLevel="0" collapsed="false">
      <c r="A1375" s="215" t="s">
        <v>3879</v>
      </c>
      <c r="B1375" s="215" t="s">
        <v>3880</v>
      </c>
    </row>
    <row r="1376" customFormat="false" ht="12" hidden="false" customHeight="false" outlineLevel="0" collapsed="false">
      <c r="A1376" s="215" t="s">
        <v>3881</v>
      </c>
      <c r="B1376" s="215" t="s">
        <v>3882</v>
      </c>
    </row>
    <row r="1377" customFormat="false" ht="12" hidden="false" customHeight="false" outlineLevel="0" collapsed="false">
      <c r="A1377" s="215" t="s">
        <v>3883</v>
      </c>
      <c r="B1377" s="215" t="s">
        <v>3884</v>
      </c>
    </row>
    <row r="1378" customFormat="false" ht="12" hidden="false" customHeight="false" outlineLevel="0" collapsed="false">
      <c r="A1378" s="215" t="s">
        <v>3885</v>
      </c>
      <c r="B1378" s="215" t="s">
        <v>3886</v>
      </c>
    </row>
    <row r="1379" customFormat="false" ht="12" hidden="false" customHeight="false" outlineLevel="0" collapsed="false">
      <c r="A1379" s="215" t="s">
        <v>3887</v>
      </c>
      <c r="B1379" s="215" t="s">
        <v>3888</v>
      </c>
    </row>
    <row r="1380" customFormat="false" ht="12" hidden="false" customHeight="false" outlineLevel="0" collapsed="false">
      <c r="A1380" s="215" t="s">
        <v>3889</v>
      </c>
      <c r="B1380" s="215" t="s">
        <v>3890</v>
      </c>
    </row>
    <row r="1381" customFormat="false" ht="12" hidden="false" customHeight="false" outlineLevel="0" collapsed="false">
      <c r="A1381" s="215" t="s">
        <v>3891</v>
      </c>
      <c r="B1381" s="215" t="s">
        <v>3892</v>
      </c>
    </row>
    <row r="1382" customFormat="false" ht="12" hidden="false" customHeight="false" outlineLevel="0" collapsed="false">
      <c r="A1382" s="215" t="s">
        <v>3893</v>
      </c>
      <c r="B1382" s="215" t="s">
        <v>3894</v>
      </c>
    </row>
    <row r="1383" customFormat="false" ht="12" hidden="false" customHeight="false" outlineLevel="0" collapsed="false">
      <c r="A1383" s="215" t="s">
        <v>3895</v>
      </c>
      <c r="B1383" s="215" t="s">
        <v>3896</v>
      </c>
    </row>
    <row r="1384" customFormat="false" ht="12" hidden="false" customHeight="false" outlineLevel="0" collapsed="false">
      <c r="A1384" s="215" t="s">
        <v>3897</v>
      </c>
      <c r="B1384" s="215" t="s">
        <v>3898</v>
      </c>
    </row>
    <row r="1385" customFormat="false" ht="12" hidden="false" customHeight="false" outlineLevel="0" collapsed="false">
      <c r="A1385" s="215" t="s">
        <v>3899</v>
      </c>
      <c r="B1385" s="215" t="s">
        <v>1521</v>
      </c>
    </row>
    <row r="1386" customFormat="false" ht="12" hidden="false" customHeight="false" outlineLevel="0" collapsed="false">
      <c r="A1386" s="215" t="s">
        <v>3900</v>
      </c>
      <c r="B1386" s="215" t="s">
        <v>3901</v>
      </c>
    </row>
    <row r="1387" customFormat="false" ht="12" hidden="false" customHeight="false" outlineLevel="0" collapsed="false">
      <c r="A1387" s="215" t="s">
        <v>3902</v>
      </c>
      <c r="B1387" s="215" t="s">
        <v>964</v>
      </c>
    </row>
    <row r="1388" customFormat="false" ht="12" hidden="false" customHeight="false" outlineLevel="0" collapsed="false">
      <c r="A1388" s="215" t="s">
        <v>3903</v>
      </c>
      <c r="B1388" s="215" t="s">
        <v>3904</v>
      </c>
    </row>
    <row r="1389" customFormat="false" ht="12" hidden="false" customHeight="false" outlineLevel="0" collapsed="false">
      <c r="A1389" s="215" t="s">
        <v>3905</v>
      </c>
      <c r="B1389" s="215" t="s">
        <v>969</v>
      </c>
    </row>
    <row r="1390" customFormat="false" ht="12" hidden="false" customHeight="false" outlineLevel="0" collapsed="false">
      <c r="A1390" s="215" t="s">
        <v>3906</v>
      </c>
      <c r="B1390" s="215" t="s">
        <v>3907</v>
      </c>
    </row>
    <row r="1391" customFormat="false" ht="12" hidden="false" customHeight="false" outlineLevel="0" collapsed="false">
      <c r="A1391" s="215" t="s">
        <v>3908</v>
      </c>
      <c r="B1391" s="215" t="s">
        <v>974</v>
      </c>
    </row>
    <row r="1392" customFormat="false" ht="12" hidden="false" customHeight="false" outlineLevel="0" collapsed="false">
      <c r="A1392" s="215" t="s">
        <v>3909</v>
      </c>
      <c r="B1392" s="215" t="s">
        <v>979</v>
      </c>
    </row>
    <row r="1393" customFormat="false" ht="12" hidden="false" customHeight="false" outlineLevel="0" collapsed="false">
      <c r="A1393" s="215" t="s">
        <v>3910</v>
      </c>
      <c r="B1393" s="215" t="s">
        <v>120</v>
      </c>
    </row>
    <row r="1394" customFormat="false" ht="12" hidden="false" customHeight="false" outlineLevel="0" collapsed="false">
      <c r="A1394" s="215" t="s">
        <v>3911</v>
      </c>
      <c r="B1394" s="215" t="s">
        <v>3912</v>
      </c>
    </row>
    <row r="1395" customFormat="false" ht="12" hidden="false" customHeight="false" outlineLevel="0" collapsed="false">
      <c r="A1395" s="215" t="s">
        <v>3913</v>
      </c>
      <c r="B1395" s="215" t="s">
        <v>3914</v>
      </c>
    </row>
    <row r="1396" customFormat="false" ht="12" hidden="false" customHeight="false" outlineLevel="0" collapsed="false">
      <c r="A1396" s="215" t="s">
        <v>3915</v>
      </c>
      <c r="B1396" s="215" t="s">
        <v>3916</v>
      </c>
    </row>
    <row r="1397" customFormat="false" ht="12" hidden="false" customHeight="false" outlineLevel="0" collapsed="false">
      <c r="A1397" s="215" t="s">
        <v>3917</v>
      </c>
      <c r="B1397" s="215" t="s">
        <v>984</v>
      </c>
    </row>
    <row r="1398" customFormat="false" ht="12" hidden="false" customHeight="false" outlineLevel="0" collapsed="false">
      <c r="A1398" s="215" t="s">
        <v>3918</v>
      </c>
      <c r="B1398" s="215" t="s">
        <v>3919</v>
      </c>
    </row>
    <row r="1399" customFormat="false" ht="12" hidden="false" customHeight="false" outlineLevel="0" collapsed="false">
      <c r="A1399" s="215" t="s">
        <v>3920</v>
      </c>
      <c r="B1399" s="215" t="s">
        <v>3921</v>
      </c>
    </row>
    <row r="1400" customFormat="false" ht="12" hidden="false" customHeight="false" outlineLevel="0" collapsed="false">
      <c r="A1400" s="215" t="s">
        <v>3922</v>
      </c>
      <c r="B1400" s="215" t="s">
        <v>3923</v>
      </c>
    </row>
    <row r="1401" customFormat="false" ht="12" hidden="false" customHeight="false" outlineLevel="0" collapsed="false">
      <c r="A1401" s="215" t="s">
        <v>3924</v>
      </c>
      <c r="B1401" s="215" t="s">
        <v>3925</v>
      </c>
    </row>
    <row r="1402" customFormat="false" ht="12" hidden="false" customHeight="false" outlineLevel="0" collapsed="false">
      <c r="A1402" s="215" t="s">
        <v>3926</v>
      </c>
      <c r="B1402" s="215" t="s">
        <v>3927</v>
      </c>
    </row>
    <row r="1403" customFormat="false" ht="12" hidden="false" customHeight="false" outlineLevel="0" collapsed="false">
      <c r="A1403" s="215" t="s">
        <v>3928</v>
      </c>
      <c r="B1403" s="215" t="s">
        <v>3929</v>
      </c>
    </row>
    <row r="1404" customFormat="false" ht="12" hidden="false" customHeight="false" outlineLevel="0" collapsed="false">
      <c r="A1404" s="215" t="s">
        <v>3930</v>
      </c>
      <c r="B1404" s="215" t="s">
        <v>3931</v>
      </c>
    </row>
    <row r="1405" customFormat="false" ht="12" hidden="false" customHeight="false" outlineLevel="0" collapsed="false">
      <c r="A1405" s="215" t="s">
        <v>3932</v>
      </c>
      <c r="B1405" s="215" t="s">
        <v>3933</v>
      </c>
    </row>
    <row r="1406" customFormat="false" ht="12" hidden="false" customHeight="false" outlineLevel="0" collapsed="false">
      <c r="A1406" s="215" t="s">
        <v>3934</v>
      </c>
      <c r="B1406" s="215" t="s">
        <v>3935</v>
      </c>
    </row>
    <row r="1407" customFormat="false" ht="12" hidden="false" customHeight="false" outlineLevel="0" collapsed="false">
      <c r="A1407" s="215" t="s">
        <v>3936</v>
      </c>
      <c r="B1407" s="215" t="s">
        <v>3937</v>
      </c>
    </row>
    <row r="1408" customFormat="false" ht="12" hidden="false" customHeight="false" outlineLevel="0" collapsed="false">
      <c r="A1408" s="215" t="s">
        <v>3938</v>
      </c>
      <c r="B1408" s="215" t="s">
        <v>3939</v>
      </c>
    </row>
    <row r="1409" customFormat="false" ht="12" hidden="false" customHeight="false" outlineLevel="0" collapsed="false">
      <c r="A1409" s="215" t="s">
        <v>3940</v>
      </c>
      <c r="B1409" s="215" t="s">
        <v>3941</v>
      </c>
    </row>
    <row r="1410" customFormat="false" ht="12" hidden="false" customHeight="false" outlineLevel="0" collapsed="false">
      <c r="A1410" s="215" t="s">
        <v>3942</v>
      </c>
      <c r="B1410" s="215" t="s">
        <v>3943</v>
      </c>
    </row>
    <row r="1411" customFormat="false" ht="12" hidden="false" customHeight="false" outlineLevel="0" collapsed="false">
      <c r="A1411" s="215" t="s">
        <v>3944</v>
      </c>
      <c r="B1411" s="215" t="s">
        <v>3945</v>
      </c>
    </row>
    <row r="1412" customFormat="false" ht="12" hidden="false" customHeight="false" outlineLevel="0" collapsed="false">
      <c r="A1412" s="215" t="s">
        <v>3946</v>
      </c>
      <c r="B1412" s="215" t="s">
        <v>3947</v>
      </c>
    </row>
    <row r="1413" customFormat="false" ht="12" hidden="false" customHeight="false" outlineLevel="0" collapsed="false">
      <c r="A1413" s="215" t="s">
        <v>3948</v>
      </c>
      <c r="B1413" s="215" t="s">
        <v>3949</v>
      </c>
    </row>
    <row r="1414" customFormat="false" ht="12" hidden="false" customHeight="false" outlineLevel="0" collapsed="false">
      <c r="A1414" s="215" t="s">
        <v>3950</v>
      </c>
      <c r="B1414" s="215" t="s">
        <v>3951</v>
      </c>
    </row>
    <row r="1415" customFormat="false" ht="12" hidden="false" customHeight="false" outlineLevel="0" collapsed="false">
      <c r="A1415" s="215" t="s">
        <v>3952</v>
      </c>
      <c r="B1415" s="215" t="s">
        <v>3953</v>
      </c>
    </row>
    <row r="1416" customFormat="false" ht="12" hidden="false" customHeight="false" outlineLevel="0" collapsed="false">
      <c r="A1416" s="215" t="s">
        <v>3954</v>
      </c>
      <c r="B1416" s="215" t="s">
        <v>3955</v>
      </c>
    </row>
    <row r="1417" customFormat="false" ht="12" hidden="false" customHeight="false" outlineLevel="0" collapsed="false">
      <c r="A1417" s="215" t="s">
        <v>3956</v>
      </c>
      <c r="B1417" s="215" t="s">
        <v>3957</v>
      </c>
    </row>
    <row r="1418" customFormat="false" ht="12" hidden="false" customHeight="false" outlineLevel="0" collapsed="false">
      <c r="A1418" s="215" t="s">
        <v>3958</v>
      </c>
      <c r="B1418" s="215" t="s">
        <v>3959</v>
      </c>
    </row>
    <row r="1419" customFormat="false" ht="12" hidden="false" customHeight="false" outlineLevel="0" collapsed="false">
      <c r="A1419" s="215" t="s">
        <v>3960</v>
      </c>
      <c r="B1419" s="215" t="s">
        <v>3961</v>
      </c>
    </row>
    <row r="1420" customFormat="false" ht="12" hidden="false" customHeight="false" outlineLevel="0" collapsed="false">
      <c r="A1420" s="215" t="s">
        <v>3962</v>
      </c>
      <c r="B1420" s="215" t="s">
        <v>3963</v>
      </c>
    </row>
    <row r="1421" customFormat="false" ht="12" hidden="false" customHeight="false" outlineLevel="0" collapsed="false">
      <c r="A1421" s="215" t="s">
        <v>3964</v>
      </c>
      <c r="B1421" s="215" t="s">
        <v>3965</v>
      </c>
    </row>
    <row r="1422" customFormat="false" ht="12" hidden="false" customHeight="false" outlineLevel="0" collapsed="false">
      <c r="A1422" s="215" t="s">
        <v>3966</v>
      </c>
      <c r="B1422" s="215" t="s">
        <v>3967</v>
      </c>
    </row>
    <row r="1423" customFormat="false" ht="12" hidden="false" customHeight="false" outlineLevel="0" collapsed="false">
      <c r="A1423" s="215" t="s">
        <v>3968</v>
      </c>
      <c r="B1423" s="215" t="s">
        <v>3969</v>
      </c>
    </row>
    <row r="1424" customFormat="false" ht="12" hidden="false" customHeight="false" outlineLevel="0" collapsed="false">
      <c r="A1424" s="215" t="s">
        <v>3970</v>
      </c>
      <c r="B1424" s="215" t="s">
        <v>3971</v>
      </c>
    </row>
    <row r="1425" customFormat="false" ht="12" hidden="false" customHeight="false" outlineLevel="0" collapsed="false">
      <c r="A1425" s="215" t="s">
        <v>3972</v>
      </c>
      <c r="B1425" s="215" t="s">
        <v>3973</v>
      </c>
    </row>
    <row r="1426" customFormat="false" ht="12" hidden="false" customHeight="false" outlineLevel="0" collapsed="false">
      <c r="A1426" s="215" t="s">
        <v>3974</v>
      </c>
      <c r="B1426" s="215" t="s">
        <v>3975</v>
      </c>
    </row>
    <row r="1427" customFormat="false" ht="12" hidden="false" customHeight="false" outlineLevel="0" collapsed="false">
      <c r="A1427" s="215" t="s">
        <v>3976</v>
      </c>
      <c r="B1427" s="215" t="s">
        <v>3977</v>
      </c>
    </row>
    <row r="1428" customFormat="false" ht="12" hidden="false" customHeight="false" outlineLevel="0" collapsed="false">
      <c r="A1428" s="215" t="s">
        <v>3978</v>
      </c>
      <c r="B1428" s="215" t="s">
        <v>3979</v>
      </c>
    </row>
    <row r="1429" customFormat="false" ht="12" hidden="false" customHeight="false" outlineLevel="0" collapsed="false">
      <c r="A1429" s="215" t="s">
        <v>3980</v>
      </c>
      <c r="B1429" s="215" t="s">
        <v>3981</v>
      </c>
    </row>
    <row r="1430" customFormat="false" ht="12" hidden="false" customHeight="false" outlineLevel="0" collapsed="false">
      <c r="A1430" s="215" t="s">
        <v>3982</v>
      </c>
      <c r="B1430" s="215" t="s">
        <v>3983</v>
      </c>
    </row>
    <row r="1431" customFormat="false" ht="12" hidden="false" customHeight="false" outlineLevel="0" collapsed="false">
      <c r="A1431" s="215" t="s">
        <v>3984</v>
      </c>
      <c r="B1431" s="215" t="s">
        <v>3985</v>
      </c>
    </row>
    <row r="1432" customFormat="false" ht="12" hidden="false" customHeight="false" outlineLevel="0" collapsed="false">
      <c r="A1432" s="215" t="s">
        <v>3986</v>
      </c>
      <c r="B1432" s="215" t="s">
        <v>3987</v>
      </c>
    </row>
    <row r="1433" customFormat="false" ht="12" hidden="false" customHeight="false" outlineLevel="0" collapsed="false">
      <c r="A1433" s="215" t="s">
        <v>3988</v>
      </c>
      <c r="B1433" s="215" t="s">
        <v>3989</v>
      </c>
    </row>
    <row r="1434" customFormat="false" ht="12" hidden="false" customHeight="false" outlineLevel="0" collapsed="false">
      <c r="A1434" s="215" t="s">
        <v>3990</v>
      </c>
      <c r="B1434" s="215" t="s">
        <v>3991</v>
      </c>
    </row>
    <row r="1435" customFormat="false" ht="12" hidden="false" customHeight="false" outlineLevel="0" collapsed="false">
      <c r="A1435" s="215" t="s">
        <v>3992</v>
      </c>
      <c r="B1435" s="215" t="s">
        <v>3993</v>
      </c>
    </row>
    <row r="1436" customFormat="false" ht="12" hidden="false" customHeight="false" outlineLevel="0" collapsed="false">
      <c r="A1436" s="215" t="s">
        <v>3994</v>
      </c>
      <c r="B1436" s="215" t="s">
        <v>3995</v>
      </c>
    </row>
    <row r="1437" customFormat="false" ht="12" hidden="false" customHeight="false" outlineLevel="0" collapsed="false">
      <c r="A1437" s="215" t="s">
        <v>3996</v>
      </c>
      <c r="B1437" s="215" t="s">
        <v>3997</v>
      </c>
    </row>
    <row r="1438" customFormat="false" ht="12" hidden="false" customHeight="false" outlineLevel="0" collapsed="false">
      <c r="A1438" s="215" t="s">
        <v>3998</v>
      </c>
      <c r="B1438" s="215" t="s">
        <v>3999</v>
      </c>
    </row>
    <row r="1439" customFormat="false" ht="12" hidden="false" customHeight="false" outlineLevel="0" collapsed="false">
      <c r="A1439" s="215" t="s">
        <v>4000</v>
      </c>
      <c r="B1439" s="215" t="s">
        <v>4001</v>
      </c>
    </row>
    <row r="1440" customFormat="false" ht="12" hidden="false" customHeight="false" outlineLevel="0" collapsed="false">
      <c r="A1440" s="215" t="s">
        <v>4002</v>
      </c>
      <c r="B1440" s="215" t="s">
        <v>4003</v>
      </c>
    </row>
    <row r="1441" customFormat="false" ht="12" hidden="false" customHeight="false" outlineLevel="0" collapsed="false">
      <c r="A1441" s="215" t="s">
        <v>4004</v>
      </c>
      <c r="B1441" s="215" t="s">
        <v>4005</v>
      </c>
    </row>
    <row r="1442" customFormat="false" ht="12" hidden="false" customHeight="false" outlineLevel="0" collapsed="false">
      <c r="A1442" s="215" t="s">
        <v>4006</v>
      </c>
      <c r="B1442" s="215" t="s">
        <v>4007</v>
      </c>
    </row>
    <row r="1443" customFormat="false" ht="12" hidden="false" customHeight="false" outlineLevel="0" collapsed="false">
      <c r="A1443" s="215" t="s">
        <v>4008</v>
      </c>
      <c r="B1443" s="215" t="s">
        <v>4009</v>
      </c>
    </row>
    <row r="1444" customFormat="false" ht="12" hidden="false" customHeight="false" outlineLevel="0" collapsed="false">
      <c r="A1444" s="215" t="s">
        <v>4010</v>
      </c>
      <c r="B1444" s="215" t="s">
        <v>4011</v>
      </c>
    </row>
    <row r="1445" customFormat="false" ht="12" hidden="false" customHeight="false" outlineLevel="0" collapsed="false">
      <c r="A1445" s="215" t="s">
        <v>4012</v>
      </c>
      <c r="B1445" s="215" t="s">
        <v>4013</v>
      </c>
    </row>
    <row r="1446" customFormat="false" ht="12" hidden="false" customHeight="false" outlineLevel="0" collapsed="false">
      <c r="A1446" s="215" t="s">
        <v>4014</v>
      </c>
      <c r="B1446" s="215" t="s">
        <v>4015</v>
      </c>
    </row>
    <row r="1447" customFormat="false" ht="12" hidden="false" customHeight="false" outlineLevel="0" collapsed="false">
      <c r="A1447" s="215" t="s">
        <v>4016</v>
      </c>
      <c r="B1447" s="215" t="s">
        <v>4017</v>
      </c>
    </row>
    <row r="1448" customFormat="false" ht="12" hidden="false" customHeight="false" outlineLevel="0" collapsed="false">
      <c r="A1448" s="215" t="s">
        <v>4018</v>
      </c>
      <c r="B1448" s="215" t="s">
        <v>4019</v>
      </c>
    </row>
    <row r="1449" customFormat="false" ht="12" hidden="false" customHeight="false" outlineLevel="0" collapsed="false">
      <c r="A1449" s="215" t="s">
        <v>4020</v>
      </c>
      <c r="B1449" s="215" t="s">
        <v>4021</v>
      </c>
    </row>
    <row r="1450" customFormat="false" ht="12" hidden="false" customHeight="false" outlineLevel="0" collapsed="false">
      <c r="A1450" s="215" t="s">
        <v>4022</v>
      </c>
      <c r="B1450" s="215" t="s">
        <v>4023</v>
      </c>
    </row>
    <row r="1451" customFormat="false" ht="12" hidden="false" customHeight="false" outlineLevel="0" collapsed="false">
      <c r="A1451" s="215" t="s">
        <v>4024</v>
      </c>
      <c r="B1451" s="215" t="s">
        <v>4025</v>
      </c>
    </row>
    <row r="1452" customFormat="false" ht="12" hidden="false" customHeight="false" outlineLevel="0" collapsed="false">
      <c r="A1452" s="215" t="s">
        <v>4026</v>
      </c>
      <c r="B1452" s="215" t="s">
        <v>4027</v>
      </c>
    </row>
    <row r="1453" customFormat="false" ht="12" hidden="false" customHeight="false" outlineLevel="0" collapsed="false">
      <c r="A1453" s="215" t="s">
        <v>4028</v>
      </c>
      <c r="B1453" s="215" t="s">
        <v>4029</v>
      </c>
    </row>
    <row r="1454" customFormat="false" ht="12" hidden="false" customHeight="false" outlineLevel="0" collapsed="false">
      <c r="A1454" s="215" t="s">
        <v>4030</v>
      </c>
      <c r="B1454" s="215" t="s">
        <v>4031</v>
      </c>
    </row>
    <row r="1455" customFormat="false" ht="12" hidden="false" customHeight="false" outlineLevel="0" collapsed="false">
      <c r="A1455" s="215" t="s">
        <v>4032</v>
      </c>
      <c r="B1455" s="215" t="s">
        <v>4033</v>
      </c>
    </row>
    <row r="1456" customFormat="false" ht="12" hidden="false" customHeight="false" outlineLevel="0" collapsed="false">
      <c r="A1456" s="215" t="s">
        <v>4034</v>
      </c>
      <c r="B1456" s="215" t="s">
        <v>4035</v>
      </c>
    </row>
    <row r="1457" customFormat="false" ht="12" hidden="false" customHeight="false" outlineLevel="0" collapsed="false">
      <c r="A1457" s="215" t="s">
        <v>4036</v>
      </c>
      <c r="B1457" s="215" t="s">
        <v>4037</v>
      </c>
    </row>
    <row r="1458" customFormat="false" ht="12" hidden="false" customHeight="false" outlineLevel="0" collapsed="false">
      <c r="A1458" s="215" t="s">
        <v>4038</v>
      </c>
    </row>
    <row r="1459" customFormat="false" ht="12" hidden="false" customHeight="false" outlineLevel="0" collapsed="false">
      <c r="A1459" s="215" t="s">
        <v>4039</v>
      </c>
    </row>
    <row r="1460" customFormat="false" ht="12" hidden="false" customHeight="false" outlineLevel="0" collapsed="false">
      <c r="A1460" s="215" t="s">
        <v>4040</v>
      </c>
    </row>
    <row r="1461" customFormat="false" ht="12" hidden="false" customHeight="false" outlineLevel="0" collapsed="false">
      <c r="A1461" s="215" t="s">
        <v>4041</v>
      </c>
    </row>
    <row r="1462" customFormat="false" ht="12" hidden="false" customHeight="false" outlineLevel="0" collapsed="false">
      <c r="A1462" s="215" t="s">
        <v>4042</v>
      </c>
    </row>
    <row r="1463" customFormat="false" ht="12" hidden="false" customHeight="false" outlineLevel="0" collapsed="false">
      <c r="A1463" s="215" t="s">
        <v>4043</v>
      </c>
    </row>
    <row r="1464" customFormat="false" ht="12" hidden="false" customHeight="false" outlineLevel="0" collapsed="false">
      <c r="A1464" s="215" t="s">
        <v>4044</v>
      </c>
    </row>
    <row r="1465" customFormat="false" ht="12" hidden="false" customHeight="false" outlineLevel="0" collapsed="false">
      <c r="A1465" s="215" t="s">
        <v>4045</v>
      </c>
    </row>
    <row r="1466" customFormat="false" ht="12" hidden="false" customHeight="false" outlineLevel="0" collapsed="false">
      <c r="A1466" s="215" t="s">
        <v>4046</v>
      </c>
    </row>
    <row r="1467" customFormat="false" ht="12" hidden="false" customHeight="false" outlineLevel="0" collapsed="false">
      <c r="A1467" s="215" t="s">
        <v>4047</v>
      </c>
    </row>
    <row r="1468" customFormat="false" ht="12" hidden="false" customHeight="false" outlineLevel="0" collapsed="false">
      <c r="A1468" s="215" t="s">
        <v>4048</v>
      </c>
    </row>
    <row r="1469" customFormat="false" ht="12" hidden="false" customHeight="false" outlineLevel="0" collapsed="false">
      <c r="A1469" s="215" t="s">
        <v>4049</v>
      </c>
    </row>
    <row r="1470" customFormat="false" ht="12" hidden="false" customHeight="false" outlineLevel="0" collapsed="false">
      <c r="A1470" s="215" t="s">
        <v>4050</v>
      </c>
    </row>
    <row r="1471" customFormat="false" ht="12" hidden="false" customHeight="false" outlineLevel="0" collapsed="false">
      <c r="A1471" s="215" t="s">
        <v>4051</v>
      </c>
    </row>
    <row r="1472" customFormat="false" ht="12" hidden="false" customHeight="false" outlineLevel="0" collapsed="false">
      <c r="A1472" s="215" t="s">
        <v>4052</v>
      </c>
    </row>
    <row r="1473" customFormat="false" ht="12" hidden="false" customHeight="false" outlineLevel="0" collapsed="false">
      <c r="A1473" s="215" t="s">
        <v>4053</v>
      </c>
    </row>
    <row r="1474" customFormat="false" ht="12" hidden="false" customHeight="false" outlineLevel="0" collapsed="false">
      <c r="A1474" s="215" t="s">
        <v>4054</v>
      </c>
    </row>
    <row r="1475" customFormat="false" ht="12" hidden="false" customHeight="false" outlineLevel="0" collapsed="false">
      <c r="A1475" s="215" t="s">
        <v>4055</v>
      </c>
    </row>
    <row r="1476" customFormat="false" ht="12" hidden="false" customHeight="false" outlineLevel="0" collapsed="false">
      <c r="A1476" s="215" t="s">
        <v>4056</v>
      </c>
    </row>
    <row r="1477" customFormat="false" ht="12" hidden="false" customHeight="false" outlineLevel="0" collapsed="false">
      <c r="A1477" s="215" t="s">
        <v>4057</v>
      </c>
    </row>
    <row r="1478" customFormat="false" ht="12" hidden="false" customHeight="false" outlineLevel="0" collapsed="false">
      <c r="A1478" s="215" t="s">
        <v>4058</v>
      </c>
    </row>
    <row r="1479" customFormat="false" ht="12" hidden="false" customHeight="false" outlineLevel="0" collapsed="false">
      <c r="A1479" s="215" t="s">
        <v>4059</v>
      </c>
    </row>
    <row r="1480" customFormat="false" ht="12" hidden="false" customHeight="false" outlineLevel="0" collapsed="false">
      <c r="A1480" s="215" t="s">
        <v>4060</v>
      </c>
    </row>
    <row r="1481" customFormat="false" ht="12" hidden="false" customHeight="false" outlineLevel="0" collapsed="false">
      <c r="A1481" s="215" t="s">
        <v>4061</v>
      </c>
    </row>
    <row r="1482" customFormat="false" ht="12" hidden="false" customHeight="false" outlineLevel="0" collapsed="false">
      <c r="A1482" s="215" t="s">
        <v>4062</v>
      </c>
    </row>
    <row r="1483" customFormat="false" ht="12" hidden="false" customHeight="false" outlineLevel="0" collapsed="false">
      <c r="A1483" s="215" t="s">
        <v>4063</v>
      </c>
    </row>
    <row r="1484" customFormat="false" ht="12" hidden="false" customHeight="false" outlineLevel="0" collapsed="false">
      <c r="A1484" s="215" t="s">
        <v>4064</v>
      </c>
    </row>
    <row r="1485" customFormat="false" ht="12" hidden="false" customHeight="false" outlineLevel="0" collapsed="false">
      <c r="A1485" s="215" t="s">
        <v>4065</v>
      </c>
    </row>
    <row r="1486" customFormat="false" ht="12" hidden="false" customHeight="false" outlineLevel="0" collapsed="false">
      <c r="A1486" s="215" t="s">
        <v>4066</v>
      </c>
    </row>
    <row r="1487" customFormat="false" ht="12" hidden="false" customHeight="false" outlineLevel="0" collapsed="false">
      <c r="A1487" s="215" t="s">
        <v>4067</v>
      </c>
    </row>
    <row r="1488" customFormat="false" ht="12" hidden="false" customHeight="false" outlineLevel="0" collapsed="false">
      <c r="A1488" s="215" t="s">
        <v>4068</v>
      </c>
    </row>
    <row r="1489" customFormat="false" ht="12" hidden="false" customHeight="false" outlineLevel="0" collapsed="false">
      <c r="A1489" s="215" t="s">
        <v>4069</v>
      </c>
    </row>
    <row r="1490" customFormat="false" ht="12" hidden="false" customHeight="false" outlineLevel="0" collapsed="false">
      <c r="A1490" s="215" t="s">
        <v>4070</v>
      </c>
    </row>
    <row r="1491" customFormat="false" ht="12" hidden="false" customHeight="false" outlineLevel="0" collapsed="false">
      <c r="A1491" s="215" t="s">
        <v>4071</v>
      </c>
    </row>
    <row r="1492" customFormat="false" ht="12" hidden="false" customHeight="false" outlineLevel="0" collapsed="false">
      <c r="A1492" s="215" t="s">
        <v>4072</v>
      </c>
    </row>
    <row r="1493" customFormat="false" ht="12" hidden="false" customHeight="false" outlineLevel="0" collapsed="false">
      <c r="A1493" s="215" t="s">
        <v>4073</v>
      </c>
    </row>
    <row r="1494" customFormat="false" ht="12" hidden="false" customHeight="false" outlineLevel="0" collapsed="false">
      <c r="A1494" s="215" t="s">
        <v>4074</v>
      </c>
    </row>
    <row r="1495" customFormat="false" ht="12" hidden="false" customHeight="false" outlineLevel="0" collapsed="false">
      <c r="A1495" s="215" t="s">
        <v>4075</v>
      </c>
    </row>
    <row r="1496" customFormat="false" ht="12" hidden="false" customHeight="false" outlineLevel="0" collapsed="false">
      <c r="A1496" s="215" t="s">
        <v>4076</v>
      </c>
    </row>
    <row r="1497" customFormat="false" ht="12" hidden="false" customHeight="false" outlineLevel="0" collapsed="false">
      <c r="A1497" s="215" t="s">
        <v>4077</v>
      </c>
    </row>
    <row r="1498" customFormat="false" ht="12" hidden="false" customHeight="false" outlineLevel="0" collapsed="false">
      <c r="A1498" s="215" t="s">
        <v>4078</v>
      </c>
    </row>
    <row r="1499" customFormat="false" ht="12" hidden="false" customHeight="false" outlineLevel="0" collapsed="false">
      <c r="A1499" s="215" t="s">
        <v>4079</v>
      </c>
    </row>
    <row r="1500" customFormat="false" ht="12" hidden="false" customHeight="false" outlineLevel="0" collapsed="false">
      <c r="A1500" s="215" t="s">
        <v>4080</v>
      </c>
    </row>
    <row r="1501" customFormat="false" ht="12" hidden="false" customHeight="false" outlineLevel="0" collapsed="false">
      <c r="A1501" s="215" t="s">
        <v>4081</v>
      </c>
    </row>
    <row r="1502" customFormat="false" ht="12" hidden="false" customHeight="false" outlineLevel="0" collapsed="false">
      <c r="A1502" s="215" t="s">
        <v>4082</v>
      </c>
    </row>
    <row r="1503" customFormat="false" ht="12" hidden="false" customHeight="false" outlineLevel="0" collapsed="false">
      <c r="A1503" s="215" t="s">
        <v>4083</v>
      </c>
    </row>
    <row r="1504" customFormat="false" ht="12" hidden="false" customHeight="false" outlineLevel="0" collapsed="false">
      <c r="A1504" s="215" t="s">
        <v>4084</v>
      </c>
    </row>
    <row r="1505" customFormat="false" ht="12" hidden="false" customHeight="false" outlineLevel="0" collapsed="false">
      <c r="A1505" s="215" t="s">
        <v>4085</v>
      </c>
    </row>
    <row r="1506" customFormat="false" ht="12" hidden="false" customHeight="false" outlineLevel="0" collapsed="false">
      <c r="A1506" s="215" t="s">
        <v>4086</v>
      </c>
    </row>
    <row r="1507" customFormat="false" ht="12" hidden="false" customHeight="false" outlineLevel="0" collapsed="false">
      <c r="A1507" s="215" t="s">
        <v>4087</v>
      </c>
    </row>
    <row r="1508" customFormat="false" ht="12" hidden="false" customHeight="false" outlineLevel="0" collapsed="false">
      <c r="A1508" s="215" t="s">
        <v>4088</v>
      </c>
    </row>
    <row r="1509" customFormat="false" ht="12" hidden="false" customHeight="false" outlineLevel="0" collapsed="false">
      <c r="A1509" s="215" t="s">
        <v>4089</v>
      </c>
    </row>
    <row r="1510" customFormat="false" ht="12" hidden="false" customHeight="false" outlineLevel="0" collapsed="false">
      <c r="A1510" s="215" t="s">
        <v>4090</v>
      </c>
    </row>
    <row r="1511" customFormat="false" ht="12" hidden="false" customHeight="false" outlineLevel="0" collapsed="false">
      <c r="A1511" s="215" t="s">
        <v>4091</v>
      </c>
    </row>
    <row r="1512" customFormat="false" ht="12" hidden="false" customHeight="false" outlineLevel="0" collapsed="false">
      <c r="A1512" s="215" t="s">
        <v>4092</v>
      </c>
    </row>
    <row r="1513" customFormat="false" ht="12" hidden="false" customHeight="false" outlineLevel="0" collapsed="false">
      <c r="A1513" s="215" t="s">
        <v>4093</v>
      </c>
    </row>
    <row r="1514" customFormat="false" ht="12" hidden="false" customHeight="false" outlineLevel="0" collapsed="false">
      <c r="A1514" s="215" t="s">
        <v>4094</v>
      </c>
    </row>
    <row r="1515" customFormat="false" ht="12" hidden="false" customHeight="false" outlineLevel="0" collapsed="false">
      <c r="A1515" s="215" t="s">
        <v>4095</v>
      </c>
    </row>
    <row r="1516" customFormat="false" ht="12" hidden="false" customHeight="false" outlineLevel="0" collapsed="false">
      <c r="A1516" s="215" t="s">
        <v>4096</v>
      </c>
    </row>
    <row r="1517" customFormat="false" ht="12" hidden="false" customHeight="false" outlineLevel="0" collapsed="false">
      <c r="A1517" s="215" t="s">
        <v>4097</v>
      </c>
    </row>
    <row r="1518" customFormat="false" ht="12" hidden="false" customHeight="false" outlineLevel="0" collapsed="false">
      <c r="A1518" s="215" t="s">
        <v>4098</v>
      </c>
    </row>
    <row r="1519" customFormat="false" ht="12" hidden="false" customHeight="false" outlineLevel="0" collapsed="false">
      <c r="A1519" s="215" t="s">
        <v>4099</v>
      </c>
    </row>
    <row r="1520" customFormat="false" ht="12" hidden="false" customHeight="false" outlineLevel="0" collapsed="false">
      <c r="A1520" s="215" t="s">
        <v>4100</v>
      </c>
    </row>
    <row r="1521" customFormat="false" ht="12" hidden="false" customHeight="false" outlineLevel="0" collapsed="false">
      <c r="A1521" s="215" t="s">
        <v>4101</v>
      </c>
    </row>
    <row r="1522" customFormat="false" ht="12" hidden="false" customHeight="false" outlineLevel="0" collapsed="false">
      <c r="A1522" s="215" t="s">
        <v>4102</v>
      </c>
    </row>
    <row r="1523" customFormat="false" ht="12" hidden="false" customHeight="false" outlineLevel="0" collapsed="false">
      <c r="A1523" s="215" t="s">
        <v>4103</v>
      </c>
    </row>
    <row r="1524" customFormat="false" ht="12" hidden="false" customHeight="false" outlineLevel="0" collapsed="false">
      <c r="A1524" s="215" t="s">
        <v>4104</v>
      </c>
    </row>
    <row r="1525" customFormat="false" ht="12" hidden="false" customHeight="false" outlineLevel="0" collapsed="false">
      <c r="A1525" s="215" t="s">
        <v>4105</v>
      </c>
    </row>
    <row r="1526" customFormat="false" ht="12" hidden="false" customHeight="false" outlineLevel="0" collapsed="false">
      <c r="A1526" s="215" t="s">
        <v>4106</v>
      </c>
    </row>
    <row r="1527" customFormat="false" ht="12" hidden="false" customHeight="false" outlineLevel="0" collapsed="false">
      <c r="A1527" s="215" t="s">
        <v>4107</v>
      </c>
    </row>
    <row r="1528" customFormat="false" ht="12" hidden="false" customHeight="false" outlineLevel="0" collapsed="false">
      <c r="A1528" s="215" t="s">
        <v>4108</v>
      </c>
    </row>
    <row r="1529" customFormat="false" ht="12" hidden="false" customHeight="false" outlineLevel="0" collapsed="false">
      <c r="A1529" s="215" t="s">
        <v>4109</v>
      </c>
    </row>
    <row r="1530" customFormat="false" ht="12" hidden="false" customHeight="false" outlineLevel="0" collapsed="false">
      <c r="A1530" s="215" t="s">
        <v>4110</v>
      </c>
    </row>
    <row r="1531" customFormat="false" ht="12" hidden="false" customHeight="false" outlineLevel="0" collapsed="false">
      <c r="A1531" s="215" t="s">
        <v>4111</v>
      </c>
    </row>
    <row r="1532" customFormat="false" ht="12" hidden="false" customHeight="false" outlineLevel="0" collapsed="false">
      <c r="A1532" s="215" t="s">
        <v>4112</v>
      </c>
    </row>
    <row r="1533" customFormat="false" ht="12" hidden="false" customHeight="false" outlineLevel="0" collapsed="false">
      <c r="A1533" s="215" t="s">
        <v>4113</v>
      </c>
    </row>
    <row r="1534" customFormat="false" ht="12" hidden="false" customHeight="false" outlineLevel="0" collapsed="false">
      <c r="A1534" s="215" t="s">
        <v>4114</v>
      </c>
    </row>
    <row r="1535" customFormat="false" ht="12" hidden="false" customHeight="false" outlineLevel="0" collapsed="false">
      <c r="A1535" s="215" t="s">
        <v>4115</v>
      </c>
    </row>
    <row r="1536" customFormat="false" ht="12" hidden="false" customHeight="false" outlineLevel="0" collapsed="false">
      <c r="A1536" s="215" t="s">
        <v>4116</v>
      </c>
    </row>
    <row r="1537" customFormat="false" ht="12" hidden="false" customHeight="false" outlineLevel="0" collapsed="false">
      <c r="A1537" s="215" t="s">
        <v>4117</v>
      </c>
    </row>
    <row r="1538" customFormat="false" ht="12" hidden="false" customHeight="false" outlineLevel="0" collapsed="false">
      <c r="A1538" s="215" t="s">
        <v>4118</v>
      </c>
    </row>
    <row r="1539" customFormat="false" ht="12" hidden="false" customHeight="false" outlineLevel="0" collapsed="false">
      <c r="A1539" s="215" t="s">
        <v>4119</v>
      </c>
    </row>
    <row r="1540" customFormat="false" ht="12" hidden="false" customHeight="false" outlineLevel="0" collapsed="false">
      <c r="A1540" s="215" t="s">
        <v>4120</v>
      </c>
    </row>
    <row r="1541" customFormat="false" ht="12" hidden="false" customHeight="false" outlineLevel="0" collapsed="false">
      <c r="A1541" s="215" t="s">
        <v>4121</v>
      </c>
    </row>
    <row r="1542" customFormat="false" ht="12" hidden="false" customHeight="false" outlineLevel="0" collapsed="false">
      <c r="A1542" s="215" t="s">
        <v>4122</v>
      </c>
    </row>
    <row r="1543" customFormat="false" ht="12" hidden="false" customHeight="false" outlineLevel="0" collapsed="false">
      <c r="A1543" s="215" t="s">
        <v>4123</v>
      </c>
    </row>
    <row r="1544" customFormat="false" ht="12" hidden="false" customHeight="false" outlineLevel="0" collapsed="false">
      <c r="A1544" s="215" t="s">
        <v>4124</v>
      </c>
    </row>
    <row r="1545" customFormat="false" ht="12" hidden="false" customHeight="false" outlineLevel="0" collapsed="false">
      <c r="A1545" s="215" t="s">
        <v>4125</v>
      </c>
    </row>
    <row r="1546" customFormat="false" ht="12" hidden="false" customHeight="false" outlineLevel="0" collapsed="false">
      <c r="A1546" s="215" t="s">
        <v>4126</v>
      </c>
    </row>
    <row r="1547" customFormat="false" ht="12" hidden="false" customHeight="false" outlineLevel="0" collapsed="false">
      <c r="A1547" s="215" t="s">
        <v>4127</v>
      </c>
    </row>
    <row r="1548" customFormat="false" ht="12" hidden="false" customHeight="false" outlineLevel="0" collapsed="false">
      <c r="A1548" s="215" t="s">
        <v>4128</v>
      </c>
    </row>
    <row r="1549" customFormat="false" ht="12" hidden="false" customHeight="false" outlineLevel="0" collapsed="false">
      <c r="A1549" s="215" t="s">
        <v>4129</v>
      </c>
    </row>
    <row r="1550" customFormat="false" ht="12" hidden="false" customHeight="false" outlineLevel="0" collapsed="false">
      <c r="A1550" s="215" t="s">
        <v>4130</v>
      </c>
    </row>
    <row r="1551" customFormat="false" ht="12" hidden="false" customHeight="false" outlineLevel="0" collapsed="false">
      <c r="A1551" s="215" t="s">
        <v>4131</v>
      </c>
    </row>
    <row r="1552" customFormat="false" ht="12" hidden="false" customHeight="false" outlineLevel="0" collapsed="false">
      <c r="A1552" s="215" t="s">
        <v>4132</v>
      </c>
    </row>
    <row r="1553" customFormat="false" ht="12" hidden="false" customHeight="false" outlineLevel="0" collapsed="false">
      <c r="A1553" s="215" t="s">
        <v>4133</v>
      </c>
    </row>
    <row r="1554" customFormat="false" ht="12" hidden="false" customHeight="false" outlineLevel="0" collapsed="false">
      <c r="A1554" s="215" t="s">
        <v>4134</v>
      </c>
    </row>
    <row r="1555" customFormat="false" ht="12" hidden="false" customHeight="false" outlineLevel="0" collapsed="false">
      <c r="A1555" s="215" t="s">
        <v>4135</v>
      </c>
    </row>
    <row r="1556" customFormat="false" ht="12" hidden="false" customHeight="false" outlineLevel="0" collapsed="false">
      <c r="A1556" s="215" t="s">
        <v>4136</v>
      </c>
    </row>
    <row r="1557" customFormat="false" ht="12" hidden="false" customHeight="false" outlineLevel="0" collapsed="false">
      <c r="A1557" s="215" t="s">
        <v>4137</v>
      </c>
    </row>
    <row r="1558" customFormat="false" ht="12" hidden="false" customHeight="false" outlineLevel="0" collapsed="false">
      <c r="A1558" s="215" t="s">
        <v>4138</v>
      </c>
    </row>
    <row r="1559" customFormat="false" ht="12" hidden="false" customHeight="false" outlineLevel="0" collapsed="false">
      <c r="A1559" s="215" t="s">
        <v>4139</v>
      </c>
    </row>
    <row r="1560" customFormat="false" ht="12" hidden="false" customHeight="false" outlineLevel="0" collapsed="false">
      <c r="A1560" s="215" t="s">
        <v>4140</v>
      </c>
    </row>
    <row r="1561" customFormat="false" ht="12" hidden="false" customHeight="false" outlineLevel="0" collapsed="false">
      <c r="A1561" s="215" t="s">
        <v>4141</v>
      </c>
    </row>
    <row r="1562" customFormat="false" ht="12" hidden="false" customHeight="false" outlineLevel="0" collapsed="false">
      <c r="A1562" s="215" t="s">
        <v>4142</v>
      </c>
    </row>
    <row r="1563" customFormat="false" ht="12" hidden="false" customHeight="false" outlineLevel="0" collapsed="false">
      <c r="A1563" s="215" t="s">
        <v>4143</v>
      </c>
    </row>
    <row r="1564" customFormat="false" ht="12" hidden="false" customHeight="false" outlineLevel="0" collapsed="false">
      <c r="A1564" s="215" t="s">
        <v>4144</v>
      </c>
    </row>
    <row r="1565" customFormat="false" ht="12" hidden="false" customHeight="false" outlineLevel="0" collapsed="false">
      <c r="A1565" s="215" t="s">
        <v>4145</v>
      </c>
    </row>
    <row r="1566" customFormat="false" ht="12" hidden="false" customHeight="false" outlineLevel="0" collapsed="false">
      <c r="A1566" s="215" t="s">
        <v>4146</v>
      </c>
    </row>
    <row r="1567" customFormat="false" ht="12" hidden="false" customHeight="false" outlineLevel="0" collapsed="false">
      <c r="A1567" s="215" t="s">
        <v>4147</v>
      </c>
    </row>
    <row r="1568" customFormat="false" ht="12" hidden="false" customHeight="false" outlineLevel="0" collapsed="false">
      <c r="A1568" s="215" t="s">
        <v>4148</v>
      </c>
    </row>
    <row r="1569" customFormat="false" ht="12" hidden="false" customHeight="false" outlineLevel="0" collapsed="false">
      <c r="A1569" s="215" t="s">
        <v>4149</v>
      </c>
    </row>
    <row r="1570" customFormat="false" ht="12" hidden="false" customHeight="false" outlineLevel="0" collapsed="false">
      <c r="A1570" s="215" t="s">
        <v>4150</v>
      </c>
    </row>
    <row r="1571" customFormat="false" ht="12" hidden="false" customHeight="false" outlineLevel="0" collapsed="false">
      <c r="A1571" s="215" t="s">
        <v>4151</v>
      </c>
    </row>
    <row r="1572" customFormat="false" ht="12" hidden="false" customHeight="false" outlineLevel="0" collapsed="false">
      <c r="A1572" s="215" t="s">
        <v>4152</v>
      </c>
    </row>
    <row r="1573" customFormat="false" ht="12" hidden="false" customHeight="false" outlineLevel="0" collapsed="false">
      <c r="A1573" s="215" t="s">
        <v>4153</v>
      </c>
    </row>
    <row r="1574" customFormat="false" ht="12" hidden="false" customHeight="false" outlineLevel="0" collapsed="false">
      <c r="A1574" s="215" t="s">
        <v>4154</v>
      </c>
    </row>
    <row r="1575" customFormat="false" ht="12" hidden="false" customHeight="false" outlineLevel="0" collapsed="false">
      <c r="A1575" s="215" t="s">
        <v>4155</v>
      </c>
    </row>
    <row r="1576" customFormat="false" ht="12" hidden="false" customHeight="false" outlineLevel="0" collapsed="false">
      <c r="A1576" s="215" t="s">
        <v>4156</v>
      </c>
    </row>
    <row r="1577" customFormat="false" ht="12" hidden="false" customHeight="false" outlineLevel="0" collapsed="false">
      <c r="A1577" s="215" t="s">
        <v>4157</v>
      </c>
    </row>
    <row r="1578" customFormat="false" ht="12" hidden="false" customHeight="false" outlineLevel="0" collapsed="false">
      <c r="A1578" s="215" t="s">
        <v>4158</v>
      </c>
    </row>
    <row r="1579" customFormat="false" ht="12" hidden="false" customHeight="false" outlineLevel="0" collapsed="false">
      <c r="A1579" s="215" t="s">
        <v>4159</v>
      </c>
    </row>
    <row r="1580" customFormat="false" ht="12" hidden="false" customHeight="false" outlineLevel="0" collapsed="false">
      <c r="A1580" s="215" t="s">
        <v>4160</v>
      </c>
    </row>
    <row r="1581" customFormat="false" ht="12" hidden="false" customHeight="false" outlineLevel="0" collapsed="false">
      <c r="A1581" s="215" t="s">
        <v>4161</v>
      </c>
    </row>
    <row r="1582" customFormat="false" ht="12" hidden="false" customHeight="false" outlineLevel="0" collapsed="false">
      <c r="A1582" s="215" t="s">
        <v>4162</v>
      </c>
    </row>
    <row r="1583" customFormat="false" ht="12" hidden="false" customHeight="false" outlineLevel="0" collapsed="false">
      <c r="A1583" s="215" t="s">
        <v>4163</v>
      </c>
    </row>
    <row r="1584" customFormat="false" ht="12" hidden="false" customHeight="false" outlineLevel="0" collapsed="false">
      <c r="A1584" s="215" t="s">
        <v>4164</v>
      </c>
    </row>
    <row r="1585" customFormat="false" ht="12" hidden="false" customHeight="false" outlineLevel="0" collapsed="false">
      <c r="A1585" s="215" t="s">
        <v>4165</v>
      </c>
    </row>
    <row r="1586" customFormat="false" ht="12" hidden="false" customHeight="false" outlineLevel="0" collapsed="false">
      <c r="A1586" s="215" t="s">
        <v>4166</v>
      </c>
    </row>
    <row r="1587" customFormat="false" ht="12" hidden="false" customHeight="false" outlineLevel="0" collapsed="false">
      <c r="A1587" s="215" t="s">
        <v>4167</v>
      </c>
    </row>
    <row r="1588" customFormat="false" ht="12" hidden="false" customHeight="false" outlineLevel="0" collapsed="false">
      <c r="A1588" s="215" t="s">
        <v>4168</v>
      </c>
    </row>
    <row r="1589" customFormat="false" ht="12" hidden="false" customHeight="false" outlineLevel="0" collapsed="false">
      <c r="A1589" s="215" t="s">
        <v>4169</v>
      </c>
    </row>
    <row r="1590" customFormat="false" ht="12" hidden="false" customHeight="false" outlineLevel="0" collapsed="false">
      <c r="A1590" s="215" t="s">
        <v>4170</v>
      </c>
    </row>
    <row r="1591" customFormat="false" ht="12" hidden="false" customHeight="false" outlineLevel="0" collapsed="false">
      <c r="A1591" s="215" t="s">
        <v>4171</v>
      </c>
    </row>
    <row r="1592" customFormat="false" ht="12" hidden="false" customHeight="false" outlineLevel="0" collapsed="false">
      <c r="A1592" s="215" t="s">
        <v>4172</v>
      </c>
    </row>
    <row r="1593" customFormat="false" ht="12" hidden="false" customHeight="false" outlineLevel="0" collapsed="false">
      <c r="A1593" s="215" t="s">
        <v>4173</v>
      </c>
    </row>
    <row r="1594" customFormat="false" ht="12" hidden="false" customHeight="false" outlineLevel="0" collapsed="false">
      <c r="A1594" s="215" t="s">
        <v>4174</v>
      </c>
    </row>
    <row r="1595" customFormat="false" ht="12" hidden="false" customHeight="false" outlineLevel="0" collapsed="false">
      <c r="A1595" s="215" t="s">
        <v>4175</v>
      </c>
    </row>
    <row r="1596" customFormat="false" ht="12" hidden="false" customHeight="false" outlineLevel="0" collapsed="false">
      <c r="A1596" s="215" t="s">
        <v>4176</v>
      </c>
    </row>
    <row r="1597" customFormat="false" ht="12" hidden="false" customHeight="false" outlineLevel="0" collapsed="false">
      <c r="A1597" s="215" t="s">
        <v>4177</v>
      </c>
    </row>
    <row r="1598" customFormat="false" ht="12" hidden="false" customHeight="false" outlineLevel="0" collapsed="false">
      <c r="A1598" s="215" t="s">
        <v>4178</v>
      </c>
    </row>
    <row r="1599" customFormat="false" ht="12" hidden="false" customHeight="false" outlineLevel="0" collapsed="false">
      <c r="A1599" s="215" t="s">
        <v>4179</v>
      </c>
    </row>
    <row r="1600" customFormat="false" ht="12" hidden="false" customHeight="false" outlineLevel="0" collapsed="false">
      <c r="A1600" s="215" t="s">
        <v>4180</v>
      </c>
    </row>
    <row r="1601" customFormat="false" ht="12" hidden="false" customHeight="false" outlineLevel="0" collapsed="false">
      <c r="A1601" s="215" t="s">
        <v>4181</v>
      </c>
    </row>
    <row r="1602" customFormat="false" ht="12" hidden="false" customHeight="false" outlineLevel="0" collapsed="false">
      <c r="A1602" s="215" t="s">
        <v>4182</v>
      </c>
    </row>
    <row r="1603" customFormat="false" ht="12" hidden="false" customHeight="false" outlineLevel="0" collapsed="false">
      <c r="A1603" s="215" t="s">
        <v>4183</v>
      </c>
    </row>
    <row r="1604" customFormat="false" ht="12" hidden="false" customHeight="false" outlineLevel="0" collapsed="false">
      <c r="A1604" s="215" t="s">
        <v>4184</v>
      </c>
    </row>
    <row r="1605" customFormat="false" ht="12" hidden="false" customHeight="false" outlineLevel="0" collapsed="false">
      <c r="A1605" s="215" t="s">
        <v>4185</v>
      </c>
    </row>
    <row r="1606" customFormat="false" ht="12" hidden="false" customHeight="false" outlineLevel="0" collapsed="false">
      <c r="A1606" s="215" t="s">
        <v>4186</v>
      </c>
    </row>
    <row r="1607" customFormat="false" ht="12" hidden="false" customHeight="false" outlineLevel="0" collapsed="false">
      <c r="A1607" s="215" t="s">
        <v>4187</v>
      </c>
    </row>
    <row r="1608" customFormat="false" ht="12" hidden="false" customHeight="false" outlineLevel="0" collapsed="false">
      <c r="A1608" s="215" t="s">
        <v>4188</v>
      </c>
    </row>
    <row r="1609" customFormat="false" ht="12" hidden="false" customHeight="false" outlineLevel="0" collapsed="false">
      <c r="A1609" s="215" t="s">
        <v>4189</v>
      </c>
    </row>
    <row r="1610" customFormat="false" ht="12" hidden="false" customHeight="false" outlineLevel="0" collapsed="false">
      <c r="A1610" s="215" t="s">
        <v>4190</v>
      </c>
    </row>
    <row r="1611" customFormat="false" ht="12" hidden="false" customHeight="false" outlineLevel="0" collapsed="false">
      <c r="A1611" s="215" t="s">
        <v>4191</v>
      </c>
    </row>
    <row r="1612" customFormat="false" ht="12" hidden="false" customHeight="false" outlineLevel="0" collapsed="false">
      <c r="A1612" s="215" t="s">
        <v>4192</v>
      </c>
    </row>
    <row r="1613" customFormat="false" ht="12" hidden="false" customHeight="false" outlineLevel="0" collapsed="false">
      <c r="A1613" s="215" t="s">
        <v>4193</v>
      </c>
    </row>
    <row r="1614" customFormat="false" ht="12" hidden="false" customHeight="false" outlineLevel="0" collapsed="false">
      <c r="A1614" s="215" t="s">
        <v>4194</v>
      </c>
    </row>
    <row r="1615" customFormat="false" ht="12" hidden="false" customHeight="false" outlineLevel="0" collapsed="false">
      <c r="A1615" s="215" t="s">
        <v>4195</v>
      </c>
    </row>
    <row r="1616" customFormat="false" ht="12" hidden="false" customHeight="false" outlineLevel="0" collapsed="false">
      <c r="A1616" s="215" t="s">
        <v>4196</v>
      </c>
    </row>
    <row r="1617" customFormat="false" ht="12" hidden="false" customHeight="false" outlineLevel="0" collapsed="false">
      <c r="A1617" s="215" t="s">
        <v>4197</v>
      </c>
    </row>
    <row r="1618" customFormat="false" ht="12" hidden="false" customHeight="false" outlineLevel="0" collapsed="false">
      <c r="A1618" s="215" t="s">
        <v>4198</v>
      </c>
    </row>
    <row r="1619" customFormat="false" ht="12" hidden="false" customHeight="false" outlineLevel="0" collapsed="false">
      <c r="A1619" s="215" t="s">
        <v>4199</v>
      </c>
    </row>
    <row r="1620" customFormat="false" ht="12" hidden="false" customHeight="false" outlineLevel="0" collapsed="false">
      <c r="A1620" s="215" t="s">
        <v>4200</v>
      </c>
    </row>
    <row r="1621" customFormat="false" ht="12" hidden="false" customHeight="false" outlineLevel="0" collapsed="false">
      <c r="A1621" s="215" t="s">
        <v>4201</v>
      </c>
    </row>
    <row r="1622" customFormat="false" ht="12" hidden="false" customHeight="false" outlineLevel="0" collapsed="false">
      <c r="A1622" s="215" t="s">
        <v>4202</v>
      </c>
    </row>
    <row r="1623" customFormat="false" ht="12" hidden="false" customHeight="false" outlineLevel="0" collapsed="false">
      <c r="A1623" s="215" t="s">
        <v>4203</v>
      </c>
    </row>
    <row r="1624" customFormat="false" ht="12" hidden="false" customHeight="false" outlineLevel="0" collapsed="false">
      <c r="A1624" s="215" t="s">
        <v>4204</v>
      </c>
    </row>
    <row r="1625" customFormat="false" ht="12" hidden="false" customHeight="false" outlineLevel="0" collapsed="false">
      <c r="A1625" s="215" t="s">
        <v>4205</v>
      </c>
    </row>
    <row r="1626" customFormat="false" ht="12" hidden="false" customHeight="false" outlineLevel="0" collapsed="false">
      <c r="A1626" s="215" t="s">
        <v>4206</v>
      </c>
    </row>
    <row r="1627" customFormat="false" ht="12" hidden="false" customHeight="false" outlineLevel="0" collapsed="false">
      <c r="A1627" s="215" t="s">
        <v>4207</v>
      </c>
    </row>
    <row r="1628" customFormat="false" ht="12" hidden="false" customHeight="false" outlineLevel="0" collapsed="false">
      <c r="A1628" s="215" t="s">
        <v>4208</v>
      </c>
    </row>
    <row r="1629" customFormat="false" ht="12" hidden="false" customHeight="false" outlineLevel="0" collapsed="false">
      <c r="A1629" s="215" t="s">
        <v>4209</v>
      </c>
    </row>
    <row r="1630" customFormat="false" ht="12" hidden="false" customHeight="false" outlineLevel="0" collapsed="false">
      <c r="A1630" s="215" t="s">
        <v>4210</v>
      </c>
    </row>
    <row r="1631" customFormat="false" ht="12" hidden="false" customHeight="false" outlineLevel="0" collapsed="false">
      <c r="A1631" s="215" t="s">
        <v>4211</v>
      </c>
    </row>
    <row r="1632" customFormat="false" ht="12" hidden="false" customHeight="false" outlineLevel="0" collapsed="false">
      <c r="A1632" s="215" t="s">
        <v>4212</v>
      </c>
    </row>
    <row r="1633" customFormat="false" ht="12" hidden="false" customHeight="false" outlineLevel="0" collapsed="false">
      <c r="A1633" s="215" t="s">
        <v>4213</v>
      </c>
    </row>
    <row r="1634" customFormat="false" ht="12" hidden="false" customHeight="false" outlineLevel="0" collapsed="false">
      <c r="A1634" s="215" t="s">
        <v>4214</v>
      </c>
    </row>
    <row r="1635" customFormat="false" ht="12" hidden="false" customHeight="false" outlineLevel="0" collapsed="false">
      <c r="A1635" s="215" t="s">
        <v>4215</v>
      </c>
    </row>
    <row r="1636" customFormat="false" ht="12" hidden="false" customHeight="false" outlineLevel="0" collapsed="false">
      <c r="A1636" s="215" t="s">
        <v>4216</v>
      </c>
    </row>
    <row r="1637" customFormat="false" ht="12" hidden="false" customHeight="false" outlineLevel="0" collapsed="false">
      <c r="A1637" s="215" t="s">
        <v>4217</v>
      </c>
    </row>
    <row r="1638" customFormat="false" ht="12" hidden="false" customHeight="false" outlineLevel="0" collapsed="false">
      <c r="A1638" s="215" t="s">
        <v>4218</v>
      </c>
    </row>
    <row r="1639" customFormat="false" ht="12" hidden="false" customHeight="false" outlineLevel="0" collapsed="false">
      <c r="A1639" s="215" t="s">
        <v>4219</v>
      </c>
    </row>
    <row r="1640" customFormat="false" ht="12" hidden="false" customHeight="false" outlineLevel="0" collapsed="false">
      <c r="A1640" s="215" t="s">
        <v>4220</v>
      </c>
    </row>
    <row r="1641" customFormat="false" ht="12" hidden="false" customHeight="false" outlineLevel="0" collapsed="false">
      <c r="A1641" s="215" t="s">
        <v>4221</v>
      </c>
    </row>
    <row r="1642" customFormat="false" ht="12" hidden="false" customHeight="false" outlineLevel="0" collapsed="false">
      <c r="A1642" s="215" t="s">
        <v>4222</v>
      </c>
    </row>
    <row r="1643" customFormat="false" ht="12" hidden="false" customHeight="false" outlineLevel="0" collapsed="false">
      <c r="A1643" s="215" t="s">
        <v>4223</v>
      </c>
    </row>
    <row r="1644" customFormat="false" ht="12" hidden="false" customHeight="false" outlineLevel="0" collapsed="false">
      <c r="A1644" s="215" t="s">
        <v>4224</v>
      </c>
    </row>
    <row r="1645" customFormat="false" ht="12" hidden="false" customHeight="false" outlineLevel="0" collapsed="false">
      <c r="A1645" s="215" t="s">
        <v>4225</v>
      </c>
    </row>
    <row r="1646" customFormat="false" ht="12" hidden="false" customHeight="false" outlineLevel="0" collapsed="false">
      <c r="A1646" s="215" t="s">
        <v>4226</v>
      </c>
    </row>
    <row r="1647" customFormat="false" ht="12" hidden="false" customHeight="false" outlineLevel="0" collapsed="false">
      <c r="A1647" s="215" t="s">
        <v>4227</v>
      </c>
    </row>
    <row r="1648" customFormat="false" ht="12" hidden="false" customHeight="false" outlineLevel="0" collapsed="false">
      <c r="A1648" s="215" t="s">
        <v>4228</v>
      </c>
    </row>
    <row r="1649" customFormat="false" ht="12" hidden="false" customHeight="false" outlineLevel="0" collapsed="false">
      <c r="A1649" s="215" t="s">
        <v>4229</v>
      </c>
    </row>
    <row r="1650" customFormat="false" ht="12" hidden="false" customHeight="false" outlineLevel="0" collapsed="false">
      <c r="A1650" s="215" t="s">
        <v>4230</v>
      </c>
    </row>
    <row r="1651" customFormat="false" ht="12" hidden="false" customHeight="false" outlineLevel="0" collapsed="false">
      <c r="A1651" s="215" t="s">
        <v>4231</v>
      </c>
    </row>
    <row r="1652" customFormat="false" ht="12" hidden="false" customHeight="false" outlineLevel="0" collapsed="false">
      <c r="A1652" s="215" t="s">
        <v>4232</v>
      </c>
    </row>
    <row r="1653" customFormat="false" ht="12" hidden="false" customHeight="false" outlineLevel="0" collapsed="false">
      <c r="A1653" s="215" t="s">
        <v>4233</v>
      </c>
    </row>
    <row r="1654" customFormat="false" ht="12" hidden="false" customHeight="false" outlineLevel="0" collapsed="false">
      <c r="A1654" s="215" t="s">
        <v>4234</v>
      </c>
    </row>
    <row r="1655" customFormat="false" ht="12" hidden="false" customHeight="false" outlineLevel="0" collapsed="false">
      <c r="A1655" s="215" t="s">
        <v>4235</v>
      </c>
    </row>
    <row r="1656" customFormat="false" ht="12" hidden="false" customHeight="false" outlineLevel="0" collapsed="false">
      <c r="A1656" s="215" t="s">
        <v>4236</v>
      </c>
    </row>
    <row r="1657" customFormat="false" ht="12" hidden="false" customHeight="false" outlineLevel="0" collapsed="false">
      <c r="A1657" s="215" t="s">
        <v>4237</v>
      </c>
    </row>
    <row r="1658" customFormat="false" ht="12" hidden="false" customHeight="false" outlineLevel="0" collapsed="false">
      <c r="A1658" s="215" t="s">
        <v>4238</v>
      </c>
    </row>
    <row r="1659" customFormat="false" ht="12" hidden="false" customHeight="false" outlineLevel="0" collapsed="false">
      <c r="A1659" s="215" t="s">
        <v>4239</v>
      </c>
    </row>
    <row r="1660" customFormat="false" ht="12" hidden="false" customHeight="false" outlineLevel="0" collapsed="false">
      <c r="A1660" s="215" t="s">
        <v>4240</v>
      </c>
    </row>
    <row r="1661" customFormat="false" ht="12" hidden="false" customHeight="false" outlineLevel="0" collapsed="false">
      <c r="A1661" s="215" t="s">
        <v>4241</v>
      </c>
    </row>
    <row r="1662" customFormat="false" ht="12" hidden="false" customHeight="false" outlineLevel="0" collapsed="false">
      <c r="A1662" s="215" t="s">
        <v>4242</v>
      </c>
    </row>
    <row r="1663" customFormat="false" ht="12" hidden="false" customHeight="false" outlineLevel="0" collapsed="false">
      <c r="A1663" s="215" t="s">
        <v>4243</v>
      </c>
    </row>
    <row r="1664" customFormat="false" ht="12" hidden="false" customHeight="false" outlineLevel="0" collapsed="false">
      <c r="A1664" s="215" t="s">
        <v>4244</v>
      </c>
    </row>
    <row r="1665" customFormat="false" ht="12" hidden="false" customHeight="false" outlineLevel="0" collapsed="false">
      <c r="A1665" s="215" t="s">
        <v>4245</v>
      </c>
    </row>
    <row r="1666" customFormat="false" ht="12" hidden="false" customHeight="false" outlineLevel="0" collapsed="false">
      <c r="A1666" s="215" t="s">
        <v>4246</v>
      </c>
    </row>
    <row r="1667" customFormat="false" ht="12" hidden="false" customHeight="false" outlineLevel="0" collapsed="false">
      <c r="A1667" s="215" t="s">
        <v>4247</v>
      </c>
    </row>
    <row r="1668" customFormat="false" ht="12" hidden="false" customHeight="false" outlineLevel="0" collapsed="false">
      <c r="A1668" s="215" t="s">
        <v>4248</v>
      </c>
    </row>
    <row r="1669" customFormat="false" ht="12" hidden="false" customHeight="false" outlineLevel="0" collapsed="false">
      <c r="A1669" s="215" t="s">
        <v>4249</v>
      </c>
    </row>
    <row r="1670" customFormat="false" ht="12" hidden="false" customHeight="false" outlineLevel="0" collapsed="false">
      <c r="A1670" s="215" t="s">
        <v>4250</v>
      </c>
    </row>
    <row r="1671" customFormat="false" ht="12" hidden="false" customHeight="false" outlineLevel="0" collapsed="false">
      <c r="A1671" s="215" t="s">
        <v>4251</v>
      </c>
    </row>
    <row r="1672" customFormat="false" ht="12" hidden="false" customHeight="false" outlineLevel="0" collapsed="false">
      <c r="A1672" s="215" t="s">
        <v>4252</v>
      </c>
    </row>
    <row r="1673" customFormat="false" ht="12" hidden="false" customHeight="false" outlineLevel="0" collapsed="false">
      <c r="A1673" s="215" t="s">
        <v>4253</v>
      </c>
    </row>
    <row r="1674" customFormat="false" ht="12" hidden="false" customHeight="false" outlineLevel="0" collapsed="false">
      <c r="A1674" s="215" t="s">
        <v>4254</v>
      </c>
    </row>
    <row r="1675" customFormat="false" ht="12" hidden="false" customHeight="false" outlineLevel="0" collapsed="false">
      <c r="A1675" s="215" t="s">
        <v>4255</v>
      </c>
    </row>
    <row r="1676" customFormat="false" ht="12" hidden="false" customHeight="false" outlineLevel="0" collapsed="false">
      <c r="A1676" s="215" t="s">
        <v>4256</v>
      </c>
    </row>
    <row r="1677" customFormat="false" ht="12" hidden="false" customHeight="false" outlineLevel="0" collapsed="false">
      <c r="A1677" s="215" t="s">
        <v>4257</v>
      </c>
    </row>
    <row r="1678" customFormat="false" ht="12" hidden="false" customHeight="false" outlineLevel="0" collapsed="false">
      <c r="A1678" s="215" t="s">
        <v>4258</v>
      </c>
    </row>
    <row r="1679" customFormat="false" ht="12" hidden="false" customHeight="false" outlineLevel="0" collapsed="false">
      <c r="A1679" s="215" t="s">
        <v>4259</v>
      </c>
    </row>
    <row r="1680" customFormat="false" ht="12" hidden="false" customHeight="false" outlineLevel="0" collapsed="false">
      <c r="A1680" s="215" t="s">
        <v>4260</v>
      </c>
    </row>
    <row r="1681" customFormat="false" ht="12" hidden="false" customHeight="false" outlineLevel="0" collapsed="false">
      <c r="A1681" s="215" t="s">
        <v>4261</v>
      </c>
    </row>
    <row r="1682" customFormat="false" ht="12" hidden="false" customHeight="false" outlineLevel="0" collapsed="false">
      <c r="A1682" s="215" t="s">
        <v>4262</v>
      </c>
    </row>
    <row r="1683" customFormat="false" ht="12" hidden="false" customHeight="false" outlineLevel="0" collapsed="false">
      <c r="A1683" s="215" t="s">
        <v>4263</v>
      </c>
    </row>
    <row r="1684" customFormat="false" ht="12" hidden="false" customHeight="false" outlineLevel="0" collapsed="false">
      <c r="A1684" s="215" t="s">
        <v>4264</v>
      </c>
    </row>
    <row r="1685" customFormat="false" ht="12" hidden="false" customHeight="false" outlineLevel="0" collapsed="false">
      <c r="A1685" s="215" t="s">
        <v>4265</v>
      </c>
    </row>
    <row r="1686" customFormat="false" ht="12" hidden="false" customHeight="false" outlineLevel="0" collapsed="false">
      <c r="A1686" s="215" t="s">
        <v>4266</v>
      </c>
    </row>
    <row r="1687" customFormat="false" ht="12" hidden="false" customHeight="false" outlineLevel="0" collapsed="false">
      <c r="A1687" s="215" t="s">
        <v>4267</v>
      </c>
    </row>
    <row r="1688" customFormat="false" ht="12" hidden="false" customHeight="false" outlineLevel="0" collapsed="false">
      <c r="A1688" s="215" t="s">
        <v>4268</v>
      </c>
    </row>
    <row r="1689" customFormat="false" ht="12" hidden="false" customHeight="false" outlineLevel="0" collapsed="false">
      <c r="A1689" s="215" t="s">
        <v>4269</v>
      </c>
    </row>
    <row r="1690" customFormat="false" ht="12" hidden="false" customHeight="false" outlineLevel="0" collapsed="false">
      <c r="A1690" s="215" t="s">
        <v>4270</v>
      </c>
    </row>
    <row r="1691" customFormat="false" ht="12" hidden="false" customHeight="false" outlineLevel="0" collapsed="false">
      <c r="A1691" s="215" t="s">
        <v>4271</v>
      </c>
    </row>
    <row r="1692" customFormat="false" ht="12" hidden="false" customHeight="false" outlineLevel="0" collapsed="false">
      <c r="A1692" s="215" t="s">
        <v>4272</v>
      </c>
    </row>
    <row r="1693" customFormat="false" ht="12" hidden="false" customHeight="false" outlineLevel="0" collapsed="false">
      <c r="A1693" s="215" t="s">
        <v>4273</v>
      </c>
    </row>
    <row r="1694" customFormat="false" ht="12" hidden="false" customHeight="false" outlineLevel="0" collapsed="false">
      <c r="A1694" s="215" t="s">
        <v>4274</v>
      </c>
    </row>
    <row r="1695" customFormat="false" ht="12" hidden="false" customHeight="false" outlineLevel="0" collapsed="false">
      <c r="A1695" s="215" t="s">
        <v>4275</v>
      </c>
    </row>
    <row r="1696" customFormat="false" ht="12" hidden="false" customHeight="false" outlineLevel="0" collapsed="false">
      <c r="A1696" s="215" t="s">
        <v>4276</v>
      </c>
    </row>
    <row r="1697" customFormat="false" ht="12" hidden="false" customHeight="false" outlineLevel="0" collapsed="false">
      <c r="A1697" s="215" t="s">
        <v>4277</v>
      </c>
    </row>
    <row r="1698" customFormat="false" ht="12" hidden="false" customHeight="false" outlineLevel="0" collapsed="false">
      <c r="A1698" s="215" t="s">
        <v>4278</v>
      </c>
    </row>
    <row r="1699" customFormat="false" ht="12" hidden="false" customHeight="false" outlineLevel="0" collapsed="false">
      <c r="A1699" s="215" t="s">
        <v>4279</v>
      </c>
    </row>
    <row r="1700" customFormat="false" ht="12" hidden="false" customHeight="false" outlineLevel="0" collapsed="false">
      <c r="A1700" s="215" t="s">
        <v>4280</v>
      </c>
    </row>
    <row r="1701" customFormat="false" ht="12" hidden="false" customHeight="false" outlineLevel="0" collapsed="false">
      <c r="A1701" s="215" t="s">
        <v>4281</v>
      </c>
    </row>
    <row r="1702" customFormat="false" ht="12" hidden="false" customHeight="false" outlineLevel="0" collapsed="false">
      <c r="A1702" s="215" t="s">
        <v>4282</v>
      </c>
    </row>
    <row r="1703" customFormat="false" ht="12" hidden="false" customHeight="false" outlineLevel="0" collapsed="false">
      <c r="A1703" s="215" t="s">
        <v>4283</v>
      </c>
    </row>
    <row r="1704" customFormat="false" ht="12" hidden="false" customHeight="false" outlineLevel="0" collapsed="false">
      <c r="A1704" s="215" t="s">
        <v>4284</v>
      </c>
    </row>
    <row r="1705" customFormat="false" ht="12" hidden="false" customHeight="false" outlineLevel="0" collapsed="false">
      <c r="A1705" s="215" t="s">
        <v>4285</v>
      </c>
    </row>
    <row r="1706" customFormat="false" ht="12" hidden="false" customHeight="false" outlineLevel="0" collapsed="false">
      <c r="A1706" s="215" t="s">
        <v>4286</v>
      </c>
    </row>
    <row r="1707" customFormat="false" ht="12" hidden="false" customHeight="false" outlineLevel="0" collapsed="false">
      <c r="A1707" s="215" t="s">
        <v>4287</v>
      </c>
    </row>
    <row r="1708" customFormat="false" ht="12" hidden="false" customHeight="false" outlineLevel="0" collapsed="false">
      <c r="A1708" s="215" t="s">
        <v>4288</v>
      </c>
    </row>
    <row r="1709" customFormat="false" ht="12" hidden="false" customHeight="false" outlineLevel="0" collapsed="false">
      <c r="A1709" s="215" t="s">
        <v>4289</v>
      </c>
    </row>
    <row r="1710" customFormat="false" ht="12" hidden="false" customHeight="false" outlineLevel="0" collapsed="false">
      <c r="A1710" s="215" t="s">
        <v>4290</v>
      </c>
    </row>
    <row r="1711" customFormat="false" ht="12" hidden="false" customHeight="false" outlineLevel="0" collapsed="false">
      <c r="A1711" s="215" t="s">
        <v>4291</v>
      </c>
    </row>
    <row r="1712" customFormat="false" ht="12" hidden="false" customHeight="false" outlineLevel="0" collapsed="false">
      <c r="A1712" s="215" t="s">
        <v>4292</v>
      </c>
    </row>
    <row r="1713" customFormat="false" ht="12" hidden="false" customHeight="false" outlineLevel="0" collapsed="false">
      <c r="A1713" s="215" t="s">
        <v>4293</v>
      </c>
    </row>
    <row r="1714" customFormat="false" ht="12" hidden="false" customHeight="false" outlineLevel="0" collapsed="false">
      <c r="A1714" s="215" t="s">
        <v>4294</v>
      </c>
    </row>
    <row r="1715" customFormat="false" ht="12" hidden="false" customHeight="false" outlineLevel="0" collapsed="false">
      <c r="A1715" s="215" t="s">
        <v>4295</v>
      </c>
    </row>
    <row r="1716" customFormat="false" ht="12" hidden="false" customHeight="false" outlineLevel="0" collapsed="false">
      <c r="A1716" s="215" t="s">
        <v>4296</v>
      </c>
    </row>
    <row r="1717" customFormat="false" ht="12" hidden="false" customHeight="false" outlineLevel="0" collapsed="false">
      <c r="A1717" s="215" t="s">
        <v>4297</v>
      </c>
    </row>
    <row r="1718" customFormat="false" ht="12" hidden="false" customHeight="false" outlineLevel="0" collapsed="false">
      <c r="A1718" s="215" t="s">
        <v>4298</v>
      </c>
    </row>
    <row r="1719" customFormat="false" ht="12" hidden="false" customHeight="false" outlineLevel="0" collapsed="false">
      <c r="A1719" s="215" t="s">
        <v>4299</v>
      </c>
    </row>
    <row r="1720" customFormat="false" ht="12" hidden="false" customHeight="false" outlineLevel="0" collapsed="false">
      <c r="A1720" s="215" t="s">
        <v>4300</v>
      </c>
    </row>
    <row r="1721" customFormat="false" ht="12" hidden="false" customHeight="false" outlineLevel="0" collapsed="false">
      <c r="A1721" s="215" t="s">
        <v>4301</v>
      </c>
    </row>
    <row r="1722" customFormat="false" ht="12" hidden="false" customHeight="false" outlineLevel="0" collapsed="false">
      <c r="A1722" s="215" t="s">
        <v>4302</v>
      </c>
    </row>
    <row r="1723" customFormat="false" ht="12" hidden="false" customHeight="false" outlineLevel="0" collapsed="false">
      <c r="A1723" s="215" t="s">
        <v>4303</v>
      </c>
    </row>
    <row r="1724" customFormat="false" ht="12" hidden="false" customHeight="false" outlineLevel="0" collapsed="false">
      <c r="A1724" s="215" t="s">
        <v>4304</v>
      </c>
    </row>
    <row r="1725" customFormat="false" ht="12" hidden="false" customHeight="false" outlineLevel="0" collapsed="false">
      <c r="A1725" s="215" t="s">
        <v>4305</v>
      </c>
    </row>
    <row r="1726" customFormat="false" ht="12" hidden="false" customHeight="false" outlineLevel="0" collapsed="false">
      <c r="A1726" s="215" t="s">
        <v>4306</v>
      </c>
    </row>
    <row r="1727" customFormat="false" ht="12" hidden="false" customHeight="false" outlineLevel="0" collapsed="false">
      <c r="A1727" s="215" t="s">
        <v>4307</v>
      </c>
    </row>
    <row r="1728" customFormat="false" ht="12" hidden="false" customHeight="false" outlineLevel="0" collapsed="false">
      <c r="A1728" s="215" t="s">
        <v>4308</v>
      </c>
    </row>
    <row r="1729" customFormat="false" ht="12" hidden="false" customHeight="false" outlineLevel="0" collapsed="false">
      <c r="A1729" s="215" t="s">
        <v>4309</v>
      </c>
    </row>
    <row r="1730" customFormat="false" ht="12" hidden="false" customHeight="false" outlineLevel="0" collapsed="false">
      <c r="A1730" s="215" t="s">
        <v>4310</v>
      </c>
    </row>
    <row r="1731" customFormat="false" ht="12" hidden="false" customHeight="false" outlineLevel="0" collapsed="false">
      <c r="A1731" s="215" t="s">
        <v>4311</v>
      </c>
    </row>
    <row r="1732" customFormat="false" ht="12" hidden="false" customHeight="false" outlineLevel="0" collapsed="false">
      <c r="A1732" s="215" t="s">
        <v>4312</v>
      </c>
    </row>
    <row r="1733" customFormat="false" ht="12" hidden="false" customHeight="false" outlineLevel="0" collapsed="false">
      <c r="A1733" s="215" t="s">
        <v>4313</v>
      </c>
    </row>
    <row r="1734" customFormat="false" ht="12" hidden="false" customHeight="false" outlineLevel="0" collapsed="false">
      <c r="A1734" s="215" t="s">
        <v>4314</v>
      </c>
    </row>
    <row r="1735" customFormat="false" ht="12" hidden="false" customHeight="false" outlineLevel="0" collapsed="false">
      <c r="A1735" s="215" t="s">
        <v>4315</v>
      </c>
    </row>
    <row r="1736" customFormat="false" ht="12" hidden="false" customHeight="false" outlineLevel="0" collapsed="false">
      <c r="A1736" s="215" t="s">
        <v>4316</v>
      </c>
    </row>
    <row r="1737" customFormat="false" ht="12" hidden="false" customHeight="false" outlineLevel="0" collapsed="false">
      <c r="A1737" s="215" t="s">
        <v>4317</v>
      </c>
    </row>
    <row r="1738" customFormat="false" ht="12" hidden="false" customHeight="false" outlineLevel="0" collapsed="false">
      <c r="A1738" s="215" t="s">
        <v>4318</v>
      </c>
    </row>
    <row r="1739" customFormat="false" ht="12" hidden="false" customHeight="false" outlineLevel="0" collapsed="false">
      <c r="A1739" s="215" t="s">
        <v>4319</v>
      </c>
    </row>
    <row r="1740" customFormat="false" ht="12" hidden="false" customHeight="false" outlineLevel="0" collapsed="false">
      <c r="A1740" s="215" t="s">
        <v>4320</v>
      </c>
    </row>
    <row r="1741" customFormat="false" ht="12" hidden="false" customHeight="false" outlineLevel="0" collapsed="false">
      <c r="A1741" s="215" t="s">
        <v>4321</v>
      </c>
    </row>
    <row r="1742" customFormat="false" ht="12" hidden="false" customHeight="false" outlineLevel="0" collapsed="false">
      <c r="A1742" s="215" t="s">
        <v>4322</v>
      </c>
    </row>
    <row r="1743" customFormat="false" ht="12" hidden="false" customHeight="false" outlineLevel="0" collapsed="false">
      <c r="A1743" s="215" t="s">
        <v>4323</v>
      </c>
    </row>
    <row r="1744" customFormat="false" ht="12" hidden="false" customHeight="false" outlineLevel="0" collapsed="false">
      <c r="A1744" s="215" t="s">
        <v>4324</v>
      </c>
    </row>
    <row r="1745" customFormat="false" ht="12" hidden="false" customHeight="false" outlineLevel="0" collapsed="false">
      <c r="A1745" s="215" t="s">
        <v>4325</v>
      </c>
    </row>
    <row r="1746" customFormat="false" ht="12" hidden="false" customHeight="false" outlineLevel="0" collapsed="false">
      <c r="A1746" s="215" t="s">
        <v>4326</v>
      </c>
    </row>
    <row r="1747" customFormat="false" ht="12" hidden="false" customHeight="false" outlineLevel="0" collapsed="false">
      <c r="A1747" s="215" t="s">
        <v>4327</v>
      </c>
    </row>
    <row r="1748" customFormat="false" ht="12" hidden="false" customHeight="false" outlineLevel="0" collapsed="false">
      <c r="A1748" s="215" t="s">
        <v>4328</v>
      </c>
    </row>
    <row r="1749" customFormat="false" ht="12" hidden="false" customHeight="false" outlineLevel="0" collapsed="false">
      <c r="A1749" s="215" t="s">
        <v>4329</v>
      </c>
    </row>
    <row r="1750" customFormat="false" ht="12" hidden="false" customHeight="false" outlineLevel="0" collapsed="false">
      <c r="A1750" s="215" t="s">
        <v>4330</v>
      </c>
    </row>
    <row r="1751" customFormat="false" ht="12" hidden="false" customHeight="false" outlineLevel="0" collapsed="false">
      <c r="A1751" s="215" t="s">
        <v>4331</v>
      </c>
    </row>
    <row r="1752" customFormat="false" ht="12" hidden="false" customHeight="false" outlineLevel="0" collapsed="false">
      <c r="A1752" s="215" t="s">
        <v>4332</v>
      </c>
    </row>
    <row r="1753" customFormat="false" ht="12" hidden="false" customHeight="false" outlineLevel="0" collapsed="false">
      <c r="A1753" s="215" t="s">
        <v>4333</v>
      </c>
    </row>
    <row r="1754" customFormat="false" ht="12" hidden="false" customHeight="false" outlineLevel="0" collapsed="false">
      <c r="A1754" s="215" t="s">
        <v>4334</v>
      </c>
    </row>
    <row r="1755" customFormat="false" ht="12" hidden="false" customHeight="false" outlineLevel="0" collapsed="false">
      <c r="A1755" s="215" t="s">
        <v>4335</v>
      </c>
    </row>
    <row r="1756" customFormat="false" ht="12" hidden="false" customHeight="false" outlineLevel="0" collapsed="false">
      <c r="A1756" s="215" t="s">
        <v>4336</v>
      </c>
    </row>
    <row r="1757" customFormat="false" ht="12" hidden="false" customHeight="false" outlineLevel="0" collapsed="false">
      <c r="A1757" s="215" t="s">
        <v>4337</v>
      </c>
    </row>
    <row r="1758" customFormat="false" ht="12" hidden="false" customHeight="false" outlineLevel="0" collapsed="false">
      <c r="A1758" s="215" t="s">
        <v>4338</v>
      </c>
    </row>
    <row r="1759" customFormat="false" ht="12" hidden="false" customHeight="false" outlineLevel="0" collapsed="false">
      <c r="A1759" s="215" t="s">
        <v>4339</v>
      </c>
    </row>
    <row r="1760" customFormat="false" ht="12" hidden="false" customHeight="false" outlineLevel="0" collapsed="false">
      <c r="A1760" s="215" t="s">
        <v>4340</v>
      </c>
    </row>
    <row r="1761" customFormat="false" ht="12" hidden="false" customHeight="false" outlineLevel="0" collapsed="false">
      <c r="A1761" s="215" t="s">
        <v>4341</v>
      </c>
    </row>
    <row r="1762" customFormat="false" ht="12" hidden="false" customHeight="false" outlineLevel="0" collapsed="false">
      <c r="A1762" s="215" t="s">
        <v>4342</v>
      </c>
    </row>
    <row r="1763" customFormat="false" ht="12" hidden="false" customHeight="false" outlineLevel="0" collapsed="false">
      <c r="A1763" s="215" t="s">
        <v>4343</v>
      </c>
    </row>
    <row r="1764" customFormat="false" ht="12" hidden="false" customHeight="false" outlineLevel="0" collapsed="false">
      <c r="A1764" s="215" t="s">
        <v>4344</v>
      </c>
    </row>
    <row r="1765" customFormat="false" ht="12" hidden="false" customHeight="false" outlineLevel="0" collapsed="false">
      <c r="A1765" s="215" t="s">
        <v>4345</v>
      </c>
    </row>
    <row r="1766" customFormat="false" ht="12" hidden="false" customHeight="false" outlineLevel="0" collapsed="false">
      <c r="A1766" s="215" t="s">
        <v>4346</v>
      </c>
    </row>
    <row r="1767" customFormat="false" ht="12" hidden="false" customHeight="false" outlineLevel="0" collapsed="false">
      <c r="A1767" s="215" t="s">
        <v>4347</v>
      </c>
    </row>
    <row r="1768" customFormat="false" ht="12" hidden="false" customHeight="false" outlineLevel="0" collapsed="false">
      <c r="A1768" s="215" t="s">
        <v>4348</v>
      </c>
    </row>
    <row r="1769" customFormat="false" ht="12" hidden="false" customHeight="false" outlineLevel="0" collapsed="false">
      <c r="A1769" s="215" t="s">
        <v>4349</v>
      </c>
    </row>
    <row r="1770" customFormat="false" ht="12" hidden="false" customHeight="false" outlineLevel="0" collapsed="false">
      <c r="A1770" s="215" t="s">
        <v>4350</v>
      </c>
    </row>
    <row r="1771" customFormat="false" ht="12" hidden="false" customHeight="false" outlineLevel="0" collapsed="false">
      <c r="A1771" s="215" t="s">
        <v>4351</v>
      </c>
    </row>
    <row r="1772" customFormat="false" ht="12" hidden="false" customHeight="false" outlineLevel="0" collapsed="false">
      <c r="A1772" s="215" t="s">
        <v>4352</v>
      </c>
    </row>
    <row r="1773" customFormat="false" ht="12" hidden="false" customHeight="false" outlineLevel="0" collapsed="false">
      <c r="A1773" s="215" t="s">
        <v>4353</v>
      </c>
    </row>
    <row r="1774" customFormat="false" ht="12" hidden="false" customHeight="false" outlineLevel="0" collapsed="false">
      <c r="A1774" s="215" t="s">
        <v>4354</v>
      </c>
    </row>
    <row r="1775" customFormat="false" ht="12" hidden="false" customHeight="false" outlineLevel="0" collapsed="false">
      <c r="A1775" s="215" t="s">
        <v>4355</v>
      </c>
    </row>
    <row r="1776" customFormat="false" ht="12" hidden="false" customHeight="false" outlineLevel="0" collapsed="false">
      <c r="A1776" s="215" t="s">
        <v>4356</v>
      </c>
    </row>
    <row r="1777" customFormat="false" ht="12" hidden="false" customHeight="false" outlineLevel="0" collapsed="false">
      <c r="A1777" s="215" t="s">
        <v>4357</v>
      </c>
    </row>
    <row r="1778" customFormat="false" ht="12" hidden="false" customHeight="false" outlineLevel="0" collapsed="false">
      <c r="A1778" s="215" t="s">
        <v>4358</v>
      </c>
    </row>
    <row r="1779" customFormat="false" ht="12" hidden="false" customHeight="false" outlineLevel="0" collapsed="false">
      <c r="A1779" s="215" t="s">
        <v>4359</v>
      </c>
    </row>
    <row r="1780" customFormat="false" ht="12" hidden="false" customHeight="false" outlineLevel="0" collapsed="false">
      <c r="A1780" s="215" t="s">
        <v>4360</v>
      </c>
    </row>
    <row r="1781" customFormat="false" ht="12" hidden="false" customHeight="false" outlineLevel="0" collapsed="false">
      <c r="A1781" s="215" t="s">
        <v>4361</v>
      </c>
    </row>
    <row r="1782" customFormat="false" ht="12" hidden="false" customHeight="false" outlineLevel="0" collapsed="false">
      <c r="A1782" s="215" t="s">
        <v>4362</v>
      </c>
    </row>
    <row r="1783" customFormat="false" ht="12" hidden="false" customHeight="false" outlineLevel="0" collapsed="false">
      <c r="A1783" s="215" t="s">
        <v>4363</v>
      </c>
    </row>
    <row r="1784" customFormat="false" ht="12" hidden="false" customHeight="false" outlineLevel="0" collapsed="false">
      <c r="A1784" s="215" t="s">
        <v>4364</v>
      </c>
    </row>
    <row r="1785" customFormat="false" ht="12" hidden="false" customHeight="false" outlineLevel="0" collapsed="false">
      <c r="A1785" s="215" t="s">
        <v>4365</v>
      </c>
    </row>
    <row r="1786" customFormat="false" ht="12" hidden="false" customHeight="false" outlineLevel="0" collapsed="false">
      <c r="A1786" s="215" t="s">
        <v>4366</v>
      </c>
    </row>
    <row r="1787" customFormat="false" ht="12" hidden="false" customHeight="false" outlineLevel="0" collapsed="false">
      <c r="A1787" s="215" t="s">
        <v>4367</v>
      </c>
    </row>
    <row r="1788" customFormat="false" ht="12" hidden="false" customHeight="false" outlineLevel="0" collapsed="false">
      <c r="A1788" s="215" t="s">
        <v>4368</v>
      </c>
    </row>
    <row r="1789" customFormat="false" ht="12" hidden="false" customHeight="false" outlineLevel="0" collapsed="false">
      <c r="A1789" s="215" t="s">
        <v>4369</v>
      </c>
    </row>
    <row r="1790" customFormat="false" ht="12" hidden="false" customHeight="false" outlineLevel="0" collapsed="false">
      <c r="A1790" s="215" t="s">
        <v>4370</v>
      </c>
    </row>
    <row r="1791" customFormat="false" ht="12" hidden="false" customHeight="false" outlineLevel="0" collapsed="false">
      <c r="A1791" s="215" t="s">
        <v>4371</v>
      </c>
    </row>
    <row r="1792" customFormat="false" ht="12" hidden="false" customHeight="false" outlineLevel="0" collapsed="false">
      <c r="A1792" s="215" t="s">
        <v>4372</v>
      </c>
    </row>
    <row r="1793" customFormat="false" ht="12" hidden="false" customHeight="false" outlineLevel="0" collapsed="false">
      <c r="A1793" s="215" t="s">
        <v>4373</v>
      </c>
    </row>
    <row r="1794" customFormat="false" ht="12" hidden="false" customHeight="false" outlineLevel="0" collapsed="false">
      <c r="A1794" s="215" t="s">
        <v>4374</v>
      </c>
    </row>
    <row r="1795" customFormat="false" ht="12" hidden="false" customHeight="false" outlineLevel="0" collapsed="false">
      <c r="A1795" s="215" t="s">
        <v>4375</v>
      </c>
    </row>
    <row r="1796" customFormat="false" ht="12" hidden="false" customHeight="false" outlineLevel="0" collapsed="false">
      <c r="A1796" s="215" t="s">
        <v>4376</v>
      </c>
    </row>
    <row r="1797" customFormat="false" ht="12" hidden="false" customHeight="false" outlineLevel="0" collapsed="false">
      <c r="A1797" s="215" t="s">
        <v>4377</v>
      </c>
    </row>
    <row r="1798" customFormat="false" ht="12" hidden="false" customHeight="false" outlineLevel="0" collapsed="false">
      <c r="A1798" s="215" t="s">
        <v>4378</v>
      </c>
    </row>
    <row r="1799" customFormat="false" ht="12" hidden="false" customHeight="false" outlineLevel="0" collapsed="false">
      <c r="A1799" s="215" t="s">
        <v>4379</v>
      </c>
    </row>
    <row r="1800" customFormat="false" ht="12" hidden="false" customHeight="false" outlineLevel="0" collapsed="false">
      <c r="A1800" s="215" t="s">
        <v>4380</v>
      </c>
    </row>
    <row r="1801" customFormat="false" ht="12" hidden="false" customHeight="false" outlineLevel="0" collapsed="false">
      <c r="A1801" s="215" t="s">
        <v>4381</v>
      </c>
    </row>
    <row r="1802" customFormat="false" ht="12" hidden="false" customHeight="false" outlineLevel="0" collapsed="false">
      <c r="A1802" s="215" t="s">
        <v>4382</v>
      </c>
    </row>
    <row r="1803" customFormat="false" ht="12" hidden="false" customHeight="false" outlineLevel="0" collapsed="false">
      <c r="A1803" s="215" t="s">
        <v>4383</v>
      </c>
    </row>
    <row r="1804" customFormat="false" ht="12" hidden="false" customHeight="false" outlineLevel="0" collapsed="false">
      <c r="A1804" s="215" t="s">
        <v>4384</v>
      </c>
    </row>
    <row r="1805" customFormat="false" ht="12" hidden="false" customHeight="false" outlineLevel="0" collapsed="false">
      <c r="A1805" s="215" t="s">
        <v>4385</v>
      </c>
    </row>
    <row r="1806" customFormat="false" ht="12" hidden="false" customHeight="false" outlineLevel="0" collapsed="false">
      <c r="A1806" s="215" t="s">
        <v>4386</v>
      </c>
    </row>
    <row r="1807" customFormat="false" ht="12" hidden="false" customHeight="false" outlineLevel="0" collapsed="false">
      <c r="A1807" s="215" t="s">
        <v>4387</v>
      </c>
    </row>
    <row r="1808" customFormat="false" ht="12" hidden="false" customHeight="false" outlineLevel="0" collapsed="false">
      <c r="A1808" s="215" t="s">
        <v>4388</v>
      </c>
    </row>
    <row r="1809" customFormat="false" ht="12" hidden="false" customHeight="false" outlineLevel="0" collapsed="false">
      <c r="A1809" s="215" t="s">
        <v>4389</v>
      </c>
    </row>
    <row r="1810" customFormat="false" ht="12" hidden="false" customHeight="false" outlineLevel="0" collapsed="false">
      <c r="A1810" s="215" t="s">
        <v>4390</v>
      </c>
    </row>
    <row r="1811" customFormat="false" ht="12" hidden="false" customHeight="false" outlineLevel="0" collapsed="false">
      <c r="A1811" s="215" t="s">
        <v>4391</v>
      </c>
    </row>
    <row r="1812" customFormat="false" ht="12" hidden="false" customHeight="false" outlineLevel="0" collapsed="false">
      <c r="A1812" s="215" t="s">
        <v>4392</v>
      </c>
    </row>
    <row r="1813" customFormat="false" ht="12" hidden="false" customHeight="false" outlineLevel="0" collapsed="false">
      <c r="A1813" s="215" t="s">
        <v>4393</v>
      </c>
    </row>
    <row r="1814" customFormat="false" ht="12" hidden="false" customHeight="false" outlineLevel="0" collapsed="false">
      <c r="A1814" s="215" t="s">
        <v>4394</v>
      </c>
    </row>
    <row r="1815" customFormat="false" ht="12" hidden="false" customHeight="false" outlineLevel="0" collapsed="false">
      <c r="A1815" s="215" t="s">
        <v>4395</v>
      </c>
    </row>
    <row r="1816" customFormat="false" ht="12" hidden="false" customHeight="false" outlineLevel="0" collapsed="false">
      <c r="A1816" s="215" t="s">
        <v>4396</v>
      </c>
    </row>
    <row r="1817" customFormat="false" ht="12" hidden="false" customHeight="false" outlineLevel="0" collapsed="false">
      <c r="A1817" s="215" t="s">
        <v>4397</v>
      </c>
    </row>
    <row r="1818" customFormat="false" ht="12" hidden="false" customHeight="false" outlineLevel="0" collapsed="false">
      <c r="A1818" s="215" t="s">
        <v>4398</v>
      </c>
    </row>
    <row r="1819" customFormat="false" ht="12" hidden="false" customHeight="false" outlineLevel="0" collapsed="false">
      <c r="A1819" s="215" t="s">
        <v>4399</v>
      </c>
    </row>
    <row r="1820" customFormat="false" ht="12" hidden="false" customHeight="false" outlineLevel="0" collapsed="false">
      <c r="A1820" s="215" t="s">
        <v>4400</v>
      </c>
    </row>
    <row r="1821" customFormat="false" ht="12" hidden="false" customHeight="false" outlineLevel="0" collapsed="false">
      <c r="A1821" s="215" t="s">
        <v>4401</v>
      </c>
    </row>
    <row r="1822" customFormat="false" ht="12" hidden="false" customHeight="false" outlineLevel="0" collapsed="false">
      <c r="A1822" s="215" t="s">
        <v>4402</v>
      </c>
    </row>
    <row r="1823" customFormat="false" ht="12" hidden="false" customHeight="false" outlineLevel="0" collapsed="false">
      <c r="A1823" s="215" t="s">
        <v>4403</v>
      </c>
    </row>
    <row r="1824" customFormat="false" ht="12" hidden="false" customHeight="false" outlineLevel="0" collapsed="false">
      <c r="A1824" s="215" t="s">
        <v>4404</v>
      </c>
    </row>
    <row r="1825" customFormat="false" ht="12" hidden="false" customHeight="false" outlineLevel="0" collapsed="false">
      <c r="A1825" s="215" t="s">
        <v>4405</v>
      </c>
    </row>
    <row r="1826" customFormat="false" ht="12" hidden="false" customHeight="false" outlineLevel="0" collapsed="false">
      <c r="A1826" s="215" t="s">
        <v>4406</v>
      </c>
    </row>
    <row r="1827" customFormat="false" ht="12" hidden="false" customHeight="false" outlineLevel="0" collapsed="false">
      <c r="A1827" s="215" t="s">
        <v>4407</v>
      </c>
    </row>
    <row r="1828" customFormat="false" ht="12" hidden="false" customHeight="false" outlineLevel="0" collapsed="false">
      <c r="A1828" s="215" t="s">
        <v>4408</v>
      </c>
    </row>
    <row r="1829" customFormat="false" ht="12" hidden="false" customHeight="false" outlineLevel="0" collapsed="false">
      <c r="A1829" s="215" t="s">
        <v>4409</v>
      </c>
    </row>
    <row r="1830" customFormat="false" ht="12" hidden="false" customHeight="false" outlineLevel="0" collapsed="false">
      <c r="A1830" s="215" t="s">
        <v>4410</v>
      </c>
    </row>
    <row r="1831" customFormat="false" ht="12" hidden="false" customHeight="false" outlineLevel="0" collapsed="false">
      <c r="A1831" s="215" t="s">
        <v>4411</v>
      </c>
    </row>
    <row r="1832" customFormat="false" ht="12" hidden="false" customHeight="false" outlineLevel="0" collapsed="false">
      <c r="A1832" s="215" t="s">
        <v>4412</v>
      </c>
    </row>
    <row r="1833" customFormat="false" ht="12" hidden="false" customHeight="false" outlineLevel="0" collapsed="false">
      <c r="A1833" s="215" t="s">
        <v>4413</v>
      </c>
    </row>
    <row r="1834" customFormat="false" ht="12" hidden="false" customHeight="false" outlineLevel="0" collapsed="false">
      <c r="A1834" s="215" t="s">
        <v>4414</v>
      </c>
    </row>
    <row r="1835" customFormat="false" ht="12" hidden="false" customHeight="false" outlineLevel="0" collapsed="false">
      <c r="A1835" s="215" t="s">
        <v>4415</v>
      </c>
    </row>
    <row r="1836" customFormat="false" ht="12" hidden="false" customHeight="false" outlineLevel="0" collapsed="false">
      <c r="A1836" s="215" t="s">
        <v>4416</v>
      </c>
    </row>
    <row r="1837" customFormat="false" ht="12" hidden="false" customHeight="false" outlineLevel="0" collapsed="false">
      <c r="A1837" s="215" t="s">
        <v>4417</v>
      </c>
    </row>
    <row r="1838" customFormat="false" ht="12" hidden="false" customHeight="false" outlineLevel="0" collapsed="false">
      <c r="A1838" s="215" t="s">
        <v>4418</v>
      </c>
    </row>
    <row r="1839" customFormat="false" ht="12" hidden="false" customHeight="false" outlineLevel="0" collapsed="false">
      <c r="A1839" s="215" t="s">
        <v>4419</v>
      </c>
    </row>
    <row r="1840" customFormat="false" ht="12" hidden="false" customHeight="false" outlineLevel="0" collapsed="false">
      <c r="A1840" s="215" t="s">
        <v>4420</v>
      </c>
    </row>
    <row r="1841" customFormat="false" ht="12" hidden="false" customHeight="false" outlineLevel="0" collapsed="false">
      <c r="A1841" s="215" t="s">
        <v>4421</v>
      </c>
    </row>
    <row r="1842" customFormat="false" ht="12" hidden="false" customHeight="false" outlineLevel="0" collapsed="false">
      <c r="A1842" s="215" t="s">
        <v>4422</v>
      </c>
    </row>
    <row r="1843" customFormat="false" ht="12" hidden="false" customHeight="false" outlineLevel="0" collapsed="false">
      <c r="A1843" s="215" t="s">
        <v>4423</v>
      </c>
    </row>
    <row r="1844" customFormat="false" ht="12" hidden="false" customHeight="false" outlineLevel="0" collapsed="false">
      <c r="A1844" s="215" t="s">
        <v>4424</v>
      </c>
    </row>
    <row r="1845" customFormat="false" ht="12" hidden="false" customHeight="false" outlineLevel="0" collapsed="false">
      <c r="A1845" s="215" t="s">
        <v>4425</v>
      </c>
    </row>
    <row r="1846" customFormat="false" ht="12" hidden="false" customHeight="false" outlineLevel="0" collapsed="false">
      <c r="A1846" s="215" t="s">
        <v>4426</v>
      </c>
    </row>
    <row r="1847" customFormat="false" ht="12" hidden="false" customHeight="false" outlineLevel="0" collapsed="false">
      <c r="A1847" s="215" t="s">
        <v>4427</v>
      </c>
    </row>
    <row r="1848" customFormat="false" ht="12" hidden="false" customHeight="false" outlineLevel="0" collapsed="false">
      <c r="A1848" s="215" t="s">
        <v>4428</v>
      </c>
    </row>
    <row r="1849" customFormat="false" ht="12" hidden="false" customHeight="false" outlineLevel="0" collapsed="false">
      <c r="A1849" s="215" t="s">
        <v>4429</v>
      </c>
    </row>
    <row r="1850" customFormat="false" ht="12" hidden="false" customHeight="false" outlineLevel="0" collapsed="false">
      <c r="A1850" s="215" t="s">
        <v>4430</v>
      </c>
    </row>
    <row r="1851" customFormat="false" ht="12" hidden="false" customHeight="false" outlineLevel="0" collapsed="false">
      <c r="A1851" s="215" t="s">
        <v>4431</v>
      </c>
    </row>
    <row r="1852" customFormat="false" ht="12" hidden="false" customHeight="false" outlineLevel="0" collapsed="false">
      <c r="A1852" s="215" t="s">
        <v>4432</v>
      </c>
    </row>
    <row r="1853" customFormat="false" ht="12" hidden="false" customHeight="false" outlineLevel="0" collapsed="false">
      <c r="A1853" s="215" t="s">
        <v>4433</v>
      </c>
    </row>
    <row r="1854" customFormat="false" ht="12" hidden="false" customHeight="false" outlineLevel="0" collapsed="false">
      <c r="A1854" s="215" t="s">
        <v>4434</v>
      </c>
    </row>
    <row r="1855" customFormat="false" ht="12" hidden="false" customHeight="false" outlineLevel="0" collapsed="false">
      <c r="A1855" s="215" t="s">
        <v>4435</v>
      </c>
    </row>
    <row r="1856" customFormat="false" ht="12" hidden="false" customHeight="false" outlineLevel="0" collapsed="false">
      <c r="A1856" s="215" t="s">
        <v>4436</v>
      </c>
    </row>
    <row r="1857" customFormat="false" ht="12" hidden="false" customHeight="false" outlineLevel="0" collapsed="false">
      <c r="A1857" s="215" t="s">
        <v>4437</v>
      </c>
    </row>
    <row r="1858" customFormat="false" ht="12" hidden="false" customHeight="false" outlineLevel="0" collapsed="false">
      <c r="A1858" s="215" t="s">
        <v>4438</v>
      </c>
    </row>
    <row r="1859" customFormat="false" ht="12" hidden="false" customHeight="false" outlineLevel="0" collapsed="false">
      <c r="A1859" s="215" t="s">
        <v>4439</v>
      </c>
    </row>
    <row r="1860" customFormat="false" ht="12" hidden="false" customHeight="false" outlineLevel="0" collapsed="false">
      <c r="A1860" s="215" t="s">
        <v>4440</v>
      </c>
    </row>
    <row r="1861" customFormat="false" ht="12" hidden="false" customHeight="false" outlineLevel="0" collapsed="false">
      <c r="A1861" s="215" t="s">
        <v>4441</v>
      </c>
    </row>
    <row r="1862" customFormat="false" ht="12" hidden="false" customHeight="false" outlineLevel="0" collapsed="false">
      <c r="A1862" s="215" t="s">
        <v>4442</v>
      </c>
    </row>
    <row r="1863" customFormat="false" ht="12" hidden="false" customHeight="false" outlineLevel="0" collapsed="false">
      <c r="A1863" s="215" t="s">
        <v>4443</v>
      </c>
    </row>
    <row r="1864" customFormat="false" ht="12" hidden="false" customHeight="false" outlineLevel="0" collapsed="false">
      <c r="A1864" s="215" t="s">
        <v>4444</v>
      </c>
    </row>
    <row r="1865" customFormat="false" ht="12" hidden="false" customHeight="false" outlineLevel="0" collapsed="false">
      <c r="A1865" s="215" t="s">
        <v>4445</v>
      </c>
    </row>
    <row r="1866" customFormat="false" ht="12" hidden="false" customHeight="false" outlineLevel="0" collapsed="false">
      <c r="A1866" s="215" t="s">
        <v>4446</v>
      </c>
    </row>
    <row r="1867" customFormat="false" ht="12" hidden="false" customHeight="false" outlineLevel="0" collapsed="false">
      <c r="A1867" s="215" t="s">
        <v>4447</v>
      </c>
    </row>
    <row r="1868" customFormat="false" ht="12" hidden="false" customHeight="false" outlineLevel="0" collapsed="false">
      <c r="A1868" s="215" t="s">
        <v>4448</v>
      </c>
    </row>
    <row r="1869" customFormat="false" ht="12" hidden="false" customHeight="false" outlineLevel="0" collapsed="false">
      <c r="A1869" s="215" t="s">
        <v>4449</v>
      </c>
    </row>
    <row r="1870" customFormat="false" ht="12" hidden="false" customHeight="false" outlineLevel="0" collapsed="false">
      <c r="A1870" s="215" t="s">
        <v>4450</v>
      </c>
    </row>
    <row r="1871" customFormat="false" ht="12" hidden="false" customHeight="false" outlineLevel="0" collapsed="false">
      <c r="A1871" s="215" t="s">
        <v>4451</v>
      </c>
    </row>
    <row r="1872" customFormat="false" ht="12" hidden="false" customHeight="false" outlineLevel="0" collapsed="false">
      <c r="A1872" s="215" t="s">
        <v>4452</v>
      </c>
    </row>
    <row r="1873" customFormat="false" ht="12" hidden="false" customHeight="false" outlineLevel="0" collapsed="false">
      <c r="A1873" s="215" t="s">
        <v>4453</v>
      </c>
    </row>
    <row r="1874" customFormat="false" ht="12" hidden="false" customHeight="false" outlineLevel="0" collapsed="false">
      <c r="A1874" s="215" t="s">
        <v>4454</v>
      </c>
    </row>
    <row r="1875" customFormat="false" ht="12" hidden="false" customHeight="false" outlineLevel="0" collapsed="false">
      <c r="A1875" s="215" t="s">
        <v>4455</v>
      </c>
    </row>
    <row r="1876" customFormat="false" ht="12" hidden="false" customHeight="false" outlineLevel="0" collapsed="false">
      <c r="A1876" s="215" t="s">
        <v>4456</v>
      </c>
    </row>
    <row r="1877" customFormat="false" ht="12" hidden="false" customHeight="false" outlineLevel="0" collapsed="false">
      <c r="A1877" s="215" t="s">
        <v>4457</v>
      </c>
    </row>
    <row r="1878" customFormat="false" ht="12" hidden="false" customHeight="false" outlineLevel="0" collapsed="false">
      <c r="A1878" s="215" t="s">
        <v>4458</v>
      </c>
    </row>
    <row r="1879" customFormat="false" ht="12" hidden="false" customHeight="false" outlineLevel="0" collapsed="false">
      <c r="A1879" s="215" t="s">
        <v>4459</v>
      </c>
    </row>
    <row r="1880" customFormat="false" ht="12" hidden="false" customHeight="false" outlineLevel="0" collapsed="false">
      <c r="A1880" s="215" t="s">
        <v>4460</v>
      </c>
    </row>
    <row r="1881" customFormat="false" ht="12" hidden="false" customHeight="false" outlineLevel="0" collapsed="false">
      <c r="A1881" s="215" t="s">
        <v>4461</v>
      </c>
    </row>
    <row r="1882" customFormat="false" ht="12" hidden="false" customHeight="false" outlineLevel="0" collapsed="false">
      <c r="A1882" s="215" t="s">
        <v>4462</v>
      </c>
    </row>
    <row r="1883" customFormat="false" ht="12" hidden="false" customHeight="false" outlineLevel="0" collapsed="false">
      <c r="A1883" s="215" t="s">
        <v>4463</v>
      </c>
    </row>
    <row r="1884" customFormat="false" ht="12" hidden="false" customHeight="false" outlineLevel="0" collapsed="false">
      <c r="A1884" s="215" t="s">
        <v>4464</v>
      </c>
    </row>
    <row r="1885" customFormat="false" ht="12" hidden="false" customHeight="false" outlineLevel="0" collapsed="false">
      <c r="A1885" s="215" t="s">
        <v>4465</v>
      </c>
    </row>
    <row r="1886" customFormat="false" ht="12" hidden="false" customHeight="false" outlineLevel="0" collapsed="false">
      <c r="A1886" s="215" t="s">
        <v>4466</v>
      </c>
    </row>
    <row r="1887" customFormat="false" ht="12" hidden="false" customHeight="false" outlineLevel="0" collapsed="false">
      <c r="A1887" s="215" t="s">
        <v>4467</v>
      </c>
    </row>
    <row r="1888" customFormat="false" ht="12" hidden="false" customHeight="false" outlineLevel="0" collapsed="false">
      <c r="A1888" s="215" t="s">
        <v>4468</v>
      </c>
    </row>
    <row r="1889" customFormat="false" ht="12" hidden="false" customHeight="false" outlineLevel="0" collapsed="false">
      <c r="A1889" s="215" t="s">
        <v>4469</v>
      </c>
    </row>
    <row r="1890" customFormat="false" ht="12" hidden="false" customHeight="false" outlineLevel="0" collapsed="false">
      <c r="A1890" s="215" t="s">
        <v>4470</v>
      </c>
    </row>
    <row r="1891" customFormat="false" ht="12" hidden="false" customHeight="false" outlineLevel="0" collapsed="false">
      <c r="A1891" s="215" t="s">
        <v>4471</v>
      </c>
    </row>
    <row r="1892" customFormat="false" ht="12" hidden="false" customHeight="false" outlineLevel="0" collapsed="false">
      <c r="A1892" s="215" t="s">
        <v>4472</v>
      </c>
    </row>
    <row r="1893" customFormat="false" ht="12" hidden="false" customHeight="false" outlineLevel="0" collapsed="false">
      <c r="A1893" s="215" t="s">
        <v>4473</v>
      </c>
    </row>
    <row r="1894" customFormat="false" ht="12" hidden="false" customHeight="false" outlineLevel="0" collapsed="false">
      <c r="A1894" s="215" t="s">
        <v>4474</v>
      </c>
    </row>
    <row r="1895" customFormat="false" ht="12" hidden="false" customHeight="false" outlineLevel="0" collapsed="false">
      <c r="A1895" s="215" t="s">
        <v>4475</v>
      </c>
    </row>
    <row r="1896" customFormat="false" ht="12" hidden="false" customHeight="false" outlineLevel="0" collapsed="false">
      <c r="A1896" s="215" t="s">
        <v>4476</v>
      </c>
    </row>
    <row r="1897" customFormat="false" ht="12" hidden="false" customHeight="false" outlineLevel="0" collapsed="false">
      <c r="A1897" s="215" t="s">
        <v>4477</v>
      </c>
    </row>
    <row r="1898" customFormat="false" ht="12" hidden="false" customHeight="false" outlineLevel="0" collapsed="false">
      <c r="A1898" s="215" t="s">
        <v>4478</v>
      </c>
    </row>
    <row r="1899" customFormat="false" ht="12" hidden="false" customHeight="false" outlineLevel="0" collapsed="false">
      <c r="A1899" s="215" t="s">
        <v>4479</v>
      </c>
    </row>
    <row r="1900" customFormat="false" ht="12" hidden="false" customHeight="false" outlineLevel="0" collapsed="false">
      <c r="A1900" s="215" t="s">
        <v>4480</v>
      </c>
    </row>
    <row r="1901" customFormat="false" ht="12" hidden="false" customHeight="false" outlineLevel="0" collapsed="false">
      <c r="A1901" s="215" t="s">
        <v>4481</v>
      </c>
    </row>
    <row r="1902" customFormat="false" ht="12" hidden="false" customHeight="false" outlineLevel="0" collapsed="false">
      <c r="A1902" s="215" t="s">
        <v>4482</v>
      </c>
    </row>
    <row r="1903" customFormat="false" ht="12" hidden="false" customHeight="false" outlineLevel="0" collapsed="false">
      <c r="A1903" s="215" t="s">
        <v>4483</v>
      </c>
    </row>
    <row r="1904" customFormat="false" ht="12" hidden="false" customHeight="false" outlineLevel="0" collapsed="false">
      <c r="A1904" s="215" t="s">
        <v>4484</v>
      </c>
    </row>
    <row r="1905" customFormat="false" ht="12" hidden="false" customHeight="false" outlineLevel="0" collapsed="false">
      <c r="A1905" s="215" t="s">
        <v>4485</v>
      </c>
    </row>
    <row r="1906" customFormat="false" ht="12" hidden="false" customHeight="false" outlineLevel="0" collapsed="false">
      <c r="A1906" s="215" t="s">
        <v>4486</v>
      </c>
    </row>
    <row r="1907" customFormat="false" ht="12" hidden="false" customHeight="false" outlineLevel="0" collapsed="false">
      <c r="A1907" s="215" t="s">
        <v>4487</v>
      </c>
    </row>
    <row r="1908" customFormat="false" ht="12" hidden="false" customHeight="false" outlineLevel="0" collapsed="false">
      <c r="A1908" s="215" t="s">
        <v>4488</v>
      </c>
    </row>
    <row r="1909" customFormat="false" ht="12" hidden="false" customHeight="false" outlineLevel="0" collapsed="false">
      <c r="A1909" s="215" t="s">
        <v>4489</v>
      </c>
    </row>
    <row r="1910" customFormat="false" ht="12" hidden="false" customHeight="false" outlineLevel="0" collapsed="false">
      <c r="A1910" s="215" t="s">
        <v>4490</v>
      </c>
    </row>
    <row r="1911" customFormat="false" ht="12" hidden="false" customHeight="false" outlineLevel="0" collapsed="false">
      <c r="A1911" s="215" t="s">
        <v>4491</v>
      </c>
    </row>
    <row r="1912" customFormat="false" ht="12" hidden="false" customHeight="false" outlineLevel="0" collapsed="false">
      <c r="A1912" s="215" t="s">
        <v>4492</v>
      </c>
    </row>
    <row r="1913" customFormat="false" ht="12" hidden="false" customHeight="false" outlineLevel="0" collapsed="false">
      <c r="A1913" s="215" t="s">
        <v>4493</v>
      </c>
    </row>
    <row r="1914" customFormat="false" ht="12" hidden="false" customHeight="false" outlineLevel="0" collapsed="false">
      <c r="A1914" s="215" t="s">
        <v>4494</v>
      </c>
    </row>
    <row r="1915" customFormat="false" ht="12" hidden="false" customHeight="false" outlineLevel="0" collapsed="false">
      <c r="A1915" s="215" t="s">
        <v>4495</v>
      </c>
    </row>
    <row r="1916" customFormat="false" ht="12" hidden="false" customHeight="false" outlineLevel="0" collapsed="false">
      <c r="A1916" s="215" t="s">
        <v>4496</v>
      </c>
    </row>
    <row r="1917" customFormat="false" ht="12" hidden="false" customHeight="false" outlineLevel="0" collapsed="false">
      <c r="A1917" s="215" t="s">
        <v>4497</v>
      </c>
    </row>
    <row r="1918" customFormat="false" ht="12" hidden="false" customHeight="false" outlineLevel="0" collapsed="false">
      <c r="A1918" s="215" t="s">
        <v>4498</v>
      </c>
    </row>
    <row r="1919" customFormat="false" ht="12" hidden="false" customHeight="false" outlineLevel="0" collapsed="false">
      <c r="A1919" s="215" t="s">
        <v>4499</v>
      </c>
    </row>
    <row r="1920" customFormat="false" ht="12" hidden="false" customHeight="false" outlineLevel="0" collapsed="false">
      <c r="A1920" s="215" t="s">
        <v>4500</v>
      </c>
    </row>
    <row r="1921" customFormat="false" ht="12" hidden="false" customHeight="false" outlineLevel="0" collapsed="false">
      <c r="A1921" s="215" t="s">
        <v>4501</v>
      </c>
    </row>
    <row r="1922" customFormat="false" ht="12" hidden="false" customHeight="false" outlineLevel="0" collapsed="false">
      <c r="A1922" s="215" t="s">
        <v>4502</v>
      </c>
    </row>
    <row r="1923" customFormat="false" ht="12" hidden="false" customHeight="false" outlineLevel="0" collapsed="false">
      <c r="A1923" s="215" t="s">
        <v>4503</v>
      </c>
    </row>
    <row r="1924" customFormat="false" ht="12" hidden="false" customHeight="false" outlineLevel="0" collapsed="false">
      <c r="A1924" s="215" t="s">
        <v>4504</v>
      </c>
    </row>
    <row r="1925" customFormat="false" ht="12" hidden="false" customHeight="false" outlineLevel="0" collapsed="false">
      <c r="A1925" s="215" t="s">
        <v>4505</v>
      </c>
    </row>
    <row r="1926" customFormat="false" ht="12" hidden="false" customHeight="false" outlineLevel="0" collapsed="false">
      <c r="A1926" s="215" t="s">
        <v>4506</v>
      </c>
    </row>
    <row r="1927" customFormat="false" ht="12" hidden="false" customHeight="false" outlineLevel="0" collapsed="false">
      <c r="A1927" s="215" t="s">
        <v>4507</v>
      </c>
    </row>
    <row r="1928" customFormat="false" ht="12" hidden="false" customHeight="false" outlineLevel="0" collapsed="false">
      <c r="A1928" s="215" t="s">
        <v>4508</v>
      </c>
    </row>
    <row r="1929" customFormat="false" ht="12" hidden="false" customHeight="false" outlineLevel="0" collapsed="false">
      <c r="A1929" s="215" t="s">
        <v>4509</v>
      </c>
    </row>
    <row r="1930" customFormat="false" ht="12" hidden="false" customHeight="false" outlineLevel="0" collapsed="false">
      <c r="A1930" s="215" t="s">
        <v>4510</v>
      </c>
    </row>
    <row r="1931" customFormat="false" ht="12" hidden="false" customHeight="false" outlineLevel="0" collapsed="false">
      <c r="A1931" s="215" t="s">
        <v>4511</v>
      </c>
    </row>
    <row r="1932" customFormat="false" ht="12" hidden="false" customHeight="false" outlineLevel="0" collapsed="false">
      <c r="A1932" s="215" t="s">
        <v>4512</v>
      </c>
    </row>
    <row r="1933" customFormat="false" ht="12" hidden="false" customHeight="false" outlineLevel="0" collapsed="false">
      <c r="A1933" s="215" t="s">
        <v>4513</v>
      </c>
    </row>
    <row r="1934" customFormat="false" ht="12" hidden="false" customHeight="false" outlineLevel="0" collapsed="false">
      <c r="A1934" s="215" t="s">
        <v>4514</v>
      </c>
    </row>
    <row r="1935" customFormat="false" ht="12" hidden="false" customHeight="false" outlineLevel="0" collapsed="false">
      <c r="A1935" s="215" t="s">
        <v>4515</v>
      </c>
    </row>
    <row r="1936" customFormat="false" ht="12" hidden="false" customHeight="false" outlineLevel="0" collapsed="false">
      <c r="A1936" s="215" t="s">
        <v>4516</v>
      </c>
    </row>
    <row r="1937" customFormat="false" ht="12" hidden="false" customHeight="false" outlineLevel="0" collapsed="false">
      <c r="A1937" s="215" t="s">
        <v>4517</v>
      </c>
    </row>
    <row r="1938" customFormat="false" ht="12" hidden="false" customHeight="false" outlineLevel="0" collapsed="false">
      <c r="A1938" s="215" t="s">
        <v>4518</v>
      </c>
    </row>
    <row r="1939" customFormat="false" ht="12" hidden="false" customHeight="false" outlineLevel="0" collapsed="false">
      <c r="A1939" s="215" t="s">
        <v>4519</v>
      </c>
    </row>
    <row r="1940" customFormat="false" ht="12" hidden="false" customHeight="false" outlineLevel="0" collapsed="false">
      <c r="A1940" s="215" t="s">
        <v>4520</v>
      </c>
    </row>
    <row r="1941" customFormat="false" ht="12" hidden="false" customHeight="false" outlineLevel="0" collapsed="false">
      <c r="A1941" s="215" t="s">
        <v>4521</v>
      </c>
    </row>
    <row r="1942" customFormat="false" ht="12" hidden="false" customHeight="false" outlineLevel="0" collapsed="false">
      <c r="A1942" s="215" t="s">
        <v>4522</v>
      </c>
    </row>
    <row r="1943" customFormat="false" ht="12" hidden="false" customHeight="false" outlineLevel="0" collapsed="false">
      <c r="A1943" s="215" t="s">
        <v>4523</v>
      </c>
    </row>
    <row r="1944" customFormat="false" ht="12" hidden="false" customHeight="false" outlineLevel="0" collapsed="false">
      <c r="A1944" s="215" t="s">
        <v>4524</v>
      </c>
    </row>
    <row r="1945" customFormat="false" ht="12" hidden="false" customHeight="false" outlineLevel="0" collapsed="false">
      <c r="A1945" s="215" t="s">
        <v>4525</v>
      </c>
    </row>
    <row r="1946" customFormat="false" ht="12" hidden="false" customHeight="false" outlineLevel="0" collapsed="false">
      <c r="A1946" s="215" t="s">
        <v>4526</v>
      </c>
    </row>
    <row r="1947" customFormat="false" ht="12" hidden="false" customHeight="false" outlineLevel="0" collapsed="false">
      <c r="A1947" s="215" t="s">
        <v>4527</v>
      </c>
    </row>
    <row r="1948" customFormat="false" ht="12" hidden="false" customHeight="false" outlineLevel="0" collapsed="false">
      <c r="A1948" s="215" t="s">
        <v>4528</v>
      </c>
    </row>
    <row r="1949" customFormat="false" ht="12" hidden="false" customHeight="false" outlineLevel="0" collapsed="false">
      <c r="A1949" s="215" t="s">
        <v>4529</v>
      </c>
    </row>
    <row r="1950" customFormat="false" ht="12" hidden="false" customHeight="false" outlineLevel="0" collapsed="false">
      <c r="A1950" s="215" t="s">
        <v>4530</v>
      </c>
    </row>
    <row r="1951" customFormat="false" ht="12" hidden="false" customHeight="false" outlineLevel="0" collapsed="false">
      <c r="A1951" s="215" t="s">
        <v>4531</v>
      </c>
    </row>
    <row r="1952" customFormat="false" ht="12" hidden="false" customHeight="false" outlineLevel="0" collapsed="false">
      <c r="A1952" s="215" t="s">
        <v>4532</v>
      </c>
    </row>
    <row r="1953" customFormat="false" ht="12" hidden="false" customHeight="false" outlineLevel="0" collapsed="false">
      <c r="A1953" s="215" t="s">
        <v>4533</v>
      </c>
    </row>
    <row r="1954" customFormat="false" ht="12" hidden="false" customHeight="false" outlineLevel="0" collapsed="false">
      <c r="A1954" s="215" t="s">
        <v>4534</v>
      </c>
    </row>
    <row r="1955" customFormat="false" ht="12" hidden="false" customHeight="false" outlineLevel="0" collapsed="false">
      <c r="A1955" s="215" t="s">
        <v>4535</v>
      </c>
    </row>
    <row r="1956" customFormat="false" ht="12" hidden="false" customHeight="false" outlineLevel="0" collapsed="false">
      <c r="A1956" s="215" t="s">
        <v>4536</v>
      </c>
    </row>
    <row r="1957" customFormat="false" ht="12" hidden="false" customHeight="false" outlineLevel="0" collapsed="false">
      <c r="A1957" s="215" t="s">
        <v>4537</v>
      </c>
    </row>
    <row r="1958" customFormat="false" ht="12" hidden="false" customHeight="false" outlineLevel="0" collapsed="false">
      <c r="A1958" s="215" t="s">
        <v>4538</v>
      </c>
    </row>
    <row r="1959" customFormat="false" ht="12" hidden="false" customHeight="false" outlineLevel="0" collapsed="false">
      <c r="A1959" s="215" t="s">
        <v>4539</v>
      </c>
    </row>
    <row r="1960" customFormat="false" ht="12" hidden="false" customHeight="false" outlineLevel="0" collapsed="false">
      <c r="A1960" s="215" t="s">
        <v>4540</v>
      </c>
    </row>
    <row r="1961" customFormat="false" ht="12" hidden="false" customHeight="false" outlineLevel="0" collapsed="false">
      <c r="A1961" s="215" t="s">
        <v>4541</v>
      </c>
    </row>
    <row r="1962" customFormat="false" ht="12" hidden="false" customHeight="false" outlineLevel="0" collapsed="false">
      <c r="A1962" s="215" t="s">
        <v>4542</v>
      </c>
    </row>
    <row r="1963" customFormat="false" ht="12" hidden="false" customHeight="false" outlineLevel="0" collapsed="false">
      <c r="A1963" s="215" t="s">
        <v>4543</v>
      </c>
    </row>
    <row r="1964" customFormat="false" ht="12" hidden="false" customHeight="false" outlineLevel="0" collapsed="false">
      <c r="A1964" s="215" t="s">
        <v>4544</v>
      </c>
    </row>
    <row r="1965" customFormat="false" ht="12" hidden="false" customHeight="false" outlineLevel="0" collapsed="false">
      <c r="A1965" s="215" t="s">
        <v>4545</v>
      </c>
    </row>
    <row r="1966" customFormat="false" ht="12" hidden="false" customHeight="false" outlineLevel="0" collapsed="false">
      <c r="A1966" s="215" t="s">
        <v>4546</v>
      </c>
    </row>
    <row r="1967" customFormat="false" ht="12" hidden="false" customHeight="false" outlineLevel="0" collapsed="false">
      <c r="A1967" s="215" t="s">
        <v>4547</v>
      </c>
    </row>
    <row r="1968" customFormat="false" ht="12" hidden="false" customHeight="false" outlineLevel="0" collapsed="false">
      <c r="A1968" s="215" t="s">
        <v>4548</v>
      </c>
    </row>
    <row r="1969" customFormat="false" ht="12" hidden="false" customHeight="false" outlineLevel="0" collapsed="false">
      <c r="A1969" s="215" t="s">
        <v>4549</v>
      </c>
    </row>
    <row r="1970" customFormat="false" ht="12" hidden="false" customHeight="false" outlineLevel="0" collapsed="false">
      <c r="A1970" s="215" t="s">
        <v>4550</v>
      </c>
    </row>
    <row r="1971" customFormat="false" ht="12" hidden="false" customHeight="false" outlineLevel="0" collapsed="false">
      <c r="A1971" s="215" t="s">
        <v>4551</v>
      </c>
    </row>
    <row r="1972" customFormat="false" ht="12" hidden="false" customHeight="false" outlineLevel="0" collapsed="false">
      <c r="A1972" s="215" t="s">
        <v>4552</v>
      </c>
    </row>
    <row r="1973" customFormat="false" ht="12" hidden="false" customHeight="false" outlineLevel="0" collapsed="false">
      <c r="A1973" s="215" t="s">
        <v>4553</v>
      </c>
    </row>
    <row r="1974" customFormat="false" ht="12" hidden="false" customHeight="false" outlineLevel="0" collapsed="false">
      <c r="A1974" s="215" t="s">
        <v>4554</v>
      </c>
    </row>
    <row r="1975" customFormat="false" ht="12" hidden="false" customHeight="false" outlineLevel="0" collapsed="false">
      <c r="A1975" s="215" t="s">
        <v>4555</v>
      </c>
    </row>
    <row r="1976" customFormat="false" ht="12" hidden="false" customHeight="false" outlineLevel="0" collapsed="false">
      <c r="A1976" s="215" t="s">
        <v>4556</v>
      </c>
    </row>
    <row r="1977" customFormat="false" ht="12" hidden="false" customHeight="false" outlineLevel="0" collapsed="false">
      <c r="A1977" s="215" t="s">
        <v>4557</v>
      </c>
    </row>
    <row r="1978" customFormat="false" ht="12" hidden="false" customHeight="false" outlineLevel="0" collapsed="false">
      <c r="A1978" s="215" t="s">
        <v>4558</v>
      </c>
    </row>
    <row r="1979" customFormat="false" ht="12" hidden="false" customHeight="false" outlineLevel="0" collapsed="false">
      <c r="A1979" s="215" t="s">
        <v>4559</v>
      </c>
    </row>
    <row r="1980" customFormat="false" ht="12" hidden="false" customHeight="false" outlineLevel="0" collapsed="false">
      <c r="A1980" s="215" t="s">
        <v>4560</v>
      </c>
    </row>
    <row r="1981" customFormat="false" ht="12" hidden="false" customHeight="false" outlineLevel="0" collapsed="false">
      <c r="A1981" s="215" t="s">
        <v>4561</v>
      </c>
    </row>
    <row r="1982" customFormat="false" ht="12" hidden="false" customHeight="false" outlineLevel="0" collapsed="false">
      <c r="A1982" s="215" t="s">
        <v>4562</v>
      </c>
    </row>
    <row r="1983" customFormat="false" ht="12" hidden="false" customHeight="false" outlineLevel="0" collapsed="false">
      <c r="A1983" s="215" t="s">
        <v>4563</v>
      </c>
    </row>
    <row r="1984" customFormat="false" ht="12" hidden="false" customHeight="false" outlineLevel="0" collapsed="false">
      <c r="A1984" s="215" t="s">
        <v>4564</v>
      </c>
    </row>
    <row r="1985" customFormat="false" ht="12" hidden="false" customHeight="false" outlineLevel="0" collapsed="false">
      <c r="A1985" s="215" t="s">
        <v>4565</v>
      </c>
    </row>
    <row r="1986" customFormat="false" ht="12" hidden="false" customHeight="false" outlineLevel="0" collapsed="false">
      <c r="A1986" s="215" t="s">
        <v>4566</v>
      </c>
    </row>
    <row r="1987" customFormat="false" ht="12" hidden="false" customHeight="false" outlineLevel="0" collapsed="false">
      <c r="A1987" s="215" t="s">
        <v>4567</v>
      </c>
    </row>
    <row r="1988" customFormat="false" ht="12" hidden="false" customHeight="false" outlineLevel="0" collapsed="false">
      <c r="A1988" s="215" t="s">
        <v>4568</v>
      </c>
    </row>
    <row r="1989" customFormat="false" ht="12" hidden="false" customHeight="false" outlineLevel="0" collapsed="false">
      <c r="A1989" s="215" t="s">
        <v>4569</v>
      </c>
    </row>
    <row r="1990" customFormat="false" ht="12" hidden="false" customHeight="false" outlineLevel="0" collapsed="false">
      <c r="A1990" s="215" t="s">
        <v>4570</v>
      </c>
    </row>
    <row r="1991" customFormat="false" ht="12" hidden="false" customHeight="false" outlineLevel="0" collapsed="false">
      <c r="A1991" s="215" t="s">
        <v>4571</v>
      </c>
    </row>
    <row r="1992" customFormat="false" ht="12" hidden="false" customHeight="false" outlineLevel="0" collapsed="false">
      <c r="A1992" s="215" t="s">
        <v>4572</v>
      </c>
    </row>
    <row r="1993" customFormat="false" ht="12" hidden="false" customHeight="false" outlineLevel="0" collapsed="false">
      <c r="A1993" s="215" t="s">
        <v>4573</v>
      </c>
    </row>
    <row r="1994" customFormat="false" ht="12" hidden="false" customHeight="false" outlineLevel="0" collapsed="false">
      <c r="A1994" s="215" t="s">
        <v>4574</v>
      </c>
    </row>
    <row r="1995" customFormat="false" ht="12" hidden="false" customHeight="false" outlineLevel="0" collapsed="false">
      <c r="A1995" s="215" t="s">
        <v>4575</v>
      </c>
    </row>
    <row r="1996" customFormat="false" ht="12" hidden="false" customHeight="false" outlineLevel="0" collapsed="false">
      <c r="A1996" s="215" t="s">
        <v>4576</v>
      </c>
    </row>
    <row r="1997" customFormat="false" ht="12" hidden="false" customHeight="false" outlineLevel="0" collapsed="false">
      <c r="A1997" s="215" t="s">
        <v>4577</v>
      </c>
    </row>
    <row r="1998" customFormat="false" ht="12" hidden="false" customHeight="false" outlineLevel="0" collapsed="false">
      <c r="A1998" s="215" t="s">
        <v>4578</v>
      </c>
    </row>
    <row r="1999" customFormat="false" ht="12" hidden="false" customHeight="false" outlineLevel="0" collapsed="false">
      <c r="A1999" s="215" t="s">
        <v>4579</v>
      </c>
    </row>
    <row r="2000" customFormat="false" ht="12" hidden="false" customHeight="false" outlineLevel="0" collapsed="false">
      <c r="A2000" s="215" t="s">
        <v>4580</v>
      </c>
    </row>
    <row r="2001" customFormat="false" ht="12" hidden="false" customHeight="false" outlineLevel="0" collapsed="false">
      <c r="A2001" s="215" t="s">
        <v>4581</v>
      </c>
    </row>
    <row r="2002" customFormat="false" ht="12" hidden="false" customHeight="false" outlineLevel="0" collapsed="false">
      <c r="A2002" s="215" t="s">
        <v>4582</v>
      </c>
    </row>
    <row r="2003" customFormat="false" ht="12" hidden="false" customHeight="false" outlineLevel="0" collapsed="false">
      <c r="A2003" s="215" t="s">
        <v>4583</v>
      </c>
    </row>
    <row r="2004" customFormat="false" ht="12" hidden="false" customHeight="false" outlineLevel="0" collapsed="false">
      <c r="A2004" s="215" t="s">
        <v>4584</v>
      </c>
    </row>
    <row r="2005" customFormat="false" ht="12" hidden="false" customHeight="false" outlineLevel="0" collapsed="false">
      <c r="A2005" s="215" t="s">
        <v>4585</v>
      </c>
    </row>
    <row r="2006" customFormat="false" ht="12" hidden="false" customHeight="false" outlineLevel="0" collapsed="false">
      <c r="A2006" s="215" t="s">
        <v>4586</v>
      </c>
    </row>
    <row r="2007" customFormat="false" ht="12" hidden="false" customHeight="false" outlineLevel="0" collapsed="false">
      <c r="A2007" s="215" t="s">
        <v>4587</v>
      </c>
    </row>
    <row r="2008" customFormat="false" ht="12" hidden="false" customHeight="false" outlineLevel="0" collapsed="false">
      <c r="A2008" s="215" t="s">
        <v>4588</v>
      </c>
    </row>
    <row r="2009" customFormat="false" ht="12" hidden="false" customHeight="false" outlineLevel="0" collapsed="false">
      <c r="A2009" s="215" t="s">
        <v>4589</v>
      </c>
    </row>
    <row r="2010" customFormat="false" ht="12" hidden="false" customHeight="false" outlineLevel="0" collapsed="false">
      <c r="A2010" s="215" t="s">
        <v>4590</v>
      </c>
    </row>
    <row r="2011" customFormat="false" ht="12" hidden="false" customHeight="false" outlineLevel="0" collapsed="false">
      <c r="A2011" s="215" t="s">
        <v>4591</v>
      </c>
    </row>
    <row r="2012" customFormat="false" ht="12" hidden="false" customHeight="false" outlineLevel="0" collapsed="false">
      <c r="A2012" s="215" t="s">
        <v>4592</v>
      </c>
    </row>
    <row r="2013" customFormat="false" ht="12" hidden="false" customHeight="false" outlineLevel="0" collapsed="false">
      <c r="A2013" s="215" t="s">
        <v>4593</v>
      </c>
    </row>
    <row r="2014" customFormat="false" ht="12" hidden="false" customHeight="false" outlineLevel="0" collapsed="false">
      <c r="A2014" s="215" t="s">
        <v>4594</v>
      </c>
    </row>
    <row r="2015" customFormat="false" ht="12" hidden="false" customHeight="false" outlineLevel="0" collapsed="false">
      <c r="A2015" s="215" t="s">
        <v>4595</v>
      </c>
    </row>
    <row r="2016" customFormat="false" ht="12" hidden="false" customHeight="false" outlineLevel="0" collapsed="false">
      <c r="A2016" s="215" t="s">
        <v>4596</v>
      </c>
    </row>
    <row r="2017" customFormat="false" ht="12" hidden="false" customHeight="false" outlineLevel="0" collapsed="false">
      <c r="A2017" s="215" t="s">
        <v>4597</v>
      </c>
    </row>
    <row r="2018" customFormat="false" ht="12" hidden="false" customHeight="false" outlineLevel="0" collapsed="false">
      <c r="A2018" s="215" t="s">
        <v>4598</v>
      </c>
    </row>
    <row r="2019" customFormat="false" ht="12" hidden="false" customHeight="false" outlineLevel="0" collapsed="false">
      <c r="A2019" s="215" t="s">
        <v>4599</v>
      </c>
    </row>
    <row r="2020" customFormat="false" ht="12" hidden="false" customHeight="false" outlineLevel="0" collapsed="false">
      <c r="A2020" s="215" t="s">
        <v>4600</v>
      </c>
    </row>
    <row r="2021" customFormat="false" ht="12" hidden="false" customHeight="false" outlineLevel="0" collapsed="false">
      <c r="A2021" s="215" t="s">
        <v>4601</v>
      </c>
    </row>
    <row r="2022" customFormat="false" ht="12" hidden="false" customHeight="false" outlineLevel="0" collapsed="false">
      <c r="A2022" s="215" t="s">
        <v>4602</v>
      </c>
    </row>
    <row r="2023" customFormat="false" ht="12" hidden="false" customHeight="false" outlineLevel="0" collapsed="false">
      <c r="A2023" s="215" t="s">
        <v>4603</v>
      </c>
    </row>
    <row r="2024" customFormat="false" ht="12" hidden="false" customHeight="false" outlineLevel="0" collapsed="false">
      <c r="A2024" s="215" t="s">
        <v>4604</v>
      </c>
    </row>
    <row r="2025" customFormat="false" ht="12" hidden="false" customHeight="false" outlineLevel="0" collapsed="false">
      <c r="A2025" s="215" t="s">
        <v>4605</v>
      </c>
    </row>
    <row r="2026" customFormat="false" ht="12" hidden="false" customHeight="false" outlineLevel="0" collapsed="false">
      <c r="A2026" s="215" t="s">
        <v>4606</v>
      </c>
    </row>
    <row r="2027" customFormat="false" ht="12" hidden="false" customHeight="false" outlineLevel="0" collapsed="false">
      <c r="A2027" s="215" t="s">
        <v>4607</v>
      </c>
    </row>
    <row r="2028" customFormat="false" ht="12" hidden="false" customHeight="false" outlineLevel="0" collapsed="false">
      <c r="A2028" s="215" t="s">
        <v>4608</v>
      </c>
    </row>
    <row r="2029" customFormat="false" ht="12" hidden="false" customHeight="false" outlineLevel="0" collapsed="false">
      <c r="A2029" s="215" t="s">
        <v>4609</v>
      </c>
    </row>
    <row r="2030" customFormat="false" ht="12" hidden="false" customHeight="false" outlineLevel="0" collapsed="false">
      <c r="A2030" s="215" t="s">
        <v>4610</v>
      </c>
    </row>
    <row r="2031" customFormat="false" ht="12" hidden="false" customHeight="false" outlineLevel="0" collapsed="false">
      <c r="A2031" s="215" t="s">
        <v>4611</v>
      </c>
    </row>
    <row r="2032" customFormat="false" ht="12" hidden="false" customHeight="false" outlineLevel="0" collapsed="false">
      <c r="A2032" s="215" t="s">
        <v>4612</v>
      </c>
    </row>
    <row r="2033" customFormat="false" ht="12" hidden="false" customHeight="false" outlineLevel="0" collapsed="false">
      <c r="A2033" s="215" t="s">
        <v>4613</v>
      </c>
    </row>
    <row r="2034" customFormat="false" ht="12" hidden="false" customHeight="false" outlineLevel="0" collapsed="false">
      <c r="A2034" s="215" t="s">
        <v>4614</v>
      </c>
    </row>
    <row r="2035" customFormat="false" ht="12" hidden="false" customHeight="false" outlineLevel="0" collapsed="false">
      <c r="A2035" s="215" t="s">
        <v>4615</v>
      </c>
    </row>
    <row r="2036" customFormat="false" ht="12" hidden="false" customHeight="false" outlineLevel="0" collapsed="false">
      <c r="A2036" s="215" t="s">
        <v>4616</v>
      </c>
    </row>
    <row r="2037" customFormat="false" ht="12" hidden="false" customHeight="false" outlineLevel="0" collapsed="false">
      <c r="A2037" s="215" t="s">
        <v>4617</v>
      </c>
    </row>
    <row r="2038" customFormat="false" ht="12" hidden="false" customHeight="false" outlineLevel="0" collapsed="false">
      <c r="A2038" s="215" t="s">
        <v>4618</v>
      </c>
    </row>
    <row r="2039" customFormat="false" ht="12" hidden="false" customHeight="false" outlineLevel="0" collapsed="false">
      <c r="A2039" s="215" t="s">
        <v>4619</v>
      </c>
    </row>
    <row r="2040" customFormat="false" ht="12" hidden="false" customHeight="false" outlineLevel="0" collapsed="false">
      <c r="A2040" s="215" t="s">
        <v>4620</v>
      </c>
    </row>
    <row r="2041" customFormat="false" ht="12" hidden="false" customHeight="false" outlineLevel="0" collapsed="false">
      <c r="A2041" s="215" t="s">
        <v>4621</v>
      </c>
    </row>
    <row r="2042" customFormat="false" ht="12" hidden="false" customHeight="false" outlineLevel="0" collapsed="false">
      <c r="A2042" s="215" t="s">
        <v>4622</v>
      </c>
    </row>
    <row r="2043" customFormat="false" ht="12" hidden="false" customHeight="false" outlineLevel="0" collapsed="false">
      <c r="A2043" s="215" t="s">
        <v>4623</v>
      </c>
    </row>
    <row r="2044" customFormat="false" ht="12" hidden="false" customHeight="false" outlineLevel="0" collapsed="false">
      <c r="A2044" s="215" t="s">
        <v>4624</v>
      </c>
    </row>
    <row r="2045" customFormat="false" ht="12" hidden="false" customHeight="false" outlineLevel="0" collapsed="false">
      <c r="A2045" s="215" t="s">
        <v>4625</v>
      </c>
    </row>
    <row r="2046" customFormat="false" ht="12" hidden="false" customHeight="false" outlineLevel="0" collapsed="false">
      <c r="A2046" s="215" t="s">
        <v>4626</v>
      </c>
    </row>
    <row r="2047" customFormat="false" ht="12" hidden="false" customHeight="false" outlineLevel="0" collapsed="false">
      <c r="A2047" s="215" t="s">
        <v>4627</v>
      </c>
    </row>
    <row r="2048" customFormat="false" ht="12" hidden="false" customHeight="false" outlineLevel="0" collapsed="false">
      <c r="A2048" s="215" t="s">
        <v>4628</v>
      </c>
    </row>
    <row r="2049" customFormat="false" ht="12" hidden="false" customHeight="false" outlineLevel="0" collapsed="false">
      <c r="A2049" s="215" t="s">
        <v>4629</v>
      </c>
    </row>
    <row r="2050" customFormat="false" ht="12" hidden="false" customHeight="false" outlineLevel="0" collapsed="false">
      <c r="A2050" s="215" t="s">
        <v>4630</v>
      </c>
    </row>
    <row r="2051" customFormat="false" ht="12" hidden="false" customHeight="false" outlineLevel="0" collapsed="false">
      <c r="A2051" s="215" t="s">
        <v>4631</v>
      </c>
    </row>
    <row r="2052" customFormat="false" ht="12" hidden="false" customHeight="false" outlineLevel="0" collapsed="false">
      <c r="A2052" s="215" t="s">
        <v>4632</v>
      </c>
    </row>
    <row r="2053" customFormat="false" ht="12" hidden="false" customHeight="false" outlineLevel="0" collapsed="false">
      <c r="A2053" s="215" t="s">
        <v>4633</v>
      </c>
    </row>
    <row r="2054" customFormat="false" ht="12" hidden="false" customHeight="false" outlineLevel="0" collapsed="false">
      <c r="A2054" s="215" t="s">
        <v>4634</v>
      </c>
    </row>
    <row r="2055" customFormat="false" ht="12" hidden="false" customHeight="false" outlineLevel="0" collapsed="false">
      <c r="A2055" s="215" t="s">
        <v>4635</v>
      </c>
    </row>
    <row r="2056" customFormat="false" ht="12" hidden="false" customHeight="false" outlineLevel="0" collapsed="false">
      <c r="A2056" s="215" t="s">
        <v>4636</v>
      </c>
    </row>
    <row r="2057" customFormat="false" ht="12" hidden="false" customHeight="false" outlineLevel="0" collapsed="false">
      <c r="A2057" s="215" t="s">
        <v>4637</v>
      </c>
    </row>
    <row r="2058" customFormat="false" ht="12" hidden="false" customHeight="false" outlineLevel="0" collapsed="false">
      <c r="A2058" s="215" t="s">
        <v>4638</v>
      </c>
    </row>
    <row r="2059" customFormat="false" ht="12" hidden="false" customHeight="false" outlineLevel="0" collapsed="false">
      <c r="A2059" s="215" t="s">
        <v>4639</v>
      </c>
    </row>
    <row r="2060" customFormat="false" ht="12" hidden="false" customHeight="false" outlineLevel="0" collapsed="false">
      <c r="A2060" s="215" t="s">
        <v>4640</v>
      </c>
    </row>
    <row r="2061" customFormat="false" ht="12" hidden="false" customHeight="false" outlineLevel="0" collapsed="false">
      <c r="A2061" s="215" t="s">
        <v>4641</v>
      </c>
    </row>
    <row r="2062" customFormat="false" ht="12" hidden="false" customHeight="false" outlineLevel="0" collapsed="false">
      <c r="A2062" s="215" t="s">
        <v>4642</v>
      </c>
    </row>
    <row r="2063" customFormat="false" ht="12" hidden="false" customHeight="false" outlineLevel="0" collapsed="false">
      <c r="A2063" s="215" t="s">
        <v>4643</v>
      </c>
    </row>
    <row r="2064" customFormat="false" ht="12" hidden="false" customHeight="false" outlineLevel="0" collapsed="false">
      <c r="A2064" s="215" t="s">
        <v>4644</v>
      </c>
    </row>
    <row r="2065" customFormat="false" ht="12" hidden="false" customHeight="false" outlineLevel="0" collapsed="false">
      <c r="A2065" s="215" t="s">
        <v>4645</v>
      </c>
    </row>
    <row r="2066" customFormat="false" ht="12" hidden="false" customHeight="false" outlineLevel="0" collapsed="false">
      <c r="A2066" s="215" t="s">
        <v>4646</v>
      </c>
    </row>
    <row r="2067" customFormat="false" ht="12" hidden="false" customHeight="false" outlineLevel="0" collapsed="false">
      <c r="A2067" s="215" t="s">
        <v>4647</v>
      </c>
    </row>
    <row r="2068" customFormat="false" ht="12" hidden="false" customHeight="false" outlineLevel="0" collapsed="false">
      <c r="A2068" s="215" t="s">
        <v>4648</v>
      </c>
    </row>
    <row r="2069" customFormat="false" ht="12" hidden="false" customHeight="false" outlineLevel="0" collapsed="false">
      <c r="A2069" s="215" t="s">
        <v>4649</v>
      </c>
    </row>
    <row r="2070" customFormat="false" ht="12" hidden="false" customHeight="false" outlineLevel="0" collapsed="false">
      <c r="A2070" s="215" t="s">
        <v>4650</v>
      </c>
    </row>
    <row r="2071" customFormat="false" ht="12" hidden="false" customHeight="false" outlineLevel="0" collapsed="false">
      <c r="A2071" s="215" t="s">
        <v>4651</v>
      </c>
    </row>
    <row r="2072" customFormat="false" ht="12" hidden="false" customHeight="false" outlineLevel="0" collapsed="false">
      <c r="A2072" s="215" t="s">
        <v>4652</v>
      </c>
    </row>
    <row r="2073" customFormat="false" ht="12" hidden="false" customHeight="false" outlineLevel="0" collapsed="false">
      <c r="A2073" s="215" t="s">
        <v>4653</v>
      </c>
    </row>
    <row r="2074" customFormat="false" ht="12" hidden="false" customHeight="false" outlineLevel="0" collapsed="false">
      <c r="A2074" s="215" t="s">
        <v>4654</v>
      </c>
    </row>
    <row r="2075" customFormat="false" ht="12" hidden="false" customHeight="false" outlineLevel="0" collapsed="false">
      <c r="A2075" s="215" t="s">
        <v>4655</v>
      </c>
    </row>
    <row r="2076" customFormat="false" ht="12" hidden="false" customHeight="false" outlineLevel="0" collapsed="false">
      <c r="A2076" s="215" t="s">
        <v>4656</v>
      </c>
    </row>
    <row r="2077" customFormat="false" ht="12" hidden="false" customHeight="false" outlineLevel="0" collapsed="false">
      <c r="A2077" s="215" t="s">
        <v>4657</v>
      </c>
    </row>
    <row r="2078" customFormat="false" ht="12" hidden="false" customHeight="false" outlineLevel="0" collapsed="false">
      <c r="A2078" s="215" t="s">
        <v>4658</v>
      </c>
    </row>
    <row r="2079" customFormat="false" ht="12" hidden="false" customHeight="false" outlineLevel="0" collapsed="false">
      <c r="A2079" s="215" t="s">
        <v>4659</v>
      </c>
    </row>
    <row r="2080" customFormat="false" ht="12" hidden="false" customHeight="false" outlineLevel="0" collapsed="false">
      <c r="A2080" s="215" t="s">
        <v>4660</v>
      </c>
    </row>
    <row r="2081" customFormat="false" ht="12" hidden="false" customHeight="false" outlineLevel="0" collapsed="false">
      <c r="A2081" s="215" t="s">
        <v>4661</v>
      </c>
    </row>
    <row r="2082" customFormat="false" ht="12" hidden="false" customHeight="false" outlineLevel="0" collapsed="false">
      <c r="A2082" s="215" t="s">
        <v>4662</v>
      </c>
    </row>
    <row r="2083" customFormat="false" ht="12" hidden="false" customHeight="false" outlineLevel="0" collapsed="false">
      <c r="A2083" s="215" t="s">
        <v>4663</v>
      </c>
    </row>
    <row r="2084" customFormat="false" ht="12" hidden="false" customHeight="false" outlineLevel="0" collapsed="false">
      <c r="A2084" s="215" t="s">
        <v>4664</v>
      </c>
    </row>
    <row r="2085" customFormat="false" ht="12" hidden="false" customHeight="false" outlineLevel="0" collapsed="false">
      <c r="A2085" s="215" t="s">
        <v>4665</v>
      </c>
    </row>
    <row r="2086" customFormat="false" ht="12" hidden="false" customHeight="false" outlineLevel="0" collapsed="false">
      <c r="A2086" s="215" t="s">
        <v>4666</v>
      </c>
    </row>
    <row r="2087" customFormat="false" ht="12" hidden="false" customHeight="false" outlineLevel="0" collapsed="false">
      <c r="A2087" s="215" t="s">
        <v>4667</v>
      </c>
    </row>
    <row r="2088" customFormat="false" ht="12" hidden="false" customHeight="false" outlineLevel="0" collapsed="false">
      <c r="A2088" s="215" t="s">
        <v>4668</v>
      </c>
    </row>
    <row r="2089" customFormat="false" ht="12" hidden="false" customHeight="false" outlineLevel="0" collapsed="false">
      <c r="A2089" s="215" t="s">
        <v>4669</v>
      </c>
    </row>
    <row r="2090" customFormat="false" ht="12" hidden="false" customHeight="false" outlineLevel="0" collapsed="false">
      <c r="A2090" s="215" t="s">
        <v>4670</v>
      </c>
    </row>
    <row r="2091" customFormat="false" ht="12" hidden="false" customHeight="false" outlineLevel="0" collapsed="false">
      <c r="A2091" s="215" t="s">
        <v>4671</v>
      </c>
    </row>
    <row r="2092" customFormat="false" ht="12" hidden="false" customHeight="false" outlineLevel="0" collapsed="false">
      <c r="A2092" s="215" t="s">
        <v>4672</v>
      </c>
    </row>
    <row r="2093" customFormat="false" ht="12" hidden="false" customHeight="false" outlineLevel="0" collapsed="false">
      <c r="A2093" s="215" t="s">
        <v>4673</v>
      </c>
    </row>
    <row r="2094" customFormat="false" ht="12" hidden="false" customHeight="false" outlineLevel="0" collapsed="false">
      <c r="A2094" s="215" t="s">
        <v>4674</v>
      </c>
    </row>
    <row r="2095" customFormat="false" ht="12" hidden="false" customHeight="false" outlineLevel="0" collapsed="false">
      <c r="A2095" s="215" t="s">
        <v>4675</v>
      </c>
    </row>
    <row r="2096" customFormat="false" ht="12" hidden="false" customHeight="false" outlineLevel="0" collapsed="false">
      <c r="A2096" s="215" t="s">
        <v>4676</v>
      </c>
    </row>
    <row r="2097" customFormat="false" ht="12" hidden="false" customHeight="false" outlineLevel="0" collapsed="false">
      <c r="A2097" s="215" t="s">
        <v>4677</v>
      </c>
    </row>
    <row r="2098" customFormat="false" ht="12" hidden="false" customHeight="false" outlineLevel="0" collapsed="false">
      <c r="A2098" s="215" t="s">
        <v>4678</v>
      </c>
    </row>
    <row r="2099" customFormat="false" ht="12" hidden="false" customHeight="false" outlineLevel="0" collapsed="false">
      <c r="A2099" s="215" t="s">
        <v>4679</v>
      </c>
    </row>
    <row r="2100" customFormat="false" ht="12" hidden="false" customHeight="false" outlineLevel="0" collapsed="false">
      <c r="A2100" s="215" t="s">
        <v>4680</v>
      </c>
    </row>
    <row r="2101" customFormat="false" ht="12" hidden="false" customHeight="false" outlineLevel="0" collapsed="false">
      <c r="A2101" s="215" t="s">
        <v>4681</v>
      </c>
    </row>
    <row r="2102" customFormat="false" ht="12" hidden="false" customHeight="false" outlineLevel="0" collapsed="false">
      <c r="A2102" s="215" t="s">
        <v>4682</v>
      </c>
    </row>
    <row r="2103" customFormat="false" ht="12" hidden="false" customHeight="false" outlineLevel="0" collapsed="false">
      <c r="A2103" s="215" t="s">
        <v>4683</v>
      </c>
    </row>
    <row r="2104" customFormat="false" ht="12" hidden="false" customHeight="false" outlineLevel="0" collapsed="false">
      <c r="A2104" s="215" t="s">
        <v>4684</v>
      </c>
    </row>
    <row r="2105" customFormat="false" ht="12" hidden="false" customHeight="false" outlineLevel="0" collapsed="false">
      <c r="A2105" s="215" t="s">
        <v>4685</v>
      </c>
    </row>
    <row r="2106" customFormat="false" ht="12" hidden="false" customHeight="false" outlineLevel="0" collapsed="false">
      <c r="A2106" s="215" t="s">
        <v>4686</v>
      </c>
    </row>
    <row r="2107" customFormat="false" ht="12" hidden="false" customHeight="false" outlineLevel="0" collapsed="false">
      <c r="A2107" s="215" t="s">
        <v>4687</v>
      </c>
    </row>
    <row r="2108" customFormat="false" ht="12" hidden="false" customHeight="false" outlineLevel="0" collapsed="false">
      <c r="A2108" s="215" t="s">
        <v>4688</v>
      </c>
    </row>
    <row r="2109" customFormat="false" ht="12" hidden="false" customHeight="false" outlineLevel="0" collapsed="false">
      <c r="A2109" s="215" t="s">
        <v>4689</v>
      </c>
    </row>
    <row r="2110" customFormat="false" ht="12" hidden="false" customHeight="false" outlineLevel="0" collapsed="false">
      <c r="A2110" s="215" t="s">
        <v>4690</v>
      </c>
    </row>
    <row r="2111" customFormat="false" ht="12" hidden="false" customHeight="false" outlineLevel="0" collapsed="false">
      <c r="A2111" s="215" t="s">
        <v>4691</v>
      </c>
    </row>
    <row r="2112" customFormat="false" ht="12" hidden="false" customHeight="false" outlineLevel="0" collapsed="false">
      <c r="A2112" s="215" t="s">
        <v>4692</v>
      </c>
    </row>
    <row r="2113" customFormat="false" ht="12" hidden="false" customHeight="false" outlineLevel="0" collapsed="false">
      <c r="A2113" s="215" t="s">
        <v>4693</v>
      </c>
    </row>
    <row r="2114" customFormat="false" ht="12" hidden="false" customHeight="false" outlineLevel="0" collapsed="false">
      <c r="A2114" s="215" t="s">
        <v>4694</v>
      </c>
    </row>
    <row r="2115" customFormat="false" ht="12" hidden="false" customHeight="false" outlineLevel="0" collapsed="false">
      <c r="A2115" s="215" t="s">
        <v>4695</v>
      </c>
    </row>
    <row r="2116" customFormat="false" ht="12" hidden="false" customHeight="false" outlineLevel="0" collapsed="false">
      <c r="A2116" s="215" t="s">
        <v>4696</v>
      </c>
    </row>
    <row r="2117" customFormat="false" ht="12" hidden="false" customHeight="false" outlineLevel="0" collapsed="false">
      <c r="A2117" s="215" t="s">
        <v>4697</v>
      </c>
    </row>
    <row r="2118" customFormat="false" ht="12" hidden="false" customHeight="false" outlineLevel="0" collapsed="false">
      <c r="A2118" s="215" t="s">
        <v>4698</v>
      </c>
    </row>
    <row r="2119" customFormat="false" ht="12" hidden="false" customHeight="false" outlineLevel="0" collapsed="false">
      <c r="A2119" s="215" t="s">
        <v>4699</v>
      </c>
    </row>
    <row r="2120" customFormat="false" ht="12" hidden="false" customHeight="false" outlineLevel="0" collapsed="false">
      <c r="A2120" s="215" t="s">
        <v>4700</v>
      </c>
    </row>
    <row r="2121" customFormat="false" ht="12" hidden="false" customHeight="false" outlineLevel="0" collapsed="false">
      <c r="A2121" s="215" t="s">
        <v>4701</v>
      </c>
    </row>
    <row r="2122" customFormat="false" ht="12" hidden="false" customHeight="false" outlineLevel="0" collapsed="false">
      <c r="A2122" s="215" t="s">
        <v>4702</v>
      </c>
    </row>
    <row r="2123" customFormat="false" ht="12" hidden="false" customHeight="false" outlineLevel="0" collapsed="false">
      <c r="A2123" s="215" t="s">
        <v>4703</v>
      </c>
    </row>
    <row r="2124" customFormat="false" ht="12" hidden="false" customHeight="false" outlineLevel="0" collapsed="false">
      <c r="A2124" s="215" t="s">
        <v>4704</v>
      </c>
    </row>
    <row r="2125" customFormat="false" ht="12" hidden="false" customHeight="false" outlineLevel="0" collapsed="false">
      <c r="A2125" s="215" t="s">
        <v>4705</v>
      </c>
    </row>
    <row r="2126" customFormat="false" ht="12" hidden="false" customHeight="false" outlineLevel="0" collapsed="false">
      <c r="A2126" s="215" t="s">
        <v>4706</v>
      </c>
    </row>
    <row r="2127" customFormat="false" ht="12" hidden="false" customHeight="false" outlineLevel="0" collapsed="false">
      <c r="A2127" s="215" t="s">
        <v>4707</v>
      </c>
    </row>
    <row r="2128" customFormat="false" ht="12" hidden="false" customHeight="false" outlineLevel="0" collapsed="false">
      <c r="A2128" s="215" t="s">
        <v>4708</v>
      </c>
    </row>
    <row r="2129" customFormat="false" ht="12" hidden="false" customHeight="false" outlineLevel="0" collapsed="false">
      <c r="A2129" s="215" t="s">
        <v>4709</v>
      </c>
    </row>
    <row r="2130" customFormat="false" ht="12" hidden="false" customHeight="false" outlineLevel="0" collapsed="false">
      <c r="A2130" s="215" t="s">
        <v>4710</v>
      </c>
    </row>
    <row r="2131" customFormat="false" ht="12" hidden="false" customHeight="false" outlineLevel="0" collapsed="false">
      <c r="A2131" s="215" t="s">
        <v>4711</v>
      </c>
    </row>
    <row r="2132" customFormat="false" ht="12" hidden="false" customHeight="false" outlineLevel="0" collapsed="false">
      <c r="A2132" s="215" t="s">
        <v>4712</v>
      </c>
    </row>
    <row r="2133" customFormat="false" ht="12" hidden="false" customHeight="false" outlineLevel="0" collapsed="false">
      <c r="A2133" s="215" t="s">
        <v>4713</v>
      </c>
    </row>
    <row r="2134" customFormat="false" ht="12" hidden="false" customHeight="false" outlineLevel="0" collapsed="false">
      <c r="A2134" s="215" t="s">
        <v>4714</v>
      </c>
    </row>
    <row r="2135" customFormat="false" ht="12" hidden="false" customHeight="false" outlineLevel="0" collapsed="false">
      <c r="A2135" s="215" t="s">
        <v>4715</v>
      </c>
    </row>
    <row r="2136" customFormat="false" ht="12" hidden="false" customHeight="false" outlineLevel="0" collapsed="false">
      <c r="A2136" s="215" t="s">
        <v>4716</v>
      </c>
    </row>
    <row r="2137" customFormat="false" ht="12" hidden="false" customHeight="false" outlineLevel="0" collapsed="false">
      <c r="A2137" s="215" t="s">
        <v>4717</v>
      </c>
    </row>
    <row r="2138" customFormat="false" ht="12" hidden="false" customHeight="false" outlineLevel="0" collapsed="false">
      <c r="A2138" s="215" t="s">
        <v>4718</v>
      </c>
    </row>
    <row r="2139" customFormat="false" ht="12" hidden="false" customHeight="false" outlineLevel="0" collapsed="false">
      <c r="A2139" s="215" t="s">
        <v>4719</v>
      </c>
    </row>
    <row r="2140" customFormat="false" ht="12" hidden="false" customHeight="false" outlineLevel="0" collapsed="false">
      <c r="A2140" s="215" t="s">
        <v>4720</v>
      </c>
    </row>
    <row r="2141" customFormat="false" ht="12" hidden="false" customHeight="false" outlineLevel="0" collapsed="false">
      <c r="A2141" s="215" t="s">
        <v>4721</v>
      </c>
    </row>
    <row r="2142" customFormat="false" ht="12" hidden="false" customHeight="false" outlineLevel="0" collapsed="false">
      <c r="A2142" s="215" t="s">
        <v>4722</v>
      </c>
    </row>
    <row r="2143" customFormat="false" ht="12" hidden="false" customHeight="false" outlineLevel="0" collapsed="false">
      <c r="A2143" s="215" t="s">
        <v>4723</v>
      </c>
    </row>
    <row r="2144" customFormat="false" ht="12" hidden="false" customHeight="false" outlineLevel="0" collapsed="false">
      <c r="A2144" s="215" t="s">
        <v>4724</v>
      </c>
    </row>
    <row r="2145" customFormat="false" ht="12" hidden="false" customHeight="false" outlineLevel="0" collapsed="false">
      <c r="A2145" s="215" t="s">
        <v>4725</v>
      </c>
    </row>
    <row r="2146" customFormat="false" ht="12" hidden="false" customHeight="false" outlineLevel="0" collapsed="false">
      <c r="A2146" s="215" t="s">
        <v>4726</v>
      </c>
    </row>
    <row r="2147" customFormat="false" ht="12" hidden="false" customHeight="false" outlineLevel="0" collapsed="false">
      <c r="A2147" s="215" t="s">
        <v>4727</v>
      </c>
    </row>
    <row r="2148" customFormat="false" ht="12" hidden="false" customHeight="false" outlineLevel="0" collapsed="false">
      <c r="A2148" s="215" t="s">
        <v>4728</v>
      </c>
    </row>
    <row r="2149" customFormat="false" ht="12" hidden="false" customHeight="false" outlineLevel="0" collapsed="false">
      <c r="A2149" s="215" t="s">
        <v>4729</v>
      </c>
    </row>
    <row r="2150" customFormat="false" ht="12" hidden="false" customHeight="false" outlineLevel="0" collapsed="false">
      <c r="A2150" s="215" t="s">
        <v>4730</v>
      </c>
    </row>
    <row r="2151" customFormat="false" ht="12" hidden="false" customHeight="false" outlineLevel="0" collapsed="false">
      <c r="A2151" s="215" t="s">
        <v>4731</v>
      </c>
    </row>
    <row r="2152" customFormat="false" ht="12" hidden="false" customHeight="false" outlineLevel="0" collapsed="false">
      <c r="A2152" s="215" t="s">
        <v>4732</v>
      </c>
    </row>
    <row r="2153" customFormat="false" ht="12" hidden="false" customHeight="false" outlineLevel="0" collapsed="false">
      <c r="A2153" s="215" t="s">
        <v>4733</v>
      </c>
    </row>
    <row r="2154" customFormat="false" ht="12" hidden="false" customHeight="false" outlineLevel="0" collapsed="false">
      <c r="A2154" s="215" t="s">
        <v>4734</v>
      </c>
    </row>
    <row r="2155" customFormat="false" ht="12" hidden="false" customHeight="false" outlineLevel="0" collapsed="false">
      <c r="A2155" s="215" t="s">
        <v>4735</v>
      </c>
    </row>
    <row r="2156" customFormat="false" ht="12" hidden="false" customHeight="false" outlineLevel="0" collapsed="false">
      <c r="A2156" s="215" t="s">
        <v>4736</v>
      </c>
    </row>
    <row r="2157" customFormat="false" ht="12" hidden="false" customHeight="false" outlineLevel="0" collapsed="false">
      <c r="A2157" s="215" t="s">
        <v>4737</v>
      </c>
    </row>
    <row r="2158" customFormat="false" ht="12" hidden="false" customHeight="false" outlineLevel="0" collapsed="false">
      <c r="A2158" s="215" t="s">
        <v>4738</v>
      </c>
    </row>
    <row r="2159" customFormat="false" ht="12" hidden="false" customHeight="false" outlineLevel="0" collapsed="false">
      <c r="A2159" s="215" t="s">
        <v>4739</v>
      </c>
    </row>
    <row r="2160" customFormat="false" ht="12" hidden="false" customHeight="false" outlineLevel="0" collapsed="false">
      <c r="A2160" s="215" t="s">
        <v>4740</v>
      </c>
    </row>
    <row r="2161" customFormat="false" ht="12" hidden="false" customHeight="false" outlineLevel="0" collapsed="false">
      <c r="A2161" s="215" t="s">
        <v>4741</v>
      </c>
    </row>
    <row r="2162" customFormat="false" ht="12" hidden="false" customHeight="false" outlineLevel="0" collapsed="false">
      <c r="A2162" s="215" t="s">
        <v>4742</v>
      </c>
    </row>
    <row r="2163" customFormat="false" ht="12" hidden="false" customHeight="false" outlineLevel="0" collapsed="false">
      <c r="A2163" s="215" t="s">
        <v>4743</v>
      </c>
    </row>
    <row r="2164" customFormat="false" ht="12" hidden="false" customHeight="false" outlineLevel="0" collapsed="false">
      <c r="A2164" s="215" t="s">
        <v>4744</v>
      </c>
    </row>
    <row r="2165" customFormat="false" ht="12" hidden="false" customHeight="false" outlineLevel="0" collapsed="false">
      <c r="A2165" s="215" t="s">
        <v>4745</v>
      </c>
    </row>
    <row r="2166" customFormat="false" ht="12" hidden="false" customHeight="false" outlineLevel="0" collapsed="false">
      <c r="A2166" s="215" t="s">
        <v>4746</v>
      </c>
    </row>
    <row r="2167" customFormat="false" ht="12" hidden="false" customHeight="false" outlineLevel="0" collapsed="false">
      <c r="A2167" s="215" t="s">
        <v>4747</v>
      </c>
    </row>
    <row r="2168" customFormat="false" ht="12" hidden="false" customHeight="false" outlineLevel="0" collapsed="false">
      <c r="A2168" s="215" t="s">
        <v>4748</v>
      </c>
    </row>
    <row r="2169" customFormat="false" ht="12" hidden="false" customHeight="false" outlineLevel="0" collapsed="false">
      <c r="A2169" s="215" t="s">
        <v>4749</v>
      </c>
    </row>
    <row r="2170" customFormat="false" ht="12" hidden="false" customHeight="false" outlineLevel="0" collapsed="false">
      <c r="A2170" s="215" t="s">
        <v>4750</v>
      </c>
    </row>
    <row r="2171" customFormat="false" ht="12" hidden="false" customHeight="false" outlineLevel="0" collapsed="false">
      <c r="A2171" s="215" t="s">
        <v>4751</v>
      </c>
    </row>
    <row r="2172" customFormat="false" ht="12" hidden="false" customHeight="false" outlineLevel="0" collapsed="false">
      <c r="A2172" s="215" t="s">
        <v>4752</v>
      </c>
    </row>
    <row r="2173" customFormat="false" ht="12" hidden="false" customHeight="false" outlineLevel="0" collapsed="false">
      <c r="A2173" s="215" t="s">
        <v>4753</v>
      </c>
    </row>
    <row r="2174" customFormat="false" ht="12" hidden="false" customHeight="false" outlineLevel="0" collapsed="false">
      <c r="A2174" s="215" t="s">
        <v>4754</v>
      </c>
    </row>
    <row r="2175" customFormat="false" ht="12" hidden="false" customHeight="false" outlineLevel="0" collapsed="false">
      <c r="A2175" s="215" t="s">
        <v>4755</v>
      </c>
    </row>
    <row r="2176" customFormat="false" ht="12" hidden="false" customHeight="false" outlineLevel="0" collapsed="false">
      <c r="A2176" s="215" t="s">
        <v>4756</v>
      </c>
    </row>
    <row r="2177" customFormat="false" ht="12" hidden="false" customHeight="false" outlineLevel="0" collapsed="false">
      <c r="A2177" s="215" t="s">
        <v>4757</v>
      </c>
    </row>
    <row r="2178" customFormat="false" ht="12" hidden="false" customHeight="false" outlineLevel="0" collapsed="false">
      <c r="A2178" s="215" t="s">
        <v>4758</v>
      </c>
    </row>
    <row r="2179" customFormat="false" ht="12" hidden="false" customHeight="false" outlineLevel="0" collapsed="false">
      <c r="A2179" s="215" t="s">
        <v>4759</v>
      </c>
    </row>
    <row r="2180" customFormat="false" ht="12" hidden="false" customHeight="false" outlineLevel="0" collapsed="false">
      <c r="A2180" s="215" t="s">
        <v>4760</v>
      </c>
    </row>
    <row r="2181" customFormat="false" ht="12" hidden="false" customHeight="false" outlineLevel="0" collapsed="false">
      <c r="A2181" s="215" t="s">
        <v>4761</v>
      </c>
    </row>
    <row r="2182" customFormat="false" ht="12" hidden="false" customHeight="false" outlineLevel="0" collapsed="false">
      <c r="A2182" s="215" t="s">
        <v>4762</v>
      </c>
    </row>
    <row r="2183" customFormat="false" ht="12" hidden="false" customHeight="false" outlineLevel="0" collapsed="false">
      <c r="A2183" s="215" t="s">
        <v>4763</v>
      </c>
    </row>
    <row r="2184" customFormat="false" ht="12" hidden="false" customHeight="false" outlineLevel="0" collapsed="false">
      <c r="A2184" s="215" t="s">
        <v>4764</v>
      </c>
    </row>
    <row r="2185" customFormat="false" ht="12" hidden="false" customHeight="false" outlineLevel="0" collapsed="false">
      <c r="A2185" s="215" t="s">
        <v>4765</v>
      </c>
    </row>
    <row r="2186" customFormat="false" ht="12" hidden="false" customHeight="false" outlineLevel="0" collapsed="false">
      <c r="A2186" s="215" t="s">
        <v>4766</v>
      </c>
    </row>
    <row r="2187" customFormat="false" ht="12" hidden="false" customHeight="false" outlineLevel="0" collapsed="false">
      <c r="A2187" s="215" t="s">
        <v>4767</v>
      </c>
    </row>
    <row r="2188" customFormat="false" ht="12" hidden="false" customHeight="false" outlineLevel="0" collapsed="false">
      <c r="A2188" s="215" t="s">
        <v>4768</v>
      </c>
    </row>
    <row r="2189" customFormat="false" ht="12" hidden="false" customHeight="false" outlineLevel="0" collapsed="false">
      <c r="A2189" s="215" t="s">
        <v>4769</v>
      </c>
    </row>
    <row r="2190" customFormat="false" ht="12" hidden="false" customHeight="false" outlineLevel="0" collapsed="false">
      <c r="A2190" s="215" t="s">
        <v>4770</v>
      </c>
    </row>
    <row r="2191" customFormat="false" ht="12" hidden="false" customHeight="false" outlineLevel="0" collapsed="false">
      <c r="A2191" s="215" t="s">
        <v>4771</v>
      </c>
    </row>
    <row r="2192" customFormat="false" ht="12" hidden="false" customHeight="false" outlineLevel="0" collapsed="false">
      <c r="A2192" s="215" t="s">
        <v>4772</v>
      </c>
    </row>
    <row r="2193" customFormat="false" ht="12" hidden="false" customHeight="false" outlineLevel="0" collapsed="false">
      <c r="A2193" s="215" t="s">
        <v>4773</v>
      </c>
    </row>
    <row r="2194" customFormat="false" ht="12" hidden="false" customHeight="false" outlineLevel="0" collapsed="false">
      <c r="A2194" s="215" t="s">
        <v>4774</v>
      </c>
    </row>
    <row r="2195" customFormat="false" ht="12" hidden="false" customHeight="false" outlineLevel="0" collapsed="false">
      <c r="A2195" s="215" t="s">
        <v>4775</v>
      </c>
    </row>
    <row r="2196" customFormat="false" ht="12" hidden="false" customHeight="false" outlineLevel="0" collapsed="false">
      <c r="A2196" s="215" t="s">
        <v>4776</v>
      </c>
    </row>
    <row r="2197" customFormat="false" ht="12" hidden="false" customHeight="false" outlineLevel="0" collapsed="false">
      <c r="A2197" s="215" t="s">
        <v>4777</v>
      </c>
    </row>
    <row r="2198" customFormat="false" ht="12" hidden="false" customHeight="false" outlineLevel="0" collapsed="false">
      <c r="A2198" s="215" t="s">
        <v>4778</v>
      </c>
    </row>
    <row r="2199" customFormat="false" ht="12" hidden="false" customHeight="false" outlineLevel="0" collapsed="false">
      <c r="A2199" s="215" t="s">
        <v>4779</v>
      </c>
    </row>
    <row r="2200" customFormat="false" ht="12" hidden="false" customHeight="false" outlineLevel="0" collapsed="false">
      <c r="A2200" s="215" t="s">
        <v>4780</v>
      </c>
    </row>
    <row r="2201" customFormat="false" ht="12" hidden="false" customHeight="false" outlineLevel="0" collapsed="false">
      <c r="A2201" s="215" t="s">
        <v>4781</v>
      </c>
    </row>
    <row r="2202" customFormat="false" ht="12" hidden="false" customHeight="false" outlineLevel="0" collapsed="false">
      <c r="A2202" s="215" t="s">
        <v>4782</v>
      </c>
    </row>
    <row r="2203" customFormat="false" ht="12" hidden="false" customHeight="false" outlineLevel="0" collapsed="false">
      <c r="A2203" s="215" t="s">
        <v>4783</v>
      </c>
    </row>
    <row r="2204" customFormat="false" ht="12" hidden="false" customHeight="false" outlineLevel="0" collapsed="false">
      <c r="A2204" s="215" t="s">
        <v>4784</v>
      </c>
    </row>
    <row r="2205" customFormat="false" ht="12" hidden="false" customHeight="false" outlineLevel="0" collapsed="false">
      <c r="A2205" s="215" t="s">
        <v>4785</v>
      </c>
    </row>
    <row r="2206" customFormat="false" ht="12" hidden="false" customHeight="false" outlineLevel="0" collapsed="false">
      <c r="A2206" s="215" t="s">
        <v>4786</v>
      </c>
    </row>
    <row r="2207" customFormat="false" ht="12" hidden="false" customHeight="false" outlineLevel="0" collapsed="false">
      <c r="A2207" s="215" t="s">
        <v>4787</v>
      </c>
    </row>
    <row r="2208" customFormat="false" ht="12" hidden="false" customHeight="false" outlineLevel="0" collapsed="false">
      <c r="A2208" s="215" t="s">
        <v>4788</v>
      </c>
    </row>
    <row r="2209" customFormat="false" ht="12" hidden="false" customHeight="false" outlineLevel="0" collapsed="false">
      <c r="A2209" s="215" t="s">
        <v>4789</v>
      </c>
    </row>
    <row r="2210" customFormat="false" ht="12" hidden="false" customHeight="false" outlineLevel="0" collapsed="false">
      <c r="A2210" s="215" t="s">
        <v>4790</v>
      </c>
    </row>
    <row r="2211" customFormat="false" ht="12" hidden="false" customHeight="false" outlineLevel="0" collapsed="false">
      <c r="A2211" s="215" t="s">
        <v>4791</v>
      </c>
    </row>
    <row r="2212" customFormat="false" ht="12" hidden="false" customHeight="false" outlineLevel="0" collapsed="false">
      <c r="A2212" s="215" t="s">
        <v>4792</v>
      </c>
    </row>
    <row r="2213" customFormat="false" ht="12" hidden="false" customHeight="false" outlineLevel="0" collapsed="false">
      <c r="A2213" s="215" t="s">
        <v>4793</v>
      </c>
    </row>
    <row r="2214" customFormat="false" ht="12" hidden="false" customHeight="false" outlineLevel="0" collapsed="false">
      <c r="A2214" s="215" t="s">
        <v>4794</v>
      </c>
    </row>
    <row r="2215" customFormat="false" ht="12" hidden="false" customHeight="false" outlineLevel="0" collapsed="false">
      <c r="A2215" s="215" t="s">
        <v>4795</v>
      </c>
    </row>
    <row r="2216" customFormat="false" ht="12" hidden="false" customHeight="false" outlineLevel="0" collapsed="false">
      <c r="A2216" s="215" t="s">
        <v>4796</v>
      </c>
    </row>
    <row r="2217" customFormat="false" ht="12" hidden="false" customHeight="false" outlineLevel="0" collapsed="false">
      <c r="A2217" s="215" t="s">
        <v>4797</v>
      </c>
    </row>
    <row r="2218" customFormat="false" ht="12" hidden="false" customHeight="false" outlineLevel="0" collapsed="false">
      <c r="A2218" s="215" t="s">
        <v>4798</v>
      </c>
    </row>
    <row r="2219" customFormat="false" ht="12" hidden="false" customHeight="false" outlineLevel="0" collapsed="false">
      <c r="A2219" s="215" t="s">
        <v>4799</v>
      </c>
    </row>
    <row r="2220" customFormat="false" ht="12" hidden="false" customHeight="false" outlineLevel="0" collapsed="false">
      <c r="A2220" s="215" t="s">
        <v>4800</v>
      </c>
    </row>
    <row r="2221" customFormat="false" ht="12" hidden="false" customHeight="false" outlineLevel="0" collapsed="false">
      <c r="A2221" s="215" t="s">
        <v>4801</v>
      </c>
    </row>
    <row r="2222" customFormat="false" ht="12" hidden="false" customHeight="false" outlineLevel="0" collapsed="false">
      <c r="A2222" s="215" t="s">
        <v>4802</v>
      </c>
    </row>
    <row r="2223" customFormat="false" ht="12" hidden="false" customHeight="false" outlineLevel="0" collapsed="false">
      <c r="A2223" s="215" t="s">
        <v>4803</v>
      </c>
    </row>
    <row r="2224" customFormat="false" ht="12" hidden="false" customHeight="false" outlineLevel="0" collapsed="false">
      <c r="A2224" s="215" t="s">
        <v>4804</v>
      </c>
    </row>
    <row r="2225" customFormat="false" ht="12" hidden="false" customHeight="false" outlineLevel="0" collapsed="false">
      <c r="A2225" s="215" t="s">
        <v>4805</v>
      </c>
    </row>
    <row r="2226" customFormat="false" ht="12" hidden="false" customHeight="false" outlineLevel="0" collapsed="false">
      <c r="A2226" s="215" t="s">
        <v>4806</v>
      </c>
    </row>
    <row r="2227" customFormat="false" ht="12" hidden="false" customHeight="false" outlineLevel="0" collapsed="false">
      <c r="A2227" s="215" t="s">
        <v>4807</v>
      </c>
    </row>
    <row r="2228" customFormat="false" ht="12" hidden="false" customHeight="false" outlineLevel="0" collapsed="false">
      <c r="A2228" s="215" t="s">
        <v>4808</v>
      </c>
    </row>
    <row r="2229" customFormat="false" ht="12" hidden="false" customHeight="false" outlineLevel="0" collapsed="false">
      <c r="A2229" s="215" t="s">
        <v>4809</v>
      </c>
    </row>
    <row r="2230" customFormat="false" ht="12" hidden="false" customHeight="false" outlineLevel="0" collapsed="false">
      <c r="A2230" s="215" t="s">
        <v>4810</v>
      </c>
    </row>
    <row r="2231" customFormat="false" ht="12" hidden="false" customHeight="false" outlineLevel="0" collapsed="false">
      <c r="A2231" s="215" t="s">
        <v>4811</v>
      </c>
    </row>
    <row r="2232" customFormat="false" ht="12" hidden="false" customHeight="false" outlineLevel="0" collapsed="false">
      <c r="A2232" s="215" t="s">
        <v>4812</v>
      </c>
    </row>
    <row r="2233" customFormat="false" ht="12" hidden="false" customHeight="false" outlineLevel="0" collapsed="false">
      <c r="A2233" s="215" t="s">
        <v>4813</v>
      </c>
    </row>
    <row r="2234" customFormat="false" ht="12" hidden="false" customHeight="false" outlineLevel="0" collapsed="false">
      <c r="A2234" s="215" t="s">
        <v>4814</v>
      </c>
    </row>
    <row r="2235" customFormat="false" ht="12" hidden="false" customHeight="false" outlineLevel="0" collapsed="false">
      <c r="A2235" s="215" t="s">
        <v>4815</v>
      </c>
    </row>
    <row r="2236" customFormat="false" ht="12" hidden="false" customHeight="false" outlineLevel="0" collapsed="false">
      <c r="A2236" s="215" t="s">
        <v>4816</v>
      </c>
    </row>
    <row r="2237" customFormat="false" ht="12" hidden="false" customHeight="false" outlineLevel="0" collapsed="false">
      <c r="A2237" s="215" t="s">
        <v>4817</v>
      </c>
    </row>
    <row r="2238" customFormat="false" ht="12" hidden="false" customHeight="false" outlineLevel="0" collapsed="false">
      <c r="A2238" s="215" t="s">
        <v>4818</v>
      </c>
    </row>
    <row r="2239" customFormat="false" ht="12" hidden="false" customHeight="false" outlineLevel="0" collapsed="false">
      <c r="A2239" s="215" t="s">
        <v>4819</v>
      </c>
    </row>
    <row r="2240" customFormat="false" ht="12" hidden="false" customHeight="false" outlineLevel="0" collapsed="false">
      <c r="A2240" s="215" t="s">
        <v>4820</v>
      </c>
    </row>
    <row r="2241" customFormat="false" ht="12" hidden="false" customHeight="false" outlineLevel="0" collapsed="false">
      <c r="A2241" s="215" t="s">
        <v>4821</v>
      </c>
    </row>
    <row r="2242" customFormat="false" ht="12" hidden="false" customHeight="false" outlineLevel="0" collapsed="false">
      <c r="A2242" s="215" t="s">
        <v>4822</v>
      </c>
    </row>
    <row r="2243" customFormat="false" ht="12" hidden="false" customHeight="false" outlineLevel="0" collapsed="false">
      <c r="A2243" s="215" t="s">
        <v>4823</v>
      </c>
    </row>
    <row r="2244" customFormat="false" ht="12" hidden="false" customHeight="false" outlineLevel="0" collapsed="false">
      <c r="A2244" s="215" t="s">
        <v>4824</v>
      </c>
    </row>
    <row r="2245" customFormat="false" ht="12" hidden="false" customHeight="false" outlineLevel="0" collapsed="false">
      <c r="A2245" s="215" t="s">
        <v>4825</v>
      </c>
    </row>
    <row r="2246" customFormat="false" ht="12" hidden="false" customHeight="false" outlineLevel="0" collapsed="false">
      <c r="A2246" s="215" t="s">
        <v>4826</v>
      </c>
    </row>
    <row r="2247" customFormat="false" ht="12" hidden="false" customHeight="false" outlineLevel="0" collapsed="false">
      <c r="A2247" s="215" t="s">
        <v>4827</v>
      </c>
    </row>
    <row r="2248" customFormat="false" ht="12" hidden="false" customHeight="false" outlineLevel="0" collapsed="false">
      <c r="A2248" s="215" t="s">
        <v>4828</v>
      </c>
    </row>
    <row r="2249" customFormat="false" ht="12" hidden="false" customHeight="false" outlineLevel="0" collapsed="false">
      <c r="A2249" s="215" t="s">
        <v>4829</v>
      </c>
    </row>
    <row r="2250" customFormat="false" ht="12" hidden="false" customHeight="false" outlineLevel="0" collapsed="false">
      <c r="A2250" s="215" t="s">
        <v>4830</v>
      </c>
    </row>
    <row r="2251" customFormat="false" ht="12" hidden="false" customHeight="false" outlineLevel="0" collapsed="false">
      <c r="A2251" s="215" t="s">
        <v>4831</v>
      </c>
    </row>
    <row r="2252" customFormat="false" ht="12" hidden="false" customHeight="false" outlineLevel="0" collapsed="false">
      <c r="A2252" s="215" t="s">
        <v>4832</v>
      </c>
    </row>
    <row r="2253" customFormat="false" ht="12" hidden="false" customHeight="false" outlineLevel="0" collapsed="false">
      <c r="A2253" s="215" t="s">
        <v>4833</v>
      </c>
    </row>
    <row r="2254" customFormat="false" ht="12" hidden="false" customHeight="false" outlineLevel="0" collapsed="false">
      <c r="A2254" s="215" t="s">
        <v>4834</v>
      </c>
    </row>
    <row r="2255" customFormat="false" ht="12" hidden="false" customHeight="false" outlineLevel="0" collapsed="false">
      <c r="A2255" s="215" t="s">
        <v>4835</v>
      </c>
    </row>
    <row r="2256" customFormat="false" ht="12" hidden="false" customHeight="false" outlineLevel="0" collapsed="false">
      <c r="A2256" s="215" t="s">
        <v>4836</v>
      </c>
    </row>
    <row r="2257" customFormat="false" ht="12" hidden="false" customHeight="false" outlineLevel="0" collapsed="false">
      <c r="A2257" s="215" t="s">
        <v>4837</v>
      </c>
    </row>
    <row r="2258" customFormat="false" ht="12" hidden="false" customHeight="false" outlineLevel="0" collapsed="false">
      <c r="A2258" s="215" t="s">
        <v>4838</v>
      </c>
    </row>
    <row r="2259" customFormat="false" ht="12" hidden="false" customHeight="false" outlineLevel="0" collapsed="false">
      <c r="A2259" s="215" t="s">
        <v>4839</v>
      </c>
    </row>
    <row r="2260" customFormat="false" ht="12" hidden="false" customHeight="false" outlineLevel="0" collapsed="false">
      <c r="A2260" s="215" t="s">
        <v>4840</v>
      </c>
    </row>
    <row r="2261" customFormat="false" ht="12" hidden="false" customHeight="false" outlineLevel="0" collapsed="false">
      <c r="A2261" s="215" t="s">
        <v>4841</v>
      </c>
    </row>
    <row r="2262" customFormat="false" ht="12" hidden="false" customHeight="false" outlineLevel="0" collapsed="false">
      <c r="A2262" s="215" t="s">
        <v>4842</v>
      </c>
    </row>
    <row r="2263" customFormat="false" ht="12" hidden="false" customHeight="false" outlineLevel="0" collapsed="false">
      <c r="A2263" s="215" t="s">
        <v>4843</v>
      </c>
    </row>
    <row r="2264" customFormat="false" ht="12" hidden="false" customHeight="false" outlineLevel="0" collapsed="false">
      <c r="A2264" s="215" t="s">
        <v>4844</v>
      </c>
    </row>
    <row r="2265" customFormat="false" ht="12" hidden="false" customHeight="false" outlineLevel="0" collapsed="false">
      <c r="A2265" s="215" t="s">
        <v>4845</v>
      </c>
    </row>
    <row r="2266" customFormat="false" ht="12" hidden="false" customHeight="false" outlineLevel="0" collapsed="false">
      <c r="A2266" s="215" t="s">
        <v>4846</v>
      </c>
    </row>
    <row r="2267" customFormat="false" ht="12" hidden="false" customHeight="false" outlineLevel="0" collapsed="false">
      <c r="A2267" s="215" t="s">
        <v>4847</v>
      </c>
    </row>
    <row r="2268" customFormat="false" ht="12" hidden="false" customHeight="false" outlineLevel="0" collapsed="false">
      <c r="A2268" s="215" t="s">
        <v>4848</v>
      </c>
    </row>
    <row r="2269" customFormat="false" ht="12" hidden="false" customHeight="false" outlineLevel="0" collapsed="false">
      <c r="A2269" s="215" t="s">
        <v>4849</v>
      </c>
    </row>
    <row r="2270" customFormat="false" ht="12" hidden="false" customHeight="false" outlineLevel="0" collapsed="false">
      <c r="A2270" s="215" t="s">
        <v>4850</v>
      </c>
    </row>
    <row r="2271" customFormat="false" ht="12" hidden="false" customHeight="false" outlineLevel="0" collapsed="false">
      <c r="A2271" s="215" t="s">
        <v>4851</v>
      </c>
    </row>
    <row r="2272" customFormat="false" ht="12" hidden="false" customHeight="false" outlineLevel="0" collapsed="false">
      <c r="A2272" s="215" t="s">
        <v>4852</v>
      </c>
    </row>
    <row r="2273" customFormat="false" ht="12" hidden="false" customHeight="false" outlineLevel="0" collapsed="false">
      <c r="A2273" s="215" t="s">
        <v>4853</v>
      </c>
    </row>
    <row r="2274" customFormat="false" ht="12" hidden="false" customHeight="false" outlineLevel="0" collapsed="false">
      <c r="A2274" s="215" t="s">
        <v>4854</v>
      </c>
    </row>
    <row r="2275" customFormat="false" ht="12" hidden="false" customHeight="false" outlineLevel="0" collapsed="false">
      <c r="A2275" s="215" t="s">
        <v>4855</v>
      </c>
    </row>
    <row r="2276" customFormat="false" ht="12" hidden="false" customHeight="false" outlineLevel="0" collapsed="false">
      <c r="A2276" s="215" t="s">
        <v>4856</v>
      </c>
    </row>
    <row r="2277" customFormat="false" ht="12" hidden="false" customHeight="false" outlineLevel="0" collapsed="false">
      <c r="A2277" s="215" t="s">
        <v>4857</v>
      </c>
    </row>
    <row r="2278" customFormat="false" ht="12" hidden="false" customHeight="false" outlineLevel="0" collapsed="false">
      <c r="A2278" s="215" t="s">
        <v>4858</v>
      </c>
    </row>
    <row r="2279" customFormat="false" ht="12" hidden="false" customHeight="false" outlineLevel="0" collapsed="false">
      <c r="A2279" s="215" t="s">
        <v>4859</v>
      </c>
    </row>
    <row r="2280" customFormat="false" ht="12" hidden="false" customHeight="false" outlineLevel="0" collapsed="false">
      <c r="A2280" s="215" t="s">
        <v>4860</v>
      </c>
    </row>
    <row r="2281" customFormat="false" ht="12" hidden="false" customHeight="false" outlineLevel="0" collapsed="false">
      <c r="A2281" s="215" t="s">
        <v>4861</v>
      </c>
    </row>
    <row r="2282" customFormat="false" ht="12" hidden="false" customHeight="false" outlineLevel="0" collapsed="false">
      <c r="A2282" s="215" t="s">
        <v>4862</v>
      </c>
    </row>
    <row r="2283" customFormat="false" ht="12" hidden="false" customHeight="false" outlineLevel="0" collapsed="false">
      <c r="A2283" s="215" t="s">
        <v>4863</v>
      </c>
    </row>
    <row r="2284" customFormat="false" ht="12" hidden="false" customHeight="false" outlineLevel="0" collapsed="false">
      <c r="A2284" s="215" t="s">
        <v>4864</v>
      </c>
    </row>
    <row r="2285" customFormat="false" ht="12" hidden="false" customHeight="false" outlineLevel="0" collapsed="false">
      <c r="A2285" s="215" t="s">
        <v>4865</v>
      </c>
    </row>
    <row r="2286" customFormat="false" ht="12" hidden="false" customHeight="false" outlineLevel="0" collapsed="false">
      <c r="A2286" s="215" t="s">
        <v>4866</v>
      </c>
    </row>
    <row r="2287" customFormat="false" ht="12" hidden="false" customHeight="false" outlineLevel="0" collapsed="false">
      <c r="A2287" s="215" t="s">
        <v>4867</v>
      </c>
    </row>
    <row r="2288" customFormat="false" ht="12" hidden="false" customHeight="false" outlineLevel="0" collapsed="false">
      <c r="A2288" s="215" t="s">
        <v>4868</v>
      </c>
    </row>
    <row r="2289" customFormat="false" ht="12" hidden="false" customHeight="false" outlineLevel="0" collapsed="false">
      <c r="A2289" s="215" t="s">
        <v>4869</v>
      </c>
    </row>
    <row r="2290" customFormat="false" ht="12" hidden="false" customHeight="false" outlineLevel="0" collapsed="false">
      <c r="A2290" s="215" t="s">
        <v>4870</v>
      </c>
    </row>
    <row r="2291" customFormat="false" ht="12" hidden="false" customHeight="false" outlineLevel="0" collapsed="false">
      <c r="A2291" s="215" t="s">
        <v>4871</v>
      </c>
    </row>
    <row r="2292" customFormat="false" ht="12" hidden="false" customHeight="false" outlineLevel="0" collapsed="false">
      <c r="A2292" s="215" t="s">
        <v>4872</v>
      </c>
    </row>
    <row r="2293" customFormat="false" ht="12" hidden="false" customHeight="false" outlineLevel="0" collapsed="false">
      <c r="A2293" s="215" t="s">
        <v>4873</v>
      </c>
    </row>
    <row r="2294" customFormat="false" ht="12" hidden="false" customHeight="false" outlineLevel="0" collapsed="false">
      <c r="A2294" s="215" t="s">
        <v>4874</v>
      </c>
    </row>
    <row r="2295" customFormat="false" ht="12" hidden="false" customHeight="false" outlineLevel="0" collapsed="false">
      <c r="A2295" s="215" t="s">
        <v>4875</v>
      </c>
    </row>
    <row r="2296" customFormat="false" ht="12" hidden="false" customHeight="false" outlineLevel="0" collapsed="false">
      <c r="A2296" s="215" t="s">
        <v>4876</v>
      </c>
    </row>
    <row r="2297" customFormat="false" ht="12" hidden="false" customHeight="false" outlineLevel="0" collapsed="false">
      <c r="A2297" s="215" t="s">
        <v>4877</v>
      </c>
    </row>
    <row r="2298" customFormat="false" ht="12" hidden="false" customHeight="false" outlineLevel="0" collapsed="false">
      <c r="A2298" s="215" t="s">
        <v>4878</v>
      </c>
    </row>
    <row r="2299" customFormat="false" ht="12" hidden="false" customHeight="false" outlineLevel="0" collapsed="false">
      <c r="A2299" s="215" t="s">
        <v>4879</v>
      </c>
    </row>
    <row r="2300" customFormat="false" ht="12" hidden="false" customHeight="false" outlineLevel="0" collapsed="false">
      <c r="A2300" s="215" t="s">
        <v>4880</v>
      </c>
    </row>
    <row r="2301" customFormat="false" ht="12" hidden="false" customHeight="false" outlineLevel="0" collapsed="false">
      <c r="A2301" s="215" t="s">
        <v>4881</v>
      </c>
    </row>
    <row r="2302" customFormat="false" ht="12" hidden="false" customHeight="false" outlineLevel="0" collapsed="false">
      <c r="A2302" s="215" t="s">
        <v>4882</v>
      </c>
    </row>
    <row r="2303" customFormat="false" ht="12" hidden="false" customHeight="false" outlineLevel="0" collapsed="false">
      <c r="A2303" s="215" t="s">
        <v>4883</v>
      </c>
    </row>
    <row r="2304" customFormat="false" ht="12" hidden="false" customHeight="false" outlineLevel="0" collapsed="false">
      <c r="A2304" s="215" t="s">
        <v>4884</v>
      </c>
    </row>
    <row r="2305" customFormat="false" ht="12" hidden="false" customHeight="false" outlineLevel="0" collapsed="false">
      <c r="A2305" s="215" t="s">
        <v>4885</v>
      </c>
    </row>
    <row r="2306" customFormat="false" ht="12" hidden="false" customHeight="false" outlineLevel="0" collapsed="false">
      <c r="A2306" s="215" t="s">
        <v>4886</v>
      </c>
    </row>
    <row r="2307" customFormat="false" ht="12" hidden="false" customHeight="false" outlineLevel="0" collapsed="false">
      <c r="A2307" s="215" t="s">
        <v>4887</v>
      </c>
    </row>
    <row r="2308" customFormat="false" ht="12" hidden="false" customHeight="false" outlineLevel="0" collapsed="false">
      <c r="A2308" s="215" t="s">
        <v>4888</v>
      </c>
    </row>
    <row r="2309" customFormat="false" ht="12" hidden="false" customHeight="false" outlineLevel="0" collapsed="false">
      <c r="A2309" s="215" t="s">
        <v>4889</v>
      </c>
    </row>
    <row r="2310" customFormat="false" ht="12" hidden="false" customHeight="false" outlineLevel="0" collapsed="false">
      <c r="A2310" s="215" t="s">
        <v>4890</v>
      </c>
    </row>
    <row r="2311" customFormat="false" ht="12" hidden="false" customHeight="false" outlineLevel="0" collapsed="false">
      <c r="A2311" s="215" t="s">
        <v>4891</v>
      </c>
    </row>
    <row r="2312" customFormat="false" ht="12" hidden="false" customHeight="false" outlineLevel="0" collapsed="false">
      <c r="A2312" s="215" t="s">
        <v>4892</v>
      </c>
    </row>
    <row r="2313" customFormat="false" ht="12" hidden="false" customHeight="false" outlineLevel="0" collapsed="false">
      <c r="A2313" s="215" t="s">
        <v>4893</v>
      </c>
    </row>
    <row r="2314" customFormat="false" ht="12" hidden="false" customHeight="false" outlineLevel="0" collapsed="false">
      <c r="A2314" s="215" t="s">
        <v>4894</v>
      </c>
    </row>
    <row r="2315" customFormat="false" ht="12" hidden="false" customHeight="false" outlineLevel="0" collapsed="false">
      <c r="A2315" s="215" t="s">
        <v>4895</v>
      </c>
    </row>
    <row r="2316" customFormat="false" ht="12" hidden="false" customHeight="false" outlineLevel="0" collapsed="false">
      <c r="A2316" s="215" t="s">
        <v>4896</v>
      </c>
    </row>
    <row r="2317" customFormat="false" ht="12" hidden="false" customHeight="false" outlineLevel="0" collapsed="false">
      <c r="A2317" s="215" t="s">
        <v>4897</v>
      </c>
    </row>
    <row r="2318" customFormat="false" ht="12" hidden="false" customHeight="false" outlineLevel="0" collapsed="false">
      <c r="A2318" s="215" t="s">
        <v>4898</v>
      </c>
    </row>
    <row r="2319" customFormat="false" ht="12" hidden="false" customHeight="false" outlineLevel="0" collapsed="false">
      <c r="A2319" s="215" t="s">
        <v>4899</v>
      </c>
    </row>
    <row r="2320" customFormat="false" ht="12" hidden="false" customHeight="false" outlineLevel="0" collapsed="false">
      <c r="A2320" s="215" t="s">
        <v>4900</v>
      </c>
    </row>
    <row r="2321" customFormat="false" ht="12" hidden="false" customHeight="false" outlineLevel="0" collapsed="false">
      <c r="A2321" s="215" t="s">
        <v>4901</v>
      </c>
    </row>
    <row r="2322" customFormat="false" ht="12" hidden="false" customHeight="false" outlineLevel="0" collapsed="false">
      <c r="A2322" s="215" t="s">
        <v>4902</v>
      </c>
    </row>
    <row r="2323" customFormat="false" ht="12" hidden="false" customHeight="false" outlineLevel="0" collapsed="false">
      <c r="A2323" s="215" t="s">
        <v>4903</v>
      </c>
    </row>
    <row r="2324" customFormat="false" ht="12" hidden="false" customHeight="false" outlineLevel="0" collapsed="false">
      <c r="A2324" s="215" t="s">
        <v>4904</v>
      </c>
    </row>
    <row r="2325" customFormat="false" ht="12" hidden="false" customHeight="false" outlineLevel="0" collapsed="false">
      <c r="A2325" s="215" t="s">
        <v>4905</v>
      </c>
    </row>
    <row r="2326" customFormat="false" ht="12" hidden="false" customHeight="false" outlineLevel="0" collapsed="false">
      <c r="A2326" s="215" t="s">
        <v>4906</v>
      </c>
    </row>
    <row r="2327" customFormat="false" ht="12" hidden="false" customHeight="false" outlineLevel="0" collapsed="false">
      <c r="A2327" s="215" t="s">
        <v>4907</v>
      </c>
    </row>
    <row r="2328" customFormat="false" ht="12" hidden="false" customHeight="false" outlineLevel="0" collapsed="false">
      <c r="A2328" s="215" t="s">
        <v>4908</v>
      </c>
    </row>
    <row r="2329" customFormat="false" ht="12" hidden="false" customHeight="false" outlineLevel="0" collapsed="false">
      <c r="A2329" s="215" t="s">
        <v>4909</v>
      </c>
    </row>
    <row r="2330" customFormat="false" ht="12" hidden="false" customHeight="false" outlineLevel="0" collapsed="false">
      <c r="A2330" s="215" t="s">
        <v>4910</v>
      </c>
    </row>
    <row r="2331" customFormat="false" ht="12" hidden="false" customHeight="false" outlineLevel="0" collapsed="false">
      <c r="A2331" s="215" t="s">
        <v>4911</v>
      </c>
    </row>
    <row r="2332" customFormat="false" ht="12" hidden="false" customHeight="false" outlineLevel="0" collapsed="false">
      <c r="A2332" s="215" t="s">
        <v>4912</v>
      </c>
    </row>
    <row r="2333" customFormat="false" ht="12" hidden="false" customHeight="false" outlineLevel="0" collapsed="false">
      <c r="A2333" s="215" t="s">
        <v>4913</v>
      </c>
    </row>
    <row r="2334" customFormat="false" ht="12" hidden="false" customHeight="false" outlineLevel="0" collapsed="false">
      <c r="A2334" s="215" t="s">
        <v>4914</v>
      </c>
    </row>
    <row r="2335" customFormat="false" ht="12" hidden="false" customHeight="false" outlineLevel="0" collapsed="false">
      <c r="A2335" s="215" t="s">
        <v>4915</v>
      </c>
    </row>
    <row r="2336" customFormat="false" ht="12" hidden="false" customHeight="false" outlineLevel="0" collapsed="false">
      <c r="A2336" s="215" t="s">
        <v>4916</v>
      </c>
    </row>
    <row r="2337" customFormat="false" ht="12" hidden="false" customHeight="false" outlineLevel="0" collapsed="false">
      <c r="A2337" s="215" t="s">
        <v>4917</v>
      </c>
    </row>
    <row r="2338" customFormat="false" ht="12" hidden="false" customHeight="false" outlineLevel="0" collapsed="false">
      <c r="A2338" s="215" t="s">
        <v>4918</v>
      </c>
    </row>
    <row r="2339" customFormat="false" ht="12" hidden="false" customHeight="false" outlineLevel="0" collapsed="false">
      <c r="A2339" s="215" t="s">
        <v>4919</v>
      </c>
    </row>
    <row r="2340" customFormat="false" ht="12" hidden="false" customHeight="false" outlineLevel="0" collapsed="false">
      <c r="A2340" s="215" t="s">
        <v>4920</v>
      </c>
    </row>
    <row r="2341" customFormat="false" ht="12" hidden="false" customHeight="false" outlineLevel="0" collapsed="false">
      <c r="A2341" s="215" t="s">
        <v>4921</v>
      </c>
    </row>
    <row r="2342" customFormat="false" ht="12" hidden="false" customHeight="false" outlineLevel="0" collapsed="false">
      <c r="A2342" s="215" t="s">
        <v>4922</v>
      </c>
    </row>
    <row r="2343" customFormat="false" ht="12" hidden="false" customHeight="false" outlineLevel="0" collapsed="false">
      <c r="A2343" s="215" t="s">
        <v>4923</v>
      </c>
    </row>
    <row r="2344" customFormat="false" ht="12" hidden="false" customHeight="false" outlineLevel="0" collapsed="false">
      <c r="A2344" s="215" t="s">
        <v>4924</v>
      </c>
    </row>
    <row r="2345" customFormat="false" ht="12" hidden="false" customHeight="false" outlineLevel="0" collapsed="false">
      <c r="A2345" s="215" t="s">
        <v>4925</v>
      </c>
    </row>
    <row r="2346" customFormat="false" ht="12" hidden="false" customHeight="false" outlineLevel="0" collapsed="false">
      <c r="A2346" s="215" t="s">
        <v>4926</v>
      </c>
    </row>
    <row r="2347" customFormat="false" ht="12" hidden="false" customHeight="false" outlineLevel="0" collapsed="false">
      <c r="A2347" s="215" t="s">
        <v>4927</v>
      </c>
    </row>
    <row r="2348" customFormat="false" ht="12" hidden="false" customHeight="false" outlineLevel="0" collapsed="false">
      <c r="A2348" s="215" t="s">
        <v>4928</v>
      </c>
    </row>
    <row r="2349" customFormat="false" ht="12" hidden="false" customHeight="false" outlineLevel="0" collapsed="false">
      <c r="A2349" s="215" t="s">
        <v>4929</v>
      </c>
    </row>
    <row r="2350" customFormat="false" ht="12" hidden="false" customHeight="false" outlineLevel="0" collapsed="false">
      <c r="A2350" s="215" t="s">
        <v>4930</v>
      </c>
    </row>
    <row r="2351" customFormat="false" ht="12" hidden="false" customHeight="false" outlineLevel="0" collapsed="false">
      <c r="A2351" s="215" t="s">
        <v>4931</v>
      </c>
    </row>
    <row r="2352" customFormat="false" ht="12" hidden="false" customHeight="false" outlineLevel="0" collapsed="false">
      <c r="A2352" s="215" t="s">
        <v>4932</v>
      </c>
    </row>
    <row r="2353" customFormat="false" ht="12" hidden="false" customHeight="false" outlineLevel="0" collapsed="false">
      <c r="A2353" s="215" t="s">
        <v>4933</v>
      </c>
    </row>
    <row r="2354" customFormat="false" ht="12" hidden="false" customHeight="false" outlineLevel="0" collapsed="false">
      <c r="A2354" s="215" t="s">
        <v>4934</v>
      </c>
    </row>
    <row r="2355" customFormat="false" ht="12" hidden="false" customHeight="false" outlineLevel="0" collapsed="false">
      <c r="A2355" s="215" t="s">
        <v>4935</v>
      </c>
    </row>
    <row r="2356" customFormat="false" ht="12" hidden="false" customHeight="false" outlineLevel="0" collapsed="false">
      <c r="A2356" s="215" t="s">
        <v>4936</v>
      </c>
    </row>
    <row r="2357" customFormat="false" ht="12" hidden="false" customHeight="false" outlineLevel="0" collapsed="false">
      <c r="A2357" s="215" t="s">
        <v>4937</v>
      </c>
    </row>
    <row r="2358" customFormat="false" ht="12" hidden="false" customHeight="false" outlineLevel="0" collapsed="false">
      <c r="A2358" s="215" t="s">
        <v>4938</v>
      </c>
    </row>
    <row r="2359" customFormat="false" ht="12" hidden="false" customHeight="false" outlineLevel="0" collapsed="false">
      <c r="A2359" s="215" t="s">
        <v>4939</v>
      </c>
    </row>
    <row r="2360" customFormat="false" ht="12" hidden="false" customHeight="false" outlineLevel="0" collapsed="false">
      <c r="A2360" s="215" t="s">
        <v>4940</v>
      </c>
    </row>
    <row r="2361" customFormat="false" ht="12" hidden="false" customHeight="false" outlineLevel="0" collapsed="false">
      <c r="A2361" s="215" t="s">
        <v>4941</v>
      </c>
    </row>
    <row r="2362" customFormat="false" ht="12" hidden="false" customHeight="false" outlineLevel="0" collapsed="false">
      <c r="A2362" s="215" t="s">
        <v>4942</v>
      </c>
    </row>
    <row r="2363" customFormat="false" ht="12" hidden="false" customHeight="false" outlineLevel="0" collapsed="false">
      <c r="A2363" s="215" t="s">
        <v>4943</v>
      </c>
    </row>
    <row r="2364" customFormat="false" ht="12" hidden="false" customHeight="false" outlineLevel="0" collapsed="false">
      <c r="A2364" s="215" t="s">
        <v>4944</v>
      </c>
    </row>
    <row r="2365" customFormat="false" ht="12" hidden="false" customHeight="false" outlineLevel="0" collapsed="false">
      <c r="A2365" s="215" t="s">
        <v>4945</v>
      </c>
    </row>
    <row r="2366" customFormat="false" ht="12" hidden="false" customHeight="false" outlineLevel="0" collapsed="false">
      <c r="A2366" s="215" t="s">
        <v>4946</v>
      </c>
    </row>
    <row r="2367" customFormat="false" ht="12" hidden="false" customHeight="false" outlineLevel="0" collapsed="false">
      <c r="A2367" s="215" t="s">
        <v>4947</v>
      </c>
    </row>
    <row r="2368" customFormat="false" ht="12" hidden="false" customHeight="false" outlineLevel="0" collapsed="false">
      <c r="A2368" s="215" t="s">
        <v>4948</v>
      </c>
    </row>
    <row r="2369" customFormat="false" ht="12" hidden="false" customHeight="false" outlineLevel="0" collapsed="false">
      <c r="A2369" s="215" t="s">
        <v>4949</v>
      </c>
    </row>
    <row r="2370" customFormat="false" ht="12" hidden="false" customHeight="false" outlineLevel="0" collapsed="false">
      <c r="A2370" s="215" t="s">
        <v>4950</v>
      </c>
    </row>
    <row r="2371" customFormat="false" ht="12" hidden="false" customHeight="false" outlineLevel="0" collapsed="false">
      <c r="A2371" s="215" t="s">
        <v>4951</v>
      </c>
    </row>
    <row r="2372" customFormat="false" ht="12" hidden="false" customHeight="false" outlineLevel="0" collapsed="false">
      <c r="A2372" s="215" t="s">
        <v>4952</v>
      </c>
    </row>
    <row r="2373" customFormat="false" ht="12" hidden="false" customHeight="false" outlineLevel="0" collapsed="false">
      <c r="A2373" s="215" t="s">
        <v>4953</v>
      </c>
    </row>
    <row r="2374" customFormat="false" ht="12" hidden="false" customHeight="false" outlineLevel="0" collapsed="false">
      <c r="A2374" s="215" t="s">
        <v>4954</v>
      </c>
    </row>
    <row r="2375" customFormat="false" ht="12" hidden="false" customHeight="false" outlineLevel="0" collapsed="false">
      <c r="A2375" s="215" t="s">
        <v>4955</v>
      </c>
    </row>
    <row r="2376" customFormat="false" ht="12" hidden="false" customHeight="false" outlineLevel="0" collapsed="false">
      <c r="A2376" s="215" t="s">
        <v>4956</v>
      </c>
    </row>
    <row r="2377" customFormat="false" ht="12" hidden="false" customHeight="false" outlineLevel="0" collapsed="false">
      <c r="A2377" s="215" t="s">
        <v>4957</v>
      </c>
    </row>
    <row r="2378" customFormat="false" ht="12" hidden="false" customHeight="false" outlineLevel="0" collapsed="false">
      <c r="A2378" s="215" t="s">
        <v>4958</v>
      </c>
    </row>
    <row r="2379" customFormat="false" ht="12" hidden="false" customHeight="false" outlineLevel="0" collapsed="false">
      <c r="A2379" s="215" t="s">
        <v>4959</v>
      </c>
    </row>
    <row r="2380" customFormat="false" ht="12" hidden="false" customHeight="false" outlineLevel="0" collapsed="false">
      <c r="A2380" s="215" t="s">
        <v>4960</v>
      </c>
    </row>
    <row r="2381" customFormat="false" ht="12" hidden="false" customHeight="false" outlineLevel="0" collapsed="false">
      <c r="A2381" s="215" t="s">
        <v>4961</v>
      </c>
    </row>
    <row r="2382" customFormat="false" ht="12" hidden="false" customHeight="false" outlineLevel="0" collapsed="false">
      <c r="A2382" s="215" t="s">
        <v>4962</v>
      </c>
    </row>
    <row r="2383" customFormat="false" ht="12" hidden="false" customHeight="false" outlineLevel="0" collapsed="false">
      <c r="A2383" s="215" t="s">
        <v>4963</v>
      </c>
    </row>
    <row r="2384" customFormat="false" ht="12" hidden="false" customHeight="false" outlineLevel="0" collapsed="false">
      <c r="A2384" s="215" t="s">
        <v>4964</v>
      </c>
    </row>
    <row r="2385" customFormat="false" ht="12" hidden="false" customHeight="false" outlineLevel="0" collapsed="false">
      <c r="A2385" s="215" t="s">
        <v>4965</v>
      </c>
    </row>
    <row r="2386" customFormat="false" ht="12" hidden="false" customHeight="false" outlineLevel="0" collapsed="false">
      <c r="A2386" s="215" t="s">
        <v>4966</v>
      </c>
    </row>
    <row r="2387" customFormat="false" ht="12" hidden="false" customHeight="false" outlineLevel="0" collapsed="false">
      <c r="A2387" s="215" t="s">
        <v>4967</v>
      </c>
    </row>
    <row r="2388" customFormat="false" ht="12" hidden="false" customHeight="false" outlineLevel="0" collapsed="false">
      <c r="A2388" s="215" t="s">
        <v>4968</v>
      </c>
    </row>
    <row r="2389" customFormat="false" ht="12" hidden="false" customHeight="false" outlineLevel="0" collapsed="false">
      <c r="A2389" s="215" t="s">
        <v>4969</v>
      </c>
    </row>
    <row r="2390" customFormat="false" ht="12" hidden="false" customHeight="false" outlineLevel="0" collapsed="false">
      <c r="A2390" s="215" t="s">
        <v>4970</v>
      </c>
    </row>
    <row r="2391" customFormat="false" ht="12" hidden="false" customHeight="false" outlineLevel="0" collapsed="false">
      <c r="A2391" s="215" t="s">
        <v>4971</v>
      </c>
    </row>
    <row r="2392" customFormat="false" ht="12" hidden="false" customHeight="false" outlineLevel="0" collapsed="false">
      <c r="A2392" s="215" t="s">
        <v>4972</v>
      </c>
    </row>
    <row r="2393" customFormat="false" ht="12" hidden="false" customHeight="false" outlineLevel="0" collapsed="false">
      <c r="A2393" s="215" t="s">
        <v>4973</v>
      </c>
    </row>
    <row r="2394" customFormat="false" ht="12" hidden="false" customHeight="false" outlineLevel="0" collapsed="false">
      <c r="A2394" s="215" t="s">
        <v>4974</v>
      </c>
    </row>
    <row r="2395" customFormat="false" ht="12" hidden="false" customHeight="false" outlineLevel="0" collapsed="false">
      <c r="A2395" s="215" t="s">
        <v>4975</v>
      </c>
    </row>
    <row r="2396" customFormat="false" ht="12" hidden="false" customHeight="false" outlineLevel="0" collapsed="false">
      <c r="A2396" s="215" t="s">
        <v>4976</v>
      </c>
    </row>
    <row r="2397" customFormat="false" ht="12" hidden="false" customHeight="false" outlineLevel="0" collapsed="false">
      <c r="A2397" s="215" t="s">
        <v>4977</v>
      </c>
    </row>
    <row r="2398" customFormat="false" ht="12" hidden="false" customHeight="false" outlineLevel="0" collapsed="false">
      <c r="A2398" s="215" t="s">
        <v>4978</v>
      </c>
    </row>
    <row r="2399" customFormat="false" ht="12" hidden="false" customHeight="false" outlineLevel="0" collapsed="false">
      <c r="A2399" s="215" t="s">
        <v>4979</v>
      </c>
    </row>
    <row r="2400" customFormat="false" ht="12" hidden="false" customHeight="false" outlineLevel="0" collapsed="false">
      <c r="A2400" s="215" t="s">
        <v>4980</v>
      </c>
    </row>
    <row r="2401" customFormat="false" ht="12" hidden="false" customHeight="false" outlineLevel="0" collapsed="false">
      <c r="A2401" s="215" t="s">
        <v>4981</v>
      </c>
    </row>
    <row r="2402" customFormat="false" ht="12" hidden="false" customHeight="false" outlineLevel="0" collapsed="false">
      <c r="A2402" s="215" t="s">
        <v>4982</v>
      </c>
    </row>
    <row r="2403" customFormat="false" ht="12" hidden="false" customHeight="false" outlineLevel="0" collapsed="false">
      <c r="A2403" s="215" t="s">
        <v>4983</v>
      </c>
    </row>
    <row r="2404" customFormat="false" ht="12" hidden="false" customHeight="false" outlineLevel="0" collapsed="false">
      <c r="A2404" s="215" t="s">
        <v>4984</v>
      </c>
    </row>
    <row r="2405" customFormat="false" ht="12" hidden="false" customHeight="false" outlineLevel="0" collapsed="false">
      <c r="A2405" s="215" t="s">
        <v>4985</v>
      </c>
    </row>
    <row r="2406" customFormat="false" ht="12" hidden="false" customHeight="false" outlineLevel="0" collapsed="false">
      <c r="A2406" s="215" t="s">
        <v>4986</v>
      </c>
    </row>
    <row r="2407" customFormat="false" ht="12" hidden="false" customHeight="false" outlineLevel="0" collapsed="false">
      <c r="A2407" s="215" t="s">
        <v>4987</v>
      </c>
    </row>
    <row r="2408" customFormat="false" ht="12" hidden="false" customHeight="false" outlineLevel="0" collapsed="false">
      <c r="A2408" s="215" t="s">
        <v>4988</v>
      </c>
    </row>
    <row r="2409" customFormat="false" ht="12" hidden="false" customHeight="false" outlineLevel="0" collapsed="false">
      <c r="A2409" s="215" t="s">
        <v>4989</v>
      </c>
    </row>
    <row r="2410" customFormat="false" ht="12" hidden="false" customHeight="false" outlineLevel="0" collapsed="false">
      <c r="A2410" s="215" t="s">
        <v>4990</v>
      </c>
    </row>
    <row r="2411" customFormat="false" ht="12" hidden="false" customHeight="false" outlineLevel="0" collapsed="false">
      <c r="A2411" s="215" t="s">
        <v>4991</v>
      </c>
    </row>
    <row r="2412" customFormat="false" ht="12" hidden="false" customHeight="false" outlineLevel="0" collapsed="false">
      <c r="A2412" s="215" t="s">
        <v>4992</v>
      </c>
    </row>
    <row r="2413" customFormat="false" ht="12" hidden="false" customHeight="false" outlineLevel="0" collapsed="false">
      <c r="A2413" s="215" t="s">
        <v>4993</v>
      </c>
    </row>
    <row r="2414" customFormat="false" ht="12" hidden="false" customHeight="false" outlineLevel="0" collapsed="false">
      <c r="A2414" s="215" t="s">
        <v>4994</v>
      </c>
    </row>
    <row r="2415" customFormat="false" ht="12" hidden="false" customHeight="false" outlineLevel="0" collapsed="false">
      <c r="A2415" s="215" t="s">
        <v>4995</v>
      </c>
    </row>
    <row r="2416" customFormat="false" ht="12" hidden="false" customHeight="false" outlineLevel="0" collapsed="false">
      <c r="A2416" s="215" t="s">
        <v>4996</v>
      </c>
    </row>
    <row r="2417" customFormat="false" ht="12" hidden="false" customHeight="false" outlineLevel="0" collapsed="false">
      <c r="A2417" s="215" t="s">
        <v>4997</v>
      </c>
    </row>
    <row r="2418" customFormat="false" ht="12" hidden="false" customHeight="false" outlineLevel="0" collapsed="false">
      <c r="A2418" s="215" t="s">
        <v>4998</v>
      </c>
    </row>
    <row r="2419" customFormat="false" ht="12" hidden="false" customHeight="false" outlineLevel="0" collapsed="false">
      <c r="A2419" s="215" t="s">
        <v>4999</v>
      </c>
    </row>
    <row r="2420" customFormat="false" ht="12" hidden="false" customHeight="false" outlineLevel="0" collapsed="false">
      <c r="A2420" s="215" t="s">
        <v>5000</v>
      </c>
    </row>
    <row r="2421" customFormat="false" ht="12" hidden="false" customHeight="false" outlineLevel="0" collapsed="false">
      <c r="A2421" s="215" t="s">
        <v>5001</v>
      </c>
    </row>
    <row r="2422" customFormat="false" ht="12" hidden="false" customHeight="false" outlineLevel="0" collapsed="false">
      <c r="A2422" s="215" t="s">
        <v>5002</v>
      </c>
    </row>
    <row r="2423" customFormat="false" ht="12" hidden="false" customHeight="false" outlineLevel="0" collapsed="false">
      <c r="A2423" s="215" t="s">
        <v>5003</v>
      </c>
    </row>
    <row r="2424" customFormat="false" ht="12" hidden="false" customHeight="false" outlineLevel="0" collapsed="false">
      <c r="A2424" s="215" t="s">
        <v>5004</v>
      </c>
    </row>
    <row r="2425" customFormat="false" ht="12" hidden="false" customHeight="false" outlineLevel="0" collapsed="false">
      <c r="A2425" s="215" t="s">
        <v>5005</v>
      </c>
    </row>
    <row r="2426" customFormat="false" ht="12" hidden="false" customHeight="false" outlineLevel="0" collapsed="false">
      <c r="A2426" s="215" t="s">
        <v>5006</v>
      </c>
    </row>
    <row r="2427" customFormat="false" ht="12" hidden="false" customHeight="false" outlineLevel="0" collapsed="false">
      <c r="A2427" s="215" t="s">
        <v>5007</v>
      </c>
    </row>
    <row r="2428" customFormat="false" ht="12" hidden="false" customHeight="false" outlineLevel="0" collapsed="false">
      <c r="A2428" s="215" t="s">
        <v>5008</v>
      </c>
    </row>
    <row r="2429" customFormat="false" ht="12" hidden="false" customHeight="false" outlineLevel="0" collapsed="false">
      <c r="A2429" s="215" t="s">
        <v>5009</v>
      </c>
    </row>
    <row r="2430" customFormat="false" ht="12" hidden="false" customHeight="false" outlineLevel="0" collapsed="false">
      <c r="A2430" s="215" t="s">
        <v>5010</v>
      </c>
    </row>
    <row r="2431" customFormat="false" ht="12" hidden="false" customHeight="false" outlineLevel="0" collapsed="false">
      <c r="A2431" s="215" t="s">
        <v>5011</v>
      </c>
    </row>
    <row r="2432" customFormat="false" ht="12" hidden="false" customHeight="false" outlineLevel="0" collapsed="false">
      <c r="A2432" s="215" t="s">
        <v>5012</v>
      </c>
    </row>
    <row r="2433" customFormat="false" ht="12" hidden="false" customHeight="false" outlineLevel="0" collapsed="false">
      <c r="A2433" s="215" t="s">
        <v>5013</v>
      </c>
    </row>
    <row r="2434" customFormat="false" ht="12" hidden="false" customHeight="false" outlineLevel="0" collapsed="false">
      <c r="A2434" s="215" t="s">
        <v>5014</v>
      </c>
    </row>
    <row r="2435" customFormat="false" ht="12" hidden="false" customHeight="false" outlineLevel="0" collapsed="false">
      <c r="A2435" s="215" t="s">
        <v>5015</v>
      </c>
    </row>
    <row r="2436" customFormat="false" ht="12" hidden="false" customHeight="false" outlineLevel="0" collapsed="false">
      <c r="A2436" s="215" t="s">
        <v>5016</v>
      </c>
    </row>
    <row r="2437" customFormat="false" ht="12" hidden="false" customHeight="false" outlineLevel="0" collapsed="false">
      <c r="A2437" s="215" t="s">
        <v>5017</v>
      </c>
    </row>
    <row r="2438" customFormat="false" ht="12" hidden="false" customHeight="false" outlineLevel="0" collapsed="false">
      <c r="A2438" s="215" t="s">
        <v>5018</v>
      </c>
    </row>
    <row r="2439" customFormat="false" ht="12" hidden="false" customHeight="false" outlineLevel="0" collapsed="false">
      <c r="A2439" s="215" t="s">
        <v>5019</v>
      </c>
    </row>
    <row r="2440" customFormat="false" ht="12" hidden="false" customHeight="false" outlineLevel="0" collapsed="false">
      <c r="A2440" s="215" t="s">
        <v>5020</v>
      </c>
    </row>
    <row r="2441" customFormat="false" ht="12" hidden="false" customHeight="false" outlineLevel="0" collapsed="false">
      <c r="A2441" s="215" t="s">
        <v>5021</v>
      </c>
    </row>
    <row r="2442" customFormat="false" ht="12" hidden="false" customHeight="false" outlineLevel="0" collapsed="false">
      <c r="A2442" s="215" t="s">
        <v>5022</v>
      </c>
    </row>
    <row r="2443" customFormat="false" ht="12" hidden="false" customHeight="false" outlineLevel="0" collapsed="false">
      <c r="A2443" s="215" t="s">
        <v>5023</v>
      </c>
    </row>
    <row r="2444" customFormat="false" ht="12" hidden="false" customHeight="false" outlineLevel="0" collapsed="false">
      <c r="A2444" s="215" t="s">
        <v>5024</v>
      </c>
    </row>
    <row r="2445" customFormat="false" ht="12" hidden="false" customHeight="false" outlineLevel="0" collapsed="false">
      <c r="A2445" s="215" t="s">
        <v>5025</v>
      </c>
    </row>
    <row r="2446" customFormat="false" ht="12" hidden="false" customHeight="false" outlineLevel="0" collapsed="false">
      <c r="A2446" s="215" t="s">
        <v>5026</v>
      </c>
    </row>
    <row r="2447" customFormat="false" ht="12" hidden="false" customHeight="false" outlineLevel="0" collapsed="false">
      <c r="A2447" s="215" t="s">
        <v>5027</v>
      </c>
    </row>
    <row r="2448" customFormat="false" ht="12" hidden="false" customHeight="false" outlineLevel="0" collapsed="false">
      <c r="A2448" s="215" t="s">
        <v>5028</v>
      </c>
    </row>
    <row r="2449" customFormat="false" ht="12" hidden="false" customHeight="false" outlineLevel="0" collapsed="false">
      <c r="A2449" s="215" t="s">
        <v>5029</v>
      </c>
    </row>
    <row r="2450" customFormat="false" ht="12" hidden="false" customHeight="false" outlineLevel="0" collapsed="false">
      <c r="A2450" s="215" t="s">
        <v>5030</v>
      </c>
    </row>
    <row r="2451" customFormat="false" ht="12" hidden="false" customHeight="false" outlineLevel="0" collapsed="false">
      <c r="A2451" s="215" t="s">
        <v>5031</v>
      </c>
    </row>
    <row r="2452" customFormat="false" ht="12" hidden="false" customHeight="false" outlineLevel="0" collapsed="false">
      <c r="A2452" s="215" t="s">
        <v>5032</v>
      </c>
    </row>
    <row r="2453" customFormat="false" ht="12" hidden="false" customHeight="false" outlineLevel="0" collapsed="false">
      <c r="A2453" s="215" t="s">
        <v>5033</v>
      </c>
    </row>
    <row r="2454" customFormat="false" ht="12" hidden="false" customHeight="false" outlineLevel="0" collapsed="false">
      <c r="A2454" s="215" t="s">
        <v>5034</v>
      </c>
    </row>
    <row r="2455" customFormat="false" ht="12" hidden="false" customHeight="false" outlineLevel="0" collapsed="false">
      <c r="A2455" s="215" t="s">
        <v>5035</v>
      </c>
    </row>
    <row r="2456" customFormat="false" ht="12" hidden="false" customHeight="false" outlineLevel="0" collapsed="false">
      <c r="A2456" s="215" t="s">
        <v>5036</v>
      </c>
    </row>
    <row r="2457" customFormat="false" ht="12" hidden="false" customHeight="false" outlineLevel="0" collapsed="false">
      <c r="A2457" s="215" t="s">
        <v>5037</v>
      </c>
    </row>
    <row r="2458" customFormat="false" ht="12" hidden="false" customHeight="false" outlineLevel="0" collapsed="false">
      <c r="A2458" s="215" t="s">
        <v>5038</v>
      </c>
    </row>
    <row r="2459" customFormat="false" ht="12" hidden="false" customHeight="false" outlineLevel="0" collapsed="false">
      <c r="A2459" s="215" t="s">
        <v>5039</v>
      </c>
    </row>
    <row r="2460" customFormat="false" ht="12" hidden="false" customHeight="false" outlineLevel="0" collapsed="false">
      <c r="A2460" s="215" t="s">
        <v>5040</v>
      </c>
    </row>
    <row r="2461" customFormat="false" ht="12" hidden="false" customHeight="false" outlineLevel="0" collapsed="false">
      <c r="A2461" s="215" t="s">
        <v>5041</v>
      </c>
    </row>
    <row r="2462" customFormat="false" ht="12" hidden="false" customHeight="false" outlineLevel="0" collapsed="false">
      <c r="A2462" s="215" t="s">
        <v>5042</v>
      </c>
    </row>
    <row r="2463" customFormat="false" ht="12" hidden="false" customHeight="false" outlineLevel="0" collapsed="false">
      <c r="A2463" s="215" t="s">
        <v>5043</v>
      </c>
    </row>
    <row r="2464" customFormat="false" ht="12" hidden="false" customHeight="false" outlineLevel="0" collapsed="false">
      <c r="A2464" s="215" t="s">
        <v>5044</v>
      </c>
    </row>
    <row r="2465" customFormat="false" ht="12" hidden="false" customHeight="false" outlineLevel="0" collapsed="false">
      <c r="A2465" s="215" t="s">
        <v>5045</v>
      </c>
    </row>
    <row r="2466" customFormat="false" ht="12" hidden="false" customHeight="false" outlineLevel="0" collapsed="false">
      <c r="A2466" s="215" t="s">
        <v>5046</v>
      </c>
    </row>
    <row r="2467" customFormat="false" ht="12" hidden="false" customHeight="false" outlineLevel="0" collapsed="false">
      <c r="A2467" s="215" t="s">
        <v>5047</v>
      </c>
    </row>
    <row r="2468" customFormat="false" ht="12" hidden="false" customHeight="false" outlineLevel="0" collapsed="false">
      <c r="A2468" s="215" t="s">
        <v>5048</v>
      </c>
    </row>
    <row r="2469" customFormat="false" ht="12" hidden="false" customHeight="false" outlineLevel="0" collapsed="false">
      <c r="A2469" s="215" t="s">
        <v>5049</v>
      </c>
    </row>
    <row r="2470" customFormat="false" ht="12" hidden="false" customHeight="false" outlineLevel="0" collapsed="false">
      <c r="A2470" s="215" t="s">
        <v>5050</v>
      </c>
    </row>
    <row r="2471" customFormat="false" ht="12" hidden="false" customHeight="false" outlineLevel="0" collapsed="false">
      <c r="A2471" s="215" t="s">
        <v>5051</v>
      </c>
    </row>
    <row r="2472" customFormat="false" ht="12" hidden="false" customHeight="false" outlineLevel="0" collapsed="false">
      <c r="A2472" s="215" t="s">
        <v>5052</v>
      </c>
    </row>
    <row r="2473" customFormat="false" ht="12" hidden="false" customHeight="false" outlineLevel="0" collapsed="false">
      <c r="A2473" s="215" t="s">
        <v>5053</v>
      </c>
    </row>
    <row r="2474" customFormat="false" ht="12" hidden="false" customHeight="false" outlineLevel="0" collapsed="false">
      <c r="A2474" s="215" t="s">
        <v>5054</v>
      </c>
    </row>
    <row r="2475" customFormat="false" ht="12" hidden="false" customHeight="false" outlineLevel="0" collapsed="false">
      <c r="A2475" s="215" t="s">
        <v>5055</v>
      </c>
    </row>
    <row r="2476" customFormat="false" ht="12" hidden="false" customHeight="false" outlineLevel="0" collapsed="false">
      <c r="A2476" s="215" t="s">
        <v>5056</v>
      </c>
    </row>
    <row r="2477" customFormat="false" ht="12" hidden="false" customHeight="false" outlineLevel="0" collapsed="false">
      <c r="A2477" s="215" t="s">
        <v>5057</v>
      </c>
    </row>
    <row r="2478" customFormat="false" ht="12" hidden="false" customHeight="false" outlineLevel="0" collapsed="false">
      <c r="A2478" s="215" t="s">
        <v>5058</v>
      </c>
    </row>
    <row r="2479" customFormat="false" ht="12" hidden="false" customHeight="false" outlineLevel="0" collapsed="false">
      <c r="A2479" s="215" t="s">
        <v>5059</v>
      </c>
    </row>
    <row r="2480" customFormat="false" ht="12" hidden="false" customHeight="false" outlineLevel="0" collapsed="false">
      <c r="A2480" s="215" t="s">
        <v>5060</v>
      </c>
    </row>
    <row r="2481" customFormat="false" ht="12" hidden="false" customHeight="false" outlineLevel="0" collapsed="false">
      <c r="A2481" s="215" t="s">
        <v>5061</v>
      </c>
    </row>
    <row r="2482" customFormat="false" ht="12" hidden="false" customHeight="false" outlineLevel="0" collapsed="false">
      <c r="A2482" s="215" t="s">
        <v>5062</v>
      </c>
    </row>
    <row r="2483" customFormat="false" ht="12" hidden="false" customHeight="false" outlineLevel="0" collapsed="false">
      <c r="A2483" s="215" t="s">
        <v>5063</v>
      </c>
    </row>
    <row r="2484" customFormat="false" ht="12" hidden="false" customHeight="false" outlineLevel="0" collapsed="false">
      <c r="A2484" s="215" t="s">
        <v>5064</v>
      </c>
    </row>
    <row r="2485" customFormat="false" ht="12" hidden="false" customHeight="false" outlineLevel="0" collapsed="false">
      <c r="A2485" s="215" t="s">
        <v>5065</v>
      </c>
    </row>
    <row r="2486" customFormat="false" ht="12" hidden="false" customHeight="false" outlineLevel="0" collapsed="false">
      <c r="A2486" s="215" t="s">
        <v>5066</v>
      </c>
    </row>
    <row r="2487" customFormat="false" ht="12" hidden="false" customHeight="false" outlineLevel="0" collapsed="false">
      <c r="A2487" s="215" t="s">
        <v>5067</v>
      </c>
    </row>
    <row r="2488" customFormat="false" ht="12" hidden="false" customHeight="false" outlineLevel="0" collapsed="false">
      <c r="A2488" s="215" t="s">
        <v>5068</v>
      </c>
    </row>
    <row r="2489" customFormat="false" ht="12" hidden="false" customHeight="false" outlineLevel="0" collapsed="false">
      <c r="A2489" s="215" t="s">
        <v>5069</v>
      </c>
    </row>
    <row r="2490" customFormat="false" ht="12" hidden="false" customHeight="false" outlineLevel="0" collapsed="false">
      <c r="A2490" s="215" t="s">
        <v>5070</v>
      </c>
    </row>
    <row r="2491" customFormat="false" ht="12" hidden="false" customHeight="false" outlineLevel="0" collapsed="false">
      <c r="A2491" s="215" t="s">
        <v>5071</v>
      </c>
    </row>
    <row r="2492" customFormat="false" ht="12" hidden="false" customHeight="false" outlineLevel="0" collapsed="false">
      <c r="A2492" s="215" t="s">
        <v>5072</v>
      </c>
    </row>
    <row r="2493" customFormat="false" ht="12" hidden="false" customHeight="false" outlineLevel="0" collapsed="false">
      <c r="A2493" s="215" t="s">
        <v>5073</v>
      </c>
    </row>
    <row r="2494" customFormat="false" ht="12" hidden="false" customHeight="false" outlineLevel="0" collapsed="false">
      <c r="A2494" s="215" t="s">
        <v>5074</v>
      </c>
    </row>
    <row r="2495" customFormat="false" ht="12" hidden="false" customHeight="false" outlineLevel="0" collapsed="false">
      <c r="A2495" s="215" t="s">
        <v>5075</v>
      </c>
    </row>
    <row r="2496" customFormat="false" ht="12" hidden="false" customHeight="false" outlineLevel="0" collapsed="false">
      <c r="A2496" s="215" t="s">
        <v>5076</v>
      </c>
    </row>
    <row r="2497" customFormat="false" ht="12" hidden="false" customHeight="false" outlineLevel="0" collapsed="false">
      <c r="A2497" s="215" t="s">
        <v>5077</v>
      </c>
    </row>
    <row r="2498" customFormat="false" ht="12" hidden="false" customHeight="false" outlineLevel="0" collapsed="false">
      <c r="A2498" s="215" t="s">
        <v>5078</v>
      </c>
    </row>
    <row r="2499" customFormat="false" ht="12" hidden="false" customHeight="false" outlineLevel="0" collapsed="false">
      <c r="A2499" s="215" t="s">
        <v>5079</v>
      </c>
    </row>
    <row r="2500" customFormat="false" ht="12" hidden="false" customHeight="false" outlineLevel="0" collapsed="false">
      <c r="A2500" s="215" t="s">
        <v>5080</v>
      </c>
    </row>
    <row r="2501" customFormat="false" ht="12" hidden="false" customHeight="false" outlineLevel="0" collapsed="false">
      <c r="A2501" s="215" t="s">
        <v>5081</v>
      </c>
    </row>
    <row r="2502" customFormat="false" ht="12" hidden="false" customHeight="false" outlineLevel="0" collapsed="false">
      <c r="A2502" s="215" t="s">
        <v>5082</v>
      </c>
    </row>
    <row r="2503" customFormat="false" ht="12" hidden="false" customHeight="false" outlineLevel="0" collapsed="false">
      <c r="A2503" s="215" t="s">
        <v>5083</v>
      </c>
    </row>
    <row r="2504" customFormat="false" ht="12" hidden="false" customHeight="false" outlineLevel="0" collapsed="false">
      <c r="A2504" s="215" t="s">
        <v>5084</v>
      </c>
    </row>
    <row r="2505" customFormat="false" ht="12" hidden="false" customHeight="false" outlineLevel="0" collapsed="false">
      <c r="A2505" s="215" t="s">
        <v>5085</v>
      </c>
    </row>
    <row r="2506" customFormat="false" ht="12" hidden="false" customHeight="false" outlineLevel="0" collapsed="false">
      <c r="A2506" s="215" t="s">
        <v>5086</v>
      </c>
    </row>
    <row r="2507" customFormat="false" ht="12" hidden="false" customHeight="false" outlineLevel="0" collapsed="false">
      <c r="A2507" s="215" t="s">
        <v>5087</v>
      </c>
    </row>
    <row r="2508" customFormat="false" ht="12" hidden="false" customHeight="false" outlineLevel="0" collapsed="false">
      <c r="A2508" s="215" t="s">
        <v>5088</v>
      </c>
    </row>
    <row r="2509" customFormat="false" ht="12" hidden="false" customHeight="false" outlineLevel="0" collapsed="false">
      <c r="A2509" s="215" t="s">
        <v>5089</v>
      </c>
    </row>
    <row r="2510" customFormat="false" ht="12" hidden="false" customHeight="false" outlineLevel="0" collapsed="false">
      <c r="A2510" s="215" t="s">
        <v>5090</v>
      </c>
    </row>
    <row r="2511" customFormat="false" ht="12" hidden="false" customHeight="false" outlineLevel="0" collapsed="false">
      <c r="A2511" s="215" t="s">
        <v>5091</v>
      </c>
    </row>
    <row r="2512" customFormat="false" ht="12" hidden="false" customHeight="false" outlineLevel="0" collapsed="false">
      <c r="A2512" s="215" t="s">
        <v>5092</v>
      </c>
    </row>
    <row r="2513" customFormat="false" ht="12" hidden="false" customHeight="false" outlineLevel="0" collapsed="false">
      <c r="A2513" s="215" t="s">
        <v>5093</v>
      </c>
    </row>
    <row r="2514" customFormat="false" ht="12" hidden="false" customHeight="false" outlineLevel="0" collapsed="false">
      <c r="A2514" s="215" t="s">
        <v>5094</v>
      </c>
    </row>
    <row r="2515" customFormat="false" ht="12" hidden="false" customHeight="false" outlineLevel="0" collapsed="false">
      <c r="A2515" s="215" t="s">
        <v>5095</v>
      </c>
    </row>
    <row r="2516" customFormat="false" ht="12" hidden="false" customHeight="false" outlineLevel="0" collapsed="false">
      <c r="A2516" s="215" t="s">
        <v>5096</v>
      </c>
    </row>
    <row r="2517" customFormat="false" ht="12" hidden="false" customHeight="false" outlineLevel="0" collapsed="false">
      <c r="A2517" s="215" t="s">
        <v>5097</v>
      </c>
    </row>
    <row r="2518" customFormat="false" ht="12" hidden="false" customHeight="false" outlineLevel="0" collapsed="false">
      <c r="A2518" s="215" t="s">
        <v>5098</v>
      </c>
    </row>
    <row r="2519" customFormat="false" ht="12" hidden="false" customHeight="false" outlineLevel="0" collapsed="false">
      <c r="A2519" s="215" t="s">
        <v>5099</v>
      </c>
    </row>
    <row r="2520" customFormat="false" ht="12" hidden="false" customHeight="false" outlineLevel="0" collapsed="false">
      <c r="A2520" s="215" t="s">
        <v>5100</v>
      </c>
    </row>
    <row r="2521" customFormat="false" ht="12" hidden="false" customHeight="false" outlineLevel="0" collapsed="false">
      <c r="A2521" s="215" t="s">
        <v>5101</v>
      </c>
    </row>
    <row r="2522" customFormat="false" ht="12" hidden="false" customHeight="false" outlineLevel="0" collapsed="false">
      <c r="A2522" s="215" t="s">
        <v>5102</v>
      </c>
    </row>
    <row r="2523" customFormat="false" ht="12" hidden="false" customHeight="false" outlineLevel="0" collapsed="false">
      <c r="A2523" s="215" t="s">
        <v>5103</v>
      </c>
    </row>
    <row r="2524" customFormat="false" ht="12" hidden="false" customHeight="false" outlineLevel="0" collapsed="false">
      <c r="A2524" s="215" t="s">
        <v>5104</v>
      </c>
    </row>
    <row r="2525" customFormat="false" ht="12" hidden="false" customHeight="false" outlineLevel="0" collapsed="false">
      <c r="A2525" s="215" t="s">
        <v>5105</v>
      </c>
    </row>
    <row r="2526" customFormat="false" ht="12" hidden="false" customHeight="false" outlineLevel="0" collapsed="false">
      <c r="A2526" s="215" t="s">
        <v>5106</v>
      </c>
    </row>
    <row r="2527" customFormat="false" ht="12" hidden="false" customHeight="false" outlineLevel="0" collapsed="false">
      <c r="A2527" s="215" t="s">
        <v>5107</v>
      </c>
    </row>
    <row r="2528" customFormat="false" ht="12" hidden="false" customHeight="false" outlineLevel="0" collapsed="false">
      <c r="A2528" s="215" t="s">
        <v>5108</v>
      </c>
    </row>
    <row r="2529" customFormat="false" ht="12" hidden="false" customHeight="false" outlineLevel="0" collapsed="false">
      <c r="A2529" s="215" t="s">
        <v>5109</v>
      </c>
    </row>
    <row r="2530" customFormat="false" ht="12" hidden="false" customHeight="false" outlineLevel="0" collapsed="false">
      <c r="A2530" s="215" t="s">
        <v>5110</v>
      </c>
    </row>
    <row r="2531" customFormat="false" ht="12" hidden="false" customHeight="false" outlineLevel="0" collapsed="false">
      <c r="A2531" s="215" t="s">
        <v>5111</v>
      </c>
    </row>
    <row r="2532" customFormat="false" ht="12" hidden="false" customHeight="false" outlineLevel="0" collapsed="false">
      <c r="A2532" s="215" t="s">
        <v>5112</v>
      </c>
    </row>
    <row r="2533" customFormat="false" ht="12" hidden="false" customHeight="false" outlineLevel="0" collapsed="false">
      <c r="A2533" s="215" t="s">
        <v>5113</v>
      </c>
    </row>
    <row r="2534" customFormat="false" ht="12" hidden="false" customHeight="false" outlineLevel="0" collapsed="false">
      <c r="A2534" s="215" t="s">
        <v>5114</v>
      </c>
    </row>
    <row r="2535" customFormat="false" ht="12" hidden="false" customHeight="false" outlineLevel="0" collapsed="false">
      <c r="A2535" s="215" t="s">
        <v>5115</v>
      </c>
    </row>
    <row r="2536" customFormat="false" ht="12" hidden="false" customHeight="false" outlineLevel="0" collapsed="false">
      <c r="A2536" s="215" t="s">
        <v>5116</v>
      </c>
    </row>
    <row r="2537" customFormat="false" ht="12" hidden="false" customHeight="false" outlineLevel="0" collapsed="false">
      <c r="A2537" s="215" t="s">
        <v>5117</v>
      </c>
    </row>
    <row r="2538" customFormat="false" ht="12" hidden="false" customHeight="false" outlineLevel="0" collapsed="false">
      <c r="A2538" s="215" t="s">
        <v>5118</v>
      </c>
    </row>
    <row r="2539" customFormat="false" ht="12" hidden="false" customHeight="false" outlineLevel="0" collapsed="false">
      <c r="A2539" s="215" t="s">
        <v>5119</v>
      </c>
    </row>
    <row r="2540" customFormat="false" ht="12" hidden="false" customHeight="false" outlineLevel="0" collapsed="false">
      <c r="A2540" s="215" t="s">
        <v>5120</v>
      </c>
    </row>
    <row r="2541" customFormat="false" ht="12" hidden="false" customHeight="false" outlineLevel="0" collapsed="false">
      <c r="A2541" s="215" t="s">
        <v>5121</v>
      </c>
    </row>
    <row r="2542" customFormat="false" ht="12" hidden="false" customHeight="false" outlineLevel="0" collapsed="false">
      <c r="A2542" s="215" t="s">
        <v>5122</v>
      </c>
    </row>
    <row r="2543" customFormat="false" ht="12" hidden="false" customHeight="false" outlineLevel="0" collapsed="false">
      <c r="A2543" s="215" t="s">
        <v>5123</v>
      </c>
    </row>
    <row r="2544" customFormat="false" ht="12" hidden="false" customHeight="false" outlineLevel="0" collapsed="false">
      <c r="A2544" s="215" t="s">
        <v>5124</v>
      </c>
    </row>
    <row r="2545" customFormat="false" ht="12" hidden="false" customHeight="false" outlineLevel="0" collapsed="false">
      <c r="A2545" s="215" t="s">
        <v>5125</v>
      </c>
    </row>
    <row r="2546" customFormat="false" ht="12" hidden="false" customHeight="false" outlineLevel="0" collapsed="false">
      <c r="A2546" s="215" t="s">
        <v>5126</v>
      </c>
    </row>
    <row r="2547" customFormat="false" ht="12" hidden="false" customHeight="false" outlineLevel="0" collapsed="false">
      <c r="A2547" s="215" t="s">
        <v>5127</v>
      </c>
    </row>
    <row r="2548" customFormat="false" ht="12" hidden="false" customHeight="false" outlineLevel="0" collapsed="false">
      <c r="A2548" s="215" t="s">
        <v>5128</v>
      </c>
    </row>
    <row r="2549" customFormat="false" ht="12" hidden="false" customHeight="false" outlineLevel="0" collapsed="false">
      <c r="A2549" s="215" t="s">
        <v>5129</v>
      </c>
    </row>
    <row r="2550" customFormat="false" ht="12" hidden="false" customHeight="false" outlineLevel="0" collapsed="false">
      <c r="A2550" s="215" t="s">
        <v>5130</v>
      </c>
    </row>
    <row r="2551" customFormat="false" ht="12" hidden="false" customHeight="false" outlineLevel="0" collapsed="false">
      <c r="A2551" s="215" t="s">
        <v>5131</v>
      </c>
    </row>
    <row r="2552" customFormat="false" ht="12" hidden="false" customHeight="false" outlineLevel="0" collapsed="false">
      <c r="A2552" s="215" t="s">
        <v>5132</v>
      </c>
    </row>
    <row r="2553" customFormat="false" ht="12" hidden="false" customHeight="false" outlineLevel="0" collapsed="false">
      <c r="A2553" s="215" t="s">
        <v>5133</v>
      </c>
    </row>
    <row r="2554" customFormat="false" ht="12" hidden="false" customHeight="false" outlineLevel="0" collapsed="false">
      <c r="A2554" s="215" t="s">
        <v>5134</v>
      </c>
    </row>
    <row r="2555" customFormat="false" ht="12" hidden="false" customHeight="false" outlineLevel="0" collapsed="false">
      <c r="A2555" s="215" t="s">
        <v>5135</v>
      </c>
    </row>
    <row r="2556" customFormat="false" ht="12" hidden="false" customHeight="false" outlineLevel="0" collapsed="false">
      <c r="A2556" s="215" t="s">
        <v>5136</v>
      </c>
    </row>
    <row r="2557" customFormat="false" ht="12" hidden="false" customHeight="false" outlineLevel="0" collapsed="false">
      <c r="A2557" s="215" t="s">
        <v>5137</v>
      </c>
    </row>
    <row r="2558" customFormat="false" ht="12" hidden="false" customHeight="false" outlineLevel="0" collapsed="false">
      <c r="A2558" s="215" t="s">
        <v>5138</v>
      </c>
    </row>
    <row r="2559" customFormat="false" ht="12" hidden="false" customHeight="false" outlineLevel="0" collapsed="false">
      <c r="A2559" s="215" t="s">
        <v>5139</v>
      </c>
    </row>
    <row r="2560" customFormat="false" ht="12" hidden="false" customHeight="false" outlineLevel="0" collapsed="false">
      <c r="A2560" s="215" t="s">
        <v>5140</v>
      </c>
    </row>
    <row r="2561" customFormat="false" ht="12" hidden="false" customHeight="false" outlineLevel="0" collapsed="false">
      <c r="A2561" s="215" t="s">
        <v>5141</v>
      </c>
    </row>
    <row r="2562" customFormat="false" ht="12" hidden="false" customHeight="false" outlineLevel="0" collapsed="false">
      <c r="A2562" s="215" t="s">
        <v>5142</v>
      </c>
    </row>
    <row r="2563" customFormat="false" ht="12" hidden="false" customHeight="false" outlineLevel="0" collapsed="false">
      <c r="A2563" s="215" t="s">
        <v>5143</v>
      </c>
    </row>
    <row r="2564" customFormat="false" ht="12" hidden="false" customHeight="false" outlineLevel="0" collapsed="false">
      <c r="A2564" s="215" t="s">
        <v>5144</v>
      </c>
    </row>
    <row r="2565" customFormat="false" ht="12" hidden="false" customHeight="false" outlineLevel="0" collapsed="false">
      <c r="A2565" s="215" t="s">
        <v>5145</v>
      </c>
    </row>
    <row r="2566" customFormat="false" ht="12" hidden="false" customHeight="false" outlineLevel="0" collapsed="false">
      <c r="A2566" s="215" t="s">
        <v>5146</v>
      </c>
    </row>
    <row r="2567" customFormat="false" ht="12" hidden="false" customHeight="false" outlineLevel="0" collapsed="false">
      <c r="A2567" s="215" t="s">
        <v>5147</v>
      </c>
    </row>
    <row r="2568" customFormat="false" ht="12" hidden="false" customHeight="false" outlineLevel="0" collapsed="false">
      <c r="A2568" s="215" t="s">
        <v>5148</v>
      </c>
    </row>
    <row r="2569" customFormat="false" ht="12" hidden="false" customHeight="false" outlineLevel="0" collapsed="false">
      <c r="A2569" s="215" t="s">
        <v>5149</v>
      </c>
    </row>
    <row r="2570" customFormat="false" ht="12" hidden="false" customHeight="false" outlineLevel="0" collapsed="false">
      <c r="A2570" s="215" t="s">
        <v>5150</v>
      </c>
    </row>
    <row r="2571" customFormat="false" ht="12" hidden="false" customHeight="false" outlineLevel="0" collapsed="false">
      <c r="A2571" s="215" t="s">
        <v>5151</v>
      </c>
    </row>
    <row r="2572" customFormat="false" ht="12" hidden="false" customHeight="false" outlineLevel="0" collapsed="false">
      <c r="A2572" s="215" t="s">
        <v>5152</v>
      </c>
    </row>
    <row r="2573" customFormat="false" ht="12" hidden="false" customHeight="false" outlineLevel="0" collapsed="false">
      <c r="A2573" s="215" t="s">
        <v>5153</v>
      </c>
    </row>
    <row r="2574" customFormat="false" ht="12" hidden="false" customHeight="false" outlineLevel="0" collapsed="false">
      <c r="A2574" s="215" t="s">
        <v>5154</v>
      </c>
    </row>
    <row r="2575" customFormat="false" ht="12" hidden="false" customHeight="false" outlineLevel="0" collapsed="false">
      <c r="A2575" s="215" t="s">
        <v>5155</v>
      </c>
    </row>
    <row r="2576" customFormat="false" ht="12" hidden="false" customHeight="false" outlineLevel="0" collapsed="false">
      <c r="A2576" s="215" t="s">
        <v>5156</v>
      </c>
    </row>
    <row r="2577" customFormat="false" ht="12" hidden="false" customHeight="false" outlineLevel="0" collapsed="false">
      <c r="A2577" s="215" t="s">
        <v>5157</v>
      </c>
    </row>
    <row r="2578" customFormat="false" ht="12" hidden="false" customHeight="false" outlineLevel="0" collapsed="false">
      <c r="A2578" s="215" t="s">
        <v>5158</v>
      </c>
    </row>
    <row r="2579" customFormat="false" ht="12" hidden="false" customHeight="false" outlineLevel="0" collapsed="false">
      <c r="A2579" s="215" t="s">
        <v>5159</v>
      </c>
    </row>
    <row r="2580" customFormat="false" ht="12" hidden="false" customHeight="false" outlineLevel="0" collapsed="false">
      <c r="A2580" s="215" t="s">
        <v>5160</v>
      </c>
    </row>
    <row r="2581" customFormat="false" ht="12" hidden="false" customHeight="false" outlineLevel="0" collapsed="false">
      <c r="A2581" s="215" t="s">
        <v>5161</v>
      </c>
    </row>
    <row r="2582" customFormat="false" ht="12" hidden="false" customHeight="false" outlineLevel="0" collapsed="false">
      <c r="A2582" s="215" t="s">
        <v>5162</v>
      </c>
    </row>
    <row r="2583" customFormat="false" ht="12" hidden="false" customHeight="false" outlineLevel="0" collapsed="false">
      <c r="A2583" s="215" t="s">
        <v>5163</v>
      </c>
    </row>
    <row r="2584" customFormat="false" ht="12" hidden="false" customHeight="false" outlineLevel="0" collapsed="false">
      <c r="A2584" s="215" t="s">
        <v>5164</v>
      </c>
    </row>
    <row r="2585" customFormat="false" ht="12" hidden="false" customHeight="false" outlineLevel="0" collapsed="false">
      <c r="A2585" s="215" t="s">
        <v>5165</v>
      </c>
    </row>
    <row r="2586" customFormat="false" ht="12" hidden="false" customHeight="false" outlineLevel="0" collapsed="false">
      <c r="A2586" s="215" t="s">
        <v>5166</v>
      </c>
    </row>
    <row r="2587" customFormat="false" ht="12" hidden="false" customHeight="false" outlineLevel="0" collapsed="false">
      <c r="A2587" s="215" t="s">
        <v>5167</v>
      </c>
    </row>
    <row r="2588" customFormat="false" ht="12" hidden="false" customHeight="false" outlineLevel="0" collapsed="false">
      <c r="A2588" s="215" t="s">
        <v>5168</v>
      </c>
    </row>
    <row r="2589" customFormat="false" ht="12" hidden="false" customHeight="false" outlineLevel="0" collapsed="false">
      <c r="A2589" s="215" t="s">
        <v>5169</v>
      </c>
    </row>
    <row r="2590" customFormat="false" ht="12" hidden="false" customHeight="false" outlineLevel="0" collapsed="false">
      <c r="A2590" s="215" t="s">
        <v>5170</v>
      </c>
    </row>
    <row r="2591" customFormat="false" ht="12" hidden="false" customHeight="false" outlineLevel="0" collapsed="false">
      <c r="A2591" s="215" t="s">
        <v>5171</v>
      </c>
    </row>
    <row r="2592" customFormat="false" ht="12" hidden="false" customHeight="false" outlineLevel="0" collapsed="false">
      <c r="A2592" s="215" t="s">
        <v>5172</v>
      </c>
    </row>
    <row r="2593" customFormat="false" ht="12" hidden="false" customHeight="false" outlineLevel="0" collapsed="false">
      <c r="A2593" s="215" t="s">
        <v>5173</v>
      </c>
    </row>
    <row r="2594" customFormat="false" ht="12" hidden="false" customHeight="false" outlineLevel="0" collapsed="false">
      <c r="A2594" s="215" t="s">
        <v>5174</v>
      </c>
    </row>
    <row r="2595" customFormat="false" ht="12" hidden="false" customHeight="false" outlineLevel="0" collapsed="false">
      <c r="A2595" s="215" t="s">
        <v>5175</v>
      </c>
    </row>
    <row r="2596" customFormat="false" ht="12" hidden="false" customHeight="false" outlineLevel="0" collapsed="false">
      <c r="A2596" s="215" t="s">
        <v>5176</v>
      </c>
    </row>
    <row r="2597" customFormat="false" ht="12" hidden="false" customHeight="false" outlineLevel="0" collapsed="false">
      <c r="A2597" s="215" t="s">
        <v>5177</v>
      </c>
    </row>
    <row r="2598" customFormat="false" ht="12" hidden="false" customHeight="false" outlineLevel="0" collapsed="false">
      <c r="A2598" s="215" t="s">
        <v>5178</v>
      </c>
    </row>
    <row r="2599" customFormat="false" ht="12" hidden="false" customHeight="false" outlineLevel="0" collapsed="false">
      <c r="A2599" s="215" t="s">
        <v>5179</v>
      </c>
    </row>
    <row r="2600" customFormat="false" ht="12" hidden="false" customHeight="false" outlineLevel="0" collapsed="false">
      <c r="A2600" s="215" t="s">
        <v>5180</v>
      </c>
    </row>
    <row r="2601" customFormat="false" ht="12" hidden="false" customHeight="false" outlineLevel="0" collapsed="false">
      <c r="A2601" s="215" t="s">
        <v>5181</v>
      </c>
    </row>
    <row r="2602" customFormat="false" ht="12" hidden="false" customHeight="false" outlineLevel="0" collapsed="false">
      <c r="A2602" s="215" t="s">
        <v>5182</v>
      </c>
    </row>
    <row r="2603" customFormat="false" ht="12" hidden="false" customHeight="false" outlineLevel="0" collapsed="false">
      <c r="A2603" s="215" t="s">
        <v>5183</v>
      </c>
    </row>
    <row r="2604" customFormat="false" ht="12" hidden="false" customHeight="false" outlineLevel="0" collapsed="false">
      <c r="A2604" s="215" t="s">
        <v>5184</v>
      </c>
    </row>
    <row r="2605" customFormat="false" ht="12" hidden="false" customHeight="false" outlineLevel="0" collapsed="false">
      <c r="A2605" s="215" t="s">
        <v>5185</v>
      </c>
    </row>
    <row r="2606" customFormat="false" ht="12" hidden="false" customHeight="false" outlineLevel="0" collapsed="false">
      <c r="A2606" s="215" t="s">
        <v>5186</v>
      </c>
    </row>
    <row r="2607" customFormat="false" ht="12" hidden="false" customHeight="false" outlineLevel="0" collapsed="false">
      <c r="A2607" s="215" t="s">
        <v>5187</v>
      </c>
    </row>
    <row r="2608" customFormat="false" ht="12" hidden="false" customHeight="false" outlineLevel="0" collapsed="false">
      <c r="A2608" s="215" t="s">
        <v>5188</v>
      </c>
    </row>
    <row r="2609" customFormat="false" ht="12" hidden="false" customHeight="false" outlineLevel="0" collapsed="false">
      <c r="A2609" s="215" t="s">
        <v>5189</v>
      </c>
    </row>
    <row r="2610" customFormat="false" ht="12" hidden="false" customHeight="false" outlineLevel="0" collapsed="false">
      <c r="A2610" s="215" t="s">
        <v>5190</v>
      </c>
    </row>
    <row r="2611" customFormat="false" ht="12" hidden="false" customHeight="false" outlineLevel="0" collapsed="false">
      <c r="A2611" s="215" t="s">
        <v>5191</v>
      </c>
    </row>
    <row r="2612" customFormat="false" ht="12" hidden="false" customHeight="false" outlineLevel="0" collapsed="false">
      <c r="A2612" s="215" t="s">
        <v>5192</v>
      </c>
    </row>
    <row r="2613" customFormat="false" ht="12" hidden="false" customHeight="false" outlineLevel="0" collapsed="false">
      <c r="A2613" s="215" t="s">
        <v>5193</v>
      </c>
    </row>
    <row r="2614" customFormat="false" ht="12" hidden="false" customHeight="false" outlineLevel="0" collapsed="false">
      <c r="A2614" s="215" t="s">
        <v>5194</v>
      </c>
    </row>
    <row r="2615" customFormat="false" ht="12" hidden="false" customHeight="false" outlineLevel="0" collapsed="false">
      <c r="A2615" s="215" t="s">
        <v>5195</v>
      </c>
    </row>
    <row r="2616" customFormat="false" ht="12" hidden="false" customHeight="false" outlineLevel="0" collapsed="false">
      <c r="A2616" s="215" t="s">
        <v>5196</v>
      </c>
    </row>
    <row r="2617" customFormat="false" ht="12" hidden="false" customHeight="false" outlineLevel="0" collapsed="false">
      <c r="A2617" s="215" t="s">
        <v>5197</v>
      </c>
    </row>
    <row r="2618" customFormat="false" ht="12" hidden="false" customHeight="false" outlineLevel="0" collapsed="false">
      <c r="A2618" s="215" t="s">
        <v>5198</v>
      </c>
    </row>
    <row r="2619" customFormat="false" ht="12" hidden="false" customHeight="false" outlineLevel="0" collapsed="false">
      <c r="A2619" s="215" t="s">
        <v>5199</v>
      </c>
    </row>
    <row r="2620" customFormat="false" ht="12" hidden="false" customHeight="false" outlineLevel="0" collapsed="false">
      <c r="A2620" s="215" t="s">
        <v>5200</v>
      </c>
    </row>
    <row r="2621" customFormat="false" ht="12" hidden="false" customHeight="false" outlineLevel="0" collapsed="false">
      <c r="A2621" s="215" t="s">
        <v>5201</v>
      </c>
    </row>
    <row r="2622" customFormat="false" ht="12" hidden="false" customHeight="false" outlineLevel="0" collapsed="false">
      <c r="A2622" s="215" t="s">
        <v>5202</v>
      </c>
    </row>
    <row r="2623" customFormat="false" ht="12" hidden="false" customHeight="false" outlineLevel="0" collapsed="false">
      <c r="A2623" s="215" t="s">
        <v>5203</v>
      </c>
    </row>
    <row r="2624" customFormat="false" ht="12" hidden="false" customHeight="false" outlineLevel="0" collapsed="false">
      <c r="A2624" s="215" t="s">
        <v>5204</v>
      </c>
    </row>
    <row r="2625" customFormat="false" ht="12" hidden="false" customHeight="false" outlineLevel="0" collapsed="false">
      <c r="A2625" s="215" t="s">
        <v>5205</v>
      </c>
    </row>
    <row r="2626" customFormat="false" ht="12" hidden="false" customHeight="false" outlineLevel="0" collapsed="false">
      <c r="A2626" s="215" t="s">
        <v>5206</v>
      </c>
    </row>
    <row r="2627" customFormat="false" ht="12" hidden="false" customHeight="false" outlineLevel="0" collapsed="false">
      <c r="A2627" s="215" t="s">
        <v>5207</v>
      </c>
    </row>
    <row r="2628" customFormat="false" ht="12" hidden="false" customHeight="false" outlineLevel="0" collapsed="false">
      <c r="A2628" s="215" t="s">
        <v>5208</v>
      </c>
    </row>
    <row r="2629" customFormat="false" ht="12" hidden="false" customHeight="false" outlineLevel="0" collapsed="false">
      <c r="A2629" s="215" t="s">
        <v>5209</v>
      </c>
    </row>
    <row r="2630" customFormat="false" ht="12" hidden="false" customHeight="false" outlineLevel="0" collapsed="false">
      <c r="A2630" s="215" t="s">
        <v>5210</v>
      </c>
    </row>
    <row r="2631" customFormat="false" ht="12" hidden="false" customHeight="false" outlineLevel="0" collapsed="false">
      <c r="A2631" s="215" t="s">
        <v>5211</v>
      </c>
    </row>
    <row r="2632" customFormat="false" ht="12" hidden="false" customHeight="false" outlineLevel="0" collapsed="false">
      <c r="A2632" s="215" t="s">
        <v>5212</v>
      </c>
    </row>
    <row r="2633" customFormat="false" ht="12" hidden="false" customHeight="false" outlineLevel="0" collapsed="false">
      <c r="A2633" s="215" t="s">
        <v>5213</v>
      </c>
    </row>
    <row r="2634" customFormat="false" ht="12" hidden="false" customHeight="false" outlineLevel="0" collapsed="false">
      <c r="A2634" s="215" t="s">
        <v>5214</v>
      </c>
    </row>
    <row r="2635" customFormat="false" ht="12" hidden="false" customHeight="false" outlineLevel="0" collapsed="false">
      <c r="A2635" s="215" t="s">
        <v>5215</v>
      </c>
    </row>
    <row r="2636" customFormat="false" ht="12" hidden="false" customHeight="false" outlineLevel="0" collapsed="false">
      <c r="A2636" s="215" t="s">
        <v>5216</v>
      </c>
    </row>
    <row r="2637" customFormat="false" ht="12" hidden="false" customHeight="false" outlineLevel="0" collapsed="false">
      <c r="A2637" s="215" t="s">
        <v>5217</v>
      </c>
    </row>
    <row r="2638" customFormat="false" ht="12" hidden="false" customHeight="false" outlineLevel="0" collapsed="false">
      <c r="A2638" s="215" t="s">
        <v>5218</v>
      </c>
    </row>
    <row r="2639" customFormat="false" ht="12" hidden="false" customHeight="false" outlineLevel="0" collapsed="false">
      <c r="A2639" s="215" t="s">
        <v>5219</v>
      </c>
    </row>
    <row r="2640" customFormat="false" ht="12" hidden="false" customHeight="false" outlineLevel="0" collapsed="false">
      <c r="A2640" s="215" t="s">
        <v>5220</v>
      </c>
    </row>
    <row r="2641" customFormat="false" ht="12" hidden="false" customHeight="false" outlineLevel="0" collapsed="false">
      <c r="A2641" s="215" t="s">
        <v>5221</v>
      </c>
    </row>
    <row r="2642" customFormat="false" ht="12" hidden="false" customHeight="false" outlineLevel="0" collapsed="false">
      <c r="A2642" s="215" t="s">
        <v>5222</v>
      </c>
    </row>
    <row r="2643" customFormat="false" ht="12" hidden="false" customHeight="false" outlineLevel="0" collapsed="false">
      <c r="A2643" s="215" t="s">
        <v>5223</v>
      </c>
    </row>
    <row r="2644" customFormat="false" ht="12" hidden="false" customHeight="false" outlineLevel="0" collapsed="false">
      <c r="A2644" s="215" t="s">
        <v>5224</v>
      </c>
    </row>
    <row r="2645" customFormat="false" ht="12" hidden="false" customHeight="false" outlineLevel="0" collapsed="false">
      <c r="A2645" s="215" t="s">
        <v>5225</v>
      </c>
    </row>
    <row r="2646" customFormat="false" ht="12" hidden="false" customHeight="false" outlineLevel="0" collapsed="false">
      <c r="A2646" s="215" t="s">
        <v>5226</v>
      </c>
    </row>
    <row r="2647" customFormat="false" ht="12" hidden="false" customHeight="false" outlineLevel="0" collapsed="false">
      <c r="A2647" s="215" t="s">
        <v>5227</v>
      </c>
    </row>
    <row r="2648" customFormat="false" ht="12" hidden="false" customHeight="false" outlineLevel="0" collapsed="false">
      <c r="A2648" s="215" t="s">
        <v>5228</v>
      </c>
    </row>
    <row r="2649" customFormat="false" ht="12" hidden="false" customHeight="false" outlineLevel="0" collapsed="false">
      <c r="A2649" s="215" t="s">
        <v>5229</v>
      </c>
    </row>
    <row r="2650" customFormat="false" ht="12" hidden="false" customHeight="false" outlineLevel="0" collapsed="false">
      <c r="A2650" s="215" t="s">
        <v>5230</v>
      </c>
    </row>
    <row r="2651" customFormat="false" ht="12" hidden="false" customHeight="false" outlineLevel="0" collapsed="false">
      <c r="A2651" s="215" t="s">
        <v>5231</v>
      </c>
    </row>
    <row r="2652" customFormat="false" ht="12" hidden="false" customHeight="false" outlineLevel="0" collapsed="false">
      <c r="A2652" s="215" t="s">
        <v>5232</v>
      </c>
    </row>
    <row r="2653" customFormat="false" ht="12" hidden="false" customHeight="false" outlineLevel="0" collapsed="false">
      <c r="A2653" s="215" t="s">
        <v>5233</v>
      </c>
    </row>
    <row r="2654" customFormat="false" ht="12" hidden="false" customHeight="false" outlineLevel="0" collapsed="false">
      <c r="A2654" s="215" t="s">
        <v>5234</v>
      </c>
    </row>
    <row r="2655" customFormat="false" ht="12" hidden="false" customHeight="false" outlineLevel="0" collapsed="false">
      <c r="A2655" s="215" t="s">
        <v>5235</v>
      </c>
    </row>
    <row r="2656" customFormat="false" ht="12" hidden="false" customHeight="false" outlineLevel="0" collapsed="false">
      <c r="A2656" s="215" t="s">
        <v>5236</v>
      </c>
    </row>
    <row r="2657" customFormat="false" ht="12" hidden="false" customHeight="false" outlineLevel="0" collapsed="false">
      <c r="A2657" s="215" t="s">
        <v>5237</v>
      </c>
    </row>
    <row r="2658" customFormat="false" ht="12" hidden="false" customHeight="false" outlineLevel="0" collapsed="false">
      <c r="A2658" s="215" t="s">
        <v>5238</v>
      </c>
    </row>
    <row r="2659" customFormat="false" ht="12" hidden="false" customHeight="false" outlineLevel="0" collapsed="false">
      <c r="A2659" s="215" t="s">
        <v>5239</v>
      </c>
    </row>
    <row r="2660" customFormat="false" ht="12" hidden="false" customHeight="false" outlineLevel="0" collapsed="false">
      <c r="A2660" s="215" t="s">
        <v>5240</v>
      </c>
    </row>
    <row r="2661" customFormat="false" ht="12" hidden="false" customHeight="false" outlineLevel="0" collapsed="false">
      <c r="A2661" s="215" t="s">
        <v>5241</v>
      </c>
    </row>
    <row r="2662" customFormat="false" ht="12" hidden="false" customHeight="false" outlineLevel="0" collapsed="false">
      <c r="A2662" s="215" t="s">
        <v>5242</v>
      </c>
    </row>
    <row r="2663" customFormat="false" ht="12" hidden="false" customHeight="false" outlineLevel="0" collapsed="false">
      <c r="A2663" s="215" t="s">
        <v>5243</v>
      </c>
    </row>
    <row r="2664" customFormat="false" ht="12" hidden="false" customHeight="false" outlineLevel="0" collapsed="false">
      <c r="A2664" s="215" t="s">
        <v>5244</v>
      </c>
    </row>
    <row r="2665" customFormat="false" ht="12" hidden="false" customHeight="false" outlineLevel="0" collapsed="false">
      <c r="A2665" s="215" t="s">
        <v>5245</v>
      </c>
    </row>
    <row r="2666" customFormat="false" ht="12" hidden="false" customHeight="false" outlineLevel="0" collapsed="false">
      <c r="A2666" s="215" t="s">
        <v>5246</v>
      </c>
    </row>
    <row r="2667" customFormat="false" ht="12" hidden="false" customHeight="false" outlineLevel="0" collapsed="false">
      <c r="A2667" s="215" t="s">
        <v>5247</v>
      </c>
    </row>
    <row r="2668" customFormat="false" ht="12" hidden="false" customHeight="false" outlineLevel="0" collapsed="false">
      <c r="A2668" s="215" t="s">
        <v>5248</v>
      </c>
    </row>
    <row r="2669" customFormat="false" ht="12" hidden="false" customHeight="false" outlineLevel="0" collapsed="false">
      <c r="A2669" s="215" t="s">
        <v>5249</v>
      </c>
    </row>
    <row r="2670" customFormat="false" ht="12" hidden="false" customHeight="false" outlineLevel="0" collapsed="false">
      <c r="A2670" s="215" t="s">
        <v>5250</v>
      </c>
    </row>
    <row r="2671" customFormat="false" ht="12" hidden="false" customHeight="false" outlineLevel="0" collapsed="false">
      <c r="A2671" s="215" t="s">
        <v>5251</v>
      </c>
    </row>
    <row r="2672" customFormat="false" ht="12" hidden="false" customHeight="false" outlineLevel="0" collapsed="false">
      <c r="A2672" s="215" t="s">
        <v>5252</v>
      </c>
    </row>
    <row r="2673" customFormat="false" ht="12" hidden="false" customHeight="false" outlineLevel="0" collapsed="false">
      <c r="A2673" s="215" t="s">
        <v>5253</v>
      </c>
    </row>
    <row r="2674" customFormat="false" ht="12" hidden="false" customHeight="false" outlineLevel="0" collapsed="false">
      <c r="A2674" s="215" t="s">
        <v>5254</v>
      </c>
    </row>
    <row r="2675" customFormat="false" ht="12" hidden="false" customHeight="false" outlineLevel="0" collapsed="false">
      <c r="A2675" s="215" t="s">
        <v>5255</v>
      </c>
    </row>
    <row r="2676" customFormat="false" ht="12" hidden="false" customHeight="false" outlineLevel="0" collapsed="false">
      <c r="A2676" s="215" t="s">
        <v>5256</v>
      </c>
    </row>
    <row r="2677" customFormat="false" ht="12" hidden="false" customHeight="false" outlineLevel="0" collapsed="false">
      <c r="A2677" s="215" t="s">
        <v>5257</v>
      </c>
    </row>
    <row r="2678" customFormat="false" ht="12" hidden="false" customHeight="false" outlineLevel="0" collapsed="false">
      <c r="A2678" s="215" t="s">
        <v>5258</v>
      </c>
    </row>
    <row r="2679" customFormat="false" ht="12" hidden="false" customHeight="false" outlineLevel="0" collapsed="false">
      <c r="A2679" s="215" t="s">
        <v>5259</v>
      </c>
    </row>
    <row r="2680" customFormat="false" ht="12" hidden="false" customHeight="false" outlineLevel="0" collapsed="false">
      <c r="A2680" s="215" t="s">
        <v>5260</v>
      </c>
    </row>
    <row r="2681" customFormat="false" ht="12" hidden="false" customHeight="false" outlineLevel="0" collapsed="false">
      <c r="A2681" s="215" t="s">
        <v>5261</v>
      </c>
    </row>
    <row r="2682" customFormat="false" ht="12" hidden="false" customHeight="false" outlineLevel="0" collapsed="false">
      <c r="A2682" s="215" t="s">
        <v>5262</v>
      </c>
    </row>
    <row r="2683" customFormat="false" ht="12" hidden="false" customHeight="false" outlineLevel="0" collapsed="false">
      <c r="A2683" s="215" t="s">
        <v>5263</v>
      </c>
    </row>
    <row r="2684" customFormat="false" ht="12" hidden="false" customHeight="false" outlineLevel="0" collapsed="false">
      <c r="A2684" s="215" t="s">
        <v>5264</v>
      </c>
    </row>
    <row r="2685" customFormat="false" ht="12" hidden="false" customHeight="false" outlineLevel="0" collapsed="false">
      <c r="A2685" s="215" t="s">
        <v>5265</v>
      </c>
    </row>
    <row r="2686" customFormat="false" ht="12" hidden="false" customHeight="false" outlineLevel="0" collapsed="false">
      <c r="A2686" s="215" t="s">
        <v>5266</v>
      </c>
    </row>
    <row r="2687" customFormat="false" ht="12" hidden="false" customHeight="false" outlineLevel="0" collapsed="false">
      <c r="A2687" s="215" t="s">
        <v>5267</v>
      </c>
    </row>
    <row r="2688" customFormat="false" ht="12" hidden="false" customHeight="false" outlineLevel="0" collapsed="false">
      <c r="A2688" s="215" t="s">
        <v>5268</v>
      </c>
    </row>
    <row r="2689" customFormat="false" ht="12" hidden="false" customHeight="false" outlineLevel="0" collapsed="false">
      <c r="A2689" s="215" t="s">
        <v>5269</v>
      </c>
    </row>
    <row r="2690" customFormat="false" ht="12" hidden="false" customHeight="false" outlineLevel="0" collapsed="false">
      <c r="A2690" s="215" t="s">
        <v>5270</v>
      </c>
    </row>
    <row r="2691" customFormat="false" ht="12" hidden="false" customHeight="false" outlineLevel="0" collapsed="false">
      <c r="A2691" s="215" t="s">
        <v>5271</v>
      </c>
    </row>
    <row r="2692" customFormat="false" ht="12" hidden="false" customHeight="false" outlineLevel="0" collapsed="false">
      <c r="A2692" s="215" t="s">
        <v>5272</v>
      </c>
    </row>
    <row r="2693" customFormat="false" ht="12" hidden="false" customHeight="false" outlineLevel="0" collapsed="false">
      <c r="A2693" s="215" t="s">
        <v>5273</v>
      </c>
    </row>
    <row r="2694" customFormat="false" ht="12" hidden="false" customHeight="false" outlineLevel="0" collapsed="false">
      <c r="A2694" s="215" t="s">
        <v>5274</v>
      </c>
    </row>
    <row r="2695" customFormat="false" ht="12" hidden="false" customHeight="false" outlineLevel="0" collapsed="false">
      <c r="A2695" s="215" t="s">
        <v>5275</v>
      </c>
    </row>
    <row r="2696" customFormat="false" ht="12" hidden="false" customHeight="false" outlineLevel="0" collapsed="false">
      <c r="A2696" s="215" t="s">
        <v>5276</v>
      </c>
    </row>
    <row r="2697" customFormat="false" ht="12" hidden="false" customHeight="false" outlineLevel="0" collapsed="false">
      <c r="A2697" s="215" t="s">
        <v>5277</v>
      </c>
    </row>
    <row r="2698" customFormat="false" ht="12" hidden="false" customHeight="false" outlineLevel="0" collapsed="false">
      <c r="A2698" s="215" t="s">
        <v>5278</v>
      </c>
    </row>
    <row r="2699" customFormat="false" ht="12" hidden="false" customHeight="false" outlineLevel="0" collapsed="false">
      <c r="A2699" s="215" t="s">
        <v>5279</v>
      </c>
    </row>
    <row r="2700" customFormat="false" ht="12" hidden="false" customHeight="false" outlineLevel="0" collapsed="false">
      <c r="A2700" s="215" t="s">
        <v>5280</v>
      </c>
    </row>
    <row r="2701" customFormat="false" ht="12" hidden="false" customHeight="false" outlineLevel="0" collapsed="false">
      <c r="A2701" s="215" t="s">
        <v>5281</v>
      </c>
    </row>
    <row r="2702" customFormat="false" ht="12" hidden="false" customHeight="false" outlineLevel="0" collapsed="false">
      <c r="A2702" s="215" t="s">
        <v>5282</v>
      </c>
    </row>
    <row r="2703" customFormat="false" ht="12" hidden="false" customHeight="false" outlineLevel="0" collapsed="false">
      <c r="A2703" s="215" t="s">
        <v>5283</v>
      </c>
    </row>
    <row r="2704" customFormat="false" ht="12" hidden="false" customHeight="false" outlineLevel="0" collapsed="false">
      <c r="A2704" s="215" t="s">
        <v>5284</v>
      </c>
    </row>
    <row r="2705" customFormat="false" ht="12" hidden="false" customHeight="false" outlineLevel="0" collapsed="false">
      <c r="A2705" s="215" t="s">
        <v>5285</v>
      </c>
    </row>
    <row r="2706" customFormat="false" ht="12" hidden="false" customHeight="false" outlineLevel="0" collapsed="false">
      <c r="A2706" s="215" t="s">
        <v>5286</v>
      </c>
    </row>
    <row r="2707" customFormat="false" ht="12" hidden="false" customHeight="false" outlineLevel="0" collapsed="false">
      <c r="A2707" s="215" t="s">
        <v>5287</v>
      </c>
    </row>
    <row r="2708" customFormat="false" ht="12" hidden="false" customHeight="false" outlineLevel="0" collapsed="false">
      <c r="A2708" s="215" t="s">
        <v>5288</v>
      </c>
    </row>
    <row r="2709" customFormat="false" ht="12" hidden="false" customHeight="false" outlineLevel="0" collapsed="false">
      <c r="A2709" s="215" t="s">
        <v>5289</v>
      </c>
    </row>
    <row r="2710" customFormat="false" ht="12" hidden="false" customHeight="false" outlineLevel="0" collapsed="false">
      <c r="A2710" s="215" t="s">
        <v>5290</v>
      </c>
    </row>
    <row r="2711" customFormat="false" ht="12" hidden="false" customHeight="false" outlineLevel="0" collapsed="false">
      <c r="A2711" s="215" t="s">
        <v>5291</v>
      </c>
    </row>
    <row r="2712" customFormat="false" ht="12" hidden="false" customHeight="false" outlineLevel="0" collapsed="false">
      <c r="A2712" s="215" t="s">
        <v>5292</v>
      </c>
    </row>
    <row r="2713" customFormat="false" ht="12" hidden="false" customHeight="false" outlineLevel="0" collapsed="false">
      <c r="A2713" s="215" t="s">
        <v>5293</v>
      </c>
    </row>
    <row r="2714" customFormat="false" ht="12" hidden="false" customHeight="false" outlineLevel="0" collapsed="false">
      <c r="A2714" s="215" t="s">
        <v>5294</v>
      </c>
    </row>
    <row r="2715" customFormat="false" ht="12" hidden="false" customHeight="false" outlineLevel="0" collapsed="false">
      <c r="A2715" s="215" t="s">
        <v>5295</v>
      </c>
    </row>
    <row r="2716" customFormat="false" ht="12" hidden="false" customHeight="false" outlineLevel="0" collapsed="false">
      <c r="A2716" s="215" t="s">
        <v>5296</v>
      </c>
    </row>
    <row r="2717" customFormat="false" ht="12" hidden="false" customHeight="false" outlineLevel="0" collapsed="false">
      <c r="A2717" s="215" t="s">
        <v>5297</v>
      </c>
    </row>
    <row r="2718" customFormat="false" ht="12" hidden="false" customHeight="false" outlineLevel="0" collapsed="false">
      <c r="A2718" s="215" t="s">
        <v>5298</v>
      </c>
    </row>
    <row r="2719" customFormat="false" ht="12" hidden="false" customHeight="false" outlineLevel="0" collapsed="false">
      <c r="A2719" s="215" t="s">
        <v>5299</v>
      </c>
    </row>
    <row r="2720" customFormat="false" ht="12" hidden="false" customHeight="false" outlineLevel="0" collapsed="false">
      <c r="A2720" s="215" t="s">
        <v>5300</v>
      </c>
    </row>
    <row r="2721" customFormat="false" ht="12" hidden="false" customHeight="false" outlineLevel="0" collapsed="false">
      <c r="A2721" s="215" t="s">
        <v>5301</v>
      </c>
    </row>
    <row r="2722" customFormat="false" ht="12" hidden="false" customHeight="false" outlineLevel="0" collapsed="false">
      <c r="A2722" s="215" t="s">
        <v>5302</v>
      </c>
    </row>
    <row r="2723" customFormat="false" ht="12" hidden="false" customHeight="false" outlineLevel="0" collapsed="false">
      <c r="A2723" s="215" t="s">
        <v>5303</v>
      </c>
    </row>
    <row r="2724" customFormat="false" ht="12" hidden="false" customHeight="false" outlineLevel="0" collapsed="false">
      <c r="A2724" s="215" t="s">
        <v>5304</v>
      </c>
    </row>
    <row r="2725" customFormat="false" ht="12" hidden="false" customHeight="false" outlineLevel="0" collapsed="false">
      <c r="A2725" s="215" t="s">
        <v>5305</v>
      </c>
    </row>
    <row r="2726" customFormat="false" ht="12" hidden="false" customHeight="false" outlineLevel="0" collapsed="false">
      <c r="A2726" s="215" t="s">
        <v>5306</v>
      </c>
    </row>
    <row r="2727" customFormat="false" ht="12" hidden="false" customHeight="false" outlineLevel="0" collapsed="false">
      <c r="A2727" s="215" t="s">
        <v>5307</v>
      </c>
    </row>
    <row r="2728" customFormat="false" ht="12" hidden="false" customHeight="false" outlineLevel="0" collapsed="false">
      <c r="A2728" s="215" t="s">
        <v>5308</v>
      </c>
    </row>
    <row r="2729" customFormat="false" ht="12" hidden="false" customHeight="false" outlineLevel="0" collapsed="false">
      <c r="A2729" s="215" t="s">
        <v>5309</v>
      </c>
    </row>
    <row r="2730" customFormat="false" ht="12" hidden="false" customHeight="false" outlineLevel="0" collapsed="false">
      <c r="A2730" s="215" t="s">
        <v>5310</v>
      </c>
    </row>
    <row r="2731" customFormat="false" ht="12" hidden="false" customHeight="false" outlineLevel="0" collapsed="false">
      <c r="A2731" s="215" t="s">
        <v>5311</v>
      </c>
    </row>
    <row r="2732" customFormat="false" ht="12" hidden="false" customHeight="false" outlineLevel="0" collapsed="false">
      <c r="A2732" s="215" t="s">
        <v>5312</v>
      </c>
    </row>
    <row r="2733" customFormat="false" ht="12" hidden="false" customHeight="false" outlineLevel="0" collapsed="false">
      <c r="A2733" s="215" t="s">
        <v>5313</v>
      </c>
    </row>
    <row r="2734" customFormat="false" ht="12" hidden="false" customHeight="false" outlineLevel="0" collapsed="false">
      <c r="A2734" s="215" t="s">
        <v>5314</v>
      </c>
    </row>
    <row r="2735" customFormat="false" ht="12" hidden="false" customHeight="false" outlineLevel="0" collapsed="false">
      <c r="A2735" s="215" t="s">
        <v>5315</v>
      </c>
    </row>
    <row r="2736" customFormat="false" ht="12" hidden="false" customHeight="false" outlineLevel="0" collapsed="false">
      <c r="A2736" s="215" t="s">
        <v>5316</v>
      </c>
    </row>
    <row r="2737" customFormat="false" ht="12" hidden="false" customHeight="false" outlineLevel="0" collapsed="false">
      <c r="A2737" s="215" t="s">
        <v>5317</v>
      </c>
    </row>
    <row r="2738" customFormat="false" ht="12" hidden="false" customHeight="false" outlineLevel="0" collapsed="false">
      <c r="A2738" s="215" t="s">
        <v>5318</v>
      </c>
    </row>
    <row r="2739" customFormat="false" ht="12" hidden="false" customHeight="false" outlineLevel="0" collapsed="false">
      <c r="A2739" s="215" t="s">
        <v>5319</v>
      </c>
    </row>
    <row r="2740" customFormat="false" ht="12" hidden="false" customHeight="false" outlineLevel="0" collapsed="false">
      <c r="A2740" s="215" t="s">
        <v>5320</v>
      </c>
    </row>
    <row r="2741" customFormat="false" ht="12" hidden="false" customHeight="false" outlineLevel="0" collapsed="false">
      <c r="A2741" s="215" t="s">
        <v>5321</v>
      </c>
    </row>
    <row r="2742" customFormat="false" ht="12" hidden="false" customHeight="false" outlineLevel="0" collapsed="false">
      <c r="A2742" s="215" t="s">
        <v>5322</v>
      </c>
    </row>
    <row r="2743" customFormat="false" ht="12" hidden="false" customHeight="false" outlineLevel="0" collapsed="false">
      <c r="A2743" s="215" t="s">
        <v>5323</v>
      </c>
    </row>
    <row r="2744" customFormat="false" ht="12" hidden="false" customHeight="false" outlineLevel="0" collapsed="false">
      <c r="A2744" s="215" t="s">
        <v>5324</v>
      </c>
    </row>
    <row r="2745" customFormat="false" ht="12" hidden="false" customHeight="false" outlineLevel="0" collapsed="false">
      <c r="A2745" s="215" t="s">
        <v>5325</v>
      </c>
    </row>
    <row r="2746" customFormat="false" ht="12" hidden="false" customHeight="false" outlineLevel="0" collapsed="false">
      <c r="A2746" s="215" t="s">
        <v>5326</v>
      </c>
    </row>
    <row r="2747" customFormat="false" ht="12" hidden="false" customHeight="false" outlineLevel="0" collapsed="false">
      <c r="A2747" s="215" t="s">
        <v>5327</v>
      </c>
    </row>
    <row r="2748" customFormat="false" ht="12" hidden="false" customHeight="false" outlineLevel="0" collapsed="false">
      <c r="A2748" s="215" t="s">
        <v>5328</v>
      </c>
    </row>
    <row r="2749" customFormat="false" ht="12" hidden="false" customHeight="false" outlineLevel="0" collapsed="false">
      <c r="A2749" s="215" t="s">
        <v>5329</v>
      </c>
    </row>
    <row r="2750" customFormat="false" ht="12" hidden="false" customHeight="false" outlineLevel="0" collapsed="false">
      <c r="A2750" s="215" t="s">
        <v>5330</v>
      </c>
    </row>
    <row r="2751" customFormat="false" ht="12" hidden="false" customHeight="false" outlineLevel="0" collapsed="false">
      <c r="A2751" s="215" t="s">
        <v>5331</v>
      </c>
    </row>
    <row r="2752" customFormat="false" ht="12" hidden="false" customHeight="false" outlineLevel="0" collapsed="false">
      <c r="A2752" s="215" t="s">
        <v>5332</v>
      </c>
    </row>
    <row r="2753" customFormat="false" ht="12" hidden="false" customHeight="false" outlineLevel="0" collapsed="false">
      <c r="A2753" s="215" t="s">
        <v>5333</v>
      </c>
    </row>
    <row r="2754" customFormat="false" ht="12" hidden="false" customHeight="false" outlineLevel="0" collapsed="false">
      <c r="A2754" s="215" t="s">
        <v>5334</v>
      </c>
    </row>
    <row r="2755" customFormat="false" ht="12" hidden="false" customHeight="false" outlineLevel="0" collapsed="false">
      <c r="A2755" s="215" t="s">
        <v>5335</v>
      </c>
    </row>
    <row r="2756" customFormat="false" ht="12" hidden="false" customHeight="false" outlineLevel="0" collapsed="false">
      <c r="A2756" s="215" t="s">
        <v>5336</v>
      </c>
    </row>
    <row r="2757" customFormat="false" ht="12" hidden="false" customHeight="false" outlineLevel="0" collapsed="false">
      <c r="A2757" s="215" t="s">
        <v>5337</v>
      </c>
    </row>
    <row r="2758" customFormat="false" ht="12" hidden="false" customHeight="false" outlineLevel="0" collapsed="false">
      <c r="A2758" s="215" t="s">
        <v>5338</v>
      </c>
    </row>
    <row r="2759" customFormat="false" ht="12" hidden="false" customHeight="false" outlineLevel="0" collapsed="false">
      <c r="A2759" s="215" t="s">
        <v>5339</v>
      </c>
    </row>
    <row r="2760" customFormat="false" ht="12" hidden="false" customHeight="false" outlineLevel="0" collapsed="false">
      <c r="A2760" s="215" t="s">
        <v>5340</v>
      </c>
    </row>
    <row r="2761" customFormat="false" ht="12" hidden="false" customHeight="false" outlineLevel="0" collapsed="false">
      <c r="A2761" s="215" t="s">
        <v>5341</v>
      </c>
    </row>
    <row r="2762" customFormat="false" ht="12" hidden="false" customHeight="false" outlineLevel="0" collapsed="false">
      <c r="A2762" s="215" t="s">
        <v>5342</v>
      </c>
    </row>
    <row r="2763" customFormat="false" ht="12" hidden="false" customHeight="false" outlineLevel="0" collapsed="false">
      <c r="A2763" s="215" t="s">
        <v>5343</v>
      </c>
    </row>
    <row r="2764" customFormat="false" ht="12" hidden="false" customHeight="false" outlineLevel="0" collapsed="false">
      <c r="A2764" s="215" t="s">
        <v>5344</v>
      </c>
    </row>
    <row r="2765" customFormat="false" ht="12" hidden="false" customHeight="false" outlineLevel="0" collapsed="false">
      <c r="A2765" s="215" t="s">
        <v>5345</v>
      </c>
    </row>
    <row r="2766" customFormat="false" ht="12" hidden="false" customHeight="false" outlineLevel="0" collapsed="false">
      <c r="A2766" s="215" t="s">
        <v>5346</v>
      </c>
    </row>
    <row r="2767" customFormat="false" ht="12" hidden="false" customHeight="false" outlineLevel="0" collapsed="false">
      <c r="A2767" s="215" t="s">
        <v>5347</v>
      </c>
    </row>
    <row r="2768" customFormat="false" ht="12" hidden="false" customHeight="false" outlineLevel="0" collapsed="false">
      <c r="A2768" s="215" t="s">
        <v>5348</v>
      </c>
    </row>
    <row r="2769" customFormat="false" ht="12" hidden="false" customHeight="false" outlineLevel="0" collapsed="false">
      <c r="A2769" s="215" t="s">
        <v>5349</v>
      </c>
    </row>
    <row r="2770" customFormat="false" ht="12" hidden="false" customHeight="false" outlineLevel="0" collapsed="false">
      <c r="A2770" s="215" t="s">
        <v>5350</v>
      </c>
    </row>
    <row r="2771" customFormat="false" ht="12" hidden="false" customHeight="false" outlineLevel="0" collapsed="false">
      <c r="A2771" s="215" t="s">
        <v>5351</v>
      </c>
    </row>
    <row r="2772" customFormat="false" ht="12" hidden="false" customHeight="false" outlineLevel="0" collapsed="false">
      <c r="A2772" s="215" t="s">
        <v>5352</v>
      </c>
    </row>
    <row r="2773" customFormat="false" ht="12" hidden="false" customHeight="false" outlineLevel="0" collapsed="false">
      <c r="A2773" s="215" t="s">
        <v>5353</v>
      </c>
    </row>
    <row r="2774" customFormat="false" ht="12" hidden="false" customHeight="false" outlineLevel="0" collapsed="false">
      <c r="A2774" s="215" t="s">
        <v>5354</v>
      </c>
    </row>
    <row r="2775" customFormat="false" ht="12" hidden="false" customHeight="false" outlineLevel="0" collapsed="false">
      <c r="A2775" s="215" t="s">
        <v>5355</v>
      </c>
    </row>
    <row r="2776" customFormat="false" ht="12" hidden="false" customHeight="false" outlineLevel="0" collapsed="false">
      <c r="A2776" s="215" t="s">
        <v>5356</v>
      </c>
    </row>
    <row r="2777" customFormat="false" ht="12" hidden="false" customHeight="false" outlineLevel="0" collapsed="false">
      <c r="A2777" s="215" t="s">
        <v>5357</v>
      </c>
    </row>
    <row r="2778" customFormat="false" ht="12" hidden="false" customHeight="false" outlineLevel="0" collapsed="false">
      <c r="A2778" s="215" t="s">
        <v>5358</v>
      </c>
    </row>
    <row r="2779" customFormat="false" ht="12" hidden="false" customHeight="false" outlineLevel="0" collapsed="false">
      <c r="A2779" s="215" t="s">
        <v>5359</v>
      </c>
    </row>
    <row r="2780" customFormat="false" ht="12" hidden="false" customHeight="false" outlineLevel="0" collapsed="false">
      <c r="A2780" s="215" t="s">
        <v>5360</v>
      </c>
    </row>
    <row r="2781" customFormat="false" ht="12" hidden="false" customHeight="false" outlineLevel="0" collapsed="false">
      <c r="A2781" s="215" t="s">
        <v>5361</v>
      </c>
    </row>
    <row r="2782" customFormat="false" ht="12" hidden="false" customHeight="false" outlineLevel="0" collapsed="false">
      <c r="A2782" s="215" t="s">
        <v>5362</v>
      </c>
    </row>
    <row r="2783" customFormat="false" ht="12" hidden="false" customHeight="false" outlineLevel="0" collapsed="false">
      <c r="A2783" s="215" t="s">
        <v>5363</v>
      </c>
    </row>
    <row r="2784" customFormat="false" ht="12" hidden="false" customHeight="false" outlineLevel="0" collapsed="false">
      <c r="A2784" s="215" t="s">
        <v>5364</v>
      </c>
    </row>
    <row r="2785" customFormat="false" ht="12" hidden="false" customHeight="false" outlineLevel="0" collapsed="false">
      <c r="A2785" s="215" t="s">
        <v>5365</v>
      </c>
    </row>
    <row r="2786" customFormat="false" ht="12" hidden="false" customHeight="false" outlineLevel="0" collapsed="false">
      <c r="A2786" s="215" t="s">
        <v>5366</v>
      </c>
    </row>
    <row r="2787" customFormat="false" ht="12" hidden="false" customHeight="false" outlineLevel="0" collapsed="false">
      <c r="A2787" s="215" t="s">
        <v>5367</v>
      </c>
    </row>
    <row r="2788" customFormat="false" ht="12" hidden="false" customHeight="false" outlineLevel="0" collapsed="false">
      <c r="A2788" s="215" t="s">
        <v>5368</v>
      </c>
    </row>
    <row r="2789" customFormat="false" ht="12" hidden="false" customHeight="false" outlineLevel="0" collapsed="false">
      <c r="A2789" s="215" t="s">
        <v>5369</v>
      </c>
    </row>
    <row r="2790" customFormat="false" ht="12" hidden="false" customHeight="false" outlineLevel="0" collapsed="false">
      <c r="A2790" s="215" t="s">
        <v>5370</v>
      </c>
    </row>
    <row r="2791" customFormat="false" ht="12" hidden="false" customHeight="false" outlineLevel="0" collapsed="false">
      <c r="A2791" s="215" t="s">
        <v>5371</v>
      </c>
    </row>
    <row r="2792" customFormat="false" ht="12" hidden="false" customHeight="false" outlineLevel="0" collapsed="false">
      <c r="A2792" s="215" t="s">
        <v>5372</v>
      </c>
    </row>
    <row r="2793" customFormat="false" ht="12" hidden="false" customHeight="false" outlineLevel="0" collapsed="false">
      <c r="A2793" s="215" t="s">
        <v>5373</v>
      </c>
    </row>
    <row r="2794" customFormat="false" ht="12" hidden="false" customHeight="false" outlineLevel="0" collapsed="false">
      <c r="A2794" s="215" t="s">
        <v>5374</v>
      </c>
    </row>
    <row r="2795" customFormat="false" ht="12" hidden="false" customHeight="false" outlineLevel="0" collapsed="false">
      <c r="A2795" s="215" t="s">
        <v>5375</v>
      </c>
    </row>
    <row r="2796" customFormat="false" ht="12" hidden="false" customHeight="false" outlineLevel="0" collapsed="false">
      <c r="A2796" s="215" t="s">
        <v>5376</v>
      </c>
    </row>
    <row r="2797" customFormat="false" ht="12" hidden="false" customHeight="false" outlineLevel="0" collapsed="false">
      <c r="A2797" s="215" t="s">
        <v>5377</v>
      </c>
    </row>
    <row r="2798" customFormat="false" ht="12" hidden="false" customHeight="false" outlineLevel="0" collapsed="false">
      <c r="A2798" s="215" t="s">
        <v>5378</v>
      </c>
    </row>
    <row r="2799" customFormat="false" ht="12" hidden="false" customHeight="false" outlineLevel="0" collapsed="false">
      <c r="A2799" s="215" t="s">
        <v>5379</v>
      </c>
    </row>
    <row r="2800" customFormat="false" ht="12" hidden="false" customHeight="false" outlineLevel="0" collapsed="false">
      <c r="A2800" s="215" t="s">
        <v>5380</v>
      </c>
    </row>
    <row r="2801" customFormat="false" ht="12" hidden="false" customHeight="false" outlineLevel="0" collapsed="false">
      <c r="A2801" s="215" t="s">
        <v>5381</v>
      </c>
    </row>
    <row r="2802" customFormat="false" ht="12" hidden="false" customHeight="false" outlineLevel="0" collapsed="false">
      <c r="A2802" s="215" t="s">
        <v>5382</v>
      </c>
    </row>
    <row r="2803" customFormat="false" ht="12" hidden="false" customHeight="false" outlineLevel="0" collapsed="false">
      <c r="A2803" s="215" t="s">
        <v>5383</v>
      </c>
    </row>
    <row r="2804" customFormat="false" ht="12" hidden="false" customHeight="false" outlineLevel="0" collapsed="false">
      <c r="A2804" s="215" t="s">
        <v>5384</v>
      </c>
    </row>
    <row r="2805" customFormat="false" ht="12" hidden="false" customHeight="false" outlineLevel="0" collapsed="false">
      <c r="A2805" s="215" t="s">
        <v>5385</v>
      </c>
    </row>
    <row r="2806" customFormat="false" ht="12" hidden="false" customHeight="false" outlineLevel="0" collapsed="false">
      <c r="A2806" s="215" t="s">
        <v>5386</v>
      </c>
    </row>
    <row r="2807" customFormat="false" ht="12" hidden="false" customHeight="false" outlineLevel="0" collapsed="false">
      <c r="A2807" s="215" t="s">
        <v>5387</v>
      </c>
    </row>
    <row r="2808" customFormat="false" ht="12" hidden="false" customHeight="false" outlineLevel="0" collapsed="false">
      <c r="A2808" s="215" t="s">
        <v>5388</v>
      </c>
    </row>
    <row r="2809" customFormat="false" ht="12" hidden="false" customHeight="false" outlineLevel="0" collapsed="false">
      <c r="A2809" s="215" t="s">
        <v>5389</v>
      </c>
    </row>
    <row r="2810" customFormat="false" ht="12" hidden="false" customHeight="false" outlineLevel="0" collapsed="false">
      <c r="A2810" s="215" t="s">
        <v>5390</v>
      </c>
    </row>
    <row r="2811" customFormat="false" ht="12" hidden="false" customHeight="false" outlineLevel="0" collapsed="false">
      <c r="A2811" s="215" t="s">
        <v>5391</v>
      </c>
    </row>
    <row r="2812" customFormat="false" ht="12" hidden="false" customHeight="false" outlineLevel="0" collapsed="false">
      <c r="A2812" s="215" t="s">
        <v>5392</v>
      </c>
    </row>
    <row r="2813" customFormat="false" ht="12" hidden="false" customHeight="false" outlineLevel="0" collapsed="false">
      <c r="A2813" s="215" t="s">
        <v>5393</v>
      </c>
    </row>
    <row r="2814" customFormat="false" ht="12" hidden="false" customHeight="false" outlineLevel="0" collapsed="false">
      <c r="A2814" s="215" t="s">
        <v>5394</v>
      </c>
    </row>
    <row r="2815" customFormat="false" ht="12" hidden="false" customHeight="false" outlineLevel="0" collapsed="false">
      <c r="A2815" s="215" t="s">
        <v>5395</v>
      </c>
    </row>
    <row r="2816" customFormat="false" ht="12" hidden="false" customHeight="false" outlineLevel="0" collapsed="false">
      <c r="A2816" s="215" t="s">
        <v>5396</v>
      </c>
    </row>
    <row r="2817" customFormat="false" ht="12" hidden="false" customHeight="false" outlineLevel="0" collapsed="false">
      <c r="A2817" s="215" t="s">
        <v>5397</v>
      </c>
    </row>
    <row r="2818" customFormat="false" ht="12" hidden="false" customHeight="false" outlineLevel="0" collapsed="false">
      <c r="A2818" s="215" t="s">
        <v>5398</v>
      </c>
    </row>
    <row r="2819" customFormat="false" ht="12" hidden="false" customHeight="false" outlineLevel="0" collapsed="false">
      <c r="A2819" s="215" t="s">
        <v>5399</v>
      </c>
    </row>
    <row r="2820" customFormat="false" ht="12" hidden="false" customHeight="false" outlineLevel="0" collapsed="false">
      <c r="A2820" s="215" t="s">
        <v>5400</v>
      </c>
    </row>
    <row r="2821" customFormat="false" ht="12" hidden="false" customHeight="false" outlineLevel="0" collapsed="false">
      <c r="A2821" s="215" t="s">
        <v>5401</v>
      </c>
    </row>
    <row r="2822" customFormat="false" ht="12" hidden="false" customHeight="false" outlineLevel="0" collapsed="false">
      <c r="A2822" s="215" t="s">
        <v>5402</v>
      </c>
    </row>
    <row r="2823" customFormat="false" ht="12" hidden="false" customHeight="false" outlineLevel="0" collapsed="false">
      <c r="A2823" s="215" t="s">
        <v>5403</v>
      </c>
    </row>
    <row r="2824" customFormat="false" ht="12" hidden="false" customHeight="false" outlineLevel="0" collapsed="false">
      <c r="A2824" s="215" t="s">
        <v>5404</v>
      </c>
    </row>
    <row r="2825" customFormat="false" ht="12" hidden="false" customHeight="false" outlineLevel="0" collapsed="false">
      <c r="A2825" s="215" t="s">
        <v>5405</v>
      </c>
    </row>
    <row r="2826" customFormat="false" ht="12" hidden="false" customHeight="false" outlineLevel="0" collapsed="false">
      <c r="A2826" s="215" t="s">
        <v>5406</v>
      </c>
    </row>
    <row r="2827" customFormat="false" ht="12" hidden="false" customHeight="false" outlineLevel="0" collapsed="false">
      <c r="A2827" s="215" t="s">
        <v>5407</v>
      </c>
    </row>
    <row r="2828" customFormat="false" ht="12" hidden="false" customHeight="false" outlineLevel="0" collapsed="false">
      <c r="A2828" s="215" t="s">
        <v>5408</v>
      </c>
    </row>
    <row r="2829" customFormat="false" ht="12" hidden="false" customHeight="false" outlineLevel="0" collapsed="false">
      <c r="A2829" s="215" t="s">
        <v>5409</v>
      </c>
    </row>
    <row r="2830" customFormat="false" ht="12" hidden="false" customHeight="false" outlineLevel="0" collapsed="false">
      <c r="A2830" s="215" t="s">
        <v>5410</v>
      </c>
    </row>
    <row r="2831" customFormat="false" ht="12" hidden="false" customHeight="false" outlineLevel="0" collapsed="false">
      <c r="A2831" s="215" t="s">
        <v>5411</v>
      </c>
    </row>
    <row r="2832" customFormat="false" ht="12" hidden="false" customHeight="false" outlineLevel="0" collapsed="false">
      <c r="A2832" s="215" t="s">
        <v>5412</v>
      </c>
    </row>
    <row r="2833" customFormat="false" ht="12" hidden="false" customHeight="false" outlineLevel="0" collapsed="false">
      <c r="A2833" s="215" t="s">
        <v>5413</v>
      </c>
    </row>
    <row r="2834" customFormat="false" ht="12" hidden="false" customHeight="false" outlineLevel="0" collapsed="false">
      <c r="A2834" s="215" t="s">
        <v>5414</v>
      </c>
    </row>
    <row r="2835" customFormat="false" ht="12" hidden="false" customHeight="false" outlineLevel="0" collapsed="false">
      <c r="A2835" s="215" t="s">
        <v>5415</v>
      </c>
    </row>
    <row r="2836" customFormat="false" ht="12" hidden="false" customHeight="false" outlineLevel="0" collapsed="false">
      <c r="A2836" s="215" t="s">
        <v>5416</v>
      </c>
    </row>
    <row r="2837" customFormat="false" ht="12" hidden="false" customHeight="false" outlineLevel="0" collapsed="false">
      <c r="A2837" s="215" t="s">
        <v>5417</v>
      </c>
    </row>
    <row r="2838" customFormat="false" ht="12" hidden="false" customHeight="false" outlineLevel="0" collapsed="false">
      <c r="A2838" s="215" t="s">
        <v>5418</v>
      </c>
    </row>
    <row r="2839" customFormat="false" ht="12" hidden="false" customHeight="false" outlineLevel="0" collapsed="false">
      <c r="A2839" s="215" t="s">
        <v>5419</v>
      </c>
    </row>
    <row r="2840" customFormat="false" ht="12" hidden="false" customHeight="false" outlineLevel="0" collapsed="false">
      <c r="A2840" s="215" t="s">
        <v>5420</v>
      </c>
    </row>
    <row r="2841" customFormat="false" ht="12" hidden="false" customHeight="false" outlineLevel="0" collapsed="false">
      <c r="A2841" s="215" t="s">
        <v>5421</v>
      </c>
    </row>
    <row r="2842" customFormat="false" ht="12" hidden="false" customHeight="false" outlineLevel="0" collapsed="false">
      <c r="A2842" s="215" t="s">
        <v>5422</v>
      </c>
    </row>
    <row r="2843" customFormat="false" ht="12" hidden="false" customHeight="false" outlineLevel="0" collapsed="false">
      <c r="A2843" s="215" t="s">
        <v>5423</v>
      </c>
    </row>
    <row r="2844" customFormat="false" ht="12" hidden="false" customHeight="false" outlineLevel="0" collapsed="false">
      <c r="A2844" s="215" t="s">
        <v>5424</v>
      </c>
    </row>
    <row r="2845" customFormat="false" ht="12" hidden="false" customHeight="false" outlineLevel="0" collapsed="false">
      <c r="A2845" s="215" t="s">
        <v>5425</v>
      </c>
    </row>
    <row r="2846" customFormat="false" ht="12" hidden="false" customHeight="false" outlineLevel="0" collapsed="false">
      <c r="A2846" s="215" t="s">
        <v>5426</v>
      </c>
    </row>
    <row r="2847" customFormat="false" ht="12" hidden="false" customHeight="false" outlineLevel="0" collapsed="false">
      <c r="A2847" s="215" t="s">
        <v>5427</v>
      </c>
    </row>
    <row r="2848" customFormat="false" ht="12" hidden="false" customHeight="false" outlineLevel="0" collapsed="false">
      <c r="A2848" s="215" t="s">
        <v>5428</v>
      </c>
    </row>
    <row r="2849" customFormat="false" ht="12" hidden="false" customHeight="false" outlineLevel="0" collapsed="false">
      <c r="A2849" s="215" t="s">
        <v>5429</v>
      </c>
    </row>
    <row r="2850" customFormat="false" ht="12" hidden="false" customHeight="false" outlineLevel="0" collapsed="false">
      <c r="A2850" s="215" t="s">
        <v>5430</v>
      </c>
    </row>
    <row r="2851" customFormat="false" ht="12" hidden="false" customHeight="false" outlineLevel="0" collapsed="false">
      <c r="A2851" s="215" t="s">
        <v>5431</v>
      </c>
    </row>
    <row r="2852" customFormat="false" ht="12" hidden="false" customHeight="false" outlineLevel="0" collapsed="false">
      <c r="A2852" s="215" t="s">
        <v>5432</v>
      </c>
    </row>
    <row r="2853" customFormat="false" ht="12" hidden="false" customHeight="false" outlineLevel="0" collapsed="false">
      <c r="A2853" s="215" t="s">
        <v>5433</v>
      </c>
    </row>
    <row r="2854" customFormat="false" ht="12" hidden="false" customHeight="false" outlineLevel="0" collapsed="false">
      <c r="A2854" s="215" t="s">
        <v>5434</v>
      </c>
    </row>
    <row r="2855" customFormat="false" ht="12" hidden="false" customHeight="false" outlineLevel="0" collapsed="false">
      <c r="A2855" s="215" t="s">
        <v>5435</v>
      </c>
    </row>
    <row r="2856" customFormat="false" ht="12" hidden="false" customHeight="false" outlineLevel="0" collapsed="false">
      <c r="A2856" s="215" t="s">
        <v>5436</v>
      </c>
    </row>
    <row r="2857" customFormat="false" ht="12" hidden="false" customHeight="false" outlineLevel="0" collapsed="false">
      <c r="A2857" s="215" t="s">
        <v>5437</v>
      </c>
    </row>
    <row r="2858" customFormat="false" ht="12" hidden="false" customHeight="false" outlineLevel="0" collapsed="false">
      <c r="A2858" s="215" t="s">
        <v>5438</v>
      </c>
    </row>
    <row r="2859" customFormat="false" ht="12" hidden="false" customHeight="false" outlineLevel="0" collapsed="false">
      <c r="A2859" s="215" t="s">
        <v>5439</v>
      </c>
    </row>
    <row r="2860" customFormat="false" ht="12" hidden="false" customHeight="false" outlineLevel="0" collapsed="false">
      <c r="A2860" s="215" t="s">
        <v>5440</v>
      </c>
    </row>
    <row r="2861" customFormat="false" ht="12" hidden="false" customHeight="false" outlineLevel="0" collapsed="false">
      <c r="A2861" s="215" t="s">
        <v>5441</v>
      </c>
    </row>
    <row r="2862" customFormat="false" ht="12" hidden="false" customHeight="false" outlineLevel="0" collapsed="false">
      <c r="A2862" s="215" t="s">
        <v>5442</v>
      </c>
    </row>
    <row r="2863" customFormat="false" ht="12" hidden="false" customHeight="false" outlineLevel="0" collapsed="false">
      <c r="A2863" s="215" t="s">
        <v>5443</v>
      </c>
    </row>
    <row r="2864" customFormat="false" ht="12" hidden="false" customHeight="false" outlineLevel="0" collapsed="false">
      <c r="A2864" s="215" t="s">
        <v>5444</v>
      </c>
    </row>
    <row r="2865" customFormat="false" ht="12" hidden="false" customHeight="false" outlineLevel="0" collapsed="false">
      <c r="A2865" s="215" t="s">
        <v>5445</v>
      </c>
    </row>
    <row r="2866" customFormat="false" ht="12" hidden="false" customHeight="false" outlineLevel="0" collapsed="false">
      <c r="A2866" s="215" t="s">
        <v>5446</v>
      </c>
    </row>
    <row r="2867" customFormat="false" ht="12" hidden="false" customHeight="false" outlineLevel="0" collapsed="false">
      <c r="A2867" s="215" t="s">
        <v>5447</v>
      </c>
    </row>
    <row r="2868" customFormat="false" ht="12" hidden="false" customHeight="false" outlineLevel="0" collapsed="false">
      <c r="A2868" s="215" t="s">
        <v>5448</v>
      </c>
    </row>
    <row r="2869" customFormat="false" ht="12" hidden="false" customHeight="false" outlineLevel="0" collapsed="false">
      <c r="A2869" s="215" t="s">
        <v>5449</v>
      </c>
    </row>
    <row r="2870" customFormat="false" ht="12" hidden="false" customHeight="false" outlineLevel="0" collapsed="false">
      <c r="A2870" s="215" t="s">
        <v>5450</v>
      </c>
    </row>
    <row r="2871" customFormat="false" ht="12" hidden="false" customHeight="false" outlineLevel="0" collapsed="false">
      <c r="A2871" s="215" t="s">
        <v>5451</v>
      </c>
    </row>
    <row r="2872" customFormat="false" ht="12" hidden="false" customHeight="false" outlineLevel="0" collapsed="false">
      <c r="A2872" s="215" t="s">
        <v>5452</v>
      </c>
    </row>
    <row r="2873" customFormat="false" ht="12" hidden="false" customHeight="false" outlineLevel="0" collapsed="false">
      <c r="A2873" s="215" t="s">
        <v>5453</v>
      </c>
    </row>
    <row r="2874" customFormat="false" ht="12" hidden="false" customHeight="false" outlineLevel="0" collapsed="false">
      <c r="A2874" s="215" t="s">
        <v>5454</v>
      </c>
    </row>
    <row r="2875" customFormat="false" ht="12" hidden="false" customHeight="false" outlineLevel="0" collapsed="false">
      <c r="A2875" s="215" t="s">
        <v>5455</v>
      </c>
    </row>
    <row r="2876" customFormat="false" ht="12" hidden="false" customHeight="false" outlineLevel="0" collapsed="false">
      <c r="A2876" s="215" t="s">
        <v>5456</v>
      </c>
    </row>
    <row r="2877" customFormat="false" ht="12" hidden="false" customHeight="false" outlineLevel="0" collapsed="false">
      <c r="A2877" s="215" t="s">
        <v>5457</v>
      </c>
    </row>
    <row r="2878" customFormat="false" ht="12" hidden="false" customHeight="false" outlineLevel="0" collapsed="false">
      <c r="A2878" s="215" t="s">
        <v>5458</v>
      </c>
    </row>
    <row r="2879" customFormat="false" ht="12" hidden="false" customHeight="false" outlineLevel="0" collapsed="false">
      <c r="A2879" s="215" t="s">
        <v>5459</v>
      </c>
    </row>
    <row r="2880" customFormat="false" ht="12" hidden="false" customHeight="false" outlineLevel="0" collapsed="false">
      <c r="A2880" s="215" t="s">
        <v>5460</v>
      </c>
    </row>
    <row r="2881" customFormat="false" ht="12" hidden="false" customHeight="false" outlineLevel="0" collapsed="false">
      <c r="A2881" s="215" t="s">
        <v>5461</v>
      </c>
    </row>
    <row r="2882" customFormat="false" ht="12" hidden="false" customHeight="false" outlineLevel="0" collapsed="false">
      <c r="A2882" s="215" t="s">
        <v>5462</v>
      </c>
    </row>
    <row r="2883" customFormat="false" ht="12" hidden="false" customHeight="false" outlineLevel="0" collapsed="false">
      <c r="A2883" s="215" t="s">
        <v>5463</v>
      </c>
    </row>
    <row r="2884" customFormat="false" ht="12" hidden="false" customHeight="false" outlineLevel="0" collapsed="false">
      <c r="A2884" s="215" t="s">
        <v>5464</v>
      </c>
    </row>
    <row r="2885" customFormat="false" ht="12" hidden="false" customHeight="false" outlineLevel="0" collapsed="false">
      <c r="A2885" s="215" t="s">
        <v>5465</v>
      </c>
    </row>
    <row r="2886" customFormat="false" ht="12" hidden="false" customHeight="false" outlineLevel="0" collapsed="false">
      <c r="A2886" s="215" t="s">
        <v>5466</v>
      </c>
    </row>
    <row r="2887" customFormat="false" ht="12" hidden="false" customHeight="false" outlineLevel="0" collapsed="false">
      <c r="A2887" s="215" t="s">
        <v>5467</v>
      </c>
    </row>
    <row r="2888" customFormat="false" ht="12" hidden="false" customHeight="false" outlineLevel="0" collapsed="false">
      <c r="A2888" s="215" t="s">
        <v>5468</v>
      </c>
    </row>
    <row r="2889" customFormat="false" ht="12" hidden="false" customHeight="false" outlineLevel="0" collapsed="false">
      <c r="A2889" s="215" t="s">
        <v>5469</v>
      </c>
    </row>
    <row r="2890" customFormat="false" ht="12" hidden="false" customHeight="false" outlineLevel="0" collapsed="false">
      <c r="A2890" s="215" t="s">
        <v>5470</v>
      </c>
    </row>
    <row r="2891" customFormat="false" ht="12" hidden="false" customHeight="false" outlineLevel="0" collapsed="false">
      <c r="A2891" s="215" t="s">
        <v>5471</v>
      </c>
    </row>
    <row r="2892" customFormat="false" ht="12" hidden="false" customHeight="false" outlineLevel="0" collapsed="false">
      <c r="A2892" s="215" t="s">
        <v>5472</v>
      </c>
    </row>
    <row r="2893" customFormat="false" ht="12" hidden="false" customHeight="false" outlineLevel="0" collapsed="false">
      <c r="A2893" s="215" t="s">
        <v>5473</v>
      </c>
    </row>
    <row r="2894" customFormat="false" ht="12" hidden="false" customHeight="false" outlineLevel="0" collapsed="false">
      <c r="A2894" s="215" t="s">
        <v>5474</v>
      </c>
    </row>
    <row r="2895" customFormat="false" ht="12" hidden="false" customHeight="false" outlineLevel="0" collapsed="false">
      <c r="A2895" s="215" t="s">
        <v>5475</v>
      </c>
    </row>
    <row r="2896" customFormat="false" ht="12" hidden="false" customHeight="false" outlineLevel="0" collapsed="false">
      <c r="A2896" s="215" t="s">
        <v>5476</v>
      </c>
    </row>
    <row r="2897" customFormat="false" ht="12" hidden="false" customHeight="false" outlineLevel="0" collapsed="false">
      <c r="A2897" s="215" t="s">
        <v>5477</v>
      </c>
    </row>
    <row r="2898" customFormat="false" ht="12" hidden="false" customHeight="false" outlineLevel="0" collapsed="false">
      <c r="A2898" s="215" t="s">
        <v>5478</v>
      </c>
    </row>
    <row r="2899" customFormat="false" ht="12" hidden="false" customHeight="false" outlineLevel="0" collapsed="false">
      <c r="A2899" s="215" t="s">
        <v>5479</v>
      </c>
    </row>
    <row r="2900" customFormat="false" ht="12" hidden="false" customHeight="false" outlineLevel="0" collapsed="false">
      <c r="A2900" s="215" t="s">
        <v>5480</v>
      </c>
    </row>
    <row r="2901" customFormat="false" ht="12" hidden="false" customHeight="false" outlineLevel="0" collapsed="false">
      <c r="A2901" s="215" t="s">
        <v>5481</v>
      </c>
    </row>
    <row r="2902" customFormat="false" ht="12" hidden="false" customHeight="false" outlineLevel="0" collapsed="false">
      <c r="A2902" s="215" t="s">
        <v>5482</v>
      </c>
    </row>
    <row r="2903" customFormat="false" ht="12" hidden="false" customHeight="false" outlineLevel="0" collapsed="false">
      <c r="A2903" s="215" t="s">
        <v>5483</v>
      </c>
    </row>
    <row r="2904" customFormat="false" ht="12" hidden="false" customHeight="false" outlineLevel="0" collapsed="false">
      <c r="A2904" s="215" t="s">
        <v>5484</v>
      </c>
    </row>
    <row r="2905" customFormat="false" ht="12" hidden="false" customHeight="false" outlineLevel="0" collapsed="false">
      <c r="A2905" s="215" t="s">
        <v>5485</v>
      </c>
    </row>
    <row r="2906" customFormat="false" ht="12" hidden="false" customHeight="false" outlineLevel="0" collapsed="false">
      <c r="A2906" s="215" t="s">
        <v>5486</v>
      </c>
    </row>
    <row r="2907" customFormat="false" ht="12" hidden="false" customHeight="false" outlineLevel="0" collapsed="false">
      <c r="A2907" s="215" t="s">
        <v>5487</v>
      </c>
    </row>
    <row r="2908" customFormat="false" ht="12" hidden="false" customHeight="false" outlineLevel="0" collapsed="false">
      <c r="A2908" s="215" t="s">
        <v>5488</v>
      </c>
    </row>
    <row r="2909" customFormat="false" ht="12" hidden="false" customHeight="false" outlineLevel="0" collapsed="false">
      <c r="A2909" s="215" t="s">
        <v>5489</v>
      </c>
    </row>
    <row r="2910" customFormat="false" ht="12" hidden="false" customHeight="false" outlineLevel="0" collapsed="false">
      <c r="A2910" s="215" t="s">
        <v>5490</v>
      </c>
    </row>
    <row r="2911" customFormat="false" ht="12" hidden="false" customHeight="false" outlineLevel="0" collapsed="false">
      <c r="A2911" s="215" t="s">
        <v>5491</v>
      </c>
    </row>
    <row r="2912" customFormat="false" ht="12" hidden="false" customHeight="false" outlineLevel="0" collapsed="false">
      <c r="A2912" s="215" t="s">
        <v>5492</v>
      </c>
    </row>
    <row r="2913" customFormat="false" ht="12" hidden="false" customHeight="false" outlineLevel="0" collapsed="false">
      <c r="A2913" s="215" t="s">
        <v>5493</v>
      </c>
    </row>
    <row r="2914" customFormat="false" ht="12" hidden="false" customHeight="false" outlineLevel="0" collapsed="false">
      <c r="A2914" s="215" t="s">
        <v>5494</v>
      </c>
    </row>
    <row r="2915" customFormat="false" ht="12" hidden="false" customHeight="false" outlineLevel="0" collapsed="false">
      <c r="A2915" s="215" t="s">
        <v>5495</v>
      </c>
    </row>
    <row r="2916" customFormat="false" ht="12" hidden="false" customHeight="false" outlineLevel="0" collapsed="false">
      <c r="A2916" s="215" t="s">
        <v>5496</v>
      </c>
    </row>
    <row r="2917" customFormat="false" ht="12" hidden="false" customHeight="false" outlineLevel="0" collapsed="false">
      <c r="A2917" s="215" t="s">
        <v>5497</v>
      </c>
    </row>
    <row r="2918" customFormat="false" ht="12" hidden="false" customHeight="false" outlineLevel="0" collapsed="false">
      <c r="A2918" s="215" t="s">
        <v>5498</v>
      </c>
    </row>
    <row r="2919" customFormat="false" ht="12" hidden="false" customHeight="false" outlineLevel="0" collapsed="false">
      <c r="A2919" s="215" t="s">
        <v>5499</v>
      </c>
    </row>
    <row r="2920" customFormat="false" ht="12" hidden="false" customHeight="false" outlineLevel="0" collapsed="false">
      <c r="A2920" s="215" t="s">
        <v>5500</v>
      </c>
    </row>
    <row r="2921" customFormat="false" ht="12" hidden="false" customHeight="false" outlineLevel="0" collapsed="false">
      <c r="A2921" s="215" t="s">
        <v>5501</v>
      </c>
    </row>
    <row r="2922" customFormat="false" ht="12" hidden="false" customHeight="false" outlineLevel="0" collapsed="false">
      <c r="A2922" s="215" t="s">
        <v>5502</v>
      </c>
    </row>
    <row r="2923" customFormat="false" ht="12" hidden="false" customHeight="false" outlineLevel="0" collapsed="false">
      <c r="A2923" s="215" t="s">
        <v>5503</v>
      </c>
    </row>
    <row r="2924" customFormat="false" ht="12" hidden="false" customHeight="false" outlineLevel="0" collapsed="false">
      <c r="A2924" s="215" t="s">
        <v>5504</v>
      </c>
    </row>
    <row r="2925" customFormat="false" ht="12" hidden="false" customHeight="false" outlineLevel="0" collapsed="false">
      <c r="A2925" s="215" t="s">
        <v>5505</v>
      </c>
    </row>
    <row r="2926" customFormat="false" ht="12" hidden="false" customHeight="false" outlineLevel="0" collapsed="false">
      <c r="A2926" s="215" t="s">
        <v>5506</v>
      </c>
    </row>
    <row r="2927" customFormat="false" ht="12" hidden="false" customHeight="false" outlineLevel="0" collapsed="false">
      <c r="A2927" s="215" t="s">
        <v>5507</v>
      </c>
    </row>
    <row r="2928" customFormat="false" ht="12" hidden="false" customHeight="false" outlineLevel="0" collapsed="false">
      <c r="A2928" s="215" t="s">
        <v>5508</v>
      </c>
    </row>
    <row r="2929" customFormat="false" ht="12" hidden="false" customHeight="false" outlineLevel="0" collapsed="false">
      <c r="A2929" s="215" t="s">
        <v>5509</v>
      </c>
    </row>
    <row r="2930" customFormat="false" ht="12" hidden="false" customHeight="false" outlineLevel="0" collapsed="false">
      <c r="A2930" s="215" t="s">
        <v>5510</v>
      </c>
    </row>
    <row r="2931" customFormat="false" ht="12" hidden="false" customHeight="false" outlineLevel="0" collapsed="false">
      <c r="A2931" s="215" t="s">
        <v>5511</v>
      </c>
    </row>
    <row r="2932" customFormat="false" ht="12" hidden="false" customHeight="false" outlineLevel="0" collapsed="false">
      <c r="A2932" s="215" t="s">
        <v>5512</v>
      </c>
    </row>
    <row r="2933" customFormat="false" ht="12" hidden="false" customHeight="false" outlineLevel="0" collapsed="false">
      <c r="A2933" s="215" t="s">
        <v>5513</v>
      </c>
    </row>
    <row r="2934" customFormat="false" ht="12" hidden="false" customHeight="false" outlineLevel="0" collapsed="false">
      <c r="A2934" s="215" t="s">
        <v>5514</v>
      </c>
    </row>
    <row r="2935" customFormat="false" ht="12" hidden="false" customHeight="false" outlineLevel="0" collapsed="false">
      <c r="A2935" s="215" t="s">
        <v>5515</v>
      </c>
    </row>
    <row r="2936" customFormat="false" ht="12" hidden="false" customHeight="false" outlineLevel="0" collapsed="false">
      <c r="A2936" s="215" t="s">
        <v>5516</v>
      </c>
    </row>
    <row r="2937" customFormat="false" ht="12" hidden="false" customHeight="false" outlineLevel="0" collapsed="false">
      <c r="A2937" s="215" t="s">
        <v>5517</v>
      </c>
    </row>
    <row r="2938" customFormat="false" ht="12" hidden="false" customHeight="false" outlineLevel="0" collapsed="false">
      <c r="A2938" s="215" t="s">
        <v>5518</v>
      </c>
    </row>
    <row r="2939" customFormat="false" ht="12" hidden="false" customHeight="false" outlineLevel="0" collapsed="false">
      <c r="A2939" s="215" t="s">
        <v>5519</v>
      </c>
    </row>
    <row r="2940" customFormat="false" ht="12" hidden="false" customHeight="false" outlineLevel="0" collapsed="false">
      <c r="A2940" s="215" t="s">
        <v>5520</v>
      </c>
    </row>
    <row r="2941" customFormat="false" ht="12" hidden="false" customHeight="false" outlineLevel="0" collapsed="false">
      <c r="A2941" s="215" t="s">
        <v>5521</v>
      </c>
    </row>
    <row r="2942" customFormat="false" ht="12" hidden="false" customHeight="false" outlineLevel="0" collapsed="false">
      <c r="A2942" s="215" t="s">
        <v>5522</v>
      </c>
    </row>
    <row r="2943" customFormat="false" ht="12" hidden="false" customHeight="false" outlineLevel="0" collapsed="false">
      <c r="A2943" s="215" t="s">
        <v>5523</v>
      </c>
    </row>
    <row r="2944" customFormat="false" ht="12" hidden="false" customHeight="false" outlineLevel="0" collapsed="false">
      <c r="A2944" s="215" t="s">
        <v>5524</v>
      </c>
    </row>
    <row r="2945" customFormat="false" ht="12" hidden="false" customHeight="false" outlineLevel="0" collapsed="false">
      <c r="A2945" s="215" t="s">
        <v>5525</v>
      </c>
    </row>
    <row r="2946" customFormat="false" ht="12" hidden="false" customHeight="false" outlineLevel="0" collapsed="false">
      <c r="A2946" s="215" t="s">
        <v>5526</v>
      </c>
    </row>
    <row r="2947" customFormat="false" ht="12" hidden="false" customHeight="false" outlineLevel="0" collapsed="false">
      <c r="A2947" s="215" t="s">
        <v>5527</v>
      </c>
    </row>
    <row r="2948" customFormat="false" ht="12" hidden="false" customHeight="false" outlineLevel="0" collapsed="false">
      <c r="A2948" s="215" t="s">
        <v>5528</v>
      </c>
    </row>
    <row r="2949" customFormat="false" ht="12" hidden="false" customHeight="false" outlineLevel="0" collapsed="false">
      <c r="A2949" s="215" t="s">
        <v>5529</v>
      </c>
    </row>
    <row r="2950" customFormat="false" ht="12" hidden="false" customHeight="false" outlineLevel="0" collapsed="false">
      <c r="A2950" s="215" t="s">
        <v>5530</v>
      </c>
    </row>
    <row r="2951" customFormat="false" ht="12" hidden="false" customHeight="false" outlineLevel="0" collapsed="false">
      <c r="A2951" s="215" t="s">
        <v>5531</v>
      </c>
    </row>
    <row r="2952" customFormat="false" ht="12" hidden="false" customHeight="false" outlineLevel="0" collapsed="false">
      <c r="A2952" s="215" t="s">
        <v>5532</v>
      </c>
    </row>
    <row r="2953" customFormat="false" ht="12" hidden="false" customHeight="false" outlineLevel="0" collapsed="false">
      <c r="A2953" s="215" t="s">
        <v>5533</v>
      </c>
    </row>
    <row r="2954" customFormat="false" ht="12" hidden="false" customHeight="false" outlineLevel="0" collapsed="false">
      <c r="A2954" s="215" t="s">
        <v>5534</v>
      </c>
    </row>
    <row r="2955" customFormat="false" ht="12" hidden="false" customHeight="false" outlineLevel="0" collapsed="false">
      <c r="A2955" s="215" t="s">
        <v>5535</v>
      </c>
    </row>
    <row r="2956" customFormat="false" ht="12" hidden="false" customHeight="false" outlineLevel="0" collapsed="false">
      <c r="A2956" s="215" t="s">
        <v>5536</v>
      </c>
    </row>
    <row r="2957" customFormat="false" ht="12" hidden="false" customHeight="false" outlineLevel="0" collapsed="false">
      <c r="A2957" s="215" t="s">
        <v>5537</v>
      </c>
    </row>
    <row r="2958" customFormat="false" ht="12" hidden="false" customHeight="false" outlineLevel="0" collapsed="false">
      <c r="A2958" s="215" t="s">
        <v>5538</v>
      </c>
    </row>
    <row r="2959" customFormat="false" ht="12" hidden="false" customHeight="false" outlineLevel="0" collapsed="false">
      <c r="A2959" s="215" t="s">
        <v>5539</v>
      </c>
    </row>
    <row r="2960" customFormat="false" ht="12" hidden="false" customHeight="false" outlineLevel="0" collapsed="false">
      <c r="A2960" s="215" t="s">
        <v>5540</v>
      </c>
    </row>
    <row r="2961" customFormat="false" ht="12" hidden="false" customHeight="false" outlineLevel="0" collapsed="false">
      <c r="A2961" s="215" t="s">
        <v>5541</v>
      </c>
    </row>
    <row r="2962" customFormat="false" ht="12" hidden="false" customHeight="false" outlineLevel="0" collapsed="false">
      <c r="A2962" s="215" t="s">
        <v>5542</v>
      </c>
    </row>
    <row r="2963" customFormat="false" ht="12" hidden="false" customHeight="false" outlineLevel="0" collapsed="false">
      <c r="A2963" s="215" t="s">
        <v>5543</v>
      </c>
    </row>
    <row r="2964" customFormat="false" ht="12" hidden="false" customHeight="false" outlineLevel="0" collapsed="false">
      <c r="A2964" s="215" t="s">
        <v>5544</v>
      </c>
    </row>
    <row r="2965" customFormat="false" ht="12" hidden="false" customHeight="false" outlineLevel="0" collapsed="false">
      <c r="A2965" s="215" t="s">
        <v>5545</v>
      </c>
    </row>
    <row r="2966" customFormat="false" ht="12" hidden="false" customHeight="false" outlineLevel="0" collapsed="false">
      <c r="A2966" s="215" t="s">
        <v>5546</v>
      </c>
    </row>
    <row r="2967" customFormat="false" ht="12" hidden="false" customHeight="false" outlineLevel="0" collapsed="false">
      <c r="A2967" s="215" t="s">
        <v>5547</v>
      </c>
    </row>
    <row r="2968" customFormat="false" ht="12" hidden="false" customHeight="false" outlineLevel="0" collapsed="false">
      <c r="A2968" s="215" t="s">
        <v>5548</v>
      </c>
    </row>
    <row r="2969" customFormat="false" ht="12" hidden="false" customHeight="false" outlineLevel="0" collapsed="false">
      <c r="A2969" s="215" t="s">
        <v>5549</v>
      </c>
    </row>
    <row r="2970" customFormat="false" ht="12" hidden="false" customHeight="false" outlineLevel="0" collapsed="false">
      <c r="A2970" s="215" t="s">
        <v>5550</v>
      </c>
    </row>
    <row r="2971" customFormat="false" ht="12" hidden="false" customHeight="false" outlineLevel="0" collapsed="false">
      <c r="A2971" s="215" t="s">
        <v>5551</v>
      </c>
    </row>
    <row r="2972" customFormat="false" ht="12" hidden="false" customHeight="false" outlineLevel="0" collapsed="false">
      <c r="A2972" s="215" t="s">
        <v>5552</v>
      </c>
    </row>
    <row r="2973" customFormat="false" ht="12" hidden="false" customHeight="false" outlineLevel="0" collapsed="false">
      <c r="A2973" s="215" t="s">
        <v>5553</v>
      </c>
    </row>
    <row r="2974" customFormat="false" ht="12" hidden="false" customHeight="false" outlineLevel="0" collapsed="false">
      <c r="A2974" s="215" t="s">
        <v>5554</v>
      </c>
    </row>
    <row r="2975" customFormat="false" ht="12" hidden="false" customHeight="false" outlineLevel="0" collapsed="false">
      <c r="A2975" s="215" t="s">
        <v>5555</v>
      </c>
    </row>
    <row r="2976" customFormat="false" ht="12" hidden="false" customHeight="false" outlineLevel="0" collapsed="false">
      <c r="A2976" s="215" t="s">
        <v>5556</v>
      </c>
    </row>
    <row r="2977" customFormat="false" ht="12" hidden="false" customHeight="false" outlineLevel="0" collapsed="false">
      <c r="A2977" s="215" t="s">
        <v>5557</v>
      </c>
    </row>
    <row r="2978" customFormat="false" ht="12" hidden="false" customHeight="false" outlineLevel="0" collapsed="false">
      <c r="A2978" s="215" t="s">
        <v>5558</v>
      </c>
    </row>
    <row r="2979" customFormat="false" ht="12" hidden="false" customHeight="false" outlineLevel="0" collapsed="false">
      <c r="A2979" s="215" t="s">
        <v>5559</v>
      </c>
    </row>
    <row r="2980" customFormat="false" ht="12" hidden="false" customHeight="false" outlineLevel="0" collapsed="false">
      <c r="A2980" s="215" t="s">
        <v>5560</v>
      </c>
    </row>
    <row r="2981" customFormat="false" ht="12" hidden="false" customHeight="false" outlineLevel="0" collapsed="false">
      <c r="A2981" s="215" t="s">
        <v>5561</v>
      </c>
    </row>
    <row r="2982" customFormat="false" ht="12" hidden="false" customHeight="false" outlineLevel="0" collapsed="false">
      <c r="A2982" s="215" t="s">
        <v>5562</v>
      </c>
    </row>
    <row r="2983" customFormat="false" ht="12" hidden="false" customHeight="false" outlineLevel="0" collapsed="false">
      <c r="A2983" s="215" t="s">
        <v>5563</v>
      </c>
    </row>
    <row r="2984" customFormat="false" ht="12" hidden="false" customHeight="false" outlineLevel="0" collapsed="false">
      <c r="A2984" s="215" t="s">
        <v>5564</v>
      </c>
    </row>
    <row r="2985" customFormat="false" ht="12" hidden="false" customHeight="false" outlineLevel="0" collapsed="false">
      <c r="A2985" s="215" t="s">
        <v>5565</v>
      </c>
    </row>
    <row r="2986" customFormat="false" ht="12" hidden="false" customHeight="false" outlineLevel="0" collapsed="false">
      <c r="A2986" s="215" t="s">
        <v>5566</v>
      </c>
    </row>
    <row r="2987" customFormat="false" ht="12" hidden="false" customHeight="false" outlineLevel="0" collapsed="false">
      <c r="A2987" s="215" t="s">
        <v>5567</v>
      </c>
    </row>
    <row r="2988" customFormat="false" ht="12" hidden="false" customHeight="false" outlineLevel="0" collapsed="false">
      <c r="A2988" s="215" t="s">
        <v>5568</v>
      </c>
    </row>
    <row r="2989" customFormat="false" ht="12" hidden="false" customHeight="false" outlineLevel="0" collapsed="false">
      <c r="A2989" s="215" t="s">
        <v>5569</v>
      </c>
    </row>
    <row r="2990" customFormat="false" ht="12" hidden="false" customHeight="false" outlineLevel="0" collapsed="false">
      <c r="A2990" s="215" t="s">
        <v>5570</v>
      </c>
    </row>
    <row r="2991" customFormat="false" ht="12" hidden="false" customHeight="false" outlineLevel="0" collapsed="false">
      <c r="A2991" s="215" t="s">
        <v>5571</v>
      </c>
    </row>
    <row r="2992" customFormat="false" ht="12" hidden="false" customHeight="false" outlineLevel="0" collapsed="false">
      <c r="A2992" s="215" t="s">
        <v>5572</v>
      </c>
    </row>
    <row r="2993" customFormat="false" ht="12" hidden="false" customHeight="false" outlineLevel="0" collapsed="false">
      <c r="A2993" s="215" t="s">
        <v>5573</v>
      </c>
    </row>
    <row r="2994" customFormat="false" ht="12" hidden="false" customHeight="false" outlineLevel="0" collapsed="false">
      <c r="A2994" s="215" t="s">
        <v>5574</v>
      </c>
    </row>
    <row r="2995" customFormat="false" ht="12" hidden="false" customHeight="false" outlineLevel="0" collapsed="false">
      <c r="A2995" s="215" t="s">
        <v>5575</v>
      </c>
    </row>
    <row r="2996" customFormat="false" ht="12" hidden="false" customHeight="false" outlineLevel="0" collapsed="false">
      <c r="A2996" s="215" t="s">
        <v>5576</v>
      </c>
    </row>
    <row r="2997" customFormat="false" ht="12" hidden="false" customHeight="false" outlineLevel="0" collapsed="false">
      <c r="A2997" s="215" t="s">
        <v>5577</v>
      </c>
    </row>
    <row r="2998" customFormat="false" ht="12" hidden="false" customHeight="false" outlineLevel="0" collapsed="false">
      <c r="A2998" s="215" t="s">
        <v>5578</v>
      </c>
    </row>
    <row r="2999" customFormat="false" ht="12" hidden="false" customHeight="false" outlineLevel="0" collapsed="false">
      <c r="A2999" s="215" t="s">
        <v>5579</v>
      </c>
    </row>
    <row r="3000" customFormat="false" ht="12" hidden="false" customHeight="false" outlineLevel="0" collapsed="false">
      <c r="A3000" s="215" t="s">
        <v>5580</v>
      </c>
    </row>
    <row r="3001" customFormat="false" ht="12" hidden="false" customHeight="false" outlineLevel="0" collapsed="false">
      <c r="A3001" s="215" t="s">
        <v>5581</v>
      </c>
    </row>
    <row r="3002" customFormat="false" ht="12" hidden="false" customHeight="false" outlineLevel="0" collapsed="false">
      <c r="A3002" s="215" t="s">
        <v>5582</v>
      </c>
    </row>
    <row r="3003" customFormat="false" ht="12" hidden="false" customHeight="false" outlineLevel="0" collapsed="false">
      <c r="A3003" s="215" t="s">
        <v>5583</v>
      </c>
    </row>
    <row r="3004" customFormat="false" ht="12" hidden="false" customHeight="false" outlineLevel="0" collapsed="false">
      <c r="A3004" s="215" t="s">
        <v>5584</v>
      </c>
    </row>
    <row r="3005" customFormat="false" ht="12" hidden="false" customHeight="false" outlineLevel="0" collapsed="false">
      <c r="A3005" s="215" t="s">
        <v>5585</v>
      </c>
    </row>
    <row r="3006" customFormat="false" ht="12" hidden="false" customHeight="false" outlineLevel="0" collapsed="false">
      <c r="A3006" s="215" t="s">
        <v>5586</v>
      </c>
    </row>
    <row r="3007" customFormat="false" ht="12" hidden="false" customHeight="false" outlineLevel="0" collapsed="false">
      <c r="A3007" s="215" t="s">
        <v>5587</v>
      </c>
    </row>
    <row r="3008" customFormat="false" ht="12" hidden="false" customHeight="false" outlineLevel="0" collapsed="false">
      <c r="A3008" s="215" t="s">
        <v>5588</v>
      </c>
    </row>
    <row r="3009" customFormat="false" ht="12" hidden="false" customHeight="false" outlineLevel="0" collapsed="false">
      <c r="A3009" s="215" t="s">
        <v>5589</v>
      </c>
    </row>
    <row r="3010" customFormat="false" ht="12" hidden="false" customHeight="false" outlineLevel="0" collapsed="false">
      <c r="A3010" s="215" t="s">
        <v>5590</v>
      </c>
    </row>
    <row r="3011" customFormat="false" ht="12" hidden="false" customHeight="false" outlineLevel="0" collapsed="false">
      <c r="A3011" s="215" t="s">
        <v>5591</v>
      </c>
    </row>
    <row r="3012" customFormat="false" ht="12" hidden="false" customHeight="false" outlineLevel="0" collapsed="false">
      <c r="A3012" s="215" t="s">
        <v>5592</v>
      </c>
    </row>
    <row r="3013" customFormat="false" ht="12" hidden="false" customHeight="false" outlineLevel="0" collapsed="false">
      <c r="A3013" s="215" t="s">
        <v>5593</v>
      </c>
    </row>
    <row r="3014" customFormat="false" ht="12" hidden="false" customHeight="false" outlineLevel="0" collapsed="false">
      <c r="A3014" s="215" t="s">
        <v>5594</v>
      </c>
    </row>
    <row r="3015" customFormat="false" ht="12" hidden="false" customHeight="false" outlineLevel="0" collapsed="false">
      <c r="A3015" s="215" t="s">
        <v>5595</v>
      </c>
    </row>
    <row r="3016" customFormat="false" ht="12" hidden="false" customHeight="false" outlineLevel="0" collapsed="false">
      <c r="A3016" s="215" t="s">
        <v>5596</v>
      </c>
    </row>
    <row r="3017" customFormat="false" ht="12" hidden="false" customHeight="false" outlineLevel="0" collapsed="false">
      <c r="A3017" s="215" t="s">
        <v>5597</v>
      </c>
    </row>
    <row r="3018" customFormat="false" ht="12" hidden="false" customHeight="false" outlineLevel="0" collapsed="false">
      <c r="A3018" s="215" t="s">
        <v>5598</v>
      </c>
    </row>
    <row r="3019" customFormat="false" ht="12" hidden="false" customHeight="false" outlineLevel="0" collapsed="false">
      <c r="A3019" s="215" t="s">
        <v>5599</v>
      </c>
    </row>
    <row r="3020" customFormat="false" ht="12" hidden="false" customHeight="false" outlineLevel="0" collapsed="false">
      <c r="A3020" s="215" t="s">
        <v>5600</v>
      </c>
    </row>
    <row r="3021" customFormat="false" ht="12" hidden="false" customHeight="false" outlineLevel="0" collapsed="false">
      <c r="A3021" s="215" t="s">
        <v>5601</v>
      </c>
    </row>
    <row r="3022" customFormat="false" ht="12" hidden="false" customHeight="false" outlineLevel="0" collapsed="false">
      <c r="A3022" s="215" t="s">
        <v>5602</v>
      </c>
    </row>
    <row r="3023" customFormat="false" ht="12" hidden="false" customHeight="false" outlineLevel="0" collapsed="false">
      <c r="A3023" s="215" t="s">
        <v>5603</v>
      </c>
    </row>
    <row r="3024" customFormat="false" ht="12" hidden="false" customHeight="false" outlineLevel="0" collapsed="false">
      <c r="A3024" s="215" t="s">
        <v>5604</v>
      </c>
    </row>
    <row r="3025" customFormat="false" ht="12" hidden="false" customHeight="false" outlineLevel="0" collapsed="false">
      <c r="A3025" s="215" t="s">
        <v>5605</v>
      </c>
    </row>
    <row r="3026" customFormat="false" ht="12" hidden="false" customHeight="false" outlineLevel="0" collapsed="false">
      <c r="A3026" s="215" t="s">
        <v>5606</v>
      </c>
    </row>
    <row r="3027" customFormat="false" ht="12" hidden="false" customHeight="false" outlineLevel="0" collapsed="false">
      <c r="A3027" s="215" t="s">
        <v>5607</v>
      </c>
    </row>
    <row r="3028" customFormat="false" ht="12" hidden="false" customHeight="false" outlineLevel="0" collapsed="false">
      <c r="A3028" s="215" t="s">
        <v>5608</v>
      </c>
    </row>
    <row r="3029" customFormat="false" ht="12" hidden="false" customHeight="false" outlineLevel="0" collapsed="false">
      <c r="A3029" s="215" t="s">
        <v>5609</v>
      </c>
    </row>
    <row r="3030" customFormat="false" ht="12" hidden="false" customHeight="false" outlineLevel="0" collapsed="false">
      <c r="A3030" s="215" t="s">
        <v>5610</v>
      </c>
    </row>
    <row r="3031" customFormat="false" ht="12" hidden="false" customHeight="false" outlineLevel="0" collapsed="false">
      <c r="A3031" s="215" t="s">
        <v>5611</v>
      </c>
    </row>
    <row r="3032" customFormat="false" ht="12" hidden="false" customHeight="false" outlineLevel="0" collapsed="false">
      <c r="A3032" s="215" t="s">
        <v>5612</v>
      </c>
    </row>
    <row r="3033" customFormat="false" ht="12" hidden="false" customHeight="false" outlineLevel="0" collapsed="false">
      <c r="A3033" s="215" t="s">
        <v>5613</v>
      </c>
    </row>
    <row r="3034" customFormat="false" ht="12" hidden="false" customHeight="false" outlineLevel="0" collapsed="false">
      <c r="A3034" s="215" t="s">
        <v>5614</v>
      </c>
    </row>
    <row r="3035" customFormat="false" ht="12" hidden="false" customHeight="false" outlineLevel="0" collapsed="false">
      <c r="A3035" s="215" t="s">
        <v>5615</v>
      </c>
    </row>
    <row r="3036" customFormat="false" ht="12" hidden="false" customHeight="false" outlineLevel="0" collapsed="false">
      <c r="A3036" s="215" t="s">
        <v>5616</v>
      </c>
    </row>
    <row r="3037" customFormat="false" ht="12" hidden="false" customHeight="false" outlineLevel="0" collapsed="false">
      <c r="A3037" s="215" t="s">
        <v>5617</v>
      </c>
    </row>
    <row r="3038" customFormat="false" ht="12" hidden="false" customHeight="false" outlineLevel="0" collapsed="false">
      <c r="A3038" s="215" t="s">
        <v>5618</v>
      </c>
    </row>
    <row r="3039" customFormat="false" ht="12" hidden="false" customHeight="false" outlineLevel="0" collapsed="false">
      <c r="A3039" s="215" t="s">
        <v>5619</v>
      </c>
    </row>
    <row r="3040" customFormat="false" ht="12" hidden="false" customHeight="false" outlineLevel="0" collapsed="false">
      <c r="A3040" s="215" t="s">
        <v>5620</v>
      </c>
    </row>
    <row r="3041" customFormat="false" ht="12" hidden="false" customHeight="false" outlineLevel="0" collapsed="false">
      <c r="A3041" s="215" t="s">
        <v>5621</v>
      </c>
    </row>
    <row r="3042" customFormat="false" ht="12" hidden="false" customHeight="false" outlineLevel="0" collapsed="false">
      <c r="A3042" s="215" t="s">
        <v>5622</v>
      </c>
    </row>
    <row r="3043" customFormat="false" ht="12" hidden="false" customHeight="false" outlineLevel="0" collapsed="false">
      <c r="A3043" s="215" t="s">
        <v>5623</v>
      </c>
    </row>
    <row r="3044" customFormat="false" ht="12" hidden="false" customHeight="false" outlineLevel="0" collapsed="false">
      <c r="A3044" s="215" t="s">
        <v>5624</v>
      </c>
    </row>
    <row r="3045" customFormat="false" ht="12" hidden="false" customHeight="false" outlineLevel="0" collapsed="false">
      <c r="A3045" s="215" t="s">
        <v>5625</v>
      </c>
    </row>
    <row r="3046" customFormat="false" ht="12" hidden="false" customHeight="false" outlineLevel="0" collapsed="false">
      <c r="A3046" s="215" t="s">
        <v>5626</v>
      </c>
    </row>
    <row r="3047" customFormat="false" ht="12" hidden="false" customHeight="false" outlineLevel="0" collapsed="false">
      <c r="A3047" s="215" t="s">
        <v>5627</v>
      </c>
    </row>
    <row r="3048" customFormat="false" ht="12" hidden="false" customHeight="false" outlineLevel="0" collapsed="false">
      <c r="A3048" s="215" t="s">
        <v>5628</v>
      </c>
    </row>
    <row r="3049" customFormat="false" ht="12" hidden="false" customHeight="false" outlineLevel="0" collapsed="false">
      <c r="A3049" s="215" t="s">
        <v>5629</v>
      </c>
    </row>
    <row r="3050" customFormat="false" ht="12" hidden="false" customHeight="false" outlineLevel="0" collapsed="false">
      <c r="A3050" s="215" t="s">
        <v>5630</v>
      </c>
    </row>
    <row r="3051" customFormat="false" ht="12" hidden="false" customHeight="false" outlineLevel="0" collapsed="false">
      <c r="A3051" s="215" t="s">
        <v>5631</v>
      </c>
    </row>
    <row r="3052" customFormat="false" ht="12" hidden="false" customHeight="false" outlineLevel="0" collapsed="false">
      <c r="A3052" s="215" t="s">
        <v>5632</v>
      </c>
    </row>
    <row r="3053" customFormat="false" ht="12" hidden="false" customHeight="false" outlineLevel="0" collapsed="false">
      <c r="A3053" s="215" t="s">
        <v>5633</v>
      </c>
    </row>
    <row r="3054" customFormat="false" ht="12" hidden="false" customHeight="false" outlineLevel="0" collapsed="false">
      <c r="A3054" s="215" t="s">
        <v>5634</v>
      </c>
    </row>
    <row r="3055" customFormat="false" ht="12" hidden="false" customHeight="false" outlineLevel="0" collapsed="false">
      <c r="A3055" s="215" t="s">
        <v>5635</v>
      </c>
    </row>
    <row r="3056" customFormat="false" ht="12" hidden="false" customHeight="false" outlineLevel="0" collapsed="false">
      <c r="A3056" s="215" t="s">
        <v>5636</v>
      </c>
    </row>
    <row r="3057" customFormat="false" ht="12" hidden="false" customHeight="false" outlineLevel="0" collapsed="false">
      <c r="A3057" s="215" t="s">
        <v>5637</v>
      </c>
    </row>
    <row r="3058" customFormat="false" ht="12" hidden="false" customHeight="false" outlineLevel="0" collapsed="false">
      <c r="A3058" s="215" t="s">
        <v>5638</v>
      </c>
    </row>
    <row r="3059" customFormat="false" ht="12" hidden="false" customHeight="false" outlineLevel="0" collapsed="false">
      <c r="A3059" s="215" t="s">
        <v>5639</v>
      </c>
    </row>
    <row r="3060" customFormat="false" ht="12" hidden="false" customHeight="false" outlineLevel="0" collapsed="false">
      <c r="A3060" s="215" t="s">
        <v>5640</v>
      </c>
    </row>
    <row r="3061" customFormat="false" ht="12" hidden="false" customHeight="false" outlineLevel="0" collapsed="false">
      <c r="A3061" s="215" t="s">
        <v>5641</v>
      </c>
    </row>
    <row r="3062" customFormat="false" ht="12" hidden="false" customHeight="false" outlineLevel="0" collapsed="false">
      <c r="A3062" s="215" t="s">
        <v>5642</v>
      </c>
    </row>
    <row r="3063" customFormat="false" ht="12" hidden="false" customHeight="false" outlineLevel="0" collapsed="false">
      <c r="A3063" s="215" t="s">
        <v>5643</v>
      </c>
    </row>
    <row r="3064" customFormat="false" ht="12" hidden="false" customHeight="false" outlineLevel="0" collapsed="false">
      <c r="A3064" s="215" t="s">
        <v>5644</v>
      </c>
    </row>
    <row r="3065" customFormat="false" ht="12" hidden="false" customHeight="false" outlineLevel="0" collapsed="false">
      <c r="A3065" s="215" t="s">
        <v>5645</v>
      </c>
    </row>
    <row r="3066" customFormat="false" ht="12" hidden="false" customHeight="false" outlineLevel="0" collapsed="false">
      <c r="A3066" s="215" t="s">
        <v>5646</v>
      </c>
    </row>
    <row r="3067" customFormat="false" ht="12" hidden="false" customHeight="false" outlineLevel="0" collapsed="false">
      <c r="A3067" s="215" t="s">
        <v>5647</v>
      </c>
    </row>
    <row r="3068" customFormat="false" ht="12" hidden="false" customHeight="false" outlineLevel="0" collapsed="false">
      <c r="A3068" s="215" t="s">
        <v>5648</v>
      </c>
    </row>
    <row r="3069" customFormat="false" ht="12" hidden="false" customHeight="false" outlineLevel="0" collapsed="false">
      <c r="A3069" s="215" t="s">
        <v>5649</v>
      </c>
    </row>
    <row r="3070" customFormat="false" ht="12" hidden="false" customHeight="false" outlineLevel="0" collapsed="false">
      <c r="A3070" s="215" t="s">
        <v>5650</v>
      </c>
    </row>
    <row r="3071" customFormat="false" ht="12" hidden="false" customHeight="false" outlineLevel="0" collapsed="false">
      <c r="A3071" s="215" t="s">
        <v>5651</v>
      </c>
    </row>
    <row r="3072" customFormat="false" ht="12" hidden="false" customHeight="false" outlineLevel="0" collapsed="false">
      <c r="A3072" s="215" t="s">
        <v>5652</v>
      </c>
    </row>
    <row r="3073" customFormat="false" ht="12" hidden="false" customHeight="false" outlineLevel="0" collapsed="false">
      <c r="A3073" s="215" t="s">
        <v>5653</v>
      </c>
    </row>
    <row r="3074" customFormat="false" ht="12" hidden="false" customHeight="false" outlineLevel="0" collapsed="false">
      <c r="A3074" s="215" t="s">
        <v>5654</v>
      </c>
    </row>
    <row r="3075" customFormat="false" ht="12" hidden="false" customHeight="false" outlineLevel="0" collapsed="false">
      <c r="A3075" s="215" t="s">
        <v>5655</v>
      </c>
    </row>
    <row r="3076" customFormat="false" ht="12" hidden="false" customHeight="false" outlineLevel="0" collapsed="false">
      <c r="A3076" s="215" t="s">
        <v>5656</v>
      </c>
    </row>
    <row r="3077" customFormat="false" ht="12" hidden="false" customHeight="false" outlineLevel="0" collapsed="false">
      <c r="A3077" s="215" t="s">
        <v>5657</v>
      </c>
    </row>
    <row r="3078" customFormat="false" ht="12" hidden="false" customHeight="false" outlineLevel="0" collapsed="false">
      <c r="A3078" s="215" t="s">
        <v>5658</v>
      </c>
    </row>
    <row r="3079" customFormat="false" ht="12" hidden="false" customHeight="false" outlineLevel="0" collapsed="false">
      <c r="A3079" s="215" t="s">
        <v>5659</v>
      </c>
    </row>
    <row r="3080" customFormat="false" ht="12" hidden="false" customHeight="false" outlineLevel="0" collapsed="false">
      <c r="A3080" s="215" t="s">
        <v>5660</v>
      </c>
    </row>
    <row r="3081" customFormat="false" ht="12" hidden="false" customHeight="false" outlineLevel="0" collapsed="false">
      <c r="A3081" s="215" t="s">
        <v>5661</v>
      </c>
    </row>
    <row r="3082" customFormat="false" ht="12" hidden="false" customHeight="false" outlineLevel="0" collapsed="false">
      <c r="A3082" s="215" t="s">
        <v>5662</v>
      </c>
    </row>
    <row r="3083" customFormat="false" ht="12" hidden="false" customHeight="false" outlineLevel="0" collapsed="false">
      <c r="A3083" s="215" t="s">
        <v>5663</v>
      </c>
    </row>
    <row r="3084" customFormat="false" ht="12" hidden="false" customHeight="false" outlineLevel="0" collapsed="false">
      <c r="A3084" s="215" t="s">
        <v>5664</v>
      </c>
    </row>
    <row r="3085" customFormat="false" ht="12" hidden="false" customHeight="false" outlineLevel="0" collapsed="false">
      <c r="A3085" s="215" t="s">
        <v>5665</v>
      </c>
    </row>
    <row r="3086" customFormat="false" ht="12" hidden="false" customHeight="false" outlineLevel="0" collapsed="false">
      <c r="A3086" s="215" t="s">
        <v>5666</v>
      </c>
    </row>
    <row r="3087" customFormat="false" ht="12" hidden="false" customHeight="false" outlineLevel="0" collapsed="false">
      <c r="A3087" s="215" t="s">
        <v>5667</v>
      </c>
    </row>
    <row r="3088" customFormat="false" ht="12" hidden="false" customHeight="false" outlineLevel="0" collapsed="false">
      <c r="A3088" s="215" t="s">
        <v>5668</v>
      </c>
    </row>
    <row r="3089" customFormat="false" ht="12" hidden="false" customHeight="false" outlineLevel="0" collapsed="false">
      <c r="A3089" s="215" t="s">
        <v>5669</v>
      </c>
    </row>
    <row r="3090" customFormat="false" ht="12" hidden="false" customHeight="false" outlineLevel="0" collapsed="false">
      <c r="A3090" s="215" t="s">
        <v>5670</v>
      </c>
    </row>
    <row r="3091" customFormat="false" ht="12" hidden="false" customHeight="false" outlineLevel="0" collapsed="false">
      <c r="A3091" s="215" t="s">
        <v>5671</v>
      </c>
    </row>
    <row r="3092" customFormat="false" ht="12" hidden="false" customHeight="false" outlineLevel="0" collapsed="false">
      <c r="A3092" s="215" t="s">
        <v>5672</v>
      </c>
    </row>
    <row r="3093" customFormat="false" ht="12" hidden="false" customHeight="false" outlineLevel="0" collapsed="false">
      <c r="A3093" s="215" t="s">
        <v>5673</v>
      </c>
    </row>
    <row r="3094" customFormat="false" ht="12" hidden="false" customHeight="false" outlineLevel="0" collapsed="false">
      <c r="A3094" s="215" t="s">
        <v>5674</v>
      </c>
    </row>
    <row r="3095" customFormat="false" ht="12" hidden="false" customHeight="false" outlineLevel="0" collapsed="false">
      <c r="A3095" s="215" t="s">
        <v>5675</v>
      </c>
    </row>
    <row r="3096" customFormat="false" ht="12" hidden="false" customHeight="false" outlineLevel="0" collapsed="false">
      <c r="A3096" s="215" t="s">
        <v>5676</v>
      </c>
    </row>
    <row r="3097" customFormat="false" ht="12" hidden="false" customHeight="false" outlineLevel="0" collapsed="false">
      <c r="A3097" s="215" t="s">
        <v>5677</v>
      </c>
    </row>
    <row r="3098" customFormat="false" ht="12" hidden="false" customHeight="false" outlineLevel="0" collapsed="false">
      <c r="A3098" s="215" t="s">
        <v>5678</v>
      </c>
    </row>
    <row r="3099" customFormat="false" ht="12" hidden="false" customHeight="false" outlineLevel="0" collapsed="false">
      <c r="A3099" s="215" t="s">
        <v>5679</v>
      </c>
    </row>
    <row r="3100" customFormat="false" ht="12" hidden="false" customHeight="false" outlineLevel="0" collapsed="false">
      <c r="A3100" s="215" t="s">
        <v>5680</v>
      </c>
    </row>
    <row r="3101" customFormat="false" ht="12" hidden="false" customHeight="false" outlineLevel="0" collapsed="false">
      <c r="A3101" s="215" t="s">
        <v>5681</v>
      </c>
    </row>
    <row r="3102" customFormat="false" ht="12" hidden="false" customHeight="false" outlineLevel="0" collapsed="false">
      <c r="A3102" s="215" t="s">
        <v>5682</v>
      </c>
    </row>
    <row r="3103" customFormat="false" ht="12" hidden="false" customHeight="false" outlineLevel="0" collapsed="false">
      <c r="A3103" s="215" t="s">
        <v>5683</v>
      </c>
    </row>
    <row r="3104" customFormat="false" ht="12" hidden="false" customHeight="false" outlineLevel="0" collapsed="false">
      <c r="A3104" s="215" t="s">
        <v>5684</v>
      </c>
    </row>
    <row r="3105" customFormat="false" ht="12" hidden="false" customHeight="false" outlineLevel="0" collapsed="false">
      <c r="A3105" s="215" t="s">
        <v>5685</v>
      </c>
    </row>
    <row r="3106" customFormat="false" ht="12" hidden="false" customHeight="false" outlineLevel="0" collapsed="false">
      <c r="A3106" s="215" t="s">
        <v>5686</v>
      </c>
    </row>
    <row r="3107" customFormat="false" ht="12" hidden="false" customHeight="false" outlineLevel="0" collapsed="false">
      <c r="A3107" s="215" t="s">
        <v>5687</v>
      </c>
    </row>
    <row r="3108" customFormat="false" ht="12" hidden="false" customHeight="false" outlineLevel="0" collapsed="false">
      <c r="A3108" s="215" t="s">
        <v>5688</v>
      </c>
    </row>
    <row r="3109" customFormat="false" ht="12" hidden="false" customHeight="false" outlineLevel="0" collapsed="false">
      <c r="A3109" s="215" t="s">
        <v>5689</v>
      </c>
    </row>
    <row r="3110" customFormat="false" ht="12" hidden="false" customHeight="false" outlineLevel="0" collapsed="false">
      <c r="A3110" s="215" t="s">
        <v>5690</v>
      </c>
    </row>
    <row r="3111" customFormat="false" ht="12" hidden="false" customHeight="false" outlineLevel="0" collapsed="false">
      <c r="A3111" s="215" t="s">
        <v>5691</v>
      </c>
    </row>
    <row r="3112" customFormat="false" ht="12" hidden="false" customHeight="false" outlineLevel="0" collapsed="false">
      <c r="A3112" s="215" t="s">
        <v>5692</v>
      </c>
    </row>
    <row r="3113" customFormat="false" ht="12" hidden="false" customHeight="false" outlineLevel="0" collapsed="false">
      <c r="A3113" s="215" t="s">
        <v>5693</v>
      </c>
    </row>
    <row r="3114" customFormat="false" ht="12" hidden="false" customHeight="false" outlineLevel="0" collapsed="false">
      <c r="A3114" s="215" t="s">
        <v>5694</v>
      </c>
    </row>
    <row r="3115" customFormat="false" ht="12" hidden="false" customHeight="false" outlineLevel="0" collapsed="false">
      <c r="A3115" s="215" t="s">
        <v>5695</v>
      </c>
    </row>
    <row r="3116" customFormat="false" ht="12" hidden="false" customHeight="false" outlineLevel="0" collapsed="false">
      <c r="A3116" s="215" t="s">
        <v>5696</v>
      </c>
    </row>
    <row r="3117" customFormat="false" ht="12" hidden="false" customHeight="false" outlineLevel="0" collapsed="false">
      <c r="A3117" s="215" t="s">
        <v>5697</v>
      </c>
    </row>
    <row r="3118" customFormat="false" ht="12" hidden="false" customHeight="false" outlineLevel="0" collapsed="false">
      <c r="A3118" s="215" t="s">
        <v>5698</v>
      </c>
    </row>
    <row r="3119" customFormat="false" ht="12" hidden="false" customHeight="false" outlineLevel="0" collapsed="false">
      <c r="A3119" s="215" t="s">
        <v>5699</v>
      </c>
    </row>
    <row r="3120" customFormat="false" ht="12" hidden="false" customHeight="false" outlineLevel="0" collapsed="false">
      <c r="A3120" s="215" t="s">
        <v>5700</v>
      </c>
    </row>
    <row r="3121" customFormat="false" ht="12" hidden="false" customHeight="false" outlineLevel="0" collapsed="false">
      <c r="A3121" s="215" t="s">
        <v>5701</v>
      </c>
    </row>
    <row r="3122" customFormat="false" ht="12" hidden="false" customHeight="false" outlineLevel="0" collapsed="false">
      <c r="A3122" s="215" t="s">
        <v>5702</v>
      </c>
    </row>
    <row r="3123" customFormat="false" ht="12" hidden="false" customHeight="false" outlineLevel="0" collapsed="false">
      <c r="A3123" s="215" t="s">
        <v>5703</v>
      </c>
    </row>
    <row r="3124" customFormat="false" ht="12" hidden="false" customHeight="false" outlineLevel="0" collapsed="false">
      <c r="A3124" s="215" t="s">
        <v>5704</v>
      </c>
    </row>
    <row r="3125" customFormat="false" ht="12" hidden="false" customHeight="false" outlineLevel="0" collapsed="false">
      <c r="A3125" s="215" t="s">
        <v>5705</v>
      </c>
    </row>
    <row r="3126" customFormat="false" ht="12" hidden="false" customHeight="false" outlineLevel="0" collapsed="false">
      <c r="A3126" s="215" t="s">
        <v>5706</v>
      </c>
    </row>
    <row r="3127" customFormat="false" ht="12" hidden="false" customHeight="false" outlineLevel="0" collapsed="false">
      <c r="A3127" s="215" t="s">
        <v>5707</v>
      </c>
    </row>
    <row r="3128" customFormat="false" ht="12" hidden="false" customHeight="false" outlineLevel="0" collapsed="false">
      <c r="A3128" s="215" t="s">
        <v>5708</v>
      </c>
    </row>
    <row r="3129" customFormat="false" ht="12" hidden="false" customHeight="false" outlineLevel="0" collapsed="false">
      <c r="A3129" s="215" t="s">
        <v>5709</v>
      </c>
    </row>
    <row r="3130" customFormat="false" ht="12" hidden="false" customHeight="false" outlineLevel="0" collapsed="false">
      <c r="A3130" s="215" t="s">
        <v>5710</v>
      </c>
    </row>
    <row r="3131" customFormat="false" ht="12" hidden="false" customHeight="false" outlineLevel="0" collapsed="false">
      <c r="A3131" s="215" t="s">
        <v>5711</v>
      </c>
    </row>
    <row r="3132" customFormat="false" ht="12" hidden="false" customHeight="false" outlineLevel="0" collapsed="false">
      <c r="A3132" s="215" t="s">
        <v>5712</v>
      </c>
    </row>
    <row r="3133" customFormat="false" ht="12" hidden="false" customHeight="false" outlineLevel="0" collapsed="false">
      <c r="A3133" s="215" t="s">
        <v>5713</v>
      </c>
    </row>
    <row r="3134" customFormat="false" ht="12" hidden="false" customHeight="false" outlineLevel="0" collapsed="false">
      <c r="A3134" s="215" t="s">
        <v>5714</v>
      </c>
    </row>
    <row r="3135" customFormat="false" ht="12" hidden="false" customHeight="false" outlineLevel="0" collapsed="false">
      <c r="A3135" s="215" t="s">
        <v>5715</v>
      </c>
    </row>
    <row r="3136" customFormat="false" ht="12" hidden="false" customHeight="false" outlineLevel="0" collapsed="false">
      <c r="A3136" s="215" t="s">
        <v>5716</v>
      </c>
    </row>
    <row r="3137" customFormat="false" ht="12" hidden="false" customHeight="false" outlineLevel="0" collapsed="false">
      <c r="A3137" s="215" t="s">
        <v>5717</v>
      </c>
    </row>
    <row r="3138" customFormat="false" ht="12" hidden="false" customHeight="false" outlineLevel="0" collapsed="false">
      <c r="A3138" s="215" t="s">
        <v>5718</v>
      </c>
    </row>
    <row r="3139" customFormat="false" ht="12" hidden="false" customHeight="false" outlineLevel="0" collapsed="false">
      <c r="A3139" s="215" t="s">
        <v>5719</v>
      </c>
    </row>
    <row r="3140" customFormat="false" ht="12" hidden="false" customHeight="false" outlineLevel="0" collapsed="false">
      <c r="A3140" s="215" t="s">
        <v>5720</v>
      </c>
    </row>
    <row r="3141" customFormat="false" ht="12" hidden="false" customHeight="false" outlineLevel="0" collapsed="false">
      <c r="A3141" s="215" t="s">
        <v>5721</v>
      </c>
    </row>
    <row r="3142" customFormat="false" ht="12" hidden="false" customHeight="false" outlineLevel="0" collapsed="false">
      <c r="A3142" s="215" t="s">
        <v>5722</v>
      </c>
    </row>
    <row r="3143" customFormat="false" ht="12" hidden="false" customHeight="false" outlineLevel="0" collapsed="false">
      <c r="A3143" s="215" t="s">
        <v>5723</v>
      </c>
    </row>
    <row r="3144" customFormat="false" ht="12" hidden="false" customHeight="false" outlineLevel="0" collapsed="false">
      <c r="A3144" s="215" t="s">
        <v>5724</v>
      </c>
    </row>
    <row r="3145" customFormat="false" ht="12" hidden="false" customHeight="false" outlineLevel="0" collapsed="false">
      <c r="A3145" s="215" t="s">
        <v>5725</v>
      </c>
    </row>
    <row r="3146" customFormat="false" ht="12" hidden="false" customHeight="false" outlineLevel="0" collapsed="false">
      <c r="A3146" s="215" t="s">
        <v>5726</v>
      </c>
    </row>
    <row r="3147" customFormat="false" ht="12" hidden="false" customHeight="false" outlineLevel="0" collapsed="false">
      <c r="A3147" s="215" t="s">
        <v>5727</v>
      </c>
    </row>
    <row r="3148" customFormat="false" ht="12" hidden="false" customHeight="false" outlineLevel="0" collapsed="false">
      <c r="A3148" s="215" t="s">
        <v>5728</v>
      </c>
    </row>
    <row r="3149" customFormat="false" ht="12" hidden="false" customHeight="false" outlineLevel="0" collapsed="false">
      <c r="A3149" s="215" t="s">
        <v>5729</v>
      </c>
    </row>
    <row r="3150" customFormat="false" ht="12" hidden="false" customHeight="false" outlineLevel="0" collapsed="false">
      <c r="A3150" s="215" t="s">
        <v>5730</v>
      </c>
    </row>
    <row r="3151" customFormat="false" ht="12" hidden="false" customHeight="false" outlineLevel="0" collapsed="false">
      <c r="A3151" s="215" t="s">
        <v>5731</v>
      </c>
    </row>
    <row r="3152" customFormat="false" ht="12" hidden="false" customHeight="false" outlineLevel="0" collapsed="false">
      <c r="A3152" s="215" t="s">
        <v>5732</v>
      </c>
    </row>
    <row r="3153" customFormat="false" ht="12" hidden="false" customHeight="false" outlineLevel="0" collapsed="false">
      <c r="A3153" s="215" t="s">
        <v>5733</v>
      </c>
    </row>
    <row r="3154" customFormat="false" ht="12" hidden="false" customHeight="false" outlineLevel="0" collapsed="false">
      <c r="A3154" s="215" t="s">
        <v>5734</v>
      </c>
    </row>
    <row r="3155" customFormat="false" ht="12" hidden="false" customHeight="false" outlineLevel="0" collapsed="false">
      <c r="A3155" s="215" t="s">
        <v>5735</v>
      </c>
    </row>
    <row r="3156" customFormat="false" ht="12" hidden="false" customHeight="false" outlineLevel="0" collapsed="false">
      <c r="A3156" s="215" t="s">
        <v>5736</v>
      </c>
    </row>
    <row r="3157" customFormat="false" ht="12" hidden="false" customHeight="false" outlineLevel="0" collapsed="false">
      <c r="A3157" s="215" t="s">
        <v>5737</v>
      </c>
    </row>
    <row r="3158" customFormat="false" ht="12" hidden="false" customHeight="false" outlineLevel="0" collapsed="false">
      <c r="A3158" s="215" t="s">
        <v>5738</v>
      </c>
    </row>
    <row r="3159" customFormat="false" ht="12" hidden="false" customHeight="false" outlineLevel="0" collapsed="false">
      <c r="A3159" s="215" t="s">
        <v>5739</v>
      </c>
    </row>
    <row r="3160" customFormat="false" ht="12" hidden="false" customHeight="false" outlineLevel="0" collapsed="false">
      <c r="A3160" s="215" t="s">
        <v>5740</v>
      </c>
    </row>
    <row r="3161" customFormat="false" ht="12" hidden="false" customHeight="false" outlineLevel="0" collapsed="false">
      <c r="A3161" s="215" t="s">
        <v>5741</v>
      </c>
    </row>
    <row r="3162" customFormat="false" ht="12" hidden="false" customHeight="false" outlineLevel="0" collapsed="false">
      <c r="A3162" s="215" t="s">
        <v>5742</v>
      </c>
    </row>
    <row r="3163" customFormat="false" ht="12" hidden="false" customHeight="false" outlineLevel="0" collapsed="false">
      <c r="A3163" s="215" t="s">
        <v>5743</v>
      </c>
    </row>
    <row r="3164" customFormat="false" ht="12" hidden="false" customHeight="false" outlineLevel="0" collapsed="false">
      <c r="A3164" s="215" t="s">
        <v>5744</v>
      </c>
    </row>
    <row r="3165" customFormat="false" ht="12" hidden="false" customHeight="false" outlineLevel="0" collapsed="false">
      <c r="A3165" s="215" t="s">
        <v>5745</v>
      </c>
    </row>
    <row r="3166" customFormat="false" ht="12" hidden="false" customHeight="false" outlineLevel="0" collapsed="false">
      <c r="A3166" s="215" t="s">
        <v>5746</v>
      </c>
    </row>
    <row r="3167" customFormat="false" ht="12" hidden="false" customHeight="false" outlineLevel="0" collapsed="false">
      <c r="A3167" s="215" t="s">
        <v>5747</v>
      </c>
    </row>
    <row r="3168" customFormat="false" ht="12" hidden="false" customHeight="false" outlineLevel="0" collapsed="false">
      <c r="A3168" s="215" t="s">
        <v>5748</v>
      </c>
    </row>
    <row r="3169" customFormat="false" ht="12" hidden="false" customHeight="false" outlineLevel="0" collapsed="false">
      <c r="A3169" s="215" t="s">
        <v>5749</v>
      </c>
    </row>
    <row r="3170" customFormat="false" ht="12" hidden="false" customHeight="false" outlineLevel="0" collapsed="false">
      <c r="A3170" s="215" t="s">
        <v>5750</v>
      </c>
    </row>
    <row r="3171" customFormat="false" ht="12" hidden="false" customHeight="false" outlineLevel="0" collapsed="false">
      <c r="A3171" s="215" t="s">
        <v>5751</v>
      </c>
    </row>
    <row r="3172" customFormat="false" ht="12" hidden="false" customHeight="false" outlineLevel="0" collapsed="false">
      <c r="A3172" s="215" t="s">
        <v>5752</v>
      </c>
    </row>
    <row r="3173" customFormat="false" ht="12" hidden="false" customHeight="false" outlineLevel="0" collapsed="false">
      <c r="A3173" s="215" t="s">
        <v>5753</v>
      </c>
    </row>
    <row r="3174" customFormat="false" ht="12" hidden="false" customHeight="false" outlineLevel="0" collapsed="false">
      <c r="A3174" s="215" t="s">
        <v>5754</v>
      </c>
    </row>
    <row r="3175" customFormat="false" ht="12" hidden="false" customHeight="false" outlineLevel="0" collapsed="false">
      <c r="A3175" s="215" t="s">
        <v>5755</v>
      </c>
    </row>
    <row r="3176" customFormat="false" ht="12" hidden="false" customHeight="false" outlineLevel="0" collapsed="false">
      <c r="A3176" s="215" t="s">
        <v>5756</v>
      </c>
    </row>
    <row r="3177" customFormat="false" ht="12" hidden="false" customHeight="false" outlineLevel="0" collapsed="false">
      <c r="A3177" s="215" t="s">
        <v>5757</v>
      </c>
    </row>
    <row r="3178" customFormat="false" ht="12" hidden="false" customHeight="false" outlineLevel="0" collapsed="false">
      <c r="A3178" s="215" t="s">
        <v>5758</v>
      </c>
    </row>
    <row r="3179" customFormat="false" ht="12" hidden="false" customHeight="false" outlineLevel="0" collapsed="false">
      <c r="A3179" s="215" t="s">
        <v>5759</v>
      </c>
    </row>
    <row r="3180" customFormat="false" ht="12" hidden="false" customHeight="false" outlineLevel="0" collapsed="false">
      <c r="A3180" s="215" t="s">
        <v>5760</v>
      </c>
    </row>
    <row r="3181" customFormat="false" ht="12" hidden="false" customHeight="false" outlineLevel="0" collapsed="false">
      <c r="A3181" s="215" t="s">
        <v>5761</v>
      </c>
    </row>
    <row r="3182" customFormat="false" ht="12" hidden="false" customHeight="false" outlineLevel="0" collapsed="false">
      <c r="A3182" s="215" t="s">
        <v>5762</v>
      </c>
    </row>
    <row r="3183" customFormat="false" ht="12" hidden="false" customHeight="false" outlineLevel="0" collapsed="false">
      <c r="A3183" s="215" t="s">
        <v>5763</v>
      </c>
    </row>
    <row r="3184" customFormat="false" ht="12" hidden="false" customHeight="false" outlineLevel="0" collapsed="false">
      <c r="A3184" s="215" t="s">
        <v>5764</v>
      </c>
    </row>
    <row r="3185" customFormat="false" ht="12" hidden="false" customHeight="false" outlineLevel="0" collapsed="false">
      <c r="A3185" s="215" t="s">
        <v>5765</v>
      </c>
    </row>
    <row r="3186" customFormat="false" ht="12" hidden="false" customHeight="false" outlineLevel="0" collapsed="false">
      <c r="A3186" s="215" t="s">
        <v>5766</v>
      </c>
    </row>
    <row r="3187" customFormat="false" ht="12" hidden="false" customHeight="false" outlineLevel="0" collapsed="false">
      <c r="A3187" s="215" t="s">
        <v>5767</v>
      </c>
    </row>
    <row r="3188" customFormat="false" ht="12" hidden="false" customHeight="false" outlineLevel="0" collapsed="false">
      <c r="A3188" s="215" t="s">
        <v>5768</v>
      </c>
    </row>
    <row r="3189" customFormat="false" ht="12" hidden="false" customHeight="false" outlineLevel="0" collapsed="false">
      <c r="A3189" s="215" t="s">
        <v>5769</v>
      </c>
    </row>
    <row r="3190" customFormat="false" ht="12" hidden="false" customHeight="false" outlineLevel="0" collapsed="false">
      <c r="A3190" s="215" t="s">
        <v>5770</v>
      </c>
    </row>
    <row r="3191" customFormat="false" ht="12" hidden="false" customHeight="false" outlineLevel="0" collapsed="false">
      <c r="A3191" s="215" t="s">
        <v>5771</v>
      </c>
    </row>
    <row r="3192" customFormat="false" ht="12" hidden="false" customHeight="false" outlineLevel="0" collapsed="false">
      <c r="A3192" s="215" t="s">
        <v>5772</v>
      </c>
    </row>
    <row r="3193" customFormat="false" ht="12" hidden="false" customHeight="false" outlineLevel="0" collapsed="false">
      <c r="A3193" s="215" t="s">
        <v>5773</v>
      </c>
    </row>
    <row r="3194" customFormat="false" ht="12" hidden="false" customHeight="false" outlineLevel="0" collapsed="false">
      <c r="A3194" s="215" t="s">
        <v>5774</v>
      </c>
    </row>
    <row r="3195" customFormat="false" ht="12" hidden="false" customHeight="false" outlineLevel="0" collapsed="false">
      <c r="A3195" s="215" t="s">
        <v>5775</v>
      </c>
    </row>
    <row r="3196" customFormat="false" ht="12" hidden="false" customHeight="false" outlineLevel="0" collapsed="false">
      <c r="A3196" s="215" t="s">
        <v>5776</v>
      </c>
    </row>
    <row r="3197" customFormat="false" ht="12" hidden="false" customHeight="false" outlineLevel="0" collapsed="false">
      <c r="A3197" s="215" t="s">
        <v>5777</v>
      </c>
    </row>
    <row r="3198" customFormat="false" ht="12" hidden="false" customHeight="false" outlineLevel="0" collapsed="false">
      <c r="A3198" s="215" t="s">
        <v>5778</v>
      </c>
    </row>
    <row r="3199" customFormat="false" ht="12" hidden="false" customHeight="false" outlineLevel="0" collapsed="false">
      <c r="A3199" s="215" t="s">
        <v>5779</v>
      </c>
    </row>
    <row r="3200" customFormat="false" ht="12" hidden="false" customHeight="false" outlineLevel="0" collapsed="false">
      <c r="A3200" s="215" t="s">
        <v>5780</v>
      </c>
    </row>
    <row r="3201" customFormat="false" ht="12" hidden="false" customHeight="false" outlineLevel="0" collapsed="false">
      <c r="A3201" s="215" t="s">
        <v>5781</v>
      </c>
    </row>
    <row r="3202" customFormat="false" ht="12" hidden="false" customHeight="false" outlineLevel="0" collapsed="false">
      <c r="A3202" s="215" t="s">
        <v>5782</v>
      </c>
    </row>
    <row r="3203" customFormat="false" ht="12" hidden="false" customHeight="false" outlineLevel="0" collapsed="false">
      <c r="A3203" s="215" t="s">
        <v>5783</v>
      </c>
    </row>
    <row r="3204" customFormat="false" ht="12" hidden="false" customHeight="false" outlineLevel="0" collapsed="false">
      <c r="A3204" s="215" t="s">
        <v>5784</v>
      </c>
    </row>
    <row r="3205" customFormat="false" ht="12" hidden="false" customHeight="false" outlineLevel="0" collapsed="false">
      <c r="A3205" s="215" t="s">
        <v>5785</v>
      </c>
    </row>
    <row r="3206" customFormat="false" ht="12" hidden="false" customHeight="false" outlineLevel="0" collapsed="false">
      <c r="A3206" s="215" t="s">
        <v>5786</v>
      </c>
    </row>
    <row r="3207" customFormat="false" ht="12" hidden="false" customHeight="false" outlineLevel="0" collapsed="false">
      <c r="A3207" s="215" t="s">
        <v>5787</v>
      </c>
    </row>
    <row r="3208" customFormat="false" ht="12" hidden="false" customHeight="false" outlineLevel="0" collapsed="false">
      <c r="A3208" s="215" t="s">
        <v>5788</v>
      </c>
    </row>
    <row r="3209" customFormat="false" ht="12" hidden="false" customHeight="false" outlineLevel="0" collapsed="false">
      <c r="A3209" s="215" t="s">
        <v>5789</v>
      </c>
    </row>
    <row r="3210" customFormat="false" ht="12" hidden="false" customHeight="false" outlineLevel="0" collapsed="false">
      <c r="A3210" s="215" t="s">
        <v>5790</v>
      </c>
    </row>
    <row r="3211" customFormat="false" ht="12" hidden="false" customHeight="false" outlineLevel="0" collapsed="false">
      <c r="A3211" s="215" t="s">
        <v>5791</v>
      </c>
    </row>
    <row r="3212" customFormat="false" ht="12" hidden="false" customHeight="false" outlineLevel="0" collapsed="false">
      <c r="A3212" s="215" t="s">
        <v>5792</v>
      </c>
    </row>
    <row r="3213" customFormat="false" ht="12" hidden="false" customHeight="false" outlineLevel="0" collapsed="false">
      <c r="A3213" s="215" t="s">
        <v>5793</v>
      </c>
    </row>
    <row r="3214" customFormat="false" ht="12" hidden="false" customHeight="false" outlineLevel="0" collapsed="false">
      <c r="A3214" s="215" t="s">
        <v>5794</v>
      </c>
    </row>
    <row r="3215" customFormat="false" ht="12" hidden="false" customHeight="false" outlineLevel="0" collapsed="false">
      <c r="A3215" s="215" t="s">
        <v>5795</v>
      </c>
    </row>
    <row r="3216" customFormat="false" ht="12" hidden="false" customHeight="false" outlineLevel="0" collapsed="false">
      <c r="A3216" s="215" t="s">
        <v>5796</v>
      </c>
    </row>
    <row r="3217" customFormat="false" ht="12" hidden="false" customHeight="false" outlineLevel="0" collapsed="false">
      <c r="A3217" s="215" t="s">
        <v>5797</v>
      </c>
    </row>
    <row r="3218" customFormat="false" ht="12" hidden="false" customHeight="false" outlineLevel="0" collapsed="false">
      <c r="A3218" s="215" t="s">
        <v>5798</v>
      </c>
    </row>
    <row r="3219" customFormat="false" ht="12" hidden="false" customHeight="false" outlineLevel="0" collapsed="false">
      <c r="A3219" s="215" t="s">
        <v>5799</v>
      </c>
    </row>
    <row r="3220" customFormat="false" ht="12" hidden="false" customHeight="false" outlineLevel="0" collapsed="false">
      <c r="A3220" s="215" t="s">
        <v>5800</v>
      </c>
    </row>
    <row r="3221" customFormat="false" ht="12" hidden="false" customHeight="false" outlineLevel="0" collapsed="false">
      <c r="A3221" s="215" t="s">
        <v>5801</v>
      </c>
    </row>
    <row r="3222" customFormat="false" ht="12" hidden="false" customHeight="false" outlineLevel="0" collapsed="false">
      <c r="A3222" s="215" t="s">
        <v>5802</v>
      </c>
    </row>
    <row r="3223" customFormat="false" ht="12" hidden="false" customHeight="false" outlineLevel="0" collapsed="false">
      <c r="A3223" s="215" t="s">
        <v>5803</v>
      </c>
    </row>
    <row r="3224" customFormat="false" ht="12" hidden="false" customHeight="false" outlineLevel="0" collapsed="false">
      <c r="A3224" s="215" t="s">
        <v>5804</v>
      </c>
    </row>
    <row r="3225" customFormat="false" ht="12" hidden="false" customHeight="false" outlineLevel="0" collapsed="false">
      <c r="A3225" s="215" t="s">
        <v>5805</v>
      </c>
    </row>
    <row r="3226" customFormat="false" ht="12" hidden="false" customHeight="false" outlineLevel="0" collapsed="false">
      <c r="A3226" s="215" t="s">
        <v>5806</v>
      </c>
    </row>
    <row r="3227" customFormat="false" ht="12" hidden="false" customHeight="false" outlineLevel="0" collapsed="false">
      <c r="A3227" s="215" t="s">
        <v>5807</v>
      </c>
    </row>
    <row r="3228" customFormat="false" ht="12" hidden="false" customHeight="false" outlineLevel="0" collapsed="false">
      <c r="A3228" s="215" t="s">
        <v>5808</v>
      </c>
    </row>
    <row r="3229" customFormat="false" ht="12" hidden="false" customHeight="false" outlineLevel="0" collapsed="false">
      <c r="A3229" s="215" t="s">
        <v>5809</v>
      </c>
    </row>
    <row r="3230" customFormat="false" ht="12" hidden="false" customHeight="false" outlineLevel="0" collapsed="false">
      <c r="A3230" s="215" t="s">
        <v>5810</v>
      </c>
    </row>
    <row r="3231" customFormat="false" ht="12" hidden="false" customHeight="false" outlineLevel="0" collapsed="false">
      <c r="A3231" s="215" t="s">
        <v>5811</v>
      </c>
    </row>
    <row r="3232" customFormat="false" ht="12" hidden="false" customHeight="false" outlineLevel="0" collapsed="false">
      <c r="A3232" s="215" t="s">
        <v>5812</v>
      </c>
    </row>
    <row r="3233" customFormat="false" ht="12" hidden="false" customHeight="false" outlineLevel="0" collapsed="false">
      <c r="A3233" s="215" t="s">
        <v>5813</v>
      </c>
    </row>
    <row r="3234" customFormat="false" ht="12" hidden="false" customHeight="false" outlineLevel="0" collapsed="false">
      <c r="A3234" s="215" t="s">
        <v>5814</v>
      </c>
    </row>
    <row r="3235" customFormat="false" ht="12" hidden="false" customHeight="false" outlineLevel="0" collapsed="false">
      <c r="A3235" s="215" t="s">
        <v>5815</v>
      </c>
    </row>
    <row r="3236" customFormat="false" ht="12" hidden="false" customHeight="false" outlineLevel="0" collapsed="false">
      <c r="A3236" s="215" t="s">
        <v>5816</v>
      </c>
    </row>
    <row r="3237" customFormat="false" ht="12" hidden="false" customHeight="false" outlineLevel="0" collapsed="false">
      <c r="A3237" s="215" t="s">
        <v>5817</v>
      </c>
    </row>
    <row r="3238" customFormat="false" ht="12" hidden="false" customHeight="false" outlineLevel="0" collapsed="false">
      <c r="A3238" s="215" t="s">
        <v>5818</v>
      </c>
    </row>
    <row r="3239" customFormat="false" ht="12" hidden="false" customHeight="false" outlineLevel="0" collapsed="false">
      <c r="A3239" s="215" t="s">
        <v>5819</v>
      </c>
    </row>
    <row r="3240" customFormat="false" ht="12" hidden="false" customHeight="false" outlineLevel="0" collapsed="false">
      <c r="A3240" s="215" t="s">
        <v>5820</v>
      </c>
    </row>
    <row r="3241" customFormat="false" ht="12" hidden="false" customHeight="false" outlineLevel="0" collapsed="false">
      <c r="A3241" s="215" t="s">
        <v>5821</v>
      </c>
    </row>
    <row r="3242" customFormat="false" ht="12" hidden="false" customHeight="false" outlineLevel="0" collapsed="false">
      <c r="A3242" s="215" t="s">
        <v>5822</v>
      </c>
    </row>
    <row r="3243" customFormat="false" ht="12" hidden="false" customHeight="false" outlineLevel="0" collapsed="false">
      <c r="A3243" s="215" t="s">
        <v>5823</v>
      </c>
    </row>
    <row r="3244" customFormat="false" ht="12" hidden="false" customHeight="false" outlineLevel="0" collapsed="false">
      <c r="A3244" s="215" t="s">
        <v>5824</v>
      </c>
    </row>
    <row r="3245" customFormat="false" ht="12" hidden="false" customHeight="false" outlineLevel="0" collapsed="false">
      <c r="A3245" s="215" t="s">
        <v>5825</v>
      </c>
    </row>
    <row r="3246" customFormat="false" ht="12" hidden="false" customHeight="false" outlineLevel="0" collapsed="false">
      <c r="A3246" s="215" t="s">
        <v>5826</v>
      </c>
    </row>
    <row r="3247" customFormat="false" ht="12" hidden="false" customHeight="false" outlineLevel="0" collapsed="false">
      <c r="A3247" s="215" t="s">
        <v>5827</v>
      </c>
    </row>
    <row r="3248" customFormat="false" ht="12" hidden="false" customHeight="false" outlineLevel="0" collapsed="false">
      <c r="A3248" s="215" t="s">
        <v>5828</v>
      </c>
    </row>
    <row r="3249" customFormat="false" ht="12" hidden="false" customHeight="false" outlineLevel="0" collapsed="false">
      <c r="A3249" s="215" t="s">
        <v>5829</v>
      </c>
    </row>
    <row r="3250" customFormat="false" ht="12" hidden="false" customHeight="false" outlineLevel="0" collapsed="false">
      <c r="A3250" s="215" t="s">
        <v>5830</v>
      </c>
    </row>
    <row r="3251" customFormat="false" ht="12" hidden="false" customHeight="false" outlineLevel="0" collapsed="false">
      <c r="A3251" s="215" t="s">
        <v>5831</v>
      </c>
    </row>
    <row r="3252" customFormat="false" ht="12" hidden="false" customHeight="false" outlineLevel="0" collapsed="false">
      <c r="A3252" s="215" t="s">
        <v>5832</v>
      </c>
    </row>
    <row r="3253" customFormat="false" ht="12" hidden="false" customHeight="false" outlineLevel="0" collapsed="false">
      <c r="A3253" s="215" t="s">
        <v>5833</v>
      </c>
    </row>
    <row r="3254" customFormat="false" ht="12" hidden="false" customHeight="false" outlineLevel="0" collapsed="false">
      <c r="A3254" s="215" t="s">
        <v>5834</v>
      </c>
    </row>
    <row r="3255" customFormat="false" ht="12" hidden="false" customHeight="false" outlineLevel="0" collapsed="false">
      <c r="A3255" s="215" t="s">
        <v>5835</v>
      </c>
    </row>
    <row r="3256" customFormat="false" ht="12" hidden="false" customHeight="false" outlineLevel="0" collapsed="false">
      <c r="A3256" s="215" t="s">
        <v>5836</v>
      </c>
    </row>
    <row r="3257" customFormat="false" ht="12" hidden="false" customHeight="false" outlineLevel="0" collapsed="false">
      <c r="A3257" s="215" t="s">
        <v>5837</v>
      </c>
    </row>
    <row r="3258" customFormat="false" ht="12" hidden="false" customHeight="false" outlineLevel="0" collapsed="false">
      <c r="A3258" s="215" t="s">
        <v>5838</v>
      </c>
    </row>
    <row r="3259" customFormat="false" ht="12" hidden="false" customHeight="false" outlineLevel="0" collapsed="false">
      <c r="A3259" s="215" t="s">
        <v>5839</v>
      </c>
    </row>
    <row r="3260" customFormat="false" ht="12" hidden="false" customHeight="false" outlineLevel="0" collapsed="false">
      <c r="A3260" s="215" t="s">
        <v>5840</v>
      </c>
    </row>
    <row r="3261" customFormat="false" ht="12" hidden="false" customHeight="false" outlineLevel="0" collapsed="false">
      <c r="A3261" s="215" t="s">
        <v>5841</v>
      </c>
    </row>
    <row r="3262" customFormat="false" ht="12" hidden="false" customHeight="false" outlineLevel="0" collapsed="false">
      <c r="A3262" s="215" t="s">
        <v>5842</v>
      </c>
    </row>
    <row r="3263" customFormat="false" ht="12" hidden="false" customHeight="false" outlineLevel="0" collapsed="false">
      <c r="A3263" s="215" t="s">
        <v>5843</v>
      </c>
    </row>
    <row r="3264" customFormat="false" ht="12" hidden="false" customHeight="false" outlineLevel="0" collapsed="false">
      <c r="A3264" s="215" t="s">
        <v>5844</v>
      </c>
    </row>
    <row r="3265" customFormat="false" ht="12" hidden="false" customHeight="false" outlineLevel="0" collapsed="false">
      <c r="A3265" s="215" t="s">
        <v>5845</v>
      </c>
    </row>
    <row r="3266" customFormat="false" ht="12" hidden="false" customHeight="false" outlineLevel="0" collapsed="false">
      <c r="A3266" s="215" t="s">
        <v>5846</v>
      </c>
    </row>
    <row r="3267" customFormat="false" ht="12" hidden="false" customHeight="false" outlineLevel="0" collapsed="false">
      <c r="A3267" s="215" t="s">
        <v>5847</v>
      </c>
    </row>
    <row r="3268" customFormat="false" ht="12" hidden="false" customHeight="false" outlineLevel="0" collapsed="false">
      <c r="A3268" s="215" t="s">
        <v>5848</v>
      </c>
    </row>
    <row r="3269" customFormat="false" ht="12" hidden="false" customHeight="false" outlineLevel="0" collapsed="false">
      <c r="A3269" s="215" t="s">
        <v>5849</v>
      </c>
    </row>
    <row r="3270" customFormat="false" ht="12" hidden="false" customHeight="false" outlineLevel="0" collapsed="false">
      <c r="A3270" s="215" t="s">
        <v>5850</v>
      </c>
    </row>
    <row r="3271" customFormat="false" ht="12" hidden="false" customHeight="false" outlineLevel="0" collapsed="false">
      <c r="A3271" s="215" t="s">
        <v>5851</v>
      </c>
    </row>
    <row r="3272" customFormat="false" ht="12" hidden="false" customHeight="false" outlineLevel="0" collapsed="false">
      <c r="A3272" s="215" t="s">
        <v>5852</v>
      </c>
    </row>
    <row r="3273" customFormat="false" ht="12" hidden="false" customHeight="false" outlineLevel="0" collapsed="false">
      <c r="A3273" s="215" t="s">
        <v>5853</v>
      </c>
    </row>
    <row r="3274" customFormat="false" ht="12" hidden="false" customHeight="false" outlineLevel="0" collapsed="false">
      <c r="A3274" s="215" t="s">
        <v>5854</v>
      </c>
    </row>
    <row r="3275" customFormat="false" ht="12" hidden="false" customHeight="false" outlineLevel="0" collapsed="false">
      <c r="A3275" s="215" t="s">
        <v>5855</v>
      </c>
    </row>
    <row r="3276" customFormat="false" ht="12" hidden="false" customHeight="false" outlineLevel="0" collapsed="false">
      <c r="A3276" s="215" t="s">
        <v>5856</v>
      </c>
    </row>
    <row r="3277" customFormat="false" ht="12" hidden="false" customHeight="false" outlineLevel="0" collapsed="false">
      <c r="A3277" s="215" t="s">
        <v>5857</v>
      </c>
    </row>
    <row r="3278" customFormat="false" ht="12" hidden="false" customHeight="false" outlineLevel="0" collapsed="false">
      <c r="A3278" s="215" t="s">
        <v>5858</v>
      </c>
    </row>
    <row r="3279" customFormat="false" ht="12" hidden="false" customHeight="false" outlineLevel="0" collapsed="false">
      <c r="A3279" s="215" t="s">
        <v>5859</v>
      </c>
    </row>
    <row r="3280" customFormat="false" ht="12" hidden="false" customHeight="false" outlineLevel="0" collapsed="false">
      <c r="A3280" s="215" t="s">
        <v>5860</v>
      </c>
    </row>
    <row r="3281" customFormat="false" ht="12" hidden="false" customHeight="false" outlineLevel="0" collapsed="false">
      <c r="A3281" s="215" t="s">
        <v>5861</v>
      </c>
    </row>
    <row r="3282" customFormat="false" ht="12" hidden="false" customHeight="false" outlineLevel="0" collapsed="false">
      <c r="A3282" s="215" t="s">
        <v>5862</v>
      </c>
    </row>
    <row r="3283" customFormat="false" ht="12" hidden="false" customHeight="false" outlineLevel="0" collapsed="false">
      <c r="A3283" s="215" t="s">
        <v>5863</v>
      </c>
    </row>
    <row r="3284" customFormat="false" ht="12" hidden="false" customHeight="false" outlineLevel="0" collapsed="false">
      <c r="A3284" s="215" t="s">
        <v>5864</v>
      </c>
    </row>
    <row r="3285" customFormat="false" ht="12" hidden="false" customHeight="false" outlineLevel="0" collapsed="false">
      <c r="A3285" s="215" t="s">
        <v>5865</v>
      </c>
    </row>
    <row r="3286" customFormat="false" ht="12" hidden="false" customHeight="false" outlineLevel="0" collapsed="false">
      <c r="A3286" s="215" t="s">
        <v>5866</v>
      </c>
    </row>
    <row r="3287" customFormat="false" ht="12" hidden="false" customHeight="false" outlineLevel="0" collapsed="false">
      <c r="A3287" s="215" t="s">
        <v>5867</v>
      </c>
    </row>
    <row r="3288" customFormat="false" ht="12" hidden="false" customHeight="false" outlineLevel="0" collapsed="false">
      <c r="A3288" s="215" t="s">
        <v>5868</v>
      </c>
    </row>
    <row r="3289" customFormat="false" ht="12" hidden="false" customHeight="false" outlineLevel="0" collapsed="false">
      <c r="A3289" s="215" t="s">
        <v>5869</v>
      </c>
    </row>
    <row r="3290" customFormat="false" ht="12" hidden="false" customHeight="false" outlineLevel="0" collapsed="false">
      <c r="A3290" s="215" t="s">
        <v>5870</v>
      </c>
    </row>
    <row r="3291" customFormat="false" ht="12" hidden="false" customHeight="false" outlineLevel="0" collapsed="false">
      <c r="A3291" s="215" t="s">
        <v>5871</v>
      </c>
    </row>
    <row r="3292" customFormat="false" ht="12" hidden="false" customHeight="false" outlineLevel="0" collapsed="false">
      <c r="A3292" s="215" t="s">
        <v>5872</v>
      </c>
    </row>
    <row r="3293" customFormat="false" ht="12" hidden="false" customHeight="false" outlineLevel="0" collapsed="false">
      <c r="A3293" s="215" t="s">
        <v>5873</v>
      </c>
    </row>
    <row r="3294" customFormat="false" ht="12" hidden="false" customHeight="false" outlineLevel="0" collapsed="false">
      <c r="A3294" s="215" t="s">
        <v>5874</v>
      </c>
    </row>
    <row r="3295" customFormat="false" ht="12" hidden="false" customHeight="false" outlineLevel="0" collapsed="false">
      <c r="A3295" s="215" t="s">
        <v>5875</v>
      </c>
    </row>
    <row r="3296" customFormat="false" ht="12" hidden="false" customHeight="false" outlineLevel="0" collapsed="false">
      <c r="A3296" s="215" t="s">
        <v>5876</v>
      </c>
    </row>
    <row r="3297" customFormat="false" ht="12" hidden="false" customHeight="false" outlineLevel="0" collapsed="false">
      <c r="A3297" s="215" t="s">
        <v>5877</v>
      </c>
    </row>
    <row r="3298" customFormat="false" ht="12" hidden="false" customHeight="false" outlineLevel="0" collapsed="false">
      <c r="A3298" s="215" t="s">
        <v>5878</v>
      </c>
    </row>
    <row r="3299" customFormat="false" ht="12" hidden="false" customHeight="false" outlineLevel="0" collapsed="false">
      <c r="A3299" s="215" t="s">
        <v>5879</v>
      </c>
    </row>
    <row r="3300" customFormat="false" ht="12" hidden="false" customHeight="false" outlineLevel="0" collapsed="false">
      <c r="A3300" s="215" t="s">
        <v>5880</v>
      </c>
    </row>
    <row r="3301" customFormat="false" ht="12" hidden="false" customHeight="false" outlineLevel="0" collapsed="false">
      <c r="A3301" s="215" t="s">
        <v>5881</v>
      </c>
    </row>
    <row r="3302" customFormat="false" ht="12" hidden="false" customHeight="false" outlineLevel="0" collapsed="false">
      <c r="A3302" s="215" t="s">
        <v>5882</v>
      </c>
    </row>
    <row r="3303" customFormat="false" ht="12" hidden="false" customHeight="false" outlineLevel="0" collapsed="false">
      <c r="A3303" s="215" t="s">
        <v>5883</v>
      </c>
    </row>
    <row r="3304" customFormat="false" ht="12" hidden="false" customHeight="false" outlineLevel="0" collapsed="false">
      <c r="A3304" s="215" t="s">
        <v>5884</v>
      </c>
    </row>
    <row r="3305" customFormat="false" ht="12" hidden="false" customHeight="false" outlineLevel="0" collapsed="false">
      <c r="A3305" s="215" t="s">
        <v>5885</v>
      </c>
    </row>
    <row r="3306" customFormat="false" ht="12" hidden="false" customHeight="false" outlineLevel="0" collapsed="false">
      <c r="A3306" s="215" t="s">
        <v>5886</v>
      </c>
    </row>
    <row r="3307" customFormat="false" ht="12" hidden="false" customHeight="false" outlineLevel="0" collapsed="false">
      <c r="A3307" s="215" t="s">
        <v>5887</v>
      </c>
    </row>
    <row r="3308" customFormat="false" ht="12" hidden="false" customHeight="false" outlineLevel="0" collapsed="false">
      <c r="A3308" s="215" t="s">
        <v>5888</v>
      </c>
    </row>
    <row r="3309" customFormat="false" ht="12" hidden="false" customHeight="false" outlineLevel="0" collapsed="false">
      <c r="A3309" s="215" t="s">
        <v>5889</v>
      </c>
    </row>
    <row r="3310" customFormat="false" ht="12" hidden="false" customHeight="false" outlineLevel="0" collapsed="false">
      <c r="A3310" s="215" t="s">
        <v>5890</v>
      </c>
    </row>
    <row r="3311" customFormat="false" ht="12" hidden="false" customHeight="false" outlineLevel="0" collapsed="false">
      <c r="A3311" s="215" t="s">
        <v>5891</v>
      </c>
    </row>
    <row r="3312" customFormat="false" ht="12" hidden="false" customHeight="false" outlineLevel="0" collapsed="false">
      <c r="A3312" s="215" t="s">
        <v>5892</v>
      </c>
    </row>
    <row r="3313" customFormat="false" ht="12" hidden="false" customHeight="false" outlineLevel="0" collapsed="false">
      <c r="A3313" s="215" t="s">
        <v>5893</v>
      </c>
    </row>
    <row r="3314" customFormat="false" ht="12" hidden="false" customHeight="false" outlineLevel="0" collapsed="false">
      <c r="A3314" s="215" t="s">
        <v>5894</v>
      </c>
    </row>
    <row r="3315" customFormat="false" ht="12" hidden="false" customHeight="false" outlineLevel="0" collapsed="false">
      <c r="A3315" s="215" t="s">
        <v>5895</v>
      </c>
    </row>
    <row r="3316" customFormat="false" ht="12" hidden="false" customHeight="false" outlineLevel="0" collapsed="false">
      <c r="A3316" s="215" t="s">
        <v>5896</v>
      </c>
    </row>
    <row r="3317" customFormat="false" ht="12" hidden="false" customHeight="false" outlineLevel="0" collapsed="false">
      <c r="A3317" s="215" t="s">
        <v>5897</v>
      </c>
    </row>
    <row r="3318" customFormat="false" ht="12" hidden="false" customHeight="false" outlineLevel="0" collapsed="false">
      <c r="A3318" s="215" t="s">
        <v>5898</v>
      </c>
    </row>
    <row r="3319" customFormat="false" ht="12" hidden="false" customHeight="false" outlineLevel="0" collapsed="false">
      <c r="A3319" s="215" t="s">
        <v>5899</v>
      </c>
    </row>
    <row r="3320" customFormat="false" ht="12" hidden="false" customHeight="false" outlineLevel="0" collapsed="false">
      <c r="A3320" s="215" t="s">
        <v>5900</v>
      </c>
    </row>
    <row r="3321" customFormat="false" ht="12" hidden="false" customHeight="false" outlineLevel="0" collapsed="false">
      <c r="A3321" s="215" t="s">
        <v>5901</v>
      </c>
    </row>
    <row r="3322" customFormat="false" ht="12" hidden="false" customHeight="false" outlineLevel="0" collapsed="false">
      <c r="A3322" s="215" t="s">
        <v>5902</v>
      </c>
    </row>
    <row r="3323" customFormat="false" ht="12" hidden="false" customHeight="false" outlineLevel="0" collapsed="false">
      <c r="A3323" s="215" t="s">
        <v>5903</v>
      </c>
    </row>
    <row r="3324" customFormat="false" ht="12" hidden="false" customHeight="false" outlineLevel="0" collapsed="false">
      <c r="A3324" s="215" t="s">
        <v>5904</v>
      </c>
    </row>
    <row r="3325" customFormat="false" ht="12" hidden="false" customHeight="false" outlineLevel="0" collapsed="false">
      <c r="A3325" s="215" t="s">
        <v>5905</v>
      </c>
    </row>
    <row r="3326" customFormat="false" ht="12" hidden="false" customHeight="false" outlineLevel="0" collapsed="false">
      <c r="A3326" s="215" t="s">
        <v>5906</v>
      </c>
    </row>
    <row r="3327" customFormat="false" ht="12" hidden="false" customHeight="false" outlineLevel="0" collapsed="false">
      <c r="A3327" s="215" t="s">
        <v>5907</v>
      </c>
    </row>
    <row r="3328" customFormat="false" ht="12" hidden="false" customHeight="false" outlineLevel="0" collapsed="false">
      <c r="A3328" s="215" t="s">
        <v>5908</v>
      </c>
    </row>
    <row r="3329" customFormat="false" ht="12" hidden="false" customHeight="false" outlineLevel="0" collapsed="false">
      <c r="A3329" s="215" t="s">
        <v>5909</v>
      </c>
    </row>
    <row r="3330" customFormat="false" ht="12" hidden="false" customHeight="false" outlineLevel="0" collapsed="false">
      <c r="A3330" s="215" t="s">
        <v>5910</v>
      </c>
    </row>
    <row r="3331" customFormat="false" ht="12" hidden="false" customHeight="false" outlineLevel="0" collapsed="false">
      <c r="A3331" s="215" t="s">
        <v>5911</v>
      </c>
    </row>
    <row r="3332" customFormat="false" ht="12" hidden="false" customHeight="false" outlineLevel="0" collapsed="false">
      <c r="A3332" s="215" t="s">
        <v>5912</v>
      </c>
    </row>
    <row r="3333" customFormat="false" ht="12" hidden="false" customHeight="false" outlineLevel="0" collapsed="false">
      <c r="A3333" s="215" t="s">
        <v>5913</v>
      </c>
    </row>
    <row r="3334" customFormat="false" ht="12" hidden="false" customHeight="false" outlineLevel="0" collapsed="false">
      <c r="A3334" s="215" t="s">
        <v>5914</v>
      </c>
    </row>
    <row r="3335" customFormat="false" ht="12" hidden="false" customHeight="false" outlineLevel="0" collapsed="false">
      <c r="A3335" s="215" t="s">
        <v>5915</v>
      </c>
    </row>
    <row r="3336" customFormat="false" ht="12" hidden="false" customHeight="false" outlineLevel="0" collapsed="false">
      <c r="A3336" s="215" t="s">
        <v>5916</v>
      </c>
    </row>
    <row r="3337" customFormat="false" ht="12" hidden="false" customHeight="false" outlineLevel="0" collapsed="false">
      <c r="A3337" s="215" t="s">
        <v>5917</v>
      </c>
    </row>
    <row r="3338" customFormat="false" ht="12" hidden="false" customHeight="false" outlineLevel="0" collapsed="false">
      <c r="A3338" s="215" t="s">
        <v>5918</v>
      </c>
    </row>
    <row r="3339" customFormat="false" ht="12" hidden="false" customHeight="false" outlineLevel="0" collapsed="false">
      <c r="A3339" s="215" t="s">
        <v>5919</v>
      </c>
    </row>
    <row r="3340" customFormat="false" ht="12" hidden="false" customHeight="false" outlineLevel="0" collapsed="false">
      <c r="A3340" s="215" t="s">
        <v>5920</v>
      </c>
    </row>
    <row r="3341" customFormat="false" ht="12" hidden="false" customHeight="false" outlineLevel="0" collapsed="false">
      <c r="A3341" s="215" t="s">
        <v>5921</v>
      </c>
    </row>
    <row r="3342" customFormat="false" ht="12" hidden="false" customHeight="false" outlineLevel="0" collapsed="false">
      <c r="A3342" s="215" t="s">
        <v>5922</v>
      </c>
    </row>
    <row r="3343" customFormat="false" ht="12" hidden="false" customHeight="false" outlineLevel="0" collapsed="false">
      <c r="A3343" s="215" t="s">
        <v>5923</v>
      </c>
    </row>
    <row r="3344" customFormat="false" ht="12" hidden="false" customHeight="false" outlineLevel="0" collapsed="false">
      <c r="A3344" s="215" t="s">
        <v>5924</v>
      </c>
    </row>
    <row r="3345" customFormat="false" ht="12" hidden="false" customHeight="false" outlineLevel="0" collapsed="false">
      <c r="A3345" s="215" t="s">
        <v>5925</v>
      </c>
    </row>
    <row r="3346" customFormat="false" ht="12" hidden="false" customHeight="false" outlineLevel="0" collapsed="false">
      <c r="A3346" s="215" t="s">
        <v>5926</v>
      </c>
    </row>
    <row r="3347" customFormat="false" ht="12" hidden="false" customHeight="false" outlineLevel="0" collapsed="false">
      <c r="A3347" s="215" t="s">
        <v>5927</v>
      </c>
    </row>
    <row r="3348" customFormat="false" ht="12" hidden="false" customHeight="false" outlineLevel="0" collapsed="false">
      <c r="A3348" s="215" t="s">
        <v>5928</v>
      </c>
    </row>
    <row r="3349" customFormat="false" ht="12" hidden="false" customHeight="false" outlineLevel="0" collapsed="false">
      <c r="A3349" s="215" t="s">
        <v>5929</v>
      </c>
    </row>
    <row r="3350" customFormat="false" ht="12" hidden="false" customHeight="false" outlineLevel="0" collapsed="false">
      <c r="A3350" s="215" t="s">
        <v>5930</v>
      </c>
    </row>
    <row r="3351" customFormat="false" ht="12" hidden="false" customHeight="false" outlineLevel="0" collapsed="false">
      <c r="A3351" s="215" t="s">
        <v>5931</v>
      </c>
    </row>
    <row r="3352" customFormat="false" ht="12" hidden="false" customHeight="false" outlineLevel="0" collapsed="false">
      <c r="A3352" s="215" t="s">
        <v>5932</v>
      </c>
    </row>
    <row r="3353" customFormat="false" ht="12" hidden="false" customHeight="false" outlineLevel="0" collapsed="false">
      <c r="A3353" s="215" t="s">
        <v>5933</v>
      </c>
    </row>
    <row r="3354" customFormat="false" ht="12" hidden="false" customHeight="false" outlineLevel="0" collapsed="false">
      <c r="A3354" s="215" t="s">
        <v>5934</v>
      </c>
    </row>
    <row r="3355" customFormat="false" ht="12" hidden="false" customHeight="false" outlineLevel="0" collapsed="false">
      <c r="A3355" s="215" t="s">
        <v>5935</v>
      </c>
    </row>
    <row r="3356" customFormat="false" ht="12" hidden="false" customHeight="false" outlineLevel="0" collapsed="false">
      <c r="A3356" s="215" t="s">
        <v>5936</v>
      </c>
    </row>
    <row r="3357" customFormat="false" ht="12" hidden="false" customHeight="false" outlineLevel="0" collapsed="false">
      <c r="A3357" s="215" t="s">
        <v>5937</v>
      </c>
    </row>
    <row r="3358" customFormat="false" ht="12" hidden="false" customHeight="false" outlineLevel="0" collapsed="false">
      <c r="A3358" s="215" t="s">
        <v>5938</v>
      </c>
    </row>
    <row r="3359" customFormat="false" ht="12" hidden="false" customHeight="false" outlineLevel="0" collapsed="false">
      <c r="A3359" s="215" t="s">
        <v>5939</v>
      </c>
    </row>
    <row r="3360" customFormat="false" ht="12" hidden="false" customHeight="false" outlineLevel="0" collapsed="false">
      <c r="A3360" s="215" t="s">
        <v>5940</v>
      </c>
    </row>
    <row r="3361" customFormat="false" ht="12" hidden="false" customHeight="false" outlineLevel="0" collapsed="false">
      <c r="A3361" s="215" t="s">
        <v>5941</v>
      </c>
    </row>
    <row r="3362" customFormat="false" ht="12" hidden="false" customHeight="false" outlineLevel="0" collapsed="false">
      <c r="A3362" s="215" t="s">
        <v>5942</v>
      </c>
    </row>
    <row r="3363" customFormat="false" ht="12" hidden="false" customHeight="false" outlineLevel="0" collapsed="false">
      <c r="A3363" s="215" t="s">
        <v>5943</v>
      </c>
    </row>
    <row r="3364" customFormat="false" ht="12" hidden="false" customHeight="false" outlineLevel="0" collapsed="false">
      <c r="A3364" s="215" t="s">
        <v>5944</v>
      </c>
    </row>
    <row r="3365" customFormat="false" ht="12" hidden="false" customHeight="false" outlineLevel="0" collapsed="false">
      <c r="A3365" s="215" t="s">
        <v>5945</v>
      </c>
    </row>
    <row r="3366" customFormat="false" ht="12" hidden="false" customHeight="false" outlineLevel="0" collapsed="false">
      <c r="A3366" s="215" t="s">
        <v>5946</v>
      </c>
    </row>
    <row r="3367" customFormat="false" ht="12" hidden="false" customHeight="false" outlineLevel="0" collapsed="false">
      <c r="A3367" s="215" t="s">
        <v>5947</v>
      </c>
    </row>
    <row r="3368" customFormat="false" ht="12" hidden="false" customHeight="false" outlineLevel="0" collapsed="false">
      <c r="A3368" s="215" t="s">
        <v>5948</v>
      </c>
    </row>
    <row r="3369" customFormat="false" ht="12" hidden="false" customHeight="false" outlineLevel="0" collapsed="false">
      <c r="A3369" s="215" t="s">
        <v>5949</v>
      </c>
    </row>
    <row r="3370" customFormat="false" ht="12" hidden="false" customHeight="false" outlineLevel="0" collapsed="false">
      <c r="A3370" s="215" t="s">
        <v>5950</v>
      </c>
    </row>
    <row r="3371" customFormat="false" ht="12" hidden="false" customHeight="false" outlineLevel="0" collapsed="false">
      <c r="A3371" s="215" t="s">
        <v>5951</v>
      </c>
    </row>
    <row r="3372" customFormat="false" ht="12" hidden="false" customHeight="false" outlineLevel="0" collapsed="false">
      <c r="A3372" s="215" t="s">
        <v>5952</v>
      </c>
    </row>
    <row r="3373" customFormat="false" ht="12" hidden="false" customHeight="false" outlineLevel="0" collapsed="false">
      <c r="A3373" s="215" t="s">
        <v>5953</v>
      </c>
    </row>
    <row r="3374" customFormat="false" ht="12" hidden="false" customHeight="false" outlineLevel="0" collapsed="false">
      <c r="A3374" s="215" t="s">
        <v>5954</v>
      </c>
    </row>
    <row r="3375" customFormat="false" ht="12" hidden="false" customHeight="false" outlineLevel="0" collapsed="false">
      <c r="A3375" s="215" t="s">
        <v>5955</v>
      </c>
    </row>
    <row r="3376" customFormat="false" ht="12" hidden="false" customHeight="false" outlineLevel="0" collapsed="false">
      <c r="A3376" s="215" t="s">
        <v>5956</v>
      </c>
    </row>
    <row r="3377" customFormat="false" ht="12" hidden="false" customHeight="false" outlineLevel="0" collapsed="false">
      <c r="A3377" s="215" t="s">
        <v>5957</v>
      </c>
    </row>
    <row r="3378" customFormat="false" ht="12" hidden="false" customHeight="false" outlineLevel="0" collapsed="false">
      <c r="A3378" s="215" t="s">
        <v>5958</v>
      </c>
    </row>
    <row r="3379" customFormat="false" ht="12" hidden="false" customHeight="false" outlineLevel="0" collapsed="false">
      <c r="A3379" s="215" t="s">
        <v>5959</v>
      </c>
    </row>
    <row r="3380" customFormat="false" ht="12" hidden="false" customHeight="false" outlineLevel="0" collapsed="false">
      <c r="A3380" s="215" t="s">
        <v>5960</v>
      </c>
    </row>
    <row r="3381" customFormat="false" ht="12" hidden="false" customHeight="false" outlineLevel="0" collapsed="false">
      <c r="A3381" s="215" t="s">
        <v>5961</v>
      </c>
    </row>
    <row r="3382" customFormat="false" ht="12" hidden="false" customHeight="false" outlineLevel="0" collapsed="false">
      <c r="A3382" s="215" t="s">
        <v>5962</v>
      </c>
    </row>
    <row r="3383" customFormat="false" ht="12" hidden="false" customHeight="false" outlineLevel="0" collapsed="false">
      <c r="A3383" s="215" t="s">
        <v>5963</v>
      </c>
    </row>
    <row r="3384" customFormat="false" ht="12" hidden="false" customHeight="false" outlineLevel="0" collapsed="false">
      <c r="A3384" s="215" t="s">
        <v>5964</v>
      </c>
    </row>
    <row r="3385" customFormat="false" ht="12" hidden="false" customHeight="false" outlineLevel="0" collapsed="false">
      <c r="A3385" s="215" t="s">
        <v>5965</v>
      </c>
    </row>
    <row r="3386" customFormat="false" ht="12" hidden="false" customHeight="false" outlineLevel="0" collapsed="false">
      <c r="A3386" s="215" t="s">
        <v>5966</v>
      </c>
    </row>
    <row r="3387" customFormat="false" ht="12" hidden="false" customHeight="false" outlineLevel="0" collapsed="false">
      <c r="A3387" s="215" t="s">
        <v>5967</v>
      </c>
    </row>
    <row r="3388" customFormat="false" ht="12" hidden="false" customHeight="false" outlineLevel="0" collapsed="false">
      <c r="A3388" s="215" t="s">
        <v>5968</v>
      </c>
    </row>
    <row r="3389" customFormat="false" ht="12" hidden="false" customHeight="false" outlineLevel="0" collapsed="false">
      <c r="A3389" s="215" t="s">
        <v>5969</v>
      </c>
    </row>
    <row r="3390" customFormat="false" ht="12" hidden="false" customHeight="false" outlineLevel="0" collapsed="false">
      <c r="A3390" s="215" t="s">
        <v>5970</v>
      </c>
    </row>
    <row r="3391" customFormat="false" ht="12" hidden="false" customHeight="false" outlineLevel="0" collapsed="false">
      <c r="A3391" s="215" t="s">
        <v>5971</v>
      </c>
    </row>
    <row r="3392" customFormat="false" ht="12" hidden="false" customHeight="false" outlineLevel="0" collapsed="false">
      <c r="A3392" s="215" t="s">
        <v>5972</v>
      </c>
    </row>
    <row r="3393" customFormat="false" ht="12" hidden="false" customHeight="false" outlineLevel="0" collapsed="false">
      <c r="A3393" s="215" t="s">
        <v>5973</v>
      </c>
    </row>
    <row r="3394" customFormat="false" ht="12" hidden="false" customHeight="false" outlineLevel="0" collapsed="false">
      <c r="A3394" s="215" t="s">
        <v>5974</v>
      </c>
    </row>
    <row r="3395" customFormat="false" ht="12" hidden="false" customHeight="false" outlineLevel="0" collapsed="false">
      <c r="A3395" s="215" t="s">
        <v>5975</v>
      </c>
    </row>
    <row r="3396" customFormat="false" ht="12" hidden="false" customHeight="false" outlineLevel="0" collapsed="false">
      <c r="A3396" s="215" t="s">
        <v>5976</v>
      </c>
    </row>
    <row r="3397" customFormat="false" ht="12" hidden="false" customHeight="false" outlineLevel="0" collapsed="false">
      <c r="A3397" s="215" t="s">
        <v>5977</v>
      </c>
    </row>
    <row r="3398" customFormat="false" ht="12" hidden="false" customHeight="false" outlineLevel="0" collapsed="false">
      <c r="A3398" s="215" t="s">
        <v>5978</v>
      </c>
    </row>
    <row r="3399" customFormat="false" ht="12" hidden="false" customHeight="false" outlineLevel="0" collapsed="false">
      <c r="A3399" s="215" t="s">
        <v>5979</v>
      </c>
    </row>
    <row r="3400" customFormat="false" ht="12" hidden="false" customHeight="false" outlineLevel="0" collapsed="false">
      <c r="A3400" s="215" t="s">
        <v>5980</v>
      </c>
    </row>
    <row r="3401" customFormat="false" ht="12" hidden="false" customHeight="false" outlineLevel="0" collapsed="false">
      <c r="A3401" s="215" t="s">
        <v>5981</v>
      </c>
    </row>
    <row r="3402" customFormat="false" ht="12" hidden="false" customHeight="false" outlineLevel="0" collapsed="false">
      <c r="A3402" s="215" t="s">
        <v>5982</v>
      </c>
    </row>
    <row r="3403" customFormat="false" ht="12" hidden="false" customHeight="false" outlineLevel="0" collapsed="false">
      <c r="A3403" s="215" t="s">
        <v>5983</v>
      </c>
    </row>
    <row r="3404" customFormat="false" ht="12" hidden="false" customHeight="false" outlineLevel="0" collapsed="false">
      <c r="A3404" s="215" t="s">
        <v>5984</v>
      </c>
    </row>
    <row r="3405" customFormat="false" ht="12" hidden="false" customHeight="false" outlineLevel="0" collapsed="false">
      <c r="A3405" s="215" t="s">
        <v>5985</v>
      </c>
    </row>
    <row r="3406" customFormat="false" ht="12" hidden="false" customHeight="false" outlineLevel="0" collapsed="false">
      <c r="A3406" s="215" t="s">
        <v>5986</v>
      </c>
    </row>
    <row r="3407" customFormat="false" ht="12" hidden="false" customHeight="false" outlineLevel="0" collapsed="false">
      <c r="A3407" s="215" t="s">
        <v>5987</v>
      </c>
    </row>
    <row r="3408" customFormat="false" ht="12" hidden="false" customHeight="false" outlineLevel="0" collapsed="false">
      <c r="A3408" s="215" t="s">
        <v>5988</v>
      </c>
    </row>
    <row r="3409" customFormat="false" ht="12" hidden="false" customHeight="false" outlineLevel="0" collapsed="false">
      <c r="A3409" s="215" t="s">
        <v>5989</v>
      </c>
    </row>
    <row r="3410" customFormat="false" ht="12" hidden="false" customHeight="false" outlineLevel="0" collapsed="false">
      <c r="A3410" s="215" t="s">
        <v>5990</v>
      </c>
    </row>
    <row r="3411" customFormat="false" ht="12" hidden="false" customHeight="false" outlineLevel="0" collapsed="false">
      <c r="A3411" s="215" t="s">
        <v>5991</v>
      </c>
    </row>
    <row r="3412" customFormat="false" ht="12" hidden="false" customHeight="false" outlineLevel="0" collapsed="false">
      <c r="A3412" s="215" t="s">
        <v>5992</v>
      </c>
    </row>
    <row r="3413" customFormat="false" ht="12" hidden="false" customHeight="false" outlineLevel="0" collapsed="false">
      <c r="A3413" s="215" t="s">
        <v>5993</v>
      </c>
    </row>
    <row r="3414" customFormat="false" ht="12" hidden="false" customHeight="false" outlineLevel="0" collapsed="false">
      <c r="A3414" s="215" t="s">
        <v>5994</v>
      </c>
    </row>
    <row r="3415" customFormat="false" ht="12" hidden="false" customHeight="false" outlineLevel="0" collapsed="false">
      <c r="A3415" s="215" t="s">
        <v>5995</v>
      </c>
    </row>
    <row r="3416" customFormat="false" ht="12" hidden="false" customHeight="false" outlineLevel="0" collapsed="false">
      <c r="A3416" s="215" t="s">
        <v>5996</v>
      </c>
    </row>
    <row r="3417" customFormat="false" ht="12" hidden="false" customHeight="false" outlineLevel="0" collapsed="false">
      <c r="A3417" s="215" t="s">
        <v>5997</v>
      </c>
    </row>
    <row r="3418" customFormat="false" ht="12" hidden="false" customHeight="false" outlineLevel="0" collapsed="false">
      <c r="A3418" s="215" t="s">
        <v>5998</v>
      </c>
    </row>
    <row r="3419" customFormat="false" ht="12" hidden="false" customHeight="false" outlineLevel="0" collapsed="false">
      <c r="A3419" s="215" t="s">
        <v>5999</v>
      </c>
    </row>
    <row r="3420" customFormat="false" ht="12" hidden="false" customHeight="false" outlineLevel="0" collapsed="false">
      <c r="A3420" s="215" t="s">
        <v>6000</v>
      </c>
    </row>
    <row r="3421" customFormat="false" ht="12" hidden="false" customHeight="false" outlineLevel="0" collapsed="false">
      <c r="A3421" s="215" t="s">
        <v>6001</v>
      </c>
    </row>
    <row r="3422" customFormat="false" ht="12" hidden="false" customHeight="false" outlineLevel="0" collapsed="false">
      <c r="A3422" s="215" t="s">
        <v>6002</v>
      </c>
    </row>
    <row r="3423" customFormat="false" ht="12" hidden="false" customHeight="false" outlineLevel="0" collapsed="false">
      <c r="A3423" s="215" t="s">
        <v>6003</v>
      </c>
    </row>
    <row r="3424" customFormat="false" ht="12" hidden="false" customHeight="false" outlineLevel="0" collapsed="false">
      <c r="A3424" s="215" t="s">
        <v>6004</v>
      </c>
    </row>
    <row r="3425" customFormat="false" ht="12" hidden="false" customHeight="false" outlineLevel="0" collapsed="false">
      <c r="A3425" s="215" t="s">
        <v>6005</v>
      </c>
    </row>
    <row r="3426" customFormat="false" ht="12" hidden="false" customHeight="false" outlineLevel="0" collapsed="false">
      <c r="A3426" s="215" t="s">
        <v>6006</v>
      </c>
    </row>
    <row r="3427" customFormat="false" ht="12" hidden="false" customHeight="false" outlineLevel="0" collapsed="false">
      <c r="A3427" s="215" t="s">
        <v>6007</v>
      </c>
    </row>
    <row r="3428" customFormat="false" ht="12" hidden="false" customHeight="false" outlineLevel="0" collapsed="false">
      <c r="A3428" s="215" t="s">
        <v>6008</v>
      </c>
    </row>
    <row r="3429" customFormat="false" ht="12" hidden="false" customHeight="false" outlineLevel="0" collapsed="false">
      <c r="A3429" s="215" t="s">
        <v>6009</v>
      </c>
    </row>
    <row r="3430" customFormat="false" ht="12" hidden="false" customHeight="false" outlineLevel="0" collapsed="false">
      <c r="A3430" s="215" t="s">
        <v>6010</v>
      </c>
    </row>
    <row r="3431" customFormat="false" ht="12" hidden="false" customHeight="false" outlineLevel="0" collapsed="false">
      <c r="A3431" s="215" t="s">
        <v>6011</v>
      </c>
    </row>
    <row r="3432" customFormat="false" ht="12" hidden="false" customHeight="false" outlineLevel="0" collapsed="false">
      <c r="A3432" s="215" t="s">
        <v>6012</v>
      </c>
    </row>
    <row r="3433" customFormat="false" ht="12" hidden="false" customHeight="false" outlineLevel="0" collapsed="false">
      <c r="A3433" s="215" t="s">
        <v>6013</v>
      </c>
    </row>
    <row r="3434" customFormat="false" ht="12" hidden="false" customHeight="false" outlineLevel="0" collapsed="false">
      <c r="A3434" s="215" t="s">
        <v>6014</v>
      </c>
    </row>
    <row r="3435" customFormat="false" ht="12" hidden="false" customHeight="false" outlineLevel="0" collapsed="false">
      <c r="A3435" s="215" t="s">
        <v>6015</v>
      </c>
    </row>
    <row r="3436" customFormat="false" ht="12" hidden="false" customHeight="false" outlineLevel="0" collapsed="false">
      <c r="A3436" s="215" t="s">
        <v>6016</v>
      </c>
    </row>
    <row r="3437" customFormat="false" ht="12" hidden="false" customHeight="false" outlineLevel="0" collapsed="false">
      <c r="A3437" s="215" t="s">
        <v>6017</v>
      </c>
    </row>
    <row r="3438" customFormat="false" ht="12" hidden="false" customHeight="false" outlineLevel="0" collapsed="false">
      <c r="A3438" s="215" t="s">
        <v>6018</v>
      </c>
    </row>
    <row r="3439" customFormat="false" ht="12" hidden="false" customHeight="false" outlineLevel="0" collapsed="false">
      <c r="A3439" s="215" t="s">
        <v>6019</v>
      </c>
    </row>
    <row r="3440" customFormat="false" ht="12" hidden="false" customHeight="false" outlineLevel="0" collapsed="false">
      <c r="A3440" s="215" t="s">
        <v>6020</v>
      </c>
    </row>
    <row r="3441" customFormat="false" ht="12" hidden="false" customHeight="false" outlineLevel="0" collapsed="false">
      <c r="A3441" s="215" t="s">
        <v>6021</v>
      </c>
    </row>
    <row r="3442" customFormat="false" ht="12" hidden="false" customHeight="false" outlineLevel="0" collapsed="false">
      <c r="A3442" s="215" t="s">
        <v>6022</v>
      </c>
    </row>
    <row r="3443" customFormat="false" ht="12" hidden="false" customHeight="false" outlineLevel="0" collapsed="false">
      <c r="A3443" s="215" t="s">
        <v>6023</v>
      </c>
    </row>
    <row r="3444" customFormat="false" ht="12" hidden="false" customHeight="false" outlineLevel="0" collapsed="false">
      <c r="A3444" s="215" t="s">
        <v>6024</v>
      </c>
    </row>
    <row r="3445" customFormat="false" ht="12" hidden="false" customHeight="false" outlineLevel="0" collapsed="false">
      <c r="A3445" s="215" t="s">
        <v>6025</v>
      </c>
    </row>
    <row r="3446" customFormat="false" ht="12" hidden="false" customHeight="false" outlineLevel="0" collapsed="false">
      <c r="A3446" s="215" t="s">
        <v>6026</v>
      </c>
    </row>
    <row r="3447" customFormat="false" ht="12" hidden="false" customHeight="false" outlineLevel="0" collapsed="false">
      <c r="A3447" s="215" t="s">
        <v>6027</v>
      </c>
    </row>
    <row r="3448" customFormat="false" ht="12" hidden="false" customHeight="false" outlineLevel="0" collapsed="false">
      <c r="A3448" s="215" t="s">
        <v>6028</v>
      </c>
    </row>
    <row r="3449" customFormat="false" ht="12" hidden="false" customHeight="false" outlineLevel="0" collapsed="false">
      <c r="A3449" s="215" t="s">
        <v>6029</v>
      </c>
    </row>
    <row r="3450" customFormat="false" ht="12" hidden="false" customHeight="false" outlineLevel="0" collapsed="false">
      <c r="A3450" s="215" t="s">
        <v>6030</v>
      </c>
    </row>
    <row r="3451" customFormat="false" ht="12" hidden="false" customHeight="false" outlineLevel="0" collapsed="false">
      <c r="A3451" s="215" t="s">
        <v>6031</v>
      </c>
    </row>
    <row r="3452" customFormat="false" ht="12" hidden="false" customHeight="false" outlineLevel="0" collapsed="false">
      <c r="A3452" s="215" t="s">
        <v>6032</v>
      </c>
    </row>
    <row r="3453" customFormat="false" ht="12" hidden="false" customHeight="false" outlineLevel="0" collapsed="false">
      <c r="A3453" s="215" t="s">
        <v>6033</v>
      </c>
    </row>
    <row r="3454" customFormat="false" ht="12" hidden="false" customHeight="false" outlineLevel="0" collapsed="false">
      <c r="A3454" s="215" t="s">
        <v>6034</v>
      </c>
    </row>
    <row r="3455" customFormat="false" ht="12" hidden="false" customHeight="false" outlineLevel="0" collapsed="false">
      <c r="A3455" s="215" t="s">
        <v>6035</v>
      </c>
    </row>
    <row r="3456" customFormat="false" ht="12" hidden="false" customHeight="false" outlineLevel="0" collapsed="false">
      <c r="A3456" s="215" t="s">
        <v>6036</v>
      </c>
    </row>
    <row r="3457" customFormat="false" ht="12" hidden="false" customHeight="false" outlineLevel="0" collapsed="false">
      <c r="A3457" s="215" t="s">
        <v>6037</v>
      </c>
    </row>
    <row r="3458" customFormat="false" ht="12" hidden="false" customHeight="false" outlineLevel="0" collapsed="false">
      <c r="A3458" s="215" t="s">
        <v>6038</v>
      </c>
    </row>
    <row r="3459" customFormat="false" ht="12" hidden="false" customHeight="false" outlineLevel="0" collapsed="false">
      <c r="A3459" s="215" t="s">
        <v>6039</v>
      </c>
    </row>
    <row r="3460" customFormat="false" ht="12" hidden="false" customHeight="false" outlineLevel="0" collapsed="false">
      <c r="A3460" s="215" t="s">
        <v>6040</v>
      </c>
    </row>
    <row r="3461" customFormat="false" ht="12" hidden="false" customHeight="false" outlineLevel="0" collapsed="false">
      <c r="A3461" s="215" t="s">
        <v>6041</v>
      </c>
    </row>
    <row r="3462" customFormat="false" ht="12" hidden="false" customHeight="false" outlineLevel="0" collapsed="false">
      <c r="A3462" s="215" t="s">
        <v>6042</v>
      </c>
    </row>
    <row r="3463" customFormat="false" ht="12" hidden="false" customHeight="false" outlineLevel="0" collapsed="false">
      <c r="A3463" s="215" t="s">
        <v>6043</v>
      </c>
    </row>
    <row r="3464" customFormat="false" ht="12" hidden="false" customHeight="false" outlineLevel="0" collapsed="false">
      <c r="A3464" s="215" t="s">
        <v>6044</v>
      </c>
    </row>
    <row r="3465" customFormat="false" ht="12" hidden="false" customHeight="false" outlineLevel="0" collapsed="false">
      <c r="A3465" s="215" t="s">
        <v>6045</v>
      </c>
    </row>
    <row r="3466" customFormat="false" ht="12" hidden="false" customHeight="false" outlineLevel="0" collapsed="false">
      <c r="A3466" s="215" t="s">
        <v>6046</v>
      </c>
    </row>
    <row r="3467" customFormat="false" ht="12" hidden="false" customHeight="false" outlineLevel="0" collapsed="false">
      <c r="A3467" s="215" t="s">
        <v>6047</v>
      </c>
    </row>
    <row r="3468" customFormat="false" ht="12" hidden="false" customHeight="false" outlineLevel="0" collapsed="false">
      <c r="A3468" s="215" t="s">
        <v>6048</v>
      </c>
    </row>
    <row r="3469" customFormat="false" ht="12" hidden="false" customHeight="false" outlineLevel="0" collapsed="false">
      <c r="A3469" s="215" t="s">
        <v>6049</v>
      </c>
    </row>
    <row r="3470" customFormat="false" ht="12" hidden="false" customHeight="false" outlineLevel="0" collapsed="false">
      <c r="A3470" s="215" t="s">
        <v>6050</v>
      </c>
    </row>
    <row r="3471" customFormat="false" ht="12" hidden="false" customHeight="false" outlineLevel="0" collapsed="false">
      <c r="A3471" s="215" t="s">
        <v>6051</v>
      </c>
    </row>
    <row r="3472" customFormat="false" ht="12" hidden="false" customHeight="false" outlineLevel="0" collapsed="false">
      <c r="A3472" s="215" t="s">
        <v>6052</v>
      </c>
    </row>
    <row r="3473" customFormat="false" ht="12" hidden="false" customHeight="false" outlineLevel="0" collapsed="false">
      <c r="A3473" s="215" t="s">
        <v>6053</v>
      </c>
    </row>
    <row r="3474" customFormat="false" ht="12" hidden="false" customHeight="false" outlineLevel="0" collapsed="false">
      <c r="A3474" s="215" t="s">
        <v>6054</v>
      </c>
    </row>
    <row r="3475" customFormat="false" ht="12" hidden="false" customHeight="false" outlineLevel="0" collapsed="false">
      <c r="A3475" s="215" t="s">
        <v>6055</v>
      </c>
    </row>
    <row r="3476" customFormat="false" ht="12" hidden="false" customHeight="false" outlineLevel="0" collapsed="false">
      <c r="A3476" s="215" t="s">
        <v>6056</v>
      </c>
    </row>
    <row r="3477" customFormat="false" ht="12" hidden="false" customHeight="false" outlineLevel="0" collapsed="false">
      <c r="A3477" s="215" t="s">
        <v>6057</v>
      </c>
    </row>
    <row r="3478" customFormat="false" ht="12" hidden="false" customHeight="false" outlineLevel="0" collapsed="false">
      <c r="A3478" s="215" t="s">
        <v>6058</v>
      </c>
    </row>
    <row r="3479" customFormat="false" ht="12" hidden="false" customHeight="false" outlineLevel="0" collapsed="false">
      <c r="A3479" s="215" t="s">
        <v>6059</v>
      </c>
    </row>
    <row r="3480" customFormat="false" ht="12" hidden="false" customHeight="false" outlineLevel="0" collapsed="false">
      <c r="A3480" s="215" t="s">
        <v>6060</v>
      </c>
    </row>
    <row r="3481" customFormat="false" ht="12" hidden="false" customHeight="false" outlineLevel="0" collapsed="false">
      <c r="A3481" s="215" t="s">
        <v>6061</v>
      </c>
    </row>
    <row r="3482" customFormat="false" ht="12" hidden="false" customHeight="false" outlineLevel="0" collapsed="false">
      <c r="A3482" s="215" t="s">
        <v>6062</v>
      </c>
    </row>
    <row r="3483" customFormat="false" ht="12" hidden="false" customHeight="false" outlineLevel="0" collapsed="false">
      <c r="A3483" s="215" t="s">
        <v>6063</v>
      </c>
    </row>
    <row r="3484" customFormat="false" ht="12" hidden="false" customHeight="false" outlineLevel="0" collapsed="false">
      <c r="A3484" s="215" t="s">
        <v>6064</v>
      </c>
    </row>
    <row r="3485" customFormat="false" ht="12" hidden="false" customHeight="false" outlineLevel="0" collapsed="false">
      <c r="A3485" s="215" t="s">
        <v>6065</v>
      </c>
    </row>
    <row r="3486" customFormat="false" ht="12" hidden="false" customHeight="false" outlineLevel="0" collapsed="false">
      <c r="A3486" s="215" t="s">
        <v>6066</v>
      </c>
    </row>
    <row r="3487" customFormat="false" ht="12" hidden="false" customHeight="false" outlineLevel="0" collapsed="false">
      <c r="A3487" s="215" t="s">
        <v>6067</v>
      </c>
    </row>
    <row r="3488" customFormat="false" ht="12" hidden="false" customHeight="false" outlineLevel="0" collapsed="false">
      <c r="A3488" s="215" t="s">
        <v>6068</v>
      </c>
    </row>
    <row r="3489" customFormat="false" ht="12" hidden="false" customHeight="false" outlineLevel="0" collapsed="false">
      <c r="A3489" s="215" t="s">
        <v>6069</v>
      </c>
    </row>
    <row r="3490" customFormat="false" ht="12" hidden="false" customHeight="false" outlineLevel="0" collapsed="false">
      <c r="A3490" s="215" t="s">
        <v>6070</v>
      </c>
    </row>
    <row r="3491" customFormat="false" ht="12" hidden="false" customHeight="false" outlineLevel="0" collapsed="false">
      <c r="A3491" s="215" t="s">
        <v>6071</v>
      </c>
    </row>
    <row r="3492" customFormat="false" ht="12" hidden="false" customHeight="false" outlineLevel="0" collapsed="false">
      <c r="A3492" s="215" t="s">
        <v>6072</v>
      </c>
    </row>
    <row r="3493" customFormat="false" ht="12" hidden="false" customHeight="false" outlineLevel="0" collapsed="false">
      <c r="A3493" s="215" t="s">
        <v>6073</v>
      </c>
    </row>
    <row r="3494" customFormat="false" ht="12" hidden="false" customHeight="false" outlineLevel="0" collapsed="false">
      <c r="A3494" s="215" t="s">
        <v>6074</v>
      </c>
    </row>
    <row r="3495" customFormat="false" ht="12" hidden="false" customHeight="false" outlineLevel="0" collapsed="false">
      <c r="A3495" s="215" t="s">
        <v>6075</v>
      </c>
    </row>
    <row r="3496" customFormat="false" ht="12" hidden="false" customHeight="false" outlineLevel="0" collapsed="false">
      <c r="A3496" s="215" t="s">
        <v>6076</v>
      </c>
    </row>
    <row r="3497" customFormat="false" ht="12" hidden="false" customHeight="false" outlineLevel="0" collapsed="false">
      <c r="A3497" s="215" t="s">
        <v>6077</v>
      </c>
    </row>
    <row r="3498" customFormat="false" ht="12" hidden="false" customHeight="false" outlineLevel="0" collapsed="false">
      <c r="A3498" s="215" t="s">
        <v>6078</v>
      </c>
    </row>
    <row r="3499" customFormat="false" ht="12" hidden="false" customHeight="false" outlineLevel="0" collapsed="false">
      <c r="A3499" s="215" t="s">
        <v>6079</v>
      </c>
    </row>
    <row r="3500" customFormat="false" ht="12" hidden="false" customHeight="false" outlineLevel="0" collapsed="false">
      <c r="A3500" s="215" t="s">
        <v>6080</v>
      </c>
    </row>
    <row r="3501" customFormat="false" ht="12" hidden="false" customHeight="false" outlineLevel="0" collapsed="false">
      <c r="A3501" s="215" t="s">
        <v>6081</v>
      </c>
    </row>
    <row r="3502" customFormat="false" ht="12" hidden="false" customHeight="false" outlineLevel="0" collapsed="false">
      <c r="A3502" s="215" t="s">
        <v>6082</v>
      </c>
    </row>
    <row r="3503" customFormat="false" ht="12" hidden="false" customHeight="false" outlineLevel="0" collapsed="false">
      <c r="A3503" s="215" t="s">
        <v>6083</v>
      </c>
    </row>
    <row r="3504" customFormat="false" ht="12" hidden="false" customHeight="false" outlineLevel="0" collapsed="false">
      <c r="A3504" s="215" t="s">
        <v>6084</v>
      </c>
    </row>
    <row r="3505" customFormat="false" ht="12" hidden="false" customHeight="false" outlineLevel="0" collapsed="false">
      <c r="A3505" s="215" t="s">
        <v>6085</v>
      </c>
    </row>
    <row r="3506" customFormat="false" ht="12" hidden="false" customHeight="false" outlineLevel="0" collapsed="false">
      <c r="A3506" s="215" t="s">
        <v>6086</v>
      </c>
    </row>
    <row r="3507" customFormat="false" ht="12" hidden="false" customHeight="false" outlineLevel="0" collapsed="false">
      <c r="A3507" s="215" t="s">
        <v>6087</v>
      </c>
    </row>
    <row r="3508" customFormat="false" ht="12" hidden="false" customHeight="false" outlineLevel="0" collapsed="false">
      <c r="A3508" s="215" t="s">
        <v>6088</v>
      </c>
    </row>
    <row r="3509" customFormat="false" ht="12" hidden="false" customHeight="false" outlineLevel="0" collapsed="false">
      <c r="A3509" s="215" t="s">
        <v>6089</v>
      </c>
    </row>
    <row r="3510" customFormat="false" ht="12" hidden="false" customHeight="false" outlineLevel="0" collapsed="false">
      <c r="A3510" s="215" t="s">
        <v>6090</v>
      </c>
    </row>
    <row r="3511" customFormat="false" ht="12" hidden="false" customHeight="false" outlineLevel="0" collapsed="false">
      <c r="A3511" s="215" t="s">
        <v>6091</v>
      </c>
    </row>
    <row r="3512" customFormat="false" ht="12" hidden="false" customHeight="false" outlineLevel="0" collapsed="false">
      <c r="A3512" s="215" t="s">
        <v>6092</v>
      </c>
    </row>
    <row r="3513" customFormat="false" ht="12" hidden="false" customHeight="false" outlineLevel="0" collapsed="false">
      <c r="A3513" s="215" t="s">
        <v>6093</v>
      </c>
    </row>
    <row r="3514" customFormat="false" ht="12" hidden="false" customHeight="false" outlineLevel="0" collapsed="false">
      <c r="A3514" s="215" t="s">
        <v>6094</v>
      </c>
    </row>
    <row r="3515" customFormat="false" ht="12" hidden="false" customHeight="false" outlineLevel="0" collapsed="false">
      <c r="A3515" s="215" t="s">
        <v>6095</v>
      </c>
    </row>
    <row r="3516" customFormat="false" ht="12" hidden="false" customHeight="false" outlineLevel="0" collapsed="false">
      <c r="A3516" s="215" t="s">
        <v>6096</v>
      </c>
    </row>
    <row r="3517" customFormat="false" ht="12" hidden="false" customHeight="false" outlineLevel="0" collapsed="false">
      <c r="A3517" s="215" t="s">
        <v>6097</v>
      </c>
    </row>
    <row r="3518" customFormat="false" ht="12" hidden="false" customHeight="false" outlineLevel="0" collapsed="false">
      <c r="A3518" s="215" t="s">
        <v>6098</v>
      </c>
    </row>
    <row r="3519" customFormat="false" ht="12" hidden="false" customHeight="false" outlineLevel="0" collapsed="false">
      <c r="A3519" s="215" t="s">
        <v>6099</v>
      </c>
    </row>
    <row r="3520" customFormat="false" ht="12" hidden="false" customHeight="false" outlineLevel="0" collapsed="false">
      <c r="A3520" s="215" t="s">
        <v>6100</v>
      </c>
    </row>
    <row r="3521" customFormat="false" ht="12" hidden="false" customHeight="false" outlineLevel="0" collapsed="false">
      <c r="A3521" s="215" t="s">
        <v>6101</v>
      </c>
    </row>
    <row r="3522" customFormat="false" ht="12" hidden="false" customHeight="false" outlineLevel="0" collapsed="false">
      <c r="A3522" s="215" t="s">
        <v>6102</v>
      </c>
    </row>
    <row r="3523" customFormat="false" ht="12" hidden="false" customHeight="false" outlineLevel="0" collapsed="false">
      <c r="A3523" s="215" t="s">
        <v>6103</v>
      </c>
    </row>
    <row r="3524" customFormat="false" ht="12" hidden="false" customHeight="false" outlineLevel="0" collapsed="false">
      <c r="A3524" s="215" t="s">
        <v>6104</v>
      </c>
    </row>
    <row r="3525" customFormat="false" ht="12" hidden="false" customHeight="false" outlineLevel="0" collapsed="false">
      <c r="A3525" s="215" t="s">
        <v>6105</v>
      </c>
    </row>
    <row r="3526" customFormat="false" ht="12" hidden="false" customHeight="false" outlineLevel="0" collapsed="false">
      <c r="A3526" s="215" t="s">
        <v>6106</v>
      </c>
    </row>
    <row r="3527" customFormat="false" ht="12" hidden="false" customHeight="false" outlineLevel="0" collapsed="false">
      <c r="A3527" s="215" t="s">
        <v>6107</v>
      </c>
    </row>
    <row r="3528" customFormat="false" ht="12" hidden="false" customHeight="false" outlineLevel="0" collapsed="false">
      <c r="A3528" s="215" t="s">
        <v>6108</v>
      </c>
    </row>
    <row r="3529" customFormat="false" ht="12" hidden="false" customHeight="false" outlineLevel="0" collapsed="false">
      <c r="A3529" s="215" t="s">
        <v>6109</v>
      </c>
    </row>
    <row r="3530" customFormat="false" ht="12" hidden="false" customHeight="false" outlineLevel="0" collapsed="false">
      <c r="A3530" s="215" t="s">
        <v>6110</v>
      </c>
    </row>
    <row r="3531" customFormat="false" ht="12" hidden="false" customHeight="false" outlineLevel="0" collapsed="false">
      <c r="A3531" s="215" t="s">
        <v>6111</v>
      </c>
    </row>
    <row r="3532" customFormat="false" ht="12" hidden="false" customHeight="false" outlineLevel="0" collapsed="false">
      <c r="A3532" s="215" t="s">
        <v>6112</v>
      </c>
    </row>
    <row r="3533" customFormat="false" ht="12" hidden="false" customHeight="false" outlineLevel="0" collapsed="false">
      <c r="A3533" s="215" t="s">
        <v>6113</v>
      </c>
    </row>
    <row r="3534" customFormat="false" ht="12" hidden="false" customHeight="false" outlineLevel="0" collapsed="false">
      <c r="A3534" s="215" t="s">
        <v>6114</v>
      </c>
    </row>
    <row r="3535" customFormat="false" ht="12" hidden="false" customHeight="false" outlineLevel="0" collapsed="false">
      <c r="A3535" s="215" t="s">
        <v>6115</v>
      </c>
    </row>
    <row r="3536" customFormat="false" ht="12" hidden="false" customHeight="false" outlineLevel="0" collapsed="false">
      <c r="A3536" s="215" t="s">
        <v>6116</v>
      </c>
    </row>
    <row r="3537" customFormat="false" ht="12" hidden="false" customHeight="false" outlineLevel="0" collapsed="false">
      <c r="A3537" s="215" t="s">
        <v>6117</v>
      </c>
    </row>
    <row r="3538" customFormat="false" ht="12" hidden="false" customHeight="false" outlineLevel="0" collapsed="false">
      <c r="A3538" s="215" t="s">
        <v>6118</v>
      </c>
    </row>
    <row r="3539" customFormat="false" ht="12" hidden="false" customHeight="false" outlineLevel="0" collapsed="false">
      <c r="A3539" s="215" t="s">
        <v>6119</v>
      </c>
    </row>
    <row r="3540" customFormat="false" ht="12" hidden="false" customHeight="false" outlineLevel="0" collapsed="false">
      <c r="A3540" s="215" t="s">
        <v>6120</v>
      </c>
    </row>
    <row r="3541" customFormat="false" ht="12" hidden="false" customHeight="false" outlineLevel="0" collapsed="false">
      <c r="A3541" s="215" t="s">
        <v>6121</v>
      </c>
    </row>
    <row r="3542" customFormat="false" ht="12" hidden="false" customHeight="false" outlineLevel="0" collapsed="false">
      <c r="A3542" s="215" t="s">
        <v>6122</v>
      </c>
    </row>
    <row r="3543" customFormat="false" ht="12" hidden="false" customHeight="false" outlineLevel="0" collapsed="false">
      <c r="A3543" s="215" t="s">
        <v>6123</v>
      </c>
    </row>
    <row r="3544" customFormat="false" ht="12" hidden="false" customHeight="false" outlineLevel="0" collapsed="false">
      <c r="A3544" s="215" t="s">
        <v>6124</v>
      </c>
    </row>
    <row r="3545" customFormat="false" ht="12" hidden="false" customHeight="false" outlineLevel="0" collapsed="false">
      <c r="A3545" s="215" t="s">
        <v>6125</v>
      </c>
    </row>
    <row r="3546" customFormat="false" ht="12" hidden="false" customHeight="false" outlineLevel="0" collapsed="false">
      <c r="A3546" s="215" t="s">
        <v>6126</v>
      </c>
    </row>
    <row r="3547" customFormat="false" ht="12" hidden="false" customHeight="false" outlineLevel="0" collapsed="false">
      <c r="A3547" s="215" t="s">
        <v>6127</v>
      </c>
    </row>
    <row r="3548" customFormat="false" ht="12" hidden="false" customHeight="false" outlineLevel="0" collapsed="false">
      <c r="A3548" s="215" t="s">
        <v>6128</v>
      </c>
    </row>
    <row r="3549" customFormat="false" ht="12" hidden="false" customHeight="false" outlineLevel="0" collapsed="false">
      <c r="A3549" s="215" t="s">
        <v>6129</v>
      </c>
    </row>
    <row r="3550" customFormat="false" ht="12" hidden="false" customHeight="false" outlineLevel="0" collapsed="false">
      <c r="A3550" s="215" t="s">
        <v>6130</v>
      </c>
    </row>
    <row r="3551" customFormat="false" ht="12" hidden="false" customHeight="false" outlineLevel="0" collapsed="false">
      <c r="A3551" s="215" t="s">
        <v>6131</v>
      </c>
    </row>
    <row r="3552" customFormat="false" ht="12" hidden="false" customHeight="false" outlineLevel="0" collapsed="false">
      <c r="A3552" s="215" t="s">
        <v>6132</v>
      </c>
    </row>
    <row r="3553" customFormat="false" ht="12" hidden="false" customHeight="false" outlineLevel="0" collapsed="false">
      <c r="A3553" s="215" t="s">
        <v>6133</v>
      </c>
    </row>
    <row r="3554" customFormat="false" ht="12" hidden="false" customHeight="false" outlineLevel="0" collapsed="false">
      <c r="A3554" s="215" t="s">
        <v>6134</v>
      </c>
    </row>
    <row r="3555" customFormat="false" ht="12" hidden="false" customHeight="false" outlineLevel="0" collapsed="false">
      <c r="A3555" s="215" t="s">
        <v>6135</v>
      </c>
    </row>
    <row r="3556" customFormat="false" ht="12" hidden="false" customHeight="false" outlineLevel="0" collapsed="false">
      <c r="A3556" s="215" t="s">
        <v>6136</v>
      </c>
    </row>
    <row r="3557" customFormat="false" ht="12" hidden="false" customHeight="false" outlineLevel="0" collapsed="false">
      <c r="A3557" s="215" t="s">
        <v>6137</v>
      </c>
    </row>
    <row r="3558" customFormat="false" ht="12" hidden="false" customHeight="false" outlineLevel="0" collapsed="false">
      <c r="A3558" s="215" t="s">
        <v>6138</v>
      </c>
    </row>
    <row r="3559" customFormat="false" ht="12" hidden="false" customHeight="false" outlineLevel="0" collapsed="false">
      <c r="A3559" s="215" t="s">
        <v>6139</v>
      </c>
    </row>
    <row r="3560" customFormat="false" ht="12" hidden="false" customHeight="false" outlineLevel="0" collapsed="false">
      <c r="A3560" s="215" t="s">
        <v>6140</v>
      </c>
    </row>
    <row r="3561" customFormat="false" ht="12" hidden="false" customHeight="false" outlineLevel="0" collapsed="false">
      <c r="A3561" s="215" t="s">
        <v>6141</v>
      </c>
    </row>
    <row r="3562" customFormat="false" ht="12" hidden="false" customHeight="false" outlineLevel="0" collapsed="false">
      <c r="A3562" s="215" t="s">
        <v>6142</v>
      </c>
    </row>
    <row r="3563" customFormat="false" ht="12" hidden="false" customHeight="false" outlineLevel="0" collapsed="false">
      <c r="A3563" s="215" t="s">
        <v>6143</v>
      </c>
    </row>
    <row r="3564" customFormat="false" ht="12" hidden="false" customHeight="false" outlineLevel="0" collapsed="false">
      <c r="A3564" s="215" t="s">
        <v>6144</v>
      </c>
    </row>
    <row r="3565" customFormat="false" ht="12" hidden="false" customHeight="false" outlineLevel="0" collapsed="false">
      <c r="A3565" s="215" t="s">
        <v>6145</v>
      </c>
    </row>
    <row r="3566" customFormat="false" ht="12" hidden="false" customHeight="false" outlineLevel="0" collapsed="false">
      <c r="A3566" s="215" t="s">
        <v>6146</v>
      </c>
    </row>
    <row r="3567" customFormat="false" ht="12" hidden="false" customHeight="false" outlineLevel="0" collapsed="false">
      <c r="A3567" s="215" t="s">
        <v>6147</v>
      </c>
    </row>
    <row r="3568" customFormat="false" ht="12" hidden="false" customHeight="false" outlineLevel="0" collapsed="false">
      <c r="A3568" s="215" t="s">
        <v>6148</v>
      </c>
    </row>
    <row r="3569" customFormat="false" ht="12" hidden="false" customHeight="false" outlineLevel="0" collapsed="false">
      <c r="A3569" s="215" t="s">
        <v>6149</v>
      </c>
    </row>
    <row r="3570" customFormat="false" ht="12" hidden="false" customHeight="false" outlineLevel="0" collapsed="false">
      <c r="A3570" s="215" t="s">
        <v>6150</v>
      </c>
    </row>
    <row r="3571" customFormat="false" ht="12" hidden="false" customHeight="false" outlineLevel="0" collapsed="false">
      <c r="A3571" s="215" t="s">
        <v>6151</v>
      </c>
    </row>
    <row r="3572" customFormat="false" ht="12" hidden="false" customHeight="false" outlineLevel="0" collapsed="false">
      <c r="A3572" s="215" t="s">
        <v>6152</v>
      </c>
    </row>
    <row r="3573" customFormat="false" ht="12" hidden="false" customHeight="false" outlineLevel="0" collapsed="false">
      <c r="A3573" s="215" t="s">
        <v>6153</v>
      </c>
    </row>
    <row r="3574" customFormat="false" ht="12" hidden="false" customHeight="false" outlineLevel="0" collapsed="false">
      <c r="A3574" s="215" t="s">
        <v>6154</v>
      </c>
    </row>
    <row r="3575" customFormat="false" ht="12" hidden="false" customHeight="false" outlineLevel="0" collapsed="false">
      <c r="A3575" s="215" t="s">
        <v>6155</v>
      </c>
    </row>
    <row r="3576" customFormat="false" ht="12" hidden="false" customHeight="false" outlineLevel="0" collapsed="false">
      <c r="A3576" s="215" t="s">
        <v>6156</v>
      </c>
    </row>
    <row r="3577" customFormat="false" ht="12" hidden="false" customHeight="false" outlineLevel="0" collapsed="false">
      <c r="A3577" s="215" t="s">
        <v>6157</v>
      </c>
    </row>
    <row r="3578" customFormat="false" ht="12" hidden="false" customHeight="false" outlineLevel="0" collapsed="false">
      <c r="A3578" s="215" t="s">
        <v>6158</v>
      </c>
    </row>
    <row r="3579" customFormat="false" ht="12" hidden="false" customHeight="false" outlineLevel="0" collapsed="false">
      <c r="A3579" s="215" t="s">
        <v>6159</v>
      </c>
    </row>
    <row r="3580" customFormat="false" ht="12" hidden="false" customHeight="false" outlineLevel="0" collapsed="false">
      <c r="A3580" s="215" t="s">
        <v>6160</v>
      </c>
    </row>
    <row r="3581" customFormat="false" ht="12" hidden="false" customHeight="false" outlineLevel="0" collapsed="false">
      <c r="A3581" s="215" t="s">
        <v>6161</v>
      </c>
    </row>
    <row r="3582" customFormat="false" ht="12" hidden="false" customHeight="false" outlineLevel="0" collapsed="false">
      <c r="A3582" s="215" t="s">
        <v>6162</v>
      </c>
    </row>
    <row r="3583" customFormat="false" ht="12" hidden="false" customHeight="false" outlineLevel="0" collapsed="false">
      <c r="A3583" s="215" t="s">
        <v>6163</v>
      </c>
    </row>
    <row r="3584" customFormat="false" ht="12" hidden="false" customHeight="false" outlineLevel="0" collapsed="false">
      <c r="A3584" s="215" t="s">
        <v>6164</v>
      </c>
    </row>
    <row r="3585" customFormat="false" ht="12" hidden="false" customHeight="false" outlineLevel="0" collapsed="false">
      <c r="A3585" s="215" t="s">
        <v>6165</v>
      </c>
    </row>
    <row r="3586" customFormat="false" ht="12" hidden="false" customHeight="false" outlineLevel="0" collapsed="false">
      <c r="A3586" s="215" t="s">
        <v>6166</v>
      </c>
    </row>
    <row r="3587" customFormat="false" ht="12" hidden="false" customHeight="false" outlineLevel="0" collapsed="false">
      <c r="A3587" s="215" t="s">
        <v>6167</v>
      </c>
    </row>
    <row r="3588" customFormat="false" ht="12" hidden="false" customHeight="false" outlineLevel="0" collapsed="false">
      <c r="A3588" s="215" t="s">
        <v>6168</v>
      </c>
    </row>
    <row r="3589" customFormat="false" ht="12" hidden="false" customHeight="false" outlineLevel="0" collapsed="false">
      <c r="A3589" s="215" t="s">
        <v>6169</v>
      </c>
    </row>
    <row r="3590" customFormat="false" ht="12" hidden="false" customHeight="false" outlineLevel="0" collapsed="false">
      <c r="A3590" s="215" t="s">
        <v>6170</v>
      </c>
    </row>
    <row r="3591" customFormat="false" ht="12" hidden="false" customHeight="false" outlineLevel="0" collapsed="false">
      <c r="A3591" s="215" t="s">
        <v>6171</v>
      </c>
    </row>
    <row r="3592" customFormat="false" ht="12" hidden="false" customHeight="false" outlineLevel="0" collapsed="false">
      <c r="A3592" s="215" t="s">
        <v>6172</v>
      </c>
    </row>
    <row r="3593" customFormat="false" ht="12" hidden="false" customHeight="false" outlineLevel="0" collapsed="false">
      <c r="A3593" s="215" t="s">
        <v>6173</v>
      </c>
    </row>
    <row r="3594" customFormat="false" ht="12" hidden="false" customHeight="false" outlineLevel="0" collapsed="false">
      <c r="A3594" s="215" t="s">
        <v>6174</v>
      </c>
    </row>
    <row r="3595" customFormat="false" ht="12" hidden="false" customHeight="false" outlineLevel="0" collapsed="false">
      <c r="A3595" s="215" t="s">
        <v>6175</v>
      </c>
    </row>
    <row r="3596" customFormat="false" ht="12" hidden="false" customHeight="false" outlineLevel="0" collapsed="false">
      <c r="A3596" s="215" t="s">
        <v>6176</v>
      </c>
    </row>
    <row r="3597" customFormat="false" ht="12" hidden="false" customHeight="false" outlineLevel="0" collapsed="false">
      <c r="A3597" s="215" t="s">
        <v>6177</v>
      </c>
    </row>
    <row r="3598" customFormat="false" ht="12" hidden="false" customHeight="false" outlineLevel="0" collapsed="false">
      <c r="A3598" s="215" t="s">
        <v>6178</v>
      </c>
    </row>
    <row r="3599" customFormat="false" ht="12" hidden="false" customHeight="false" outlineLevel="0" collapsed="false">
      <c r="A3599" s="215" t="s">
        <v>6179</v>
      </c>
    </row>
    <row r="3600" customFormat="false" ht="12" hidden="false" customHeight="false" outlineLevel="0" collapsed="false">
      <c r="A3600" s="215" t="s">
        <v>6180</v>
      </c>
    </row>
    <row r="3601" customFormat="false" ht="12" hidden="false" customHeight="false" outlineLevel="0" collapsed="false">
      <c r="A3601" s="215" t="s">
        <v>6181</v>
      </c>
    </row>
    <row r="3602" customFormat="false" ht="12" hidden="false" customHeight="false" outlineLevel="0" collapsed="false">
      <c r="A3602" s="215" t="s">
        <v>6182</v>
      </c>
    </row>
    <row r="3603" customFormat="false" ht="12" hidden="false" customHeight="false" outlineLevel="0" collapsed="false">
      <c r="A3603" s="215" t="s">
        <v>6183</v>
      </c>
    </row>
    <row r="3604" customFormat="false" ht="12" hidden="false" customHeight="false" outlineLevel="0" collapsed="false">
      <c r="A3604" s="215" t="s">
        <v>6184</v>
      </c>
    </row>
    <row r="3605" customFormat="false" ht="12" hidden="false" customHeight="false" outlineLevel="0" collapsed="false">
      <c r="A3605" s="215" t="s">
        <v>6185</v>
      </c>
    </row>
    <row r="3606" customFormat="false" ht="12" hidden="false" customHeight="false" outlineLevel="0" collapsed="false">
      <c r="A3606" s="215" t="s">
        <v>6186</v>
      </c>
    </row>
    <row r="3607" customFormat="false" ht="12" hidden="false" customHeight="false" outlineLevel="0" collapsed="false">
      <c r="A3607" s="215" t="s">
        <v>6187</v>
      </c>
    </row>
    <row r="3608" customFormat="false" ht="12" hidden="false" customHeight="false" outlineLevel="0" collapsed="false">
      <c r="A3608" s="215" t="s">
        <v>6188</v>
      </c>
    </row>
    <row r="3609" customFormat="false" ht="12" hidden="false" customHeight="false" outlineLevel="0" collapsed="false">
      <c r="A3609" s="215" t="s">
        <v>6189</v>
      </c>
    </row>
    <row r="3610" customFormat="false" ht="12" hidden="false" customHeight="false" outlineLevel="0" collapsed="false">
      <c r="A3610" s="215" t="s">
        <v>6190</v>
      </c>
    </row>
    <row r="3611" customFormat="false" ht="12" hidden="false" customHeight="false" outlineLevel="0" collapsed="false">
      <c r="A3611" s="215" t="s">
        <v>6191</v>
      </c>
    </row>
    <row r="3612" customFormat="false" ht="12" hidden="false" customHeight="false" outlineLevel="0" collapsed="false">
      <c r="A3612" s="215" t="s">
        <v>6192</v>
      </c>
    </row>
    <row r="3613" customFormat="false" ht="12" hidden="false" customHeight="false" outlineLevel="0" collapsed="false">
      <c r="A3613" s="215" t="s">
        <v>6193</v>
      </c>
    </row>
    <row r="3614" customFormat="false" ht="12" hidden="false" customHeight="false" outlineLevel="0" collapsed="false">
      <c r="A3614" s="215" t="s">
        <v>6194</v>
      </c>
    </row>
    <row r="3615" customFormat="false" ht="12" hidden="false" customHeight="false" outlineLevel="0" collapsed="false">
      <c r="A3615" s="215" t="s">
        <v>6195</v>
      </c>
    </row>
    <row r="3616" customFormat="false" ht="12" hidden="false" customHeight="false" outlineLevel="0" collapsed="false">
      <c r="A3616" s="215" t="s">
        <v>6196</v>
      </c>
    </row>
    <row r="3617" customFormat="false" ht="12" hidden="false" customHeight="false" outlineLevel="0" collapsed="false">
      <c r="A3617" s="215" t="s">
        <v>6197</v>
      </c>
    </row>
    <row r="3618" customFormat="false" ht="12" hidden="false" customHeight="false" outlineLevel="0" collapsed="false">
      <c r="A3618" s="215" t="s">
        <v>6198</v>
      </c>
    </row>
    <row r="3619" customFormat="false" ht="12" hidden="false" customHeight="false" outlineLevel="0" collapsed="false">
      <c r="A3619" s="215" t="s">
        <v>6199</v>
      </c>
    </row>
    <row r="3620" customFormat="false" ht="12" hidden="false" customHeight="false" outlineLevel="0" collapsed="false">
      <c r="A3620" s="215" t="s">
        <v>6200</v>
      </c>
    </row>
    <row r="3621" customFormat="false" ht="12" hidden="false" customHeight="false" outlineLevel="0" collapsed="false">
      <c r="A3621" s="215" t="s">
        <v>6201</v>
      </c>
    </row>
    <row r="3622" customFormat="false" ht="12" hidden="false" customHeight="false" outlineLevel="0" collapsed="false">
      <c r="A3622" s="215" t="s">
        <v>6202</v>
      </c>
    </row>
    <row r="3623" customFormat="false" ht="12" hidden="false" customHeight="false" outlineLevel="0" collapsed="false">
      <c r="A3623" s="215" t="s">
        <v>6203</v>
      </c>
    </row>
    <row r="3624" customFormat="false" ht="12" hidden="false" customHeight="false" outlineLevel="0" collapsed="false">
      <c r="A3624" s="215" t="s">
        <v>6204</v>
      </c>
    </row>
    <row r="3625" customFormat="false" ht="12" hidden="false" customHeight="false" outlineLevel="0" collapsed="false">
      <c r="A3625" s="215" t="s">
        <v>6205</v>
      </c>
    </row>
    <row r="3626" customFormat="false" ht="12" hidden="false" customHeight="false" outlineLevel="0" collapsed="false">
      <c r="A3626" s="215" t="s">
        <v>6206</v>
      </c>
    </row>
    <row r="3627" customFormat="false" ht="12" hidden="false" customHeight="false" outlineLevel="0" collapsed="false">
      <c r="A3627" s="215" t="s">
        <v>6207</v>
      </c>
    </row>
    <row r="3628" customFormat="false" ht="12" hidden="false" customHeight="false" outlineLevel="0" collapsed="false">
      <c r="A3628" s="215" t="s">
        <v>6208</v>
      </c>
    </row>
    <row r="3629" customFormat="false" ht="12" hidden="false" customHeight="false" outlineLevel="0" collapsed="false">
      <c r="A3629" s="215" t="s">
        <v>6209</v>
      </c>
    </row>
    <row r="3630" customFormat="false" ht="12" hidden="false" customHeight="false" outlineLevel="0" collapsed="false">
      <c r="A3630" s="215" t="s">
        <v>6210</v>
      </c>
    </row>
    <row r="3631" customFormat="false" ht="12" hidden="false" customHeight="false" outlineLevel="0" collapsed="false">
      <c r="A3631" s="215" t="s">
        <v>6211</v>
      </c>
    </row>
    <row r="3632" customFormat="false" ht="12" hidden="false" customHeight="false" outlineLevel="0" collapsed="false">
      <c r="A3632" s="215" t="s">
        <v>6212</v>
      </c>
    </row>
    <row r="3633" customFormat="false" ht="12" hidden="false" customHeight="false" outlineLevel="0" collapsed="false">
      <c r="A3633" s="215" t="s">
        <v>6213</v>
      </c>
    </row>
    <row r="3634" customFormat="false" ht="12" hidden="false" customHeight="false" outlineLevel="0" collapsed="false">
      <c r="A3634" s="215" t="s">
        <v>6214</v>
      </c>
    </row>
    <row r="3635" customFormat="false" ht="12" hidden="false" customHeight="false" outlineLevel="0" collapsed="false">
      <c r="A3635" s="215" t="s">
        <v>6215</v>
      </c>
    </row>
    <row r="3636" customFormat="false" ht="12" hidden="false" customHeight="false" outlineLevel="0" collapsed="false">
      <c r="A3636" s="215" t="s">
        <v>6216</v>
      </c>
    </row>
    <row r="3637" customFormat="false" ht="12" hidden="false" customHeight="false" outlineLevel="0" collapsed="false">
      <c r="A3637" s="215" t="s">
        <v>6217</v>
      </c>
    </row>
    <row r="3638" customFormat="false" ht="12" hidden="false" customHeight="false" outlineLevel="0" collapsed="false">
      <c r="A3638" s="215" t="s">
        <v>6218</v>
      </c>
    </row>
    <row r="3639" customFormat="false" ht="12" hidden="false" customHeight="false" outlineLevel="0" collapsed="false">
      <c r="A3639" s="215" t="s">
        <v>6219</v>
      </c>
    </row>
    <row r="3640" customFormat="false" ht="12" hidden="false" customHeight="false" outlineLevel="0" collapsed="false">
      <c r="A3640" s="215" t="s">
        <v>6220</v>
      </c>
    </row>
    <row r="3641" customFormat="false" ht="12" hidden="false" customHeight="false" outlineLevel="0" collapsed="false">
      <c r="A3641" s="215" t="s">
        <v>6221</v>
      </c>
    </row>
    <row r="3642" customFormat="false" ht="12" hidden="false" customHeight="false" outlineLevel="0" collapsed="false">
      <c r="A3642" s="215" t="s">
        <v>6222</v>
      </c>
    </row>
    <row r="3643" customFormat="false" ht="12" hidden="false" customHeight="false" outlineLevel="0" collapsed="false">
      <c r="A3643" s="215" t="s">
        <v>6223</v>
      </c>
    </row>
    <row r="3644" customFormat="false" ht="12" hidden="false" customHeight="false" outlineLevel="0" collapsed="false">
      <c r="A3644" s="215" t="s">
        <v>6224</v>
      </c>
    </row>
    <row r="3645" customFormat="false" ht="12" hidden="false" customHeight="false" outlineLevel="0" collapsed="false">
      <c r="A3645" s="215" t="s">
        <v>6225</v>
      </c>
    </row>
    <row r="3646" customFormat="false" ht="12" hidden="false" customHeight="false" outlineLevel="0" collapsed="false">
      <c r="A3646" s="215" t="s">
        <v>6226</v>
      </c>
    </row>
    <row r="3647" customFormat="false" ht="12" hidden="false" customHeight="false" outlineLevel="0" collapsed="false">
      <c r="A3647" s="215" t="s">
        <v>6227</v>
      </c>
    </row>
    <row r="3648" customFormat="false" ht="12" hidden="false" customHeight="false" outlineLevel="0" collapsed="false">
      <c r="A3648" s="215" t="s">
        <v>6228</v>
      </c>
    </row>
    <row r="3649" customFormat="false" ht="12" hidden="false" customHeight="false" outlineLevel="0" collapsed="false">
      <c r="A3649" s="215" t="s">
        <v>6229</v>
      </c>
    </row>
    <row r="3650" customFormat="false" ht="12" hidden="false" customHeight="false" outlineLevel="0" collapsed="false">
      <c r="A3650" s="215" t="s">
        <v>6230</v>
      </c>
    </row>
    <row r="3651" customFormat="false" ht="12" hidden="false" customHeight="false" outlineLevel="0" collapsed="false">
      <c r="A3651" s="215" t="s">
        <v>6231</v>
      </c>
    </row>
    <row r="3652" customFormat="false" ht="12" hidden="false" customHeight="false" outlineLevel="0" collapsed="false">
      <c r="A3652" s="215" t="s">
        <v>6232</v>
      </c>
    </row>
    <row r="3653" customFormat="false" ht="12" hidden="false" customHeight="false" outlineLevel="0" collapsed="false">
      <c r="A3653" s="215" t="s">
        <v>6233</v>
      </c>
    </row>
    <row r="3654" customFormat="false" ht="12" hidden="false" customHeight="false" outlineLevel="0" collapsed="false">
      <c r="A3654" s="215" t="s">
        <v>6234</v>
      </c>
    </row>
    <row r="3655" customFormat="false" ht="12" hidden="false" customHeight="false" outlineLevel="0" collapsed="false">
      <c r="A3655" s="215" t="s">
        <v>6235</v>
      </c>
    </row>
    <row r="3656" customFormat="false" ht="12" hidden="false" customHeight="false" outlineLevel="0" collapsed="false">
      <c r="A3656" s="215" t="s">
        <v>6236</v>
      </c>
    </row>
    <row r="3657" customFormat="false" ht="12" hidden="false" customHeight="false" outlineLevel="0" collapsed="false">
      <c r="A3657" s="215" t="s">
        <v>6237</v>
      </c>
    </row>
    <row r="3658" customFormat="false" ht="12" hidden="false" customHeight="false" outlineLevel="0" collapsed="false">
      <c r="A3658" s="215" t="s">
        <v>6238</v>
      </c>
    </row>
    <row r="3659" customFormat="false" ht="12" hidden="false" customHeight="false" outlineLevel="0" collapsed="false">
      <c r="A3659" s="215" t="s">
        <v>6239</v>
      </c>
    </row>
    <row r="3660" customFormat="false" ht="12" hidden="false" customHeight="false" outlineLevel="0" collapsed="false">
      <c r="A3660" s="215" t="s">
        <v>6240</v>
      </c>
    </row>
    <row r="3661" customFormat="false" ht="12" hidden="false" customHeight="false" outlineLevel="0" collapsed="false">
      <c r="A3661" s="215" t="s">
        <v>6241</v>
      </c>
    </row>
    <row r="3662" customFormat="false" ht="12" hidden="false" customHeight="false" outlineLevel="0" collapsed="false">
      <c r="A3662" s="215" t="s">
        <v>6242</v>
      </c>
    </row>
    <row r="3663" customFormat="false" ht="12" hidden="false" customHeight="false" outlineLevel="0" collapsed="false">
      <c r="A3663" s="215" t="s">
        <v>6243</v>
      </c>
    </row>
    <row r="3664" customFormat="false" ht="12" hidden="false" customHeight="false" outlineLevel="0" collapsed="false">
      <c r="A3664" s="215" t="s">
        <v>6244</v>
      </c>
    </row>
    <row r="3665" customFormat="false" ht="12" hidden="false" customHeight="false" outlineLevel="0" collapsed="false">
      <c r="A3665" s="215" t="s">
        <v>6245</v>
      </c>
    </row>
    <row r="3666" customFormat="false" ht="12" hidden="false" customHeight="false" outlineLevel="0" collapsed="false">
      <c r="A3666" s="215" t="s">
        <v>6246</v>
      </c>
    </row>
    <row r="3667" customFormat="false" ht="12" hidden="false" customHeight="false" outlineLevel="0" collapsed="false">
      <c r="A3667" s="215" t="s">
        <v>6247</v>
      </c>
    </row>
    <row r="3668" customFormat="false" ht="12" hidden="false" customHeight="false" outlineLevel="0" collapsed="false">
      <c r="A3668" s="215" t="s">
        <v>6248</v>
      </c>
    </row>
    <row r="3669" customFormat="false" ht="12" hidden="false" customHeight="false" outlineLevel="0" collapsed="false">
      <c r="A3669" s="215" t="s">
        <v>6249</v>
      </c>
    </row>
    <row r="3670" customFormat="false" ht="12" hidden="false" customHeight="false" outlineLevel="0" collapsed="false">
      <c r="A3670" s="215" t="s">
        <v>6250</v>
      </c>
    </row>
    <row r="3671" customFormat="false" ht="12" hidden="false" customHeight="false" outlineLevel="0" collapsed="false">
      <c r="A3671" s="215" t="s">
        <v>6251</v>
      </c>
    </row>
    <row r="3672" customFormat="false" ht="12" hidden="false" customHeight="false" outlineLevel="0" collapsed="false">
      <c r="A3672" s="215" t="s">
        <v>6252</v>
      </c>
    </row>
    <row r="3673" customFormat="false" ht="12" hidden="false" customHeight="false" outlineLevel="0" collapsed="false">
      <c r="A3673" s="215" t="s">
        <v>6253</v>
      </c>
    </row>
    <row r="3674" customFormat="false" ht="12" hidden="false" customHeight="false" outlineLevel="0" collapsed="false">
      <c r="A3674" s="215" t="s">
        <v>6254</v>
      </c>
    </row>
    <row r="3675" customFormat="false" ht="12" hidden="false" customHeight="false" outlineLevel="0" collapsed="false">
      <c r="A3675" s="215" t="s">
        <v>6255</v>
      </c>
    </row>
    <row r="3676" customFormat="false" ht="12" hidden="false" customHeight="false" outlineLevel="0" collapsed="false">
      <c r="A3676" s="215" t="s">
        <v>6256</v>
      </c>
    </row>
    <row r="3677" customFormat="false" ht="12" hidden="false" customHeight="false" outlineLevel="0" collapsed="false">
      <c r="A3677" s="215" t="s">
        <v>6257</v>
      </c>
    </row>
    <row r="3678" customFormat="false" ht="12" hidden="false" customHeight="false" outlineLevel="0" collapsed="false">
      <c r="A3678" s="215" t="s">
        <v>6258</v>
      </c>
    </row>
    <row r="3679" customFormat="false" ht="12" hidden="false" customHeight="false" outlineLevel="0" collapsed="false">
      <c r="A3679" s="215" t="s">
        <v>6259</v>
      </c>
    </row>
    <row r="3680" customFormat="false" ht="12" hidden="false" customHeight="false" outlineLevel="0" collapsed="false">
      <c r="A3680" s="215" t="s">
        <v>6260</v>
      </c>
    </row>
    <row r="3681" customFormat="false" ht="12" hidden="false" customHeight="false" outlineLevel="0" collapsed="false">
      <c r="A3681" s="215" t="s">
        <v>6261</v>
      </c>
    </row>
    <row r="3682" customFormat="false" ht="12" hidden="false" customHeight="false" outlineLevel="0" collapsed="false">
      <c r="A3682" s="215" t="s">
        <v>6262</v>
      </c>
    </row>
    <row r="3683" customFormat="false" ht="12" hidden="false" customHeight="false" outlineLevel="0" collapsed="false">
      <c r="A3683" s="215" t="s">
        <v>6263</v>
      </c>
    </row>
    <row r="3684" customFormat="false" ht="12" hidden="false" customHeight="false" outlineLevel="0" collapsed="false">
      <c r="A3684" s="215" t="s">
        <v>6264</v>
      </c>
    </row>
    <row r="3685" customFormat="false" ht="12" hidden="false" customHeight="false" outlineLevel="0" collapsed="false">
      <c r="A3685" s="215" t="s">
        <v>6265</v>
      </c>
    </row>
    <row r="3686" customFormat="false" ht="12" hidden="false" customHeight="false" outlineLevel="0" collapsed="false">
      <c r="A3686" s="215" t="s">
        <v>6266</v>
      </c>
    </row>
    <row r="3687" customFormat="false" ht="12" hidden="false" customHeight="false" outlineLevel="0" collapsed="false">
      <c r="A3687" s="215" t="s">
        <v>6267</v>
      </c>
    </row>
    <row r="3688" customFormat="false" ht="12" hidden="false" customHeight="false" outlineLevel="0" collapsed="false">
      <c r="A3688" s="215" t="s">
        <v>6268</v>
      </c>
    </row>
    <row r="3689" customFormat="false" ht="12" hidden="false" customHeight="false" outlineLevel="0" collapsed="false">
      <c r="A3689" s="215" t="s">
        <v>6269</v>
      </c>
    </row>
    <row r="3690" customFormat="false" ht="12" hidden="false" customHeight="false" outlineLevel="0" collapsed="false">
      <c r="A3690" s="215" t="s">
        <v>6270</v>
      </c>
    </row>
    <row r="3691" customFormat="false" ht="12" hidden="false" customHeight="false" outlineLevel="0" collapsed="false">
      <c r="A3691" s="215" t="s">
        <v>6271</v>
      </c>
    </row>
    <row r="3692" customFormat="false" ht="12" hidden="false" customHeight="false" outlineLevel="0" collapsed="false">
      <c r="A3692" s="215" t="s">
        <v>6272</v>
      </c>
    </row>
    <row r="3693" customFormat="false" ht="12" hidden="false" customHeight="false" outlineLevel="0" collapsed="false">
      <c r="A3693" s="215" t="s">
        <v>6273</v>
      </c>
    </row>
    <row r="3694" customFormat="false" ht="12" hidden="false" customHeight="false" outlineLevel="0" collapsed="false">
      <c r="A3694" s="215" t="s">
        <v>6274</v>
      </c>
    </row>
    <row r="3695" customFormat="false" ht="12" hidden="false" customHeight="false" outlineLevel="0" collapsed="false">
      <c r="A3695" s="215" t="s">
        <v>6275</v>
      </c>
    </row>
    <row r="3696" customFormat="false" ht="12" hidden="false" customHeight="false" outlineLevel="0" collapsed="false">
      <c r="A3696" s="215" t="s">
        <v>6276</v>
      </c>
    </row>
    <row r="3697" customFormat="false" ht="12" hidden="false" customHeight="false" outlineLevel="0" collapsed="false">
      <c r="A3697" s="215" t="s">
        <v>6277</v>
      </c>
    </row>
    <row r="3698" customFormat="false" ht="12" hidden="false" customHeight="false" outlineLevel="0" collapsed="false">
      <c r="A3698" s="215" t="s">
        <v>6278</v>
      </c>
    </row>
    <row r="3699" customFormat="false" ht="12" hidden="false" customHeight="false" outlineLevel="0" collapsed="false">
      <c r="A3699" s="215" t="s">
        <v>6279</v>
      </c>
    </row>
    <row r="3700" customFormat="false" ht="12" hidden="false" customHeight="false" outlineLevel="0" collapsed="false">
      <c r="A3700" s="215" t="s">
        <v>6280</v>
      </c>
    </row>
    <row r="3701" customFormat="false" ht="12" hidden="false" customHeight="false" outlineLevel="0" collapsed="false">
      <c r="A3701" s="215" t="s">
        <v>6281</v>
      </c>
    </row>
    <row r="3702" customFormat="false" ht="12" hidden="false" customHeight="false" outlineLevel="0" collapsed="false">
      <c r="A3702" s="215" t="s">
        <v>6282</v>
      </c>
    </row>
    <row r="3703" customFormat="false" ht="12" hidden="false" customHeight="false" outlineLevel="0" collapsed="false">
      <c r="A3703" s="215" t="s">
        <v>6283</v>
      </c>
    </row>
    <row r="3704" customFormat="false" ht="12" hidden="false" customHeight="false" outlineLevel="0" collapsed="false">
      <c r="A3704" s="215" t="s">
        <v>6284</v>
      </c>
    </row>
    <row r="3705" customFormat="false" ht="12" hidden="false" customHeight="false" outlineLevel="0" collapsed="false">
      <c r="A3705" s="215" t="s">
        <v>6285</v>
      </c>
    </row>
    <row r="3706" customFormat="false" ht="12" hidden="false" customHeight="false" outlineLevel="0" collapsed="false">
      <c r="A3706" s="215" t="s">
        <v>6286</v>
      </c>
    </row>
    <row r="3707" customFormat="false" ht="12" hidden="false" customHeight="false" outlineLevel="0" collapsed="false">
      <c r="A3707" s="215" t="s">
        <v>6287</v>
      </c>
    </row>
    <row r="3708" customFormat="false" ht="12" hidden="false" customHeight="false" outlineLevel="0" collapsed="false">
      <c r="A3708" s="215" t="s">
        <v>6288</v>
      </c>
    </row>
    <row r="3709" customFormat="false" ht="12" hidden="false" customHeight="false" outlineLevel="0" collapsed="false">
      <c r="A3709" s="215" t="s">
        <v>6289</v>
      </c>
    </row>
    <row r="3710" customFormat="false" ht="12" hidden="false" customHeight="false" outlineLevel="0" collapsed="false">
      <c r="A3710" s="215" t="s">
        <v>6290</v>
      </c>
    </row>
    <row r="3711" customFormat="false" ht="12" hidden="false" customHeight="false" outlineLevel="0" collapsed="false">
      <c r="A3711" s="215" t="s">
        <v>6291</v>
      </c>
    </row>
    <row r="3712" customFormat="false" ht="12" hidden="false" customHeight="false" outlineLevel="0" collapsed="false">
      <c r="A3712" s="215" t="s">
        <v>6292</v>
      </c>
    </row>
    <row r="3713" customFormat="false" ht="12" hidden="false" customHeight="false" outlineLevel="0" collapsed="false">
      <c r="A3713" s="215" t="s">
        <v>6293</v>
      </c>
    </row>
    <row r="3714" customFormat="false" ht="12" hidden="false" customHeight="false" outlineLevel="0" collapsed="false">
      <c r="A3714" s="215" t="s">
        <v>6294</v>
      </c>
    </row>
    <row r="3715" customFormat="false" ht="12" hidden="false" customHeight="false" outlineLevel="0" collapsed="false">
      <c r="A3715" s="215" t="s">
        <v>6295</v>
      </c>
    </row>
    <row r="3716" customFormat="false" ht="12" hidden="false" customHeight="false" outlineLevel="0" collapsed="false">
      <c r="A3716" s="215" t="s">
        <v>6296</v>
      </c>
    </row>
    <row r="3717" customFormat="false" ht="12" hidden="false" customHeight="false" outlineLevel="0" collapsed="false">
      <c r="A3717" s="215" t="s">
        <v>6297</v>
      </c>
    </row>
    <row r="3718" customFormat="false" ht="12" hidden="false" customHeight="false" outlineLevel="0" collapsed="false">
      <c r="A3718" s="215" t="s">
        <v>6298</v>
      </c>
    </row>
    <row r="3719" customFormat="false" ht="12" hidden="false" customHeight="false" outlineLevel="0" collapsed="false">
      <c r="A3719" s="215" t="s">
        <v>6299</v>
      </c>
    </row>
    <row r="3720" customFormat="false" ht="12" hidden="false" customHeight="false" outlineLevel="0" collapsed="false">
      <c r="A3720" s="215" t="s">
        <v>6300</v>
      </c>
    </row>
    <row r="3721" customFormat="false" ht="12" hidden="false" customHeight="false" outlineLevel="0" collapsed="false">
      <c r="A3721" s="215" t="s">
        <v>6301</v>
      </c>
    </row>
    <row r="3722" customFormat="false" ht="12" hidden="false" customHeight="false" outlineLevel="0" collapsed="false">
      <c r="A3722" s="215" t="s">
        <v>6302</v>
      </c>
    </row>
    <row r="3723" customFormat="false" ht="12" hidden="false" customHeight="false" outlineLevel="0" collapsed="false">
      <c r="A3723" s="215" t="s">
        <v>6303</v>
      </c>
    </row>
    <row r="3724" customFormat="false" ht="12" hidden="false" customHeight="false" outlineLevel="0" collapsed="false">
      <c r="A3724" s="215" t="s">
        <v>6304</v>
      </c>
    </row>
    <row r="3725" customFormat="false" ht="12" hidden="false" customHeight="false" outlineLevel="0" collapsed="false">
      <c r="A3725" s="215" t="s">
        <v>6305</v>
      </c>
    </row>
    <row r="3726" customFormat="false" ht="12" hidden="false" customHeight="false" outlineLevel="0" collapsed="false">
      <c r="A3726" s="215" t="s">
        <v>6306</v>
      </c>
    </row>
    <row r="3727" customFormat="false" ht="12" hidden="false" customHeight="false" outlineLevel="0" collapsed="false">
      <c r="A3727" s="215" t="s">
        <v>6307</v>
      </c>
    </row>
    <row r="3728" customFormat="false" ht="12" hidden="false" customHeight="false" outlineLevel="0" collapsed="false">
      <c r="A3728" s="215" t="s">
        <v>6308</v>
      </c>
    </row>
    <row r="3729" customFormat="false" ht="12" hidden="false" customHeight="false" outlineLevel="0" collapsed="false">
      <c r="A3729" s="215" t="s">
        <v>6309</v>
      </c>
    </row>
    <row r="3730" customFormat="false" ht="12" hidden="false" customHeight="false" outlineLevel="0" collapsed="false">
      <c r="A3730" s="215" t="s">
        <v>6310</v>
      </c>
    </row>
    <row r="3731" customFormat="false" ht="12" hidden="false" customHeight="false" outlineLevel="0" collapsed="false">
      <c r="A3731" s="215" t="s">
        <v>6311</v>
      </c>
    </row>
    <row r="3732" customFormat="false" ht="12" hidden="false" customHeight="false" outlineLevel="0" collapsed="false">
      <c r="A3732" s="215" t="s">
        <v>6312</v>
      </c>
    </row>
    <row r="3733" customFormat="false" ht="12" hidden="false" customHeight="false" outlineLevel="0" collapsed="false">
      <c r="A3733" s="215" t="s">
        <v>6313</v>
      </c>
    </row>
    <row r="3734" customFormat="false" ht="12" hidden="false" customHeight="false" outlineLevel="0" collapsed="false">
      <c r="A3734" s="215" t="s">
        <v>6314</v>
      </c>
    </row>
    <row r="3735" customFormat="false" ht="12" hidden="false" customHeight="false" outlineLevel="0" collapsed="false">
      <c r="A3735" s="215" t="s">
        <v>6315</v>
      </c>
    </row>
    <row r="3736" customFormat="false" ht="12" hidden="false" customHeight="false" outlineLevel="0" collapsed="false">
      <c r="A3736" s="215" t="s">
        <v>6316</v>
      </c>
    </row>
    <row r="3737" customFormat="false" ht="12" hidden="false" customHeight="false" outlineLevel="0" collapsed="false">
      <c r="A3737" s="215" t="s">
        <v>6317</v>
      </c>
    </row>
    <row r="3738" customFormat="false" ht="12" hidden="false" customHeight="false" outlineLevel="0" collapsed="false">
      <c r="A3738" s="215" t="s">
        <v>6318</v>
      </c>
    </row>
    <row r="3739" customFormat="false" ht="12" hidden="false" customHeight="false" outlineLevel="0" collapsed="false">
      <c r="A3739" s="215" t="s">
        <v>6319</v>
      </c>
    </row>
    <row r="3740" customFormat="false" ht="12" hidden="false" customHeight="false" outlineLevel="0" collapsed="false">
      <c r="A3740" s="215" t="s">
        <v>6320</v>
      </c>
    </row>
    <row r="3741" customFormat="false" ht="12" hidden="false" customHeight="false" outlineLevel="0" collapsed="false">
      <c r="A3741" s="215" t="s">
        <v>6321</v>
      </c>
    </row>
    <row r="3742" customFormat="false" ht="12" hidden="false" customHeight="false" outlineLevel="0" collapsed="false">
      <c r="A3742" s="215" t="s">
        <v>6322</v>
      </c>
    </row>
    <row r="3743" customFormat="false" ht="12" hidden="false" customHeight="false" outlineLevel="0" collapsed="false">
      <c r="A3743" s="215" t="s">
        <v>6323</v>
      </c>
    </row>
    <row r="3744" customFormat="false" ht="12" hidden="false" customHeight="false" outlineLevel="0" collapsed="false">
      <c r="A3744" s="215" t="s">
        <v>6324</v>
      </c>
    </row>
    <row r="3745" customFormat="false" ht="12" hidden="false" customHeight="false" outlineLevel="0" collapsed="false">
      <c r="A3745" s="215" t="s">
        <v>6325</v>
      </c>
    </row>
    <row r="3746" customFormat="false" ht="12" hidden="false" customHeight="false" outlineLevel="0" collapsed="false">
      <c r="A3746" s="215" t="s">
        <v>6326</v>
      </c>
    </row>
    <row r="3747" customFormat="false" ht="12" hidden="false" customHeight="false" outlineLevel="0" collapsed="false">
      <c r="A3747" s="215" t="s">
        <v>6327</v>
      </c>
    </row>
    <row r="3748" customFormat="false" ht="12" hidden="false" customHeight="false" outlineLevel="0" collapsed="false">
      <c r="A3748" s="215" t="s">
        <v>6328</v>
      </c>
    </row>
    <row r="3749" customFormat="false" ht="12" hidden="false" customHeight="false" outlineLevel="0" collapsed="false">
      <c r="A3749" s="215" t="s">
        <v>6329</v>
      </c>
    </row>
    <row r="3750" customFormat="false" ht="12" hidden="false" customHeight="false" outlineLevel="0" collapsed="false">
      <c r="A3750" s="215" t="s">
        <v>6330</v>
      </c>
    </row>
    <row r="3751" customFormat="false" ht="12" hidden="false" customHeight="false" outlineLevel="0" collapsed="false">
      <c r="A3751" s="215" t="s">
        <v>6331</v>
      </c>
    </row>
    <row r="3752" customFormat="false" ht="12" hidden="false" customHeight="false" outlineLevel="0" collapsed="false">
      <c r="A3752" s="215" t="s">
        <v>6332</v>
      </c>
    </row>
    <row r="3753" customFormat="false" ht="12" hidden="false" customHeight="false" outlineLevel="0" collapsed="false">
      <c r="A3753" s="215" t="s">
        <v>6333</v>
      </c>
    </row>
    <row r="3754" customFormat="false" ht="12" hidden="false" customHeight="false" outlineLevel="0" collapsed="false">
      <c r="A3754" s="215" t="s">
        <v>6334</v>
      </c>
    </row>
    <row r="3755" customFormat="false" ht="12" hidden="false" customHeight="false" outlineLevel="0" collapsed="false">
      <c r="A3755" s="215" t="s">
        <v>6335</v>
      </c>
    </row>
    <row r="3756" customFormat="false" ht="12" hidden="false" customHeight="false" outlineLevel="0" collapsed="false">
      <c r="A3756" s="215" t="s">
        <v>6336</v>
      </c>
    </row>
    <row r="3757" customFormat="false" ht="12" hidden="false" customHeight="false" outlineLevel="0" collapsed="false">
      <c r="A3757" s="215" t="s">
        <v>6337</v>
      </c>
    </row>
    <row r="3758" customFormat="false" ht="12" hidden="false" customHeight="false" outlineLevel="0" collapsed="false">
      <c r="A3758" s="215" t="s">
        <v>6338</v>
      </c>
    </row>
    <row r="3759" customFormat="false" ht="12" hidden="false" customHeight="false" outlineLevel="0" collapsed="false">
      <c r="A3759" s="215" t="s">
        <v>6339</v>
      </c>
    </row>
    <row r="3760" customFormat="false" ht="12" hidden="false" customHeight="false" outlineLevel="0" collapsed="false">
      <c r="A3760" s="215" t="s">
        <v>6340</v>
      </c>
    </row>
    <row r="3761" customFormat="false" ht="12" hidden="false" customHeight="false" outlineLevel="0" collapsed="false">
      <c r="A3761" s="215" t="s">
        <v>6341</v>
      </c>
    </row>
    <row r="3762" customFormat="false" ht="12" hidden="false" customHeight="false" outlineLevel="0" collapsed="false">
      <c r="A3762" s="215" t="s">
        <v>6342</v>
      </c>
    </row>
    <row r="3763" customFormat="false" ht="12" hidden="false" customHeight="false" outlineLevel="0" collapsed="false">
      <c r="A3763" s="215" t="s">
        <v>6343</v>
      </c>
    </row>
    <row r="3764" customFormat="false" ht="12" hidden="false" customHeight="false" outlineLevel="0" collapsed="false">
      <c r="A3764" s="215" t="s">
        <v>6344</v>
      </c>
    </row>
    <row r="3765" customFormat="false" ht="12" hidden="false" customHeight="false" outlineLevel="0" collapsed="false">
      <c r="A3765" s="215" t="s">
        <v>6345</v>
      </c>
    </row>
    <row r="3766" customFormat="false" ht="12" hidden="false" customHeight="false" outlineLevel="0" collapsed="false">
      <c r="A3766" s="215" t="s">
        <v>6346</v>
      </c>
    </row>
    <row r="3767" customFormat="false" ht="12" hidden="false" customHeight="false" outlineLevel="0" collapsed="false">
      <c r="A3767" s="215" t="s">
        <v>6347</v>
      </c>
    </row>
    <row r="3768" customFormat="false" ht="12" hidden="false" customHeight="false" outlineLevel="0" collapsed="false">
      <c r="A3768" s="215" t="s">
        <v>6348</v>
      </c>
    </row>
    <row r="3769" customFormat="false" ht="12" hidden="false" customHeight="false" outlineLevel="0" collapsed="false">
      <c r="A3769" s="215" t="s">
        <v>6349</v>
      </c>
    </row>
    <row r="3770" customFormat="false" ht="12" hidden="false" customHeight="false" outlineLevel="0" collapsed="false">
      <c r="A3770" s="215" t="s">
        <v>6350</v>
      </c>
    </row>
    <row r="3771" customFormat="false" ht="12" hidden="false" customHeight="false" outlineLevel="0" collapsed="false">
      <c r="A3771" s="215" t="s">
        <v>6351</v>
      </c>
    </row>
    <row r="3772" customFormat="false" ht="12" hidden="false" customHeight="false" outlineLevel="0" collapsed="false">
      <c r="A3772" s="215" t="s">
        <v>6352</v>
      </c>
    </row>
    <row r="3773" customFormat="false" ht="12" hidden="false" customHeight="false" outlineLevel="0" collapsed="false">
      <c r="A3773" s="215" t="s">
        <v>6353</v>
      </c>
    </row>
    <row r="3774" customFormat="false" ht="12" hidden="false" customHeight="false" outlineLevel="0" collapsed="false">
      <c r="A3774" s="215" t="s">
        <v>6354</v>
      </c>
    </row>
    <row r="3775" customFormat="false" ht="12" hidden="false" customHeight="false" outlineLevel="0" collapsed="false">
      <c r="A3775" s="215" t="s">
        <v>6355</v>
      </c>
    </row>
    <row r="3776" customFormat="false" ht="12" hidden="false" customHeight="false" outlineLevel="0" collapsed="false">
      <c r="A3776" s="215" t="s">
        <v>6356</v>
      </c>
    </row>
    <row r="3777" customFormat="false" ht="12" hidden="false" customHeight="false" outlineLevel="0" collapsed="false">
      <c r="A3777" s="215" t="s">
        <v>6357</v>
      </c>
    </row>
    <row r="3778" customFormat="false" ht="12" hidden="false" customHeight="false" outlineLevel="0" collapsed="false">
      <c r="A3778" s="215" t="s">
        <v>6358</v>
      </c>
    </row>
    <row r="3779" customFormat="false" ht="12" hidden="false" customHeight="false" outlineLevel="0" collapsed="false">
      <c r="A3779" s="215" t="s">
        <v>6359</v>
      </c>
    </row>
    <row r="3780" customFormat="false" ht="12" hidden="false" customHeight="false" outlineLevel="0" collapsed="false">
      <c r="A3780" s="215" t="s">
        <v>6360</v>
      </c>
    </row>
    <row r="3781" customFormat="false" ht="12" hidden="false" customHeight="false" outlineLevel="0" collapsed="false">
      <c r="A3781" s="215" t="s">
        <v>6361</v>
      </c>
    </row>
    <row r="3782" customFormat="false" ht="12" hidden="false" customHeight="false" outlineLevel="0" collapsed="false">
      <c r="A3782" s="215" t="s">
        <v>6362</v>
      </c>
    </row>
    <row r="3783" customFormat="false" ht="12" hidden="false" customHeight="false" outlineLevel="0" collapsed="false">
      <c r="A3783" s="215" t="s">
        <v>6363</v>
      </c>
    </row>
    <row r="3784" customFormat="false" ht="12" hidden="false" customHeight="false" outlineLevel="0" collapsed="false">
      <c r="A3784" s="215" t="s">
        <v>6364</v>
      </c>
    </row>
    <row r="3785" customFormat="false" ht="12" hidden="false" customHeight="false" outlineLevel="0" collapsed="false">
      <c r="A3785" s="215" t="s">
        <v>6365</v>
      </c>
    </row>
    <row r="3786" customFormat="false" ht="12" hidden="false" customHeight="false" outlineLevel="0" collapsed="false">
      <c r="A3786" s="215" t="s">
        <v>6366</v>
      </c>
    </row>
    <row r="3787" customFormat="false" ht="12" hidden="false" customHeight="false" outlineLevel="0" collapsed="false">
      <c r="A3787" s="215" t="s">
        <v>6367</v>
      </c>
    </row>
    <row r="3788" customFormat="false" ht="12" hidden="false" customHeight="false" outlineLevel="0" collapsed="false">
      <c r="A3788" s="215" t="s">
        <v>6368</v>
      </c>
    </row>
    <row r="3789" customFormat="false" ht="12" hidden="false" customHeight="false" outlineLevel="0" collapsed="false">
      <c r="A3789" s="215" t="s">
        <v>6369</v>
      </c>
    </row>
    <row r="3790" customFormat="false" ht="12" hidden="false" customHeight="false" outlineLevel="0" collapsed="false">
      <c r="A3790" s="215" t="s">
        <v>6370</v>
      </c>
    </row>
    <row r="3791" customFormat="false" ht="12" hidden="false" customHeight="false" outlineLevel="0" collapsed="false">
      <c r="A3791" s="215" t="s">
        <v>6371</v>
      </c>
    </row>
    <row r="3792" customFormat="false" ht="12" hidden="false" customHeight="false" outlineLevel="0" collapsed="false">
      <c r="A3792" s="215" t="s">
        <v>6372</v>
      </c>
    </row>
    <row r="3793" customFormat="false" ht="12" hidden="false" customHeight="false" outlineLevel="0" collapsed="false">
      <c r="A3793" s="215" t="s">
        <v>6373</v>
      </c>
    </row>
    <row r="3794" customFormat="false" ht="12" hidden="false" customHeight="false" outlineLevel="0" collapsed="false">
      <c r="A3794" s="215" t="s">
        <v>6374</v>
      </c>
    </row>
    <row r="3795" customFormat="false" ht="12" hidden="false" customHeight="false" outlineLevel="0" collapsed="false">
      <c r="A3795" s="215" t="s">
        <v>6375</v>
      </c>
    </row>
    <row r="3796" customFormat="false" ht="12" hidden="false" customHeight="false" outlineLevel="0" collapsed="false">
      <c r="A3796" s="215" t="s">
        <v>6376</v>
      </c>
    </row>
    <row r="3797" customFormat="false" ht="12" hidden="false" customHeight="false" outlineLevel="0" collapsed="false">
      <c r="A3797" s="215" t="s">
        <v>6377</v>
      </c>
    </row>
    <row r="3798" customFormat="false" ht="12" hidden="false" customHeight="false" outlineLevel="0" collapsed="false">
      <c r="A3798" s="215" t="s">
        <v>6378</v>
      </c>
    </row>
    <row r="3799" customFormat="false" ht="12" hidden="false" customHeight="false" outlineLevel="0" collapsed="false">
      <c r="A3799" s="215" t="s">
        <v>6379</v>
      </c>
    </row>
    <row r="3800" customFormat="false" ht="12" hidden="false" customHeight="false" outlineLevel="0" collapsed="false">
      <c r="A3800" s="215" t="s">
        <v>6380</v>
      </c>
    </row>
    <row r="3801" customFormat="false" ht="12" hidden="false" customHeight="false" outlineLevel="0" collapsed="false">
      <c r="A3801" s="215" t="s">
        <v>6381</v>
      </c>
    </row>
    <row r="3802" customFormat="false" ht="12" hidden="false" customHeight="false" outlineLevel="0" collapsed="false">
      <c r="A3802" s="215" t="s">
        <v>6382</v>
      </c>
    </row>
    <row r="3803" customFormat="false" ht="12" hidden="false" customHeight="false" outlineLevel="0" collapsed="false">
      <c r="A3803" s="215" t="s">
        <v>6383</v>
      </c>
    </row>
    <row r="3804" customFormat="false" ht="12" hidden="false" customHeight="false" outlineLevel="0" collapsed="false">
      <c r="A3804" s="215" t="s">
        <v>6384</v>
      </c>
    </row>
    <row r="3805" customFormat="false" ht="12" hidden="false" customHeight="false" outlineLevel="0" collapsed="false">
      <c r="A3805" s="215" t="s">
        <v>6385</v>
      </c>
    </row>
    <row r="3806" customFormat="false" ht="12" hidden="false" customHeight="false" outlineLevel="0" collapsed="false">
      <c r="A3806" s="215" t="s">
        <v>6386</v>
      </c>
    </row>
    <row r="3807" customFormat="false" ht="12" hidden="false" customHeight="false" outlineLevel="0" collapsed="false">
      <c r="A3807" s="215" t="s">
        <v>6387</v>
      </c>
    </row>
    <row r="3808" customFormat="false" ht="12" hidden="false" customHeight="false" outlineLevel="0" collapsed="false">
      <c r="A3808" s="215" t="s">
        <v>6388</v>
      </c>
    </row>
    <row r="3809" customFormat="false" ht="12" hidden="false" customHeight="false" outlineLevel="0" collapsed="false">
      <c r="A3809" s="215" t="s">
        <v>6389</v>
      </c>
    </row>
    <row r="3810" customFormat="false" ht="12" hidden="false" customHeight="false" outlineLevel="0" collapsed="false">
      <c r="A3810" s="215" t="s">
        <v>6390</v>
      </c>
    </row>
    <row r="3811" customFormat="false" ht="12" hidden="false" customHeight="false" outlineLevel="0" collapsed="false">
      <c r="A3811" s="215" t="s">
        <v>6391</v>
      </c>
    </row>
    <row r="3812" customFormat="false" ht="12" hidden="false" customHeight="false" outlineLevel="0" collapsed="false">
      <c r="A3812" s="215" t="s">
        <v>6392</v>
      </c>
    </row>
    <row r="3813" customFormat="false" ht="12" hidden="false" customHeight="false" outlineLevel="0" collapsed="false">
      <c r="A3813" s="215" t="s">
        <v>6393</v>
      </c>
    </row>
    <row r="3814" customFormat="false" ht="12" hidden="false" customHeight="false" outlineLevel="0" collapsed="false">
      <c r="A3814" s="215" t="s">
        <v>6394</v>
      </c>
    </row>
    <row r="3815" customFormat="false" ht="12" hidden="false" customHeight="false" outlineLevel="0" collapsed="false">
      <c r="A3815" s="215" t="s">
        <v>6395</v>
      </c>
    </row>
    <row r="3816" customFormat="false" ht="12" hidden="false" customHeight="false" outlineLevel="0" collapsed="false">
      <c r="A3816" s="215" t="s">
        <v>6396</v>
      </c>
    </row>
    <row r="3817" customFormat="false" ht="12" hidden="false" customHeight="false" outlineLevel="0" collapsed="false">
      <c r="A3817" s="215" t="s">
        <v>6397</v>
      </c>
    </row>
    <row r="3818" customFormat="false" ht="12" hidden="false" customHeight="false" outlineLevel="0" collapsed="false">
      <c r="A3818" s="215" t="s">
        <v>6398</v>
      </c>
    </row>
    <row r="3819" customFormat="false" ht="12" hidden="false" customHeight="false" outlineLevel="0" collapsed="false">
      <c r="A3819" s="215" t="s">
        <v>6399</v>
      </c>
    </row>
    <row r="3820" customFormat="false" ht="12" hidden="false" customHeight="false" outlineLevel="0" collapsed="false">
      <c r="A3820" s="215" t="s">
        <v>6400</v>
      </c>
    </row>
    <row r="3821" customFormat="false" ht="12" hidden="false" customHeight="false" outlineLevel="0" collapsed="false">
      <c r="A3821" s="215" t="s">
        <v>6401</v>
      </c>
    </row>
    <row r="3822" customFormat="false" ht="12" hidden="false" customHeight="false" outlineLevel="0" collapsed="false">
      <c r="A3822" s="215" t="s">
        <v>6402</v>
      </c>
    </row>
    <row r="3823" customFormat="false" ht="12" hidden="false" customHeight="false" outlineLevel="0" collapsed="false">
      <c r="A3823" s="215" t="s">
        <v>6403</v>
      </c>
    </row>
    <row r="3824" customFormat="false" ht="12" hidden="false" customHeight="false" outlineLevel="0" collapsed="false">
      <c r="A3824" s="215" t="s">
        <v>6404</v>
      </c>
    </row>
    <row r="3825" customFormat="false" ht="12" hidden="false" customHeight="false" outlineLevel="0" collapsed="false">
      <c r="A3825" s="215" t="s">
        <v>6405</v>
      </c>
    </row>
    <row r="3826" customFormat="false" ht="12" hidden="false" customHeight="false" outlineLevel="0" collapsed="false">
      <c r="A3826" s="215" t="s">
        <v>6406</v>
      </c>
    </row>
    <row r="3827" customFormat="false" ht="12" hidden="false" customHeight="false" outlineLevel="0" collapsed="false">
      <c r="A3827" s="215" t="s">
        <v>6407</v>
      </c>
    </row>
    <row r="3828" customFormat="false" ht="12" hidden="false" customHeight="false" outlineLevel="0" collapsed="false">
      <c r="A3828" s="215" t="s">
        <v>6408</v>
      </c>
    </row>
    <row r="3829" customFormat="false" ht="12" hidden="false" customHeight="false" outlineLevel="0" collapsed="false">
      <c r="A3829" s="215" t="s">
        <v>6409</v>
      </c>
    </row>
    <row r="3830" customFormat="false" ht="12" hidden="false" customHeight="false" outlineLevel="0" collapsed="false">
      <c r="A3830" s="215" t="s">
        <v>6410</v>
      </c>
    </row>
    <row r="3831" customFormat="false" ht="12" hidden="false" customHeight="false" outlineLevel="0" collapsed="false">
      <c r="A3831" s="215" t="s">
        <v>6411</v>
      </c>
    </row>
    <row r="3832" customFormat="false" ht="12" hidden="false" customHeight="false" outlineLevel="0" collapsed="false">
      <c r="A3832" s="215" t="s">
        <v>6412</v>
      </c>
    </row>
    <row r="3833" customFormat="false" ht="12" hidden="false" customHeight="false" outlineLevel="0" collapsed="false">
      <c r="A3833" s="215" t="s">
        <v>6413</v>
      </c>
    </row>
    <row r="3834" customFormat="false" ht="12" hidden="false" customHeight="false" outlineLevel="0" collapsed="false">
      <c r="A3834" s="215" t="s">
        <v>6414</v>
      </c>
    </row>
    <row r="3835" customFormat="false" ht="12" hidden="false" customHeight="false" outlineLevel="0" collapsed="false">
      <c r="A3835" s="215" t="s">
        <v>6415</v>
      </c>
    </row>
    <row r="3836" customFormat="false" ht="12" hidden="false" customHeight="false" outlineLevel="0" collapsed="false">
      <c r="A3836" s="215" t="s">
        <v>6416</v>
      </c>
    </row>
    <row r="3837" customFormat="false" ht="12" hidden="false" customHeight="false" outlineLevel="0" collapsed="false">
      <c r="A3837" s="215" t="s">
        <v>6417</v>
      </c>
    </row>
    <row r="3838" customFormat="false" ht="12" hidden="false" customHeight="false" outlineLevel="0" collapsed="false">
      <c r="A3838" s="215" t="s">
        <v>6418</v>
      </c>
    </row>
    <row r="3839" customFormat="false" ht="12" hidden="false" customHeight="false" outlineLevel="0" collapsed="false">
      <c r="A3839" s="215" t="s">
        <v>6419</v>
      </c>
    </row>
    <row r="3840" customFormat="false" ht="12" hidden="false" customHeight="false" outlineLevel="0" collapsed="false">
      <c r="A3840" s="215" t="s">
        <v>6420</v>
      </c>
    </row>
    <row r="3841" customFormat="false" ht="12" hidden="false" customHeight="false" outlineLevel="0" collapsed="false">
      <c r="A3841" s="215" t="s">
        <v>6421</v>
      </c>
    </row>
    <row r="3842" customFormat="false" ht="12" hidden="false" customHeight="false" outlineLevel="0" collapsed="false">
      <c r="A3842" s="215" t="s">
        <v>6422</v>
      </c>
    </row>
    <row r="3843" customFormat="false" ht="12" hidden="false" customHeight="false" outlineLevel="0" collapsed="false">
      <c r="A3843" s="215" t="s">
        <v>6423</v>
      </c>
    </row>
    <row r="3844" customFormat="false" ht="12" hidden="false" customHeight="false" outlineLevel="0" collapsed="false">
      <c r="A3844" s="215" t="s">
        <v>6424</v>
      </c>
    </row>
    <row r="3845" customFormat="false" ht="12" hidden="false" customHeight="false" outlineLevel="0" collapsed="false">
      <c r="A3845" s="215" t="s">
        <v>6425</v>
      </c>
    </row>
    <row r="3846" customFormat="false" ht="12" hidden="false" customHeight="false" outlineLevel="0" collapsed="false">
      <c r="A3846" s="215" t="s">
        <v>6426</v>
      </c>
    </row>
    <row r="3847" customFormat="false" ht="12" hidden="false" customHeight="false" outlineLevel="0" collapsed="false">
      <c r="A3847" s="215" t="s">
        <v>6427</v>
      </c>
    </row>
    <row r="3848" customFormat="false" ht="12" hidden="false" customHeight="false" outlineLevel="0" collapsed="false">
      <c r="A3848" s="215" t="s">
        <v>6428</v>
      </c>
    </row>
    <row r="3849" customFormat="false" ht="12" hidden="false" customHeight="false" outlineLevel="0" collapsed="false">
      <c r="A3849" s="215" t="s">
        <v>6429</v>
      </c>
    </row>
    <row r="3850" customFormat="false" ht="12" hidden="false" customHeight="false" outlineLevel="0" collapsed="false">
      <c r="A3850" s="215" t="s">
        <v>6430</v>
      </c>
    </row>
    <row r="3851" customFormat="false" ht="12" hidden="false" customHeight="false" outlineLevel="0" collapsed="false">
      <c r="A3851" s="215" t="s">
        <v>6431</v>
      </c>
    </row>
    <row r="3852" customFormat="false" ht="12" hidden="false" customHeight="false" outlineLevel="0" collapsed="false">
      <c r="A3852" s="215" t="s">
        <v>6432</v>
      </c>
    </row>
    <row r="3853" customFormat="false" ht="12" hidden="false" customHeight="false" outlineLevel="0" collapsed="false">
      <c r="A3853" s="215" t="s">
        <v>6433</v>
      </c>
    </row>
    <row r="3854" customFormat="false" ht="12" hidden="false" customHeight="false" outlineLevel="0" collapsed="false">
      <c r="A3854" s="215" t="s">
        <v>6434</v>
      </c>
    </row>
    <row r="3855" customFormat="false" ht="12" hidden="false" customHeight="false" outlineLevel="0" collapsed="false">
      <c r="A3855" s="215" t="s">
        <v>6435</v>
      </c>
    </row>
    <row r="3856" customFormat="false" ht="12" hidden="false" customHeight="false" outlineLevel="0" collapsed="false">
      <c r="A3856" s="215" t="s">
        <v>6436</v>
      </c>
    </row>
    <row r="3857" customFormat="false" ht="12" hidden="false" customHeight="false" outlineLevel="0" collapsed="false">
      <c r="A3857" s="215" t="s">
        <v>6437</v>
      </c>
    </row>
    <row r="3858" customFormat="false" ht="12" hidden="false" customHeight="false" outlineLevel="0" collapsed="false">
      <c r="A3858" s="215" t="s">
        <v>6438</v>
      </c>
    </row>
    <row r="3859" customFormat="false" ht="12" hidden="false" customHeight="false" outlineLevel="0" collapsed="false">
      <c r="A3859" s="215" t="s">
        <v>6439</v>
      </c>
    </row>
    <row r="3860" customFormat="false" ht="12" hidden="false" customHeight="false" outlineLevel="0" collapsed="false">
      <c r="A3860" s="215" t="s">
        <v>6440</v>
      </c>
    </row>
    <row r="3861" customFormat="false" ht="12" hidden="false" customHeight="false" outlineLevel="0" collapsed="false">
      <c r="A3861" s="215" t="s">
        <v>6441</v>
      </c>
    </row>
    <row r="3862" customFormat="false" ht="12" hidden="false" customHeight="false" outlineLevel="0" collapsed="false">
      <c r="A3862" s="215" t="s">
        <v>6442</v>
      </c>
    </row>
    <row r="3863" customFormat="false" ht="12" hidden="false" customHeight="false" outlineLevel="0" collapsed="false">
      <c r="A3863" s="215" t="s">
        <v>6443</v>
      </c>
    </row>
    <row r="3864" customFormat="false" ht="12" hidden="false" customHeight="false" outlineLevel="0" collapsed="false">
      <c r="A3864" s="215" t="s">
        <v>6444</v>
      </c>
    </row>
    <row r="3865" customFormat="false" ht="12" hidden="false" customHeight="false" outlineLevel="0" collapsed="false">
      <c r="A3865" s="215" t="s">
        <v>6445</v>
      </c>
    </row>
    <row r="3866" customFormat="false" ht="12" hidden="false" customHeight="false" outlineLevel="0" collapsed="false">
      <c r="A3866" s="215" t="s">
        <v>6446</v>
      </c>
    </row>
    <row r="3867" customFormat="false" ht="12" hidden="false" customHeight="false" outlineLevel="0" collapsed="false">
      <c r="A3867" s="215" t="s">
        <v>6447</v>
      </c>
    </row>
    <row r="3868" customFormat="false" ht="12" hidden="false" customHeight="false" outlineLevel="0" collapsed="false">
      <c r="A3868" s="215" t="s">
        <v>6448</v>
      </c>
    </row>
    <row r="3869" customFormat="false" ht="12" hidden="false" customHeight="false" outlineLevel="0" collapsed="false">
      <c r="A3869" s="215" t="s">
        <v>6449</v>
      </c>
    </row>
    <row r="3870" customFormat="false" ht="12" hidden="false" customHeight="false" outlineLevel="0" collapsed="false">
      <c r="A3870" s="215" t="s">
        <v>6450</v>
      </c>
    </row>
    <row r="3871" customFormat="false" ht="12" hidden="false" customHeight="false" outlineLevel="0" collapsed="false">
      <c r="A3871" s="215" t="s">
        <v>6451</v>
      </c>
    </row>
    <row r="3872" customFormat="false" ht="12" hidden="false" customHeight="false" outlineLevel="0" collapsed="false">
      <c r="A3872" s="215" t="s">
        <v>6452</v>
      </c>
    </row>
    <row r="3873" customFormat="false" ht="12" hidden="false" customHeight="false" outlineLevel="0" collapsed="false">
      <c r="A3873" s="215" t="s">
        <v>6453</v>
      </c>
    </row>
    <row r="3874" customFormat="false" ht="12" hidden="false" customHeight="false" outlineLevel="0" collapsed="false">
      <c r="A3874" s="215" t="s">
        <v>6454</v>
      </c>
    </row>
    <row r="3875" customFormat="false" ht="12" hidden="false" customHeight="false" outlineLevel="0" collapsed="false">
      <c r="A3875" s="215" t="s">
        <v>6455</v>
      </c>
    </row>
    <row r="3876" customFormat="false" ht="12" hidden="false" customHeight="false" outlineLevel="0" collapsed="false">
      <c r="A3876" s="215" t="s">
        <v>6456</v>
      </c>
    </row>
    <row r="3877" customFormat="false" ht="12" hidden="false" customHeight="false" outlineLevel="0" collapsed="false">
      <c r="A3877" s="215" t="s">
        <v>6457</v>
      </c>
    </row>
    <row r="3878" customFormat="false" ht="12" hidden="false" customHeight="false" outlineLevel="0" collapsed="false">
      <c r="A3878" s="215" t="s">
        <v>6458</v>
      </c>
    </row>
    <row r="3879" customFormat="false" ht="12" hidden="false" customHeight="false" outlineLevel="0" collapsed="false">
      <c r="A3879" s="215" t="s">
        <v>6459</v>
      </c>
    </row>
    <row r="3880" customFormat="false" ht="12" hidden="false" customHeight="false" outlineLevel="0" collapsed="false">
      <c r="A3880" s="215" t="s">
        <v>6460</v>
      </c>
    </row>
    <row r="3881" customFormat="false" ht="12" hidden="false" customHeight="false" outlineLevel="0" collapsed="false">
      <c r="A3881" s="215" t="s">
        <v>6461</v>
      </c>
    </row>
    <row r="3882" customFormat="false" ht="12" hidden="false" customHeight="false" outlineLevel="0" collapsed="false">
      <c r="A3882" s="215" t="s">
        <v>6462</v>
      </c>
    </row>
    <row r="3883" customFormat="false" ht="12" hidden="false" customHeight="false" outlineLevel="0" collapsed="false">
      <c r="A3883" s="215" t="s">
        <v>6463</v>
      </c>
    </row>
    <row r="3884" customFormat="false" ht="12" hidden="false" customHeight="false" outlineLevel="0" collapsed="false">
      <c r="A3884" s="215" t="s">
        <v>6464</v>
      </c>
    </row>
    <row r="3885" customFormat="false" ht="12" hidden="false" customHeight="false" outlineLevel="0" collapsed="false">
      <c r="A3885" s="215" t="s">
        <v>6465</v>
      </c>
    </row>
    <row r="3886" customFormat="false" ht="12" hidden="false" customHeight="false" outlineLevel="0" collapsed="false">
      <c r="A3886" s="215" t="s">
        <v>6466</v>
      </c>
    </row>
    <row r="3887" customFormat="false" ht="12" hidden="false" customHeight="false" outlineLevel="0" collapsed="false">
      <c r="A3887" s="215" t="s">
        <v>6467</v>
      </c>
    </row>
    <row r="3888" customFormat="false" ht="12" hidden="false" customHeight="false" outlineLevel="0" collapsed="false">
      <c r="A3888" s="215" t="s">
        <v>6468</v>
      </c>
    </row>
    <row r="3889" customFormat="false" ht="12" hidden="false" customHeight="false" outlineLevel="0" collapsed="false">
      <c r="A3889" s="215" t="s">
        <v>6469</v>
      </c>
    </row>
    <row r="3890" customFormat="false" ht="12" hidden="false" customHeight="false" outlineLevel="0" collapsed="false">
      <c r="A3890" s="215" t="s">
        <v>6470</v>
      </c>
    </row>
    <row r="3891" customFormat="false" ht="12" hidden="false" customHeight="false" outlineLevel="0" collapsed="false">
      <c r="A3891" s="215" t="s">
        <v>6471</v>
      </c>
    </row>
    <row r="3892" customFormat="false" ht="12" hidden="false" customHeight="false" outlineLevel="0" collapsed="false">
      <c r="A3892" s="215" t="s">
        <v>6472</v>
      </c>
    </row>
    <row r="3893" customFormat="false" ht="12" hidden="false" customHeight="false" outlineLevel="0" collapsed="false">
      <c r="A3893" s="215" t="s">
        <v>6473</v>
      </c>
    </row>
    <row r="3894" customFormat="false" ht="12" hidden="false" customHeight="false" outlineLevel="0" collapsed="false">
      <c r="A3894" s="215" t="s">
        <v>6474</v>
      </c>
    </row>
    <row r="3895" customFormat="false" ht="12" hidden="false" customHeight="false" outlineLevel="0" collapsed="false">
      <c r="A3895" s="215" t="s">
        <v>6475</v>
      </c>
    </row>
    <row r="3896" customFormat="false" ht="12" hidden="false" customHeight="false" outlineLevel="0" collapsed="false">
      <c r="A3896" s="215" t="s">
        <v>6476</v>
      </c>
    </row>
    <row r="3897" customFormat="false" ht="12" hidden="false" customHeight="false" outlineLevel="0" collapsed="false">
      <c r="A3897" s="215" t="s">
        <v>6477</v>
      </c>
    </row>
    <row r="3898" customFormat="false" ht="12" hidden="false" customHeight="false" outlineLevel="0" collapsed="false">
      <c r="A3898" s="215" t="s">
        <v>6478</v>
      </c>
    </row>
    <row r="3899" customFormat="false" ht="12" hidden="false" customHeight="false" outlineLevel="0" collapsed="false">
      <c r="A3899" s="215" t="s">
        <v>6479</v>
      </c>
    </row>
    <row r="3900" customFormat="false" ht="12" hidden="false" customHeight="false" outlineLevel="0" collapsed="false">
      <c r="A3900" s="215" t="s">
        <v>6480</v>
      </c>
    </row>
    <row r="3901" customFormat="false" ht="12" hidden="false" customHeight="false" outlineLevel="0" collapsed="false">
      <c r="A3901" s="215" t="s">
        <v>6481</v>
      </c>
    </row>
    <row r="3902" customFormat="false" ht="12" hidden="false" customHeight="false" outlineLevel="0" collapsed="false">
      <c r="A3902" s="215" t="s">
        <v>6482</v>
      </c>
    </row>
    <row r="3903" customFormat="false" ht="12" hidden="false" customHeight="false" outlineLevel="0" collapsed="false">
      <c r="A3903" s="215" t="s">
        <v>6483</v>
      </c>
    </row>
    <row r="3904" customFormat="false" ht="12" hidden="false" customHeight="false" outlineLevel="0" collapsed="false">
      <c r="A3904" s="215" t="s">
        <v>6484</v>
      </c>
    </row>
    <row r="3905" customFormat="false" ht="12" hidden="false" customHeight="false" outlineLevel="0" collapsed="false">
      <c r="A3905" s="215" t="s">
        <v>6485</v>
      </c>
    </row>
    <row r="3906" customFormat="false" ht="12" hidden="false" customHeight="false" outlineLevel="0" collapsed="false">
      <c r="A3906" s="215" t="s">
        <v>6486</v>
      </c>
    </row>
    <row r="3907" customFormat="false" ht="12" hidden="false" customHeight="false" outlineLevel="0" collapsed="false">
      <c r="A3907" s="215" t="s">
        <v>6487</v>
      </c>
    </row>
    <row r="3908" customFormat="false" ht="12" hidden="false" customHeight="false" outlineLevel="0" collapsed="false">
      <c r="A3908" s="215" t="s">
        <v>6488</v>
      </c>
    </row>
    <row r="3909" customFormat="false" ht="12" hidden="false" customHeight="false" outlineLevel="0" collapsed="false">
      <c r="A3909" s="215" t="s">
        <v>6489</v>
      </c>
    </row>
    <row r="3910" customFormat="false" ht="12" hidden="false" customHeight="false" outlineLevel="0" collapsed="false">
      <c r="A3910" s="215" t="s">
        <v>6490</v>
      </c>
    </row>
    <row r="3911" customFormat="false" ht="12" hidden="false" customHeight="false" outlineLevel="0" collapsed="false">
      <c r="A3911" s="215" t="s">
        <v>6491</v>
      </c>
    </row>
    <row r="3912" customFormat="false" ht="12" hidden="false" customHeight="false" outlineLevel="0" collapsed="false">
      <c r="A3912" s="215" t="s">
        <v>6492</v>
      </c>
    </row>
    <row r="3913" customFormat="false" ht="12" hidden="false" customHeight="false" outlineLevel="0" collapsed="false">
      <c r="A3913" s="215" t="s">
        <v>6493</v>
      </c>
    </row>
    <row r="3914" customFormat="false" ht="12" hidden="false" customHeight="false" outlineLevel="0" collapsed="false">
      <c r="A3914" s="215" t="s">
        <v>6494</v>
      </c>
    </row>
    <row r="3915" customFormat="false" ht="12" hidden="false" customHeight="false" outlineLevel="0" collapsed="false">
      <c r="A3915" s="215" t="s">
        <v>6495</v>
      </c>
    </row>
    <row r="3916" customFormat="false" ht="12" hidden="false" customHeight="false" outlineLevel="0" collapsed="false">
      <c r="A3916" s="215" t="s">
        <v>6496</v>
      </c>
    </row>
    <row r="3917" customFormat="false" ht="12" hidden="false" customHeight="false" outlineLevel="0" collapsed="false">
      <c r="A3917" s="215" t="s">
        <v>6497</v>
      </c>
    </row>
    <row r="3918" customFormat="false" ht="12" hidden="false" customHeight="false" outlineLevel="0" collapsed="false">
      <c r="A3918" s="215" t="s">
        <v>6498</v>
      </c>
    </row>
    <row r="3919" customFormat="false" ht="12" hidden="false" customHeight="false" outlineLevel="0" collapsed="false">
      <c r="A3919" s="215" t="s">
        <v>6499</v>
      </c>
    </row>
    <row r="3920" customFormat="false" ht="12" hidden="false" customHeight="false" outlineLevel="0" collapsed="false">
      <c r="A3920" s="215" t="s">
        <v>6500</v>
      </c>
    </row>
    <row r="3921" customFormat="false" ht="12" hidden="false" customHeight="false" outlineLevel="0" collapsed="false">
      <c r="A3921" s="215" t="s">
        <v>6501</v>
      </c>
    </row>
    <row r="3922" customFormat="false" ht="12" hidden="false" customHeight="false" outlineLevel="0" collapsed="false">
      <c r="A3922" s="215" t="s">
        <v>6502</v>
      </c>
    </row>
    <row r="3923" customFormat="false" ht="12" hidden="false" customHeight="false" outlineLevel="0" collapsed="false">
      <c r="A3923" s="215" t="s">
        <v>6503</v>
      </c>
    </row>
    <row r="3924" customFormat="false" ht="12" hidden="false" customHeight="false" outlineLevel="0" collapsed="false">
      <c r="A3924" s="215" t="s">
        <v>6504</v>
      </c>
    </row>
    <row r="3925" customFormat="false" ht="12" hidden="false" customHeight="false" outlineLevel="0" collapsed="false">
      <c r="A3925" s="215" t="s">
        <v>6505</v>
      </c>
    </row>
    <row r="3926" customFormat="false" ht="12" hidden="false" customHeight="false" outlineLevel="0" collapsed="false">
      <c r="A3926" s="215" t="s">
        <v>6506</v>
      </c>
    </row>
    <row r="3927" customFormat="false" ht="12" hidden="false" customHeight="false" outlineLevel="0" collapsed="false">
      <c r="A3927" s="215" t="s">
        <v>6507</v>
      </c>
    </row>
    <row r="3928" customFormat="false" ht="12" hidden="false" customHeight="false" outlineLevel="0" collapsed="false">
      <c r="A3928" s="215" t="s">
        <v>6508</v>
      </c>
    </row>
    <row r="3929" customFormat="false" ht="12" hidden="false" customHeight="false" outlineLevel="0" collapsed="false">
      <c r="A3929" s="215" t="s">
        <v>6509</v>
      </c>
    </row>
    <row r="3930" customFormat="false" ht="12" hidden="false" customHeight="false" outlineLevel="0" collapsed="false">
      <c r="A3930" s="215" t="s">
        <v>6510</v>
      </c>
    </row>
    <row r="3931" customFormat="false" ht="12" hidden="false" customHeight="false" outlineLevel="0" collapsed="false">
      <c r="A3931" s="215" t="s">
        <v>6511</v>
      </c>
    </row>
    <row r="3932" customFormat="false" ht="12" hidden="false" customHeight="false" outlineLevel="0" collapsed="false">
      <c r="A3932" s="215" t="s">
        <v>6512</v>
      </c>
    </row>
    <row r="3933" customFormat="false" ht="12" hidden="false" customHeight="false" outlineLevel="0" collapsed="false">
      <c r="A3933" s="215" t="s">
        <v>6513</v>
      </c>
    </row>
    <row r="3934" customFormat="false" ht="12" hidden="false" customHeight="false" outlineLevel="0" collapsed="false">
      <c r="A3934" s="215" t="s">
        <v>6514</v>
      </c>
    </row>
    <row r="3935" customFormat="false" ht="12" hidden="false" customHeight="false" outlineLevel="0" collapsed="false">
      <c r="A3935" s="215" t="s">
        <v>6515</v>
      </c>
    </row>
    <row r="3936" customFormat="false" ht="12" hidden="false" customHeight="false" outlineLevel="0" collapsed="false">
      <c r="A3936" s="215" t="s">
        <v>6516</v>
      </c>
    </row>
    <row r="3937" customFormat="false" ht="12" hidden="false" customHeight="false" outlineLevel="0" collapsed="false">
      <c r="A3937" s="215" t="s">
        <v>6517</v>
      </c>
    </row>
    <row r="3938" customFormat="false" ht="12" hidden="false" customHeight="false" outlineLevel="0" collapsed="false">
      <c r="A3938" s="215" t="s">
        <v>6518</v>
      </c>
    </row>
    <row r="3939" customFormat="false" ht="12" hidden="false" customHeight="false" outlineLevel="0" collapsed="false">
      <c r="A3939" s="215" t="s">
        <v>6519</v>
      </c>
    </row>
    <row r="3940" customFormat="false" ht="12" hidden="false" customHeight="false" outlineLevel="0" collapsed="false">
      <c r="A3940" s="215" t="s">
        <v>6520</v>
      </c>
    </row>
    <row r="3941" customFormat="false" ht="12" hidden="false" customHeight="false" outlineLevel="0" collapsed="false">
      <c r="A3941" s="215" t="s">
        <v>6521</v>
      </c>
    </row>
    <row r="3942" customFormat="false" ht="12" hidden="false" customHeight="false" outlineLevel="0" collapsed="false">
      <c r="A3942" s="215" t="s">
        <v>6522</v>
      </c>
    </row>
    <row r="3943" customFormat="false" ht="12" hidden="false" customHeight="false" outlineLevel="0" collapsed="false">
      <c r="A3943" s="215" t="s">
        <v>6523</v>
      </c>
    </row>
    <row r="3944" customFormat="false" ht="12" hidden="false" customHeight="false" outlineLevel="0" collapsed="false">
      <c r="A3944" s="215" t="s">
        <v>6524</v>
      </c>
    </row>
    <row r="3945" customFormat="false" ht="12" hidden="false" customHeight="false" outlineLevel="0" collapsed="false">
      <c r="A3945" s="215" t="s">
        <v>6525</v>
      </c>
    </row>
    <row r="3946" customFormat="false" ht="12" hidden="false" customHeight="false" outlineLevel="0" collapsed="false">
      <c r="A3946" s="215" t="s">
        <v>6526</v>
      </c>
    </row>
    <row r="3947" customFormat="false" ht="12" hidden="false" customHeight="false" outlineLevel="0" collapsed="false">
      <c r="A3947" s="215" t="s">
        <v>6527</v>
      </c>
    </row>
    <row r="3948" customFormat="false" ht="12" hidden="false" customHeight="false" outlineLevel="0" collapsed="false">
      <c r="A3948" s="215" t="s">
        <v>6528</v>
      </c>
    </row>
    <row r="3949" customFormat="false" ht="12" hidden="false" customHeight="false" outlineLevel="0" collapsed="false">
      <c r="A3949" s="215" t="s">
        <v>6529</v>
      </c>
    </row>
    <row r="3950" customFormat="false" ht="12" hidden="false" customHeight="false" outlineLevel="0" collapsed="false">
      <c r="A3950" s="215" t="s">
        <v>6530</v>
      </c>
    </row>
    <row r="3951" customFormat="false" ht="12" hidden="false" customHeight="false" outlineLevel="0" collapsed="false">
      <c r="A3951" s="215" t="s">
        <v>6531</v>
      </c>
    </row>
    <row r="3952" customFormat="false" ht="12" hidden="false" customHeight="false" outlineLevel="0" collapsed="false">
      <c r="A3952" s="215" t="s">
        <v>6532</v>
      </c>
    </row>
    <row r="3953" customFormat="false" ht="12" hidden="false" customHeight="false" outlineLevel="0" collapsed="false">
      <c r="A3953" s="215" t="s">
        <v>6533</v>
      </c>
    </row>
    <row r="3954" customFormat="false" ht="12" hidden="false" customHeight="false" outlineLevel="0" collapsed="false">
      <c r="A3954" s="215" t="s">
        <v>6534</v>
      </c>
    </row>
    <row r="3955" customFormat="false" ht="12" hidden="false" customHeight="false" outlineLevel="0" collapsed="false">
      <c r="A3955" s="215" t="s">
        <v>6535</v>
      </c>
    </row>
    <row r="3956" customFormat="false" ht="12" hidden="false" customHeight="false" outlineLevel="0" collapsed="false">
      <c r="A3956" s="215" t="s">
        <v>6536</v>
      </c>
    </row>
    <row r="3957" customFormat="false" ht="12" hidden="false" customHeight="false" outlineLevel="0" collapsed="false">
      <c r="A3957" s="215" t="s">
        <v>6537</v>
      </c>
    </row>
    <row r="3958" customFormat="false" ht="12" hidden="false" customHeight="false" outlineLevel="0" collapsed="false">
      <c r="A3958" s="215" t="s">
        <v>6538</v>
      </c>
    </row>
    <row r="3959" customFormat="false" ht="12" hidden="false" customHeight="false" outlineLevel="0" collapsed="false">
      <c r="A3959" s="215" t="s">
        <v>6539</v>
      </c>
    </row>
    <row r="3960" customFormat="false" ht="12" hidden="false" customHeight="false" outlineLevel="0" collapsed="false">
      <c r="A3960" s="215" t="s">
        <v>6540</v>
      </c>
    </row>
    <row r="3961" customFormat="false" ht="12" hidden="false" customHeight="false" outlineLevel="0" collapsed="false">
      <c r="A3961" s="215" t="s">
        <v>6541</v>
      </c>
    </row>
    <row r="3962" customFormat="false" ht="12" hidden="false" customHeight="false" outlineLevel="0" collapsed="false">
      <c r="A3962" s="215" t="s">
        <v>6542</v>
      </c>
    </row>
    <row r="3963" customFormat="false" ht="12" hidden="false" customHeight="false" outlineLevel="0" collapsed="false">
      <c r="A3963" s="215" t="s">
        <v>6543</v>
      </c>
    </row>
    <row r="3964" customFormat="false" ht="12" hidden="false" customHeight="false" outlineLevel="0" collapsed="false">
      <c r="A3964" s="215" t="s">
        <v>6544</v>
      </c>
    </row>
    <row r="3965" customFormat="false" ht="12" hidden="false" customHeight="false" outlineLevel="0" collapsed="false">
      <c r="A3965" s="215" t="s">
        <v>6545</v>
      </c>
    </row>
    <row r="3966" customFormat="false" ht="12" hidden="false" customHeight="false" outlineLevel="0" collapsed="false">
      <c r="A3966" s="215" t="s">
        <v>6546</v>
      </c>
    </row>
    <row r="3967" customFormat="false" ht="12" hidden="false" customHeight="false" outlineLevel="0" collapsed="false">
      <c r="A3967" s="215" t="s">
        <v>6547</v>
      </c>
    </row>
    <row r="3968" customFormat="false" ht="12" hidden="false" customHeight="false" outlineLevel="0" collapsed="false">
      <c r="A3968" s="215" t="s">
        <v>6548</v>
      </c>
    </row>
    <row r="3969" customFormat="false" ht="12" hidden="false" customHeight="false" outlineLevel="0" collapsed="false">
      <c r="A3969" s="215" t="s">
        <v>6549</v>
      </c>
    </row>
    <row r="3970" customFormat="false" ht="12" hidden="false" customHeight="false" outlineLevel="0" collapsed="false">
      <c r="A3970" s="215" t="s">
        <v>6550</v>
      </c>
    </row>
    <row r="3971" customFormat="false" ht="12" hidden="false" customHeight="false" outlineLevel="0" collapsed="false">
      <c r="A3971" s="215" t="s">
        <v>6551</v>
      </c>
    </row>
    <row r="3972" customFormat="false" ht="12" hidden="false" customHeight="false" outlineLevel="0" collapsed="false">
      <c r="A3972" s="215" t="s">
        <v>6552</v>
      </c>
    </row>
    <row r="3973" customFormat="false" ht="12" hidden="false" customHeight="false" outlineLevel="0" collapsed="false">
      <c r="A3973" s="215" t="s">
        <v>6553</v>
      </c>
    </row>
    <row r="3974" customFormat="false" ht="12" hidden="false" customHeight="false" outlineLevel="0" collapsed="false">
      <c r="A3974" s="215" t="s">
        <v>6554</v>
      </c>
    </row>
    <row r="3975" customFormat="false" ht="12" hidden="false" customHeight="false" outlineLevel="0" collapsed="false">
      <c r="A3975" s="215" t="s">
        <v>6555</v>
      </c>
    </row>
    <row r="3976" customFormat="false" ht="12" hidden="false" customHeight="false" outlineLevel="0" collapsed="false">
      <c r="A3976" s="215" t="s">
        <v>6556</v>
      </c>
    </row>
    <row r="3977" customFormat="false" ht="12" hidden="false" customHeight="false" outlineLevel="0" collapsed="false">
      <c r="A3977" s="215" t="s">
        <v>6557</v>
      </c>
    </row>
    <row r="3978" customFormat="false" ht="12" hidden="false" customHeight="false" outlineLevel="0" collapsed="false">
      <c r="A3978" s="215" t="s">
        <v>6558</v>
      </c>
    </row>
    <row r="3979" customFormat="false" ht="12" hidden="false" customHeight="false" outlineLevel="0" collapsed="false">
      <c r="A3979" s="215" t="s">
        <v>6559</v>
      </c>
    </row>
    <row r="3980" customFormat="false" ht="12" hidden="false" customHeight="false" outlineLevel="0" collapsed="false">
      <c r="A3980" s="215" t="s">
        <v>6560</v>
      </c>
    </row>
    <row r="3981" customFormat="false" ht="12" hidden="false" customHeight="false" outlineLevel="0" collapsed="false">
      <c r="A3981" s="215" t="s">
        <v>6561</v>
      </c>
    </row>
    <row r="3982" customFormat="false" ht="12" hidden="false" customHeight="false" outlineLevel="0" collapsed="false">
      <c r="A3982" s="215" t="s">
        <v>6562</v>
      </c>
    </row>
    <row r="3983" customFormat="false" ht="12" hidden="false" customHeight="false" outlineLevel="0" collapsed="false">
      <c r="A3983" s="215" t="s">
        <v>6563</v>
      </c>
    </row>
    <row r="3984" customFormat="false" ht="12" hidden="false" customHeight="false" outlineLevel="0" collapsed="false">
      <c r="A3984" s="215" t="s">
        <v>6564</v>
      </c>
    </row>
    <row r="3985" customFormat="false" ht="12" hidden="false" customHeight="false" outlineLevel="0" collapsed="false">
      <c r="A3985" s="215" t="s">
        <v>6565</v>
      </c>
    </row>
    <row r="3986" customFormat="false" ht="12" hidden="false" customHeight="false" outlineLevel="0" collapsed="false">
      <c r="A3986" s="215" t="s">
        <v>6566</v>
      </c>
    </row>
    <row r="3987" customFormat="false" ht="12" hidden="false" customHeight="false" outlineLevel="0" collapsed="false">
      <c r="A3987" s="215" t="s">
        <v>6567</v>
      </c>
    </row>
    <row r="3988" customFormat="false" ht="12" hidden="false" customHeight="false" outlineLevel="0" collapsed="false">
      <c r="A3988" s="215" t="s">
        <v>6568</v>
      </c>
    </row>
    <row r="3989" customFormat="false" ht="12" hidden="false" customHeight="false" outlineLevel="0" collapsed="false">
      <c r="A3989" s="215" t="s">
        <v>6569</v>
      </c>
    </row>
    <row r="3990" customFormat="false" ht="12" hidden="false" customHeight="false" outlineLevel="0" collapsed="false">
      <c r="A3990" s="215" t="s">
        <v>6570</v>
      </c>
    </row>
    <row r="3991" customFormat="false" ht="12" hidden="false" customHeight="false" outlineLevel="0" collapsed="false">
      <c r="A3991" s="215" t="s">
        <v>6571</v>
      </c>
    </row>
    <row r="3992" customFormat="false" ht="12" hidden="false" customHeight="false" outlineLevel="0" collapsed="false">
      <c r="A3992" s="215" t="s">
        <v>6572</v>
      </c>
    </row>
    <row r="3993" customFormat="false" ht="12" hidden="false" customHeight="false" outlineLevel="0" collapsed="false">
      <c r="A3993" s="215" t="s">
        <v>6573</v>
      </c>
    </row>
    <row r="3994" customFormat="false" ht="12" hidden="false" customHeight="false" outlineLevel="0" collapsed="false">
      <c r="A3994" s="215" t="s">
        <v>6574</v>
      </c>
    </row>
    <row r="3995" customFormat="false" ht="12" hidden="false" customHeight="false" outlineLevel="0" collapsed="false">
      <c r="A3995" s="215" t="s">
        <v>6575</v>
      </c>
    </row>
    <row r="3996" customFormat="false" ht="12" hidden="false" customHeight="false" outlineLevel="0" collapsed="false">
      <c r="A3996" s="215" t="s">
        <v>6576</v>
      </c>
    </row>
    <row r="3997" customFormat="false" ht="12" hidden="false" customHeight="false" outlineLevel="0" collapsed="false">
      <c r="A3997" s="215" t="s">
        <v>6577</v>
      </c>
    </row>
    <row r="3998" customFormat="false" ht="12" hidden="false" customHeight="false" outlineLevel="0" collapsed="false">
      <c r="A3998" s="215" t="s">
        <v>6578</v>
      </c>
    </row>
    <row r="3999" customFormat="false" ht="12" hidden="false" customHeight="false" outlineLevel="0" collapsed="false">
      <c r="A3999" s="215" t="s">
        <v>6579</v>
      </c>
    </row>
    <row r="4000" customFormat="false" ht="12" hidden="false" customHeight="false" outlineLevel="0" collapsed="false">
      <c r="A4000" s="215" t="s">
        <v>6580</v>
      </c>
    </row>
    <row r="4001" customFormat="false" ht="12" hidden="false" customHeight="false" outlineLevel="0" collapsed="false">
      <c r="A4001" s="215" t="s">
        <v>6581</v>
      </c>
    </row>
    <row r="4002" customFormat="false" ht="12" hidden="false" customHeight="false" outlineLevel="0" collapsed="false">
      <c r="A4002" s="215" t="s">
        <v>6582</v>
      </c>
    </row>
    <row r="4003" customFormat="false" ht="12" hidden="false" customHeight="false" outlineLevel="0" collapsed="false">
      <c r="A4003" s="215" t="s">
        <v>6583</v>
      </c>
    </row>
    <row r="4004" customFormat="false" ht="12" hidden="false" customHeight="false" outlineLevel="0" collapsed="false">
      <c r="A4004" s="215" t="s">
        <v>6584</v>
      </c>
    </row>
    <row r="4005" customFormat="false" ht="12" hidden="false" customHeight="false" outlineLevel="0" collapsed="false">
      <c r="A4005" s="215" t="s">
        <v>6585</v>
      </c>
    </row>
    <row r="4006" customFormat="false" ht="12" hidden="false" customHeight="false" outlineLevel="0" collapsed="false">
      <c r="A4006" s="215" t="s">
        <v>6586</v>
      </c>
    </row>
    <row r="4007" customFormat="false" ht="12" hidden="false" customHeight="false" outlineLevel="0" collapsed="false">
      <c r="A4007" s="215" t="s">
        <v>6587</v>
      </c>
    </row>
    <row r="4008" customFormat="false" ht="12" hidden="false" customHeight="false" outlineLevel="0" collapsed="false">
      <c r="A4008" s="215" t="s">
        <v>6588</v>
      </c>
    </row>
    <row r="4009" customFormat="false" ht="12" hidden="false" customHeight="false" outlineLevel="0" collapsed="false">
      <c r="A4009" s="215" t="s">
        <v>6589</v>
      </c>
    </row>
    <row r="4010" customFormat="false" ht="12" hidden="false" customHeight="false" outlineLevel="0" collapsed="false">
      <c r="A4010" s="215" t="s">
        <v>6590</v>
      </c>
    </row>
    <row r="4011" customFormat="false" ht="12" hidden="false" customHeight="false" outlineLevel="0" collapsed="false">
      <c r="A4011" s="215" t="s">
        <v>6591</v>
      </c>
    </row>
    <row r="4012" customFormat="false" ht="12" hidden="false" customHeight="false" outlineLevel="0" collapsed="false">
      <c r="A4012" s="215" t="s">
        <v>6592</v>
      </c>
    </row>
    <row r="4013" customFormat="false" ht="12" hidden="false" customHeight="false" outlineLevel="0" collapsed="false">
      <c r="A4013" s="215" t="s">
        <v>6593</v>
      </c>
    </row>
    <row r="4014" customFormat="false" ht="12" hidden="false" customHeight="false" outlineLevel="0" collapsed="false">
      <c r="A4014" s="215" t="s">
        <v>6594</v>
      </c>
    </row>
    <row r="4015" customFormat="false" ht="12" hidden="false" customHeight="false" outlineLevel="0" collapsed="false">
      <c r="A4015" s="215" t="s">
        <v>6595</v>
      </c>
    </row>
    <row r="4016" customFormat="false" ht="12" hidden="false" customHeight="false" outlineLevel="0" collapsed="false">
      <c r="A4016" s="215" t="s">
        <v>6596</v>
      </c>
    </row>
    <row r="4017" customFormat="false" ht="12" hidden="false" customHeight="false" outlineLevel="0" collapsed="false">
      <c r="A4017" s="215" t="s">
        <v>6597</v>
      </c>
    </row>
    <row r="4018" customFormat="false" ht="12" hidden="false" customHeight="false" outlineLevel="0" collapsed="false">
      <c r="A4018" s="215" t="s">
        <v>6598</v>
      </c>
    </row>
    <row r="4019" customFormat="false" ht="12" hidden="false" customHeight="false" outlineLevel="0" collapsed="false">
      <c r="A4019" s="215" t="s">
        <v>6599</v>
      </c>
    </row>
    <row r="4020" customFormat="false" ht="12" hidden="false" customHeight="false" outlineLevel="0" collapsed="false">
      <c r="A4020" s="215" t="s">
        <v>6600</v>
      </c>
    </row>
    <row r="4021" customFormat="false" ht="12" hidden="false" customHeight="false" outlineLevel="0" collapsed="false">
      <c r="A4021" s="215" t="s">
        <v>6601</v>
      </c>
    </row>
    <row r="4022" customFormat="false" ht="12" hidden="false" customHeight="false" outlineLevel="0" collapsed="false">
      <c r="A4022" s="215" t="s">
        <v>6602</v>
      </c>
    </row>
    <row r="4023" customFormat="false" ht="12" hidden="false" customHeight="false" outlineLevel="0" collapsed="false">
      <c r="A4023" s="215" t="s">
        <v>6603</v>
      </c>
    </row>
    <row r="4024" customFormat="false" ht="12" hidden="false" customHeight="false" outlineLevel="0" collapsed="false">
      <c r="A4024" s="215" t="s">
        <v>6604</v>
      </c>
    </row>
    <row r="4025" customFormat="false" ht="12" hidden="false" customHeight="false" outlineLevel="0" collapsed="false">
      <c r="A4025" s="215" t="s">
        <v>6605</v>
      </c>
    </row>
    <row r="4026" customFormat="false" ht="12" hidden="false" customHeight="false" outlineLevel="0" collapsed="false">
      <c r="A4026" s="215" t="s">
        <v>6606</v>
      </c>
    </row>
    <row r="4027" customFormat="false" ht="12" hidden="false" customHeight="false" outlineLevel="0" collapsed="false">
      <c r="A4027" s="215" t="s">
        <v>6607</v>
      </c>
    </row>
    <row r="4028" customFormat="false" ht="12" hidden="false" customHeight="false" outlineLevel="0" collapsed="false">
      <c r="A4028" s="215" t="s">
        <v>6608</v>
      </c>
    </row>
    <row r="4029" customFormat="false" ht="12" hidden="false" customHeight="false" outlineLevel="0" collapsed="false">
      <c r="A4029" s="215" t="s">
        <v>6609</v>
      </c>
    </row>
    <row r="4030" customFormat="false" ht="12" hidden="false" customHeight="false" outlineLevel="0" collapsed="false">
      <c r="A4030" s="215" t="s">
        <v>6610</v>
      </c>
    </row>
    <row r="4031" customFormat="false" ht="12" hidden="false" customHeight="false" outlineLevel="0" collapsed="false">
      <c r="A4031" s="215" t="s">
        <v>6611</v>
      </c>
    </row>
    <row r="4032" customFormat="false" ht="12" hidden="false" customHeight="false" outlineLevel="0" collapsed="false">
      <c r="A4032" s="215" t="s">
        <v>6612</v>
      </c>
    </row>
    <row r="4033" customFormat="false" ht="12" hidden="false" customHeight="false" outlineLevel="0" collapsed="false">
      <c r="A4033" s="215" t="s">
        <v>6613</v>
      </c>
    </row>
    <row r="4034" customFormat="false" ht="12" hidden="false" customHeight="false" outlineLevel="0" collapsed="false">
      <c r="A4034" s="215" t="s">
        <v>6614</v>
      </c>
    </row>
    <row r="4035" customFormat="false" ht="12" hidden="false" customHeight="false" outlineLevel="0" collapsed="false">
      <c r="A4035" s="215" t="s">
        <v>6615</v>
      </c>
    </row>
    <row r="4036" customFormat="false" ht="12" hidden="false" customHeight="false" outlineLevel="0" collapsed="false">
      <c r="A4036" s="215" t="s">
        <v>6616</v>
      </c>
    </row>
    <row r="4037" customFormat="false" ht="12" hidden="false" customHeight="false" outlineLevel="0" collapsed="false">
      <c r="A4037" s="215" t="s">
        <v>6617</v>
      </c>
    </row>
    <row r="4038" customFormat="false" ht="12" hidden="false" customHeight="false" outlineLevel="0" collapsed="false">
      <c r="A4038" s="215" t="s">
        <v>6618</v>
      </c>
    </row>
    <row r="4039" customFormat="false" ht="12" hidden="false" customHeight="false" outlineLevel="0" collapsed="false">
      <c r="A4039" s="215" t="s">
        <v>6619</v>
      </c>
    </row>
    <row r="4040" customFormat="false" ht="12" hidden="false" customHeight="false" outlineLevel="0" collapsed="false">
      <c r="A4040" s="215" t="s">
        <v>6620</v>
      </c>
    </row>
    <row r="4041" customFormat="false" ht="12" hidden="false" customHeight="false" outlineLevel="0" collapsed="false">
      <c r="A4041" s="215" t="s">
        <v>6621</v>
      </c>
    </row>
    <row r="4042" customFormat="false" ht="12" hidden="false" customHeight="false" outlineLevel="0" collapsed="false">
      <c r="A4042" s="215" t="s">
        <v>6622</v>
      </c>
    </row>
    <row r="4043" customFormat="false" ht="12" hidden="false" customHeight="false" outlineLevel="0" collapsed="false">
      <c r="A4043" s="215" t="s">
        <v>6623</v>
      </c>
    </row>
    <row r="4044" customFormat="false" ht="12" hidden="false" customHeight="false" outlineLevel="0" collapsed="false">
      <c r="A4044" s="215" t="s">
        <v>6624</v>
      </c>
    </row>
    <row r="4045" customFormat="false" ht="12" hidden="false" customHeight="false" outlineLevel="0" collapsed="false">
      <c r="A4045" s="215" t="s">
        <v>6625</v>
      </c>
    </row>
    <row r="4046" customFormat="false" ht="12" hidden="false" customHeight="false" outlineLevel="0" collapsed="false">
      <c r="A4046" s="215" t="s">
        <v>6626</v>
      </c>
    </row>
    <row r="4047" customFormat="false" ht="12" hidden="false" customHeight="false" outlineLevel="0" collapsed="false">
      <c r="A4047" s="215" t="s">
        <v>6627</v>
      </c>
    </row>
    <row r="4048" customFormat="false" ht="12" hidden="false" customHeight="false" outlineLevel="0" collapsed="false">
      <c r="A4048" s="215" t="s">
        <v>6628</v>
      </c>
    </row>
    <row r="4049" customFormat="false" ht="12" hidden="false" customHeight="false" outlineLevel="0" collapsed="false">
      <c r="A4049" s="215" t="s">
        <v>6629</v>
      </c>
    </row>
    <row r="4050" customFormat="false" ht="12" hidden="false" customHeight="false" outlineLevel="0" collapsed="false">
      <c r="A4050" s="215" t="s">
        <v>6630</v>
      </c>
    </row>
    <row r="4051" customFormat="false" ht="12" hidden="false" customHeight="false" outlineLevel="0" collapsed="false">
      <c r="A4051" s="215" t="s">
        <v>6631</v>
      </c>
    </row>
    <row r="4052" customFormat="false" ht="12" hidden="false" customHeight="false" outlineLevel="0" collapsed="false">
      <c r="A4052" s="215" t="s">
        <v>6632</v>
      </c>
    </row>
    <row r="4053" customFormat="false" ht="12" hidden="false" customHeight="false" outlineLevel="0" collapsed="false">
      <c r="A4053" s="215" t="s">
        <v>6633</v>
      </c>
    </row>
    <row r="4054" customFormat="false" ht="12" hidden="false" customHeight="false" outlineLevel="0" collapsed="false">
      <c r="A4054" s="215" t="s">
        <v>6634</v>
      </c>
    </row>
    <row r="4055" customFormat="false" ht="12" hidden="false" customHeight="false" outlineLevel="0" collapsed="false">
      <c r="A4055" s="215" t="s">
        <v>6635</v>
      </c>
    </row>
    <row r="4056" customFormat="false" ht="12" hidden="false" customHeight="false" outlineLevel="0" collapsed="false">
      <c r="A4056" s="215" t="s">
        <v>6636</v>
      </c>
    </row>
    <row r="4057" customFormat="false" ht="12" hidden="false" customHeight="false" outlineLevel="0" collapsed="false">
      <c r="A4057" s="215" t="s">
        <v>6637</v>
      </c>
    </row>
    <row r="4058" customFormat="false" ht="12" hidden="false" customHeight="false" outlineLevel="0" collapsed="false">
      <c r="A4058" s="215" t="s">
        <v>6638</v>
      </c>
    </row>
    <row r="4059" customFormat="false" ht="12" hidden="false" customHeight="false" outlineLevel="0" collapsed="false">
      <c r="A4059" s="215" t="s">
        <v>6639</v>
      </c>
    </row>
    <row r="4060" customFormat="false" ht="12" hidden="false" customHeight="false" outlineLevel="0" collapsed="false">
      <c r="A4060" s="215" t="s">
        <v>6640</v>
      </c>
    </row>
    <row r="4061" customFormat="false" ht="12" hidden="false" customHeight="false" outlineLevel="0" collapsed="false">
      <c r="A4061" s="215" t="s">
        <v>6641</v>
      </c>
    </row>
    <row r="4062" customFormat="false" ht="12" hidden="false" customHeight="false" outlineLevel="0" collapsed="false">
      <c r="A4062" s="215" t="s">
        <v>6642</v>
      </c>
    </row>
    <row r="4063" customFormat="false" ht="12" hidden="false" customHeight="false" outlineLevel="0" collapsed="false">
      <c r="A4063" s="215" t="s">
        <v>6643</v>
      </c>
    </row>
    <row r="4064" customFormat="false" ht="12" hidden="false" customHeight="false" outlineLevel="0" collapsed="false">
      <c r="A4064" s="215" t="s">
        <v>6644</v>
      </c>
    </row>
    <row r="4065" customFormat="false" ht="12" hidden="false" customHeight="false" outlineLevel="0" collapsed="false">
      <c r="A4065" s="215" t="s">
        <v>6645</v>
      </c>
    </row>
    <row r="4066" customFormat="false" ht="12" hidden="false" customHeight="false" outlineLevel="0" collapsed="false">
      <c r="A4066" s="215" t="s">
        <v>6646</v>
      </c>
    </row>
    <row r="4067" customFormat="false" ht="12" hidden="false" customHeight="false" outlineLevel="0" collapsed="false">
      <c r="A4067" s="215" t="s">
        <v>6647</v>
      </c>
    </row>
    <row r="4068" customFormat="false" ht="12" hidden="false" customHeight="false" outlineLevel="0" collapsed="false">
      <c r="A4068" s="215" t="s">
        <v>6648</v>
      </c>
    </row>
    <row r="4069" customFormat="false" ht="12" hidden="false" customHeight="false" outlineLevel="0" collapsed="false">
      <c r="A4069" s="215" t="s">
        <v>6649</v>
      </c>
    </row>
    <row r="4070" customFormat="false" ht="12" hidden="false" customHeight="false" outlineLevel="0" collapsed="false">
      <c r="A4070" s="215" t="s">
        <v>6650</v>
      </c>
    </row>
    <row r="4071" customFormat="false" ht="12" hidden="false" customHeight="false" outlineLevel="0" collapsed="false">
      <c r="A4071" s="215" t="s">
        <v>6651</v>
      </c>
    </row>
    <row r="4072" customFormat="false" ht="12" hidden="false" customHeight="false" outlineLevel="0" collapsed="false">
      <c r="A4072" s="215" t="s">
        <v>6652</v>
      </c>
    </row>
    <row r="4073" customFormat="false" ht="12" hidden="false" customHeight="false" outlineLevel="0" collapsed="false">
      <c r="A4073" s="215" t="s">
        <v>6653</v>
      </c>
    </row>
    <row r="4074" customFormat="false" ht="12" hidden="false" customHeight="false" outlineLevel="0" collapsed="false">
      <c r="A4074" s="215" t="s">
        <v>6654</v>
      </c>
    </row>
    <row r="4075" customFormat="false" ht="12" hidden="false" customHeight="false" outlineLevel="0" collapsed="false">
      <c r="A4075" s="215" t="s">
        <v>6655</v>
      </c>
    </row>
    <row r="4076" customFormat="false" ht="12" hidden="false" customHeight="false" outlineLevel="0" collapsed="false">
      <c r="A4076" s="215" t="s">
        <v>6656</v>
      </c>
    </row>
    <row r="4077" customFormat="false" ht="12" hidden="false" customHeight="false" outlineLevel="0" collapsed="false">
      <c r="A4077" s="215" t="s">
        <v>6657</v>
      </c>
    </row>
    <row r="4078" customFormat="false" ht="12" hidden="false" customHeight="false" outlineLevel="0" collapsed="false">
      <c r="A4078" s="215" t="s">
        <v>6658</v>
      </c>
    </row>
    <row r="4079" customFormat="false" ht="12" hidden="false" customHeight="false" outlineLevel="0" collapsed="false">
      <c r="A4079" s="215" t="s">
        <v>6659</v>
      </c>
    </row>
    <row r="4080" customFormat="false" ht="12" hidden="false" customHeight="false" outlineLevel="0" collapsed="false">
      <c r="A4080" s="215" t="s">
        <v>6660</v>
      </c>
    </row>
    <row r="4081" customFormat="false" ht="12" hidden="false" customHeight="false" outlineLevel="0" collapsed="false">
      <c r="A4081" s="215" t="s">
        <v>6661</v>
      </c>
    </row>
    <row r="4082" customFormat="false" ht="12" hidden="false" customHeight="false" outlineLevel="0" collapsed="false">
      <c r="A4082" s="215" t="s">
        <v>6662</v>
      </c>
    </row>
    <row r="4083" customFormat="false" ht="12" hidden="false" customHeight="false" outlineLevel="0" collapsed="false">
      <c r="A4083" s="215" t="s">
        <v>6663</v>
      </c>
    </row>
    <row r="4084" customFormat="false" ht="12" hidden="false" customHeight="false" outlineLevel="0" collapsed="false">
      <c r="A4084" s="215" t="s">
        <v>6664</v>
      </c>
    </row>
    <row r="4085" customFormat="false" ht="12" hidden="false" customHeight="false" outlineLevel="0" collapsed="false">
      <c r="A4085" s="215" t="s">
        <v>6665</v>
      </c>
    </row>
    <row r="4086" customFormat="false" ht="12" hidden="false" customHeight="false" outlineLevel="0" collapsed="false">
      <c r="A4086" s="215" t="s">
        <v>6666</v>
      </c>
    </row>
    <row r="4087" customFormat="false" ht="12" hidden="false" customHeight="false" outlineLevel="0" collapsed="false">
      <c r="A4087" s="215" t="s">
        <v>6667</v>
      </c>
    </row>
    <row r="4088" customFormat="false" ht="12" hidden="false" customHeight="false" outlineLevel="0" collapsed="false">
      <c r="A4088" s="215" t="s">
        <v>6668</v>
      </c>
    </row>
    <row r="4089" customFormat="false" ht="12" hidden="false" customHeight="false" outlineLevel="0" collapsed="false">
      <c r="A4089" s="215" t="s">
        <v>6669</v>
      </c>
    </row>
    <row r="4090" customFormat="false" ht="12" hidden="false" customHeight="false" outlineLevel="0" collapsed="false">
      <c r="A4090" s="215" t="s">
        <v>6670</v>
      </c>
    </row>
    <row r="4091" customFormat="false" ht="12" hidden="false" customHeight="false" outlineLevel="0" collapsed="false">
      <c r="A4091" s="215" t="s">
        <v>6671</v>
      </c>
    </row>
    <row r="4092" customFormat="false" ht="12" hidden="false" customHeight="false" outlineLevel="0" collapsed="false">
      <c r="A4092" s="215" t="s">
        <v>6672</v>
      </c>
    </row>
    <row r="4093" customFormat="false" ht="12" hidden="false" customHeight="false" outlineLevel="0" collapsed="false">
      <c r="A4093" s="215" t="s">
        <v>6673</v>
      </c>
    </row>
    <row r="4094" customFormat="false" ht="12" hidden="false" customHeight="false" outlineLevel="0" collapsed="false">
      <c r="A4094" s="215" t="s">
        <v>6674</v>
      </c>
    </row>
    <row r="4095" customFormat="false" ht="12" hidden="false" customHeight="false" outlineLevel="0" collapsed="false">
      <c r="A4095" s="215" t="s">
        <v>6675</v>
      </c>
    </row>
    <row r="4096" customFormat="false" ht="12" hidden="false" customHeight="false" outlineLevel="0" collapsed="false">
      <c r="A4096" s="215" t="s">
        <v>6676</v>
      </c>
    </row>
    <row r="4097" customFormat="false" ht="12" hidden="false" customHeight="false" outlineLevel="0" collapsed="false">
      <c r="A4097" s="215" t="s">
        <v>6677</v>
      </c>
    </row>
    <row r="4098" customFormat="false" ht="12" hidden="false" customHeight="false" outlineLevel="0" collapsed="false">
      <c r="A4098" s="215" t="s">
        <v>6678</v>
      </c>
    </row>
    <row r="4099" customFormat="false" ht="12" hidden="false" customHeight="false" outlineLevel="0" collapsed="false">
      <c r="A4099" s="215" t="s">
        <v>6679</v>
      </c>
    </row>
    <row r="4100" customFormat="false" ht="12" hidden="false" customHeight="false" outlineLevel="0" collapsed="false">
      <c r="A4100" s="215" t="s">
        <v>6680</v>
      </c>
    </row>
    <row r="4101" customFormat="false" ht="12" hidden="false" customHeight="false" outlineLevel="0" collapsed="false">
      <c r="A4101" s="215" t="s">
        <v>6681</v>
      </c>
    </row>
    <row r="4102" customFormat="false" ht="12" hidden="false" customHeight="false" outlineLevel="0" collapsed="false">
      <c r="A4102" s="215" t="s">
        <v>6682</v>
      </c>
    </row>
    <row r="4103" customFormat="false" ht="12" hidden="false" customHeight="false" outlineLevel="0" collapsed="false">
      <c r="A4103" s="215" t="s">
        <v>6683</v>
      </c>
    </row>
    <row r="4104" customFormat="false" ht="12" hidden="false" customHeight="false" outlineLevel="0" collapsed="false">
      <c r="A4104" s="215" t="s">
        <v>6684</v>
      </c>
    </row>
    <row r="4105" customFormat="false" ht="12" hidden="false" customHeight="false" outlineLevel="0" collapsed="false">
      <c r="A4105" s="215" t="s">
        <v>6685</v>
      </c>
    </row>
    <row r="4106" customFormat="false" ht="12" hidden="false" customHeight="false" outlineLevel="0" collapsed="false">
      <c r="A4106" s="215" t="s">
        <v>6686</v>
      </c>
    </row>
    <row r="4107" customFormat="false" ht="12" hidden="false" customHeight="false" outlineLevel="0" collapsed="false">
      <c r="A4107" s="215" t="s">
        <v>6687</v>
      </c>
    </row>
    <row r="4108" customFormat="false" ht="12" hidden="false" customHeight="false" outlineLevel="0" collapsed="false">
      <c r="A4108" s="215" t="s">
        <v>6688</v>
      </c>
    </row>
    <row r="4109" customFormat="false" ht="12" hidden="false" customHeight="false" outlineLevel="0" collapsed="false">
      <c r="A4109" s="215" t="s">
        <v>6689</v>
      </c>
    </row>
    <row r="4110" customFormat="false" ht="12" hidden="false" customHeight="false" outlineLevel="0" collapsed="false">
      <c r="A4110" s="215" t="s">
        <v>6690</v>
      </c>
    </row>
    <row r="4111" customFormat="false" ht="12" hidden="false" customHeight="false" outlineLevel="0" collapsed="false">
      <c r="A4111" s="215" t="s">
        <v>6691</v>
      </c>
    </row>
    <row r="4112" customFormat="false" ht="12" hidden="false" customHeight="false" outlineLevel="0" collapsed="false">
      <c r="A4112" s="215" t="s">
        <v>6692</v>
      </c>
    </row>
    <row r="4113" customFormat="false" ht="12" hidden="false" customHeight="false" outlineLevel="0" collapsed="false">
      <c r="A4113" s="215" t="s">
        <v>6693</v>
      </c>
    </row>
    <row r="4114" customFormat="false" ht="12" hidden="false" customHeight="false" outlineLevel="0" collapsed="false">
      <c r="A4114" s="215" t="s">
        <v>6694</v>
      </c>
    </row>
    <row r="4115" customFormat="false" ht="12" hidden="false" customHeight="false" outlineLevel="0" collapsed="false">
      <c r="A4115" s="215" t="s">
        <v>6695</v>
      </c>
    </row>
    <row r="4116" customFormat="false" ht="12" hidden="false" customHeight="false" outlineLevel="0" collapsed="false">
      <c r="A4116" s="215" t="s">
        <v>6696</v>
      </c>
    </row>
    <row r="4117" customFormat="false" ht="12" hidden="false" customHeight="false" outlineLevel="0" collapsed="false">
      <c r="A4117" s="215" t="s">
        <v>6697</v>
      </c>
    </row>
    <row r="4118" customFormat="false" ht="12" hidden="false" customHeight="false" outlineLevel="0" collapsed="false">
      <c r="A4118" s="215" t="s">
        <v>6698</v>
      </c>
    </row>
    <row r="4119" customFormat="false" ht="12" hidden="false" customHeight="false" outlineLevel="0" collapsed="false">
      <c r="A4119" s="215" t="s">
        <v>6699</v>
      </c>
    </row>
    <row r="4120" customFormat="false" ht="12" hidden="false" customHeight="false" outlineLevel="0" collapsed="false">
      <c r="A4120" s="215" t="s">
        <v>6700</v>
      </c>
    </row>
    <row r="4121" customFormat="false" ht="12" hidden="false" customHeight="false" outlineLevel="0" collapsed="false">
      <c r="A4121" s="215" t="s">
        <v>6701</v>
      </c>
    </row>
    <row r="4122" customFormat="false" ht="12" hidden="false" customHeight="false" outlineLevel="0" collapsed="false">
      <c r="A4122" s="215" t="s">
        <v>6702</v>
      </c>
    </row>
    <row r="4123" customFormat="false" ht="12" hidden="false" customHeight="false" outlineLevel="0" collapsed="false">
      <c r="A4123" s="215" t="s">
        <v>6703</v>
      </c>
    </row>
    <row r="4124" customFormat="false" ht="12" hidden="false" customHeight="false" outlineLevel="0" collapsed="false">
      <c r="A4124" s="215" t="s">
        <v>6704</v>
      </c>
    </row>
    <row r="4125" customFormat="false" ht="12" hidden="false" customHeight="false" outlineLevel="0" collapsed="false">
      <c r="A4125" s="215" t="s">
        <v>6705</v>
      </c>
    </row>
    <row r="4126" customFormat="false" ht="12" hidden="false" customHeight="false" outlineLevel="0" collapsed="false">
      <c r="A4126" s="215" t="s">
        <v>6706</v>
      </c>
    </row>
    <row r="4127" customFormat="false" ht="12" hidden="false" customHeight="false" outlineLevel="0" collapsed="false">
      <c r="A4127" s="215" t="s">
        <v>6707</v>
      </c>
    </row>
    <row r="4128" customFormat="false" ht="12" hidden="false" customHeight="false" outlineLevel="0" collapsed="false">
      <c r="A4128" s="215" t="s">
        <v>6708</v>
      </c>
    </row>
    <row r="4129" customFormat="false" ht="12" hidden="false" customHeight="false" outlineLevel="0" collapsed="false">
      <c r="A4129" s="215" t="s">
        <v>6709</v>
      </c>
    </row>
    <row r="4130" customFormat="false" ht="12" hidden="false" customHeight="false" outlineLevel="0" collapsed="false">
      <c r="A4130" s="215" t="s">
        <v>6710</v>
      </c>
    </row>
    <row r="4131" customFormat="false" ht="12" hidden="false" customHeight="false" outlineLevel="0" collapsed="false">
      <c r="A4131" s="215" t="s">
        <v>6711</v>
      </c>
    </row>
    <row r="4132" customFormat="false" ht="12" hidden="false" customHeight="false" outlineLevel="0" collapsed="false">
      <c r="A4132" s="215" t="s">
        <v>6712</v>
      </c>
    </row>
    <row r="4133" customFormat="false" ht="12" hidden="false" customHeight="false" outlineLevel="0" collapsed="false">
      <c r="A4133" s="215" t="s">
        <v>6713</v>
      </c>
    </row>
    <row r="4134" customFormat="false" ht="12" hidden="false" customHeight="false" outlineLevel="0" collapsed="false">
      <c r="A4134" s="215" t="s">
        <v>6714</v>
      </c>
    </row>
    <row r="4135" customFormat="false" ht="12" hidden="false" customHeight="false" outlineLevel="0" collapsed="false">
      <c r="A4135" s="215" t="s">
        <v>6715</v>
      </c>
    </row>
    <row r="4136" customFormat="false" ht="12" hidden="false" customHeight="false" outlineLevel="0" collapsed="false">
      <c r="A4136" s="215" t="s">
        <v>6716</v>
      </c>
    </row>
    <row r="4137" customFormat="false" ht="12" hidden="false" customHeight="false" outlineLevel="0" collapsed="false">
      <c r="A4137" s="215" t="s">
        <v>6717</v>
      </c>
    </row>
    <row r="4138" customFormat="false" ht="12" hidden="false" customHeight="false" outlineLevel="0" collapsed="false">
      <c r="A4138" s="215" t="s">
        <v>6718</v>
      </c>
    </row>
    <row r="4139" customFormat="false" ht="12" hidden="false" customHeight="false" outlineLevel="0" collapsed="false">
      <c r="A4139" s="215" t="s">
        <v>6719</v>
      </c>
    </row>
    <row r="4140" customFormat="false" ht="12" hidden="false" customHeight="false" outlineLevel="0" collapsed="false">
      <c r="A4140" s="215" t="s">
        <v>6720</v>
      </c>
    </row>
    <row r="4141" customFormat="false" ht="12" hidden="false" customHeight="false" outlineLevel="0" collapsed="false">
      <c r="A4141" s="215" t="s">
        <v>6721</v>
      </c>
    </row>
    <row r="4142" customFormat="false" ht="12" hidden="false" customHeight="false" outlineLevel="0" collapsed="false">
      <c r="A4142" s="215" t="s">
        <v>6722</v>
      </c>
    </row>
    <row r="4143" customFormat="false" ht="12" hidden="false" customHeight="false" outlineLevel="0" collapsed="false">
      <c r="A4143" s="215" t="s">
        <v>6723</v>
      </c>
    </row>
    <row r="4144" customFormat="false" ht="12" hidden="false" customHeight="false" outlineLevel="0" collapsed="false">
      <c r="A4144" s="215" t="s">
        <v>6724</v>
      </c>
    </row>
    <row r="4145" customFormat="false" ht="12" hidden="false" customHeight="false" outlineLevel="0" collapsed="false">
      <c r="A4145" s="215" t="s">
        <v>6725</v>
      </c>
    </row>
    <row r="4146" customFormat="false" ht="12" hidden="false" customHeight="false" outlineLevel="0" collapsed="false">
      <c r="A4146" s="215" t="s">
        <v>6726</v>
      </c>
    </row>
    <row r="4147" customFormat="false" ht="12" hidden="false" customHeight="false" outlineLevel="0" collapsed="false">
      <c r="A4147" s="215" t="s">
        <v>6727</v>
      </c>
    </row>
    <row r="4148" customFormat="false" ht="12" hidden="false" customHeight="false" outlineLevel="0" collapsed="false">
      <c r="A4148" s="215" t="s">
        <v>6728</v>
      </c>
    </row>
    <row r="4149" customFormat="false" ht="12" hidden="false" customHeight="false" outlineLevel="0" collapsed="false">
      <c r="A4149" s="215" t="s">
        <v>6729</v>
      </c>
    </row>
    <row r="4150" customFormat="false" ht="12" hidden="false" customHeight="false" outlineLevel="0" collapsed="false">
      <c r="A4150" s="215" t="s">
        <v>6730</v>
      </c>
    </row>
    <row r="4151" customFormat="false" ht="12" hidden="false" customHeight="false" outlineLevel="0" collapsed="false">
      <c r="A4151" s="215" t="s">
        <v>6731</v>
      </c>
    </row>
    <row r="4152" customFormat="false" ht="12" hidden="false" customHeight="false" outlineLevel="0" collapsed="false">
      <c r="A4152" s="215" t="s">
        <v>6732</v>
      </c>
    </row>
    <row r="4153" customFormat="false" ht="12" hidden="false" customHeight="false" outlineLevel="0" collapsed="false">
      <c r="A4153" s="215" t="s">
        <v>6733</v>
      </c>
    </row>
    <row r="4154" customFormat="false" ht="12" hidden="false" customHeight="false" outlineLevel="0" collapsed="false">
      <c r="A4154" s="215" t="s">
        <v>6734</v>
      </c>
    </row>
    <row r="4155" customFormat="false" ht="12" hidden="false" customHeight="false" outlineLevel="0" collapsed="false">
      <c r="A4155" s="215" t="s">
        <v>6735</v>
      </c>
    </row>
    <row r="4156" customFormat="false" ht="12" hidden="false" customHeight="false" outlineLevel="0" collapsed="false">
      <c r="A4156" s="215" t="s">
        <v>6736</v>
      </c>
    </row>
    <row r="4157" customFormat="false" ht="12" hidden="false" customHeight="false" outlineLevel="0" collapsed="false">
      <c r="A4157" s="215" t="s">
        <v>6737</v>
      </c>
    </row>
    <row r="4158" customFormat="false" ht="12" hidden="false" customHeight="false" outlineLevel="0" collapsed="false">
      <c r="A4158" s="215" t="s">
        <v>6738</v>
      </c>
    </row>
    <row r="4159" customFormat="false" ht="12" hidden="false" customHeight="false" outlineLevel="0" collapsed="false">
      <c r="A4159" s="215" t="s">
        <v>6739</v>
      </c>
    </row>
    <row r="4160" customFormat="false" ht="12" hidden="false" customHeight="false" outlineLevel="0" collapsed="false">
      <c r="A4160" s="215" t="s">
        <v>6740</v>
      </c>
    </row>
    <row r="4161" customFormat="false" ht="12" hidden="false" customHeight="false" outlineLevel="0" collapsed="false">
      <c r="A4161" s="215" t="s">
        <v>6741</v>
      </c>
    </row>
    <row r="4162" customFormat="false" ht="12" hidden="false" customHeight="false" outlineLevel="0" collapsed="false">
      <c r="A4162" s="215" t="s">
        <v>6742</v>
      </c>
    </row>
    <row r="4163" customFormat="false" ht="12" hidden="false" customHeight="false" outlineLevel="0" collapsed="false">
      <c r="A4163" s="215" t="s">
        <v>6743</v>
      </c>
    </row>
    <row r="4164" customFormat="false" ht="12" hidden="false" customHeight="false" outlineLevel="0" collapsed="false">
      <c r="A4164" s="215" t="s">
        <v>6744</v>
      </c>
    </row>
    <row r="4165" customFormat="false" ht="12" hidden="false" customHeight="false" outlineLevel="0" collapsed="false">
      <c r="A4165" s="215" t="s">
        <v>6745</v>
      </c>
    </row>
    <row r="4166" customFormat="false" ht="12" hidden="false" customHeight="false" outlineLevel="0" collapsed="false">
      <c r="A4166" s="215" t="s">
        <v>6746</v>
      </c>
    </row>
    <row r="4167" customFormat="false" ht="12" hidden="false" customHeight="false" outlineLevel="0" collapsed="false">
      <c r="A4167" s="215" t="s">
        <v>6747</v>
      </c>
    </row>
    <row r="4168" customFormat="false" ht="12" hidden="false" customHeight="false" outlineLevel="0" collapsed="false">
      <c r="A4168" s="215" t="s">
        <v>6748</v>
      </c>
    </row>
    <row r="4169" customFormat="false" ht="12" hidden="false" customHeight="false" outlineLevel="0" collapsed="false">
      <c r="A4169" s="215" t="s">
        <v>6749</v>
      </c>
    </row>
    <row r="4170" customFormat="false" ht="12" hidden="false" customHeight="false" outlineLevel="0" collapsed="false">
      <c r="A4170" s="215" t="s">
        <v>6750</v>
      </c>
    </row>
    <row r="4171" customFormat="false" ht="12" hidden="false" customHeight="false" outlineLevel="0" collapsed="false">
      <c r="A4171" s="215" t="s">
        <v>6751</v>
      </c>
    </row>
    <row r="4172" customFormat="false" ht="12" hidden="false" customHeight="false" outlineLevel="0" collapsed="false">
      <c r="A4172" s="215" t="s">
        <v>6752</v>
      </c>
    </row>
    <row r="4173" customFormat="false" ht="12" hidden="false" customHeight="false" outlineLevel="0" collapsed="false">
      <c r="A4173" s="215" t="s">
        <v>6753</v>
      </c>
    </row>
    <row r="4174" customFormat="false" ht="12" hidden="false" customHeight="false" outlineLevel="0" collapsed="false">
      <c r="A4174" s="215" t="s">
        <v>6754</v>
      </c>
    </row>
    <row r="4175" customFormat="false" ht="12" hidden="false" customHeight="false" outlineLevel="0" collapsed="false">
      <c r="A4175" s="215" t="s">
        <v>6755</v>
      </c>
    </row>
    <row r="4176" customFormat="false" ht="12" hidden="false" customHeight="false" outlineLevel="0" collapsed="false">
      <c r="A4176" s="215" t="s">
        <v>6756</v>
      </c>
    </row>
    <row r="4177" customFormat="false" ht="12" hidden="false" customHeight="false" outlineLevel="0" collapsed="false">
      <c r="A4177" s="215" t="s">
        <v>6757</v>
      </c>
    </row>
    <row r="4178" customFormat="false" ht="12" hidden="false" customHeight="false" outlineLevel="0" collapsed="false">
      <c r="A4178" s="215" t="s">
        <v>6758</v>
      </c>
    </row>
    <row r="4179" customFormat="false" ht="12" hidden="false" customHeight="false" outlineLevel="0" collapsed="false">
      <c r="A4179" s="215" t="s">
        <v>6759</v>
      </c>
    </row>
    <row r="4180" customFormat="false" ht="12" hidden="false" customHeight="false" outlineLevel="0" collapsed="false">
      <c r="A4180" s="215" t="s">
        <v>6760</v>
      </c>
    </row>
    <row r="4181" customFormat="false" ht="12" hidden="false" customHeight="false" outlineLevel="0" collapsed="false">
      <c r="A4181" s="215" t="s">
        <v>6761</v>
      </c>
    </row>
    <row r="4182" customFormat="false" ht="12" hidden="false" customHeight="false" outlineLevel="0" collapsed="false">
      <c r="A4182" s="215" t="s">
        <v>6762</v>
      </c>
    </row>
    <row r="4183" customFormat="false" ht="12" hidden="false" customHeight="false" outlineLevel="0" collapsed="false">
      <c r="A4183" s="215" t="s">
        <v>6763</v>
      </c>
    </row>
    <row r="4184" customFormat="false" ht="12" hidden="false" customHeight="false" outlineLevel="0" collapsed="false">
      <c r="A4184" s="215" t="s">
        <v>6764</v>
      </c>
    </row>
    <row r="4185" customFormat="false" ht="12" hidden="false" customHeight="false" outlineLevel="0" collapsed="false">
      <c r="A4185" s="215" t="s">
        <v>6765</v>
      </c>
    </row>
    <row r="4186" customFormat="false" ht="12" hidden="false" customHeight="false" outlineLevel="0" collapsed="false">
      <c r="A4186" s="215" t="s">
        <v>6766</v>
      </c>
    </row>
    <row r="4187" customFormat="false" ht="12" hidden="false" customHeight="false" outlineLevel="0" collapsed="false">
      <c r="A4187" s="215" t="s">
        <v>6767</v>
      </c>
    </row>
    <row r="4188" customFormat="false" ht="12" hidden="false" customHeight="false" outlineLevel="0" collapsed="false">
      <c r="A4188" s="215" t="s">
        <v>6768</v>
      </c>
    </row>
    <row r="4189" customFormat="false" ht="12" hidden="false" customHeight="false" outlineLevel="0" collapsed="false">
      <c r="A4189" s="215" t="s">
        <v>6769</v>
      </c>
    </row>
    <row r="4190" customFormat="false" ht="12" hidden="false" customHeight="false" outlineLevel="0" collapsed="false">
      <c r="A4190" s="215" t="s">
        <v>6770</v>
      </c>
    </row>
    <row r="4191" customFormat="false" ht="12" hidden="false" customHeight="false" outlineLevel="0" collapsed="false">
      <c r="A4191" s="215" t="s">
        <v>6771</v>
      </c>
    </row>
    <row r="4192" customFormat="false" ht="12" hidden="false" customHeight="false" outlineLevel="0" collapsed="false">
      <c r="A4192" s="215" t="s">
        <v>6772</v>
      </c>
    </row>
    <row r="4193" customFormat="false" ht="12" hidden="false" customHeight="false" outlineLevel="0" collapsed="false">
      <c r="A4193" s="215" t="s">
        <v>6773</v>
      </c>
    </row>
    <row r="4194" customFormat="false" ht="12" hidden="false" customHeight="false" outlineLevel="0" collapsed="false">
      <c r="A4194" s="215" t="s">
        <v>6774</v>
      </c>
    </row>
    <row r="4195" customFormat="false" ht="12" hidden="false" customHeight="false" outlineLevel="0" collapsed="false">
      <c r="A4195" s="215" t="s">
        <v>6775</v>
      </c>
    </row>
    <row r="4196" customFormat="false" ht="12" hidden="false" customHeight="false" outlineLevel="0" collapsed="false">
      <c r="A4196" s="215" t="s">
        <v>6776</v>
      </c>
    </row>
    <row r="4197" customFormat="false" ht="12" hidden="false" customHeight="false" outlineLevel="0" collapsed="false">
      <c r="A4197" s="215" t="s">
        <v>6777</v>
      </c>
    </row>
    <row r="4198" customFormat="false" ht="12" hidden="false" customHeight="false" outlineLevel="0" collapsed="false">
      <c r="A4198" s="215" t="s">
        <v>6778</v>
      </c>
    </row>
    <row r="4199" customFormat="false" ht="12" hidden="false" customHeight="false" outlineLevel="0" collapsed="false">
      <c r="A4199" s="215" t="s">
        <v>6779</v>
      </c>
    </row>
    <row r="4200" customFormat="false" ht="12" hidden="false" customHeight="false" outlineLevel="0" collapsed="false">
      <c r="A4200" s="215" t="s">
        <v>6780</v>
      </c>
    </row>
    <row r="4201" customFormat="false" ht="12" hidden="false" customHeight="false" outlineLevel="0" collapsed="false">
      <c r="A4201" s="215" t="s">
        <v>6781</v>
      </c>
    </row>
    <row r="4202" customFormat="false" ht="12" hidden="false" customHeight="false" outlineLevel="0" collapsed="false">
      <c r="A4202" s="215" t="s">
        <v>6782</v>
      </c>
    </row>
    <row r="4203" customFormat="false" ht="12" hidden="false" customHeight="false" outlineLevel="0" collapsed="false">
      <c r="A4203" s="215" t="s">
        <v>6783</v>
      </c>
    </row>
    <row r="4204" customFormat="false" ht="12" hidden="false" customHeight="false" outlineLevel="0" collapsed="false">
      <c r="A4204" s="215" t="s">
        <v>6784</v>
      </c>
    </row>
    <row r="4205" customFormat="false" ht="12" hidden="false" customHeight="false" outlineLevel="0" collapsed="false">
      <c r="A4205" s="215" t="s">
        <v>6785</v>
      </c>
    </row>
    <row r="4206" customFormat="false" ht="12" hidden="false" customHeight="false" outlineLevel="0" collapsed="false">
      <c r="A4206" s="215" t="s">
        <v>6786</v>
      </c>
    </row>
    <row r="4207" customFormat="false" ht="12" hidden="false" customHeight="false" outlineLevel="0" collapsed="false">
      <c r="A4207" s="215" t="s">
        <v>6787</v>
      </c>
    </row>
    <row r="4208" customFormat="false" ht="12" hidden="false" customHeight="false" outlineLevel="0" collapsed="false">
      <c r="A4208" s="215" t="s">
        <v>6788</v>
      </c>
    </row>
    <row r="4209" customFormat="false" ht="12" hidden="false" customHeight="false" outlineLevel="0" collapsed="false">
      <c r="A4209" s="215" t="s">
        <v>6789</v>
      </c>
    </row>
    <row r="4210" customFormat="false" ht="12" hidden="false" customHeight="false" outlineLevel="0" collapsed="false">
      <c r="A4210" s="215" t="s">
        <v>6790</v>
      </c>
    </row>
    <row r="4211" customFormat="false" ht="12" hidden="false" customHeight="false" outlineLevel="0" collapsed="false">
      <c r="A4211" s="215" t="s">
        <v>6791</v>
      </c>
    </row>
    <row r="4212" customFormat="false" ht="12" hidden="false" customHeight="false" outlineLevel="0" collapsed="false">
      <c r="A4212" s="215" t="s">
        <v>6792</v>
      </c>
    </row>
    <row r="4213" customFormat="false" ht="12" hidden="false" customHeight="false" outlineLevel="0" collapsed="false">
      <c r="A4213" s="215" t="s">
        <v>6793</v>
      </c>
    </row>
    <row r="4214" customFormat="false" ht="12" hidden="false" customHeight="false" outlineLevel="0" collapsed="false">
      <c r="A4214" s="215" t="s">
        <v>6794</v>
      </c>
    </row>
    <row r="4215" customFormat="false" ht="12" hidden="false" customHeight="false" outlineLevel="0" collapsed="false">
      <c r="A4215" s="215" t="s">
        <v>6795</v>
      </c>
    </row>
    <row r="4216" customFormat="false" ht="12" hidden="false" customHeight="false" outlineLevel="0" collapsed="false">
      <c r="A4216" s="215" t="s">
        <v>6796</v>
      </c>
    </row>
    <row r="4217" customFormat="false" ht="12" hidden="false" customHeight="false" outlineLevel="0" collapsed="false">
      <c r="A4217" s="215" t="s">
        <v>6797</v>
      </c>
    </row>
    <row r="4218" customFormat="false" ht="12" hidden="false" customHeight="false" outlineLevel="0" collapsed="false">
      <c r="A4218" s="215" t="s">
        <v>6798</v>
      </c>
    </row>
    <row r="4219" customFormat="false" ht="12" hidden="false" customHeight="false" outlineLevel="0" collapsed="false">
      <c r="A4219" s="215" t="s">
        <v>6799</v>
      </c>
    </row>
    <row r="4220" customFormat="false" ht="12" hidden="false" customHeight="false" outlineLevel="0" collapsed="false">
      <c r="A4220" s="215" t="s">
        <v>6800</v>
      </c>
    </row>
    <row r="4221" customFormat="false" ht="12" hidden="false" customHeight="false" outlineLevel="0" collapsed="false">
      <c r="A4221" s="215" t="s">
        <v>6801</v>
      </c>
    </row>
    <row r="4222" customFormat="false" ht="12" hidden="false" customHeight="false" outlineLevel="0" collapsed="false">
      <c r="A4222" s="215" t="s">
        <v>6802</v>
      </c>
    </row>
    <row r="4223" customFormat="false" ht="12" hidden="false" customHeight="false" outlineLevel="0" collapsed="false">
      <c r="A4223" s="215" t="s">
        <v>6803</v>
      </c>
    </row>
    <row r="4224" customFormat="false" ht="12" hidden="false" customHeight="false" outlineLevel="0" collapsed="false">
      <c r="A4224" s="215" t="s">
        <v>6804</v>
      </c>
    </row>
    <row r="4225" customFormat="false" ht="12" hidden="false" customHeight="false" outlineLevel="0" collapsed="false">
      <c r="A4225" s="215" t="s">
        <v>6805</v>
      </c>
    </row>
    <row r="4226" customFormat="false" ht="12" hidden="false" customHeight="false" outlineLevel="0" collapsed="false">
      <c r="A4226" s="215" t="s">
        <v>6806</v>
      </c>
    </row>
    <row r="4227" customFormat="false" ht="12" hidden="false" customHeight="false" outlineLevel="0" collapsed="false">
      <c r="A4227" s="215" t="s">
        <v>6807</v>
      </c>
    </row>
    <row r="4228" customFormat="false" ht="12" hidden="false" customHeight="false" outlineLevel="0" collapsed="false">
      <c r="A4228" s="215" t="s">
        <v>6808</v>
      </c>
    </row>
    <row r="4229" customFormat="false" ht="12" hidden="false" customHeight="false" outlineLevel="0" collapsed="false">
      <c r="A4229" s="215" t="s">
        <v>6809</v>
      </c>
    </row>
    <row r="4230" customFormat="false" ht="12" hidden="false" customHeight="false" outlineLevel="0" collapsed="false">
      <c r="A4230" s="215" t="s">
        <v>6810</v>
      </c>
    </row>
    <row r="4231" customFormat="false" ht="12" hidden="false" customHeight="false" outlineLevel="0" collapsed="false">
      <c r="A4231" s="215" t="s">
        <v>6811</v>
      </c>
    </row>
    <row r="4232" customFormat="false" ht="12" hidden="false" customHeight="false" outlineLevel="0" collapsed="false">
      <c r="A4232" s="215" t="s">
        <v>6812</v>
      </c>
    </row>
    <row r="4233" customFormat="false" ht="12" hidden="false" customHeight="false" outlineLevel="0" collapsed="false">
      <c r="A4233" s="215" t="s">
        <v>6813</v>
      </c>
    </row>
    <row r="4234" customFormat="false" ht="12" hidden="false" customHeight="false" outlineLevel="0" collapsed="false">
      <c r="A4234" s="215" t="s">
        <v>6814</v>
      </c>
    </row>
    <row r="4235" customFormat="false" ht="12" hidden="false" customHeight="false" outlineLevel="0" collapsed="false">
      <c r="A4235" s="215" t="s">
        <v>6815</v>
      </c>
    </row>
    <row r="4236" customFormat="false" ht="12" hidden="false" customHeight="false" outlineLevel="0" collapsed="false">
      <c r="A4236" s="215" t="s">
        <v>6816</v>
      </c>
    </row>
    <row r="4237" customFormat="false" ht="12" hidden="false" customHeight="false" outlineLevel="0" collapsed="false">
      <c r="A4237" s="215" t="s">
        <v>6817</v>
      </c>
    </row>
    <row r="4238" customFormat="false" ht="12" hidden="false" customHeight="false" outlineLevel="0" collapsed="false">
      <c r="A4238" s="215" t="s">
        <v>6818</v>
      </c>
    </row>
    <row r="4239" customFormat="false" ht="12" hidden="false" customHeight="false" outlineLevel="0" collapsed="false">
      <c r="A4239" s="215" t="s">
        <v>6819</v>
      </c>
    </row>
    <row r="4240" customFormat="false" ht="12" hidden="false" customHeight="false" outlineLevel="0" collapsed="false">
      <c r="A4240" s="215" t="s">
        <v>6820</v>
      </c>
    </row>
    <row r="4241" customFormat="false" ht="12" hidden="false" customHeight="false" outlineLevel="0" collapsed="false">
      <c r="A4241" s="215" t="s">
        <v>6821</v>
      </c>
    </row>
    <row r="4242" customFormat="false" ht="12" hidden="false" customHeight="false" outlineLevel="0" collapsed="false">
      <c r="A4242" s="215" t="s">
        <v>6822</v>
      </c>
    </row>
    <row r="4243" customFormat="false" ht="12" hidden="false" customHeight="false" outlineLevel="0" collapsed="false">
      <c r="A4243" s="215" t="s">
        <v>6823</v>
      </c>
    </row>
    <row r="4244" customFormat="false" ht="12" hidden="false" customHeight="false" outlineLevel="0" collapsed="false">
      <c r="A4244" s="215" t="s">
        <v>6824</v>
      </c>
    </row>
    <row r="4245" customFormat="false" ht="12" hidden="false" customHeight="false" outlineLevel="0" collapsed="false">
      <c r="A4245" s="215" t="s">
        <v>6825</v>
      </c>
    </row>
    <row r="4246" customFormat="false" ht="12" hidden="false" customHeight="false" outlineLevel="0" collapsed="false">
      <c r="A4246" s="215" t="s">
        <v>6826</v>
      </c>
    </row>
    <row r="4247" customFormat="false" ht="12" hidden="false" customHeight="false" outlineLevel="0" collapsed="false">
      <c r="A4247" s="215" t="s">
        <v>6827</v>
      </c>
    </row>
    <row r="4248" customFormat="false" ht="12" hidden="false" customHeight="false" outlineLevel="0" collapsed="false">
      <c r="A4248" s="215" t="s">
        <v>6828</v>
      </c>
    </row>
    <row r="4249" customFormat="false" ht="12" hidden="false" customHeight="false" outlineLevel="0" collapsed="false">
      <c r="A4249" s="215" t="s">
        <v>6829</v>
      </c>
    </row>
    <row r="4250" customFormat="false" ht="12" hidden="false" customHeight="false" outlineLevel="0" collapsed="false">
      <c r="A4250" s="215" t="s">
        <v>6830</v>
      </c>
    </row>
    <row r="4251" customFormat="false" ht="12" hidden="false" customHeight="false" outlineLevel="0" collapsed="false">
      <c r="A4251" s="215" t="s">
        <v>6831</v>
      </c>
    </row>
    <row r="4252" customFormat="false" ht="12" hidden="false" customHeight="false" outlineLevel="0" collapsed="false">
      <c r="A4252" s="215" t="s">
        <v>6832</v>
      </c>
    </row>
    <row r="4253" customFormat="false" ht="12" hidden="false" customHeight="false" outlineLevel="0" collapsed="false">
      <c r="A4253" s="215" t="s">
        <v>6833</v>
      </c>
    </row>
    <row r="4254" customFormat="false" ht="12" hidden="false" customHeight="false" outlineLevel="0" collapsed="false">
      <c r="A4254" s="215" t="s">
        <v>6834</v>
      </c>
    </row>
    <row r="4255" customFormat="false" ht="12" hidden="false" customHeight="false" outlineLevel="0" collapsed="false">
      <c r="A4255" s="215" t="s">
        <v>6835</v>
      </c>
    </row>
    <row r="4256" customFormat="false" ht="12" hidden="false" customHeight="false" outlineLevel="0" collapsed="false">
      <c r="A4256" s="215" t="s">
        <v>6836</v>
      </c>
    </row>
    <row r="4257" customFormat="false" ht="12" hidden="false" customHeight="false" outlineLevel="0" collapsed="false">
      <c r="A4257" s="215" t="s">
        <v>6837</v>
      </c>
    </row>
    <row r="4258" customFormat="false" ht="12" hidden="false" customHeight="false" outlineLevel="0" collapsed="false">
      <c r="A4258" s="215" t="s">
        <v>6838</v>
      </c>
    </row>
    <row r="4259" customFormat="false" ht="12" hidden="false" customHeight="false" outlineLevel="0" collapsed="false">
      <c r="A4259" s="215" t="s">
        <v>6839</v>
      </c>
    </row>
    <row r="4260" customFormat="false" ht="12" hidden="false" customHeight="false" outlineLevel="0" collapsed="false">
      <c r="A4260" s="215" t="s">
        <v>6840</v>
      </c>
    </row>
    <row r="4261" customFormat="false" ht="12" hidden="false" customHeight="false" outlineLevel="0" collapsed="false">
      <c r="A4261" s="215" t="s">
        <v>6841</v>
      </c>
    </row>
    <row r="4262" customFormat="false" ht="12" hidden="false" customHeight="false" outlineLevel="0" collapsed="false">
      <c r="A4262" s="215" t="s">
        <v>6842</v>
      </c>
    </row>
    <row r="4263" customFormat="false" ht="12" hidden="false" customHeight="false" outlineLevel="0" collapsed="false">
      <c r="A4263" s="215" t="s">
        <v>6843</v>
      </c>
    </row>
    <row r="4264" customFormat="false" ht="12" hidden="false" customHeight="false" outlineLevel="0" collapsed="false">
      <c r="A4264" s="215" t="s">
        <v>6844</v>
      </c>
    </row>
    <row r="4265" customFormat="false" ht="12" hidden="false" customHeight="false" outlineLevel="0" collapsed="false">
      <c r="A4265" s="215" t="s">
        <v>6845</v>
      </c>
    </row>
    <row r="4266" customFormat="false" ht="12" hidden="false" customHeight="false" outlineLevel="0" collapsed="false">
      <c r="A4266" s="215" t="s">
        <v>6846</v>
      </c>
    </row>
    <row r="4267" customFormat="false" ht="12" hidden="false" customHeight="false" outlineLevel="0" collapsed="false">
      <c r="A4267" s="215" t="s">
        <v>6847</v>
      </c>
    </row>
    <row r="4268" customFormat="false" ht="12" hidden="false" customHeight="false" outlineLevel="0" collapsed="false">
      <c r="A4268" s="215" t="s">
        <v>6848</v>
      </c>
    </row>
    <row r="4269" customFormat="false" ht="12" hidden="false" customHeight="false" outlineLevel="0" collapsed="false">
      <c r="A4269" s="215" t="s">
        <v>6849</v>
      </c>
    </row>
    <row r="4270" customFormat="false" ht="12" hidden="false" customHeight="false" outlineLevel="0" collapsed="false">
      <c r="A4270" s="215" t="s">
        <v>6850</v>
      </c>
    </row>
    <row r="4271" customFormat="false" ht="12" hidden="false" customHeight="false" outlineLevel="0" collapsed="false">
      <c r="A4271" s="215" t="s">
        <v>6851</v>
      </c>
    </row>
    <row r="4272" customFormat="false" ht="12" hidden="false" customHeight="false" outlineLevel="0" collapsed="false">
      <c r="A4272" s="215" t="s">
        <v>6852</v>
      </c>
    </row>
    <row r="4273" customFormat="false" ht="12" hidden="false" customHeight="false" outlineLevel="0" collapsed="false">
      <c r="A4273" s="215" t="s">
        <v>6853</v>
      </c>
    </row>
    <row r="4274" customFormat="false" ht="12" hidden="false" customHeight="false" outlineLevel="0" collapsed="false">
      <c r="A4274" s="215" t="s">
        <v>6854</v>
      </c>
    </row>
    <row r="4275" customFormat="false" ht="12" hidden="false" customHeight="false" outlineLevel="0" collapsed="false">
      <c r="A4275" s="215" t="s">
        <v>6855</v>
      </c>
    </row>
    <row r="4276" customFormat="false" ht="12" hidden="false" customHeight="false" outlineLevel="0" collapsed="false">
      <c r="A4276" s="215" t="s">
        <v>6856</v>
      </c>
    </row>
    <row r="4277" customFormat="false" ht="12" hidden="false" customHeight="false" outlineLevel="0" collapsed="false">
      <c r="A4277" s="215" t="s">
        <v>6857</v>
      </c>
    </row>
    <row r="4278" customFormat="false" ht="12" hidden="false" customHeight="false" outlineLevel="0" collapsed="false">
      <c r="A4278" s="215" t="s">
        <v>6858</v>
      </c>
    </row>
    <row r="4279" customFormat="false" ht="12" hidden="false" customHeight="false" outlineLevel="0" collapsed="false">
      <c r="A4279" s="215" t="s">
        <v>6859</v>
      </c>
    </row>
    <row r="4280" customFormat="false" ht="12" hidden="false" customHeight="false" outlineLevel="0" collapsed="false">
      <c r="A4280" s="215" t="s">
        <v>6860</v>
      </c>
    </row>
    <row r="4281" customFormat="false" ht="12" hidden="false" customHeight="false" outlineLevel="0" collapsed="false">
      <c r="A4281" s="215" t="s">
        <v>6861</v>
      </c>
    </row>
    <row r="4282" customFormat="false" ht="12" hidden="false" customHeight="false" outlineLevel="0" collapsed="false">
      <c r="A4282" s="215" t="s">
        <v>6862</v>
      </c>
    </row>
    <row r="4283" customFormat="false" ht="12" hidden="false" customHeight="false" outlineLevel="0" collapsed="false">
      <c r="A4283" s="215" t="s">
        <v>6863</v>
      </c>
    </row>
    <row r="4284" customFormat="false" ht="12" hidden="false" customHeight="false" outlineLevel="0" collapsed="false">
      <c r="A4284" s="215" t="s">
        <v>6864</v>
      </c>
    </row>
    <row r="4285" customFormat="false" ht="12" hidden="false" customHeight="false" outlineLevel="0" collapsed="false">
      <c r="A4285" s="215" t="s">
        <v>6865</v>
      </c>
    </row>
    <row r="4286" customFormat="false" ht="12" hidden="false" customHeight="false" outlineLevel="0" collapsed="false">
      <c r="A4286" s="215" t="s">
        <v>6866</v>
      </c>
    </row>
    <row r="4287" customFormat="false" ht="12" hidden="false" customHeight="false" outlineLevel="0" collapsed="false">
      <c r="A4287" s="215" t="s">
        <v>6867</v>
      </c>
    </row>
    <row r="4288" customFormat="false" ht="12" hidden="false" customHeight="false" outlineLevel="0" collapsed="false">
      <c r="A4288" s="215" t="s">
        <v>6868</v>
      </c>
    </row>
    <row r="4289" customFormat="false" ht="12" hidden="false" customHeight="false" outlineLevel="0" collapsed="false">
      <c r="A4289" s="215" t="s">
        <v>6869</v>
      </c>
    </row>
    <row r="4290" customFormat="false" ht="12" hidden="false" customHeight="false" outlineLevel="0" collapsed="false">
      <c r="A4290" s="215" t="s">
        <v>6870</v>
      </c>
    </row>
    <row r="4291" customFormat="false" ht="12" hidden="false" customHeight="false" outlineLevel="0" collapsed="false">
      <c r="A4291" s="215" t="s">
        <v>6871</v>
      </c>
    </row>
    <row r="4292" customFormat="false" ht="12" hidden="false" customHeight="false" outlineLevel="0" collapsed="false">
      <c r="A4292" s="215" t="s">
        <v>6872</v>
      </c>
    </row>
    <row r="4293" customFormat="false" ht="12" hidden="false" customHeight="false" outlineLevel="0" collapsed="false">
      <c r="A4293" s="215" t="s">
        <v>6873</v>
      </c>
    </row>
    <row r="4294" customFormat="false" ht="12" hidden="false" customHeight="false" outlineLevel="0" collapsed="false">
      <c r="A4294" s="215" t="s">
        <v>6874</v>
      </c>
    </row>
    <row r="4295" customFormat="false" ht="12" hidden="false" customHeight="false" outlineLevel="0" collapsed="false">
      <c r="A4295" s="215" t="s">
        <v>6875</v>
      </c>
    </row>
    <row r="4296" customFormat="false" ht="12" hidden="false" customHeight="false" outlineLevel="0" collapsed="false">
      <c r="A4296" s="215" t="s">
        <v>6876</v>
      </c>
    </row>
    <row r="4297" customFormat="false" ht="12" hidden="false" customHeight="false" outlineLevel="0" collapsed="false">
      <c r="A4297" s="215" t="s">
        <v>6877</v>
      </c>
    </row>
    <row r="4298" customFormat="false" ht="12" hidden="false" customHeight="false" outlineLevel="0" collapsed="false">
      <c r="A4298" s="215" t="s">
        <v>6878</v>
      </c>
    </row>
    <row r="4299" customFormat="false" ht="12" hidden="false" customHeight="false" outlineLevel="0" collapsed="false">
      <c r="A4299" s="215" t="s">
        <v>6879</v>
      </c>
    </row>
    <row r="4300" customFormat="false" ht="12" hidden="false" customHeight="false" outlineLevel="0" collapsed="false">
      <c r="A4300" s="215" t="s">
        <v>6880</v>
      </c>
    </row>
    <row r="4301" customFormat="false" ht="12" hidden="false" customHeight="false" outlineLevel="0" collapsed="false">
      <c r="A4301" s="215" t="s">
        <v>6881</v>
      </c>
    </row>
    <row r="4302" customFormat="false" ht="12" hidden="false" customHeight="false" outlineLevel="0" collapsed="false">
      <c r="A4302" s="215" t="s">
        <v>6882</v>
      </c>
    </row>
    <row r="4303" customFormat="false" ht="12" hidden="false" customHeight="false" outlineLevel="0" collapsed="false">
      <c r="A4303" s="215" t="s">
        <v>6883</v>
      </c>
    </row>
    <row r="4304" customFormat="false" ht="12" hidden="false" customHeight="false" outlineLevel="0" collapsed="false">
      <c r="A4304" s="215" t="s">
        <v>6884</v>
      </c>
    </row>
    <row r="4305" customFormat="false" ht="12" hidden="false" customHeight="false" outlineLevel="0" collapsed="false">
      <c r="A4305" s="215" t="s">
        <v>6885</v>
      </c>
    </row>
    <row r="4306" customFormat="false" ht="12" hidden="false" customHeight="false" outlineLevel="0" collapsed="false">
      <c r="A4306" s="215" t="s">
        <v>6886</v>
      </c>
    </row>
    <row r="4307" customFormat="false" ht="12" hidden="false" customHeight="false" outlineLevel="0" collapsed="false">
      <c r="A4307" s="215" t="s">
        <v>6887</v>
      </c>
    </row>
    <row r="4308" customFormat="false" ht="12" hidden="false" customHeight="false" outlineLevel="0" collapsed="false">
      <c r="A4308" s="215" t="s">
        <v>6888</v>
      </c>
    </row>
    <row r="4309" customFormat="false" ht="12" hidden="false" customHeight="false" outlineLevel="0" collapsed="false">
      <c r="A4309" s="215" t="s">
        <v>6889</v>
      </c>
    </row>
    <row r="4310" customFormat="false" ht="12" hidden="false" customHeight="false" outlineLevel="0" collapsed="false">
      <c r="A4310" s="215" t="s">
        <v>6890</v>
      </c>
    </row>
    <row r="4311" customFormat="false" ht="12" hidden="false" customHeight="false" outlineLevel="0" collapsed="false">
      <c r="A4311" s="215" t="s">
        <v>6891</v>
      </c>
    </row>
    <row r="4312" customFormat="false" ht="12" hidden="false" customHeight="false" outlineLevel="0" collapsed="false">
      <c r="A4312" s="215" t="s">
        <v>6892</v>
      </c>
    </row>
    <row r="4313" customFormat="false" ht="12" hidden="false" customHeight="false" outlineLevel="0" collapsed="false">
      <c r="A4313" s="215" t="s">
        <v>6893</v>
      </c>
    </row>
    <row r="4314" customFormat="false" ht="12" hidden="false" customHeight="false" outlineLevel="0" collapsed="false">
      <c r="A4314" s="215" t="s">
        <v>6894</v>
      </c>
    </row>
    <row r="4315" customFormat="false" ht="12" hidden="false" customHeight="false" outlineLevel="0" collapsed="false">
      <c r="A4315" s="215" t="s">
        <v>6895</v>
      </c>
    </row>
    <row r="4316" customFormat="false" ht="12" hidden="false" customHeight="false" outlineLevel="0" collapsed="false">
      <c r="A4316" s="215" t="s">
        <v>6896</v>
      </c>
    </row>
    <row r="4317" customFormat="false" ht="12" hidden="false" customHeight="false" outlineLevel="0" collapsed="false">
      <c r="A4317" s="215" t="s">
        <v>6897</v>
      </c>
    </row>
    <row r="4318" customFormat="false" ht="12" hidden="false" customHeight="false" outlineLevel="0" collapsed="false">
      <c r="A4318" s="215" t="s">
        <v>6898</v>
      </c>
    </row>
    <row r="4319" customFormat="false" ht="12" hidden="false" customHeight="false" outlineLevel="0" collapsed="false">
      <c r="A4319" s="215" t="s">
        <v>6899</v>
      </c>
    </row>
    <row r="4320" customFormat="false" ht="12" hidden="false" customHeight="false" outlineLevel="0" collapsed="false">
      <c r="A4320" s="215" t="s">
        <v>6900</v>
      </c>
    </row>
    <row r="4321" customFormat="false" ht="12" hidden="false" customHeight="false" outlineLevel="0" collapsed="false">
      <c r="A4321" s="215" t="s">
        <v>6901</v>
      </c>
    </row>
    <row r="4322" customFormat="false" ht="12" hidden="false" customHeight="false" outlineLevel="0" collapsed="false">
      <c r="A4322" s="215" t="s">
        <v>6902</v>
      </c>
    </row>
    <row r="4323" customFormat="false" ht="12" hidden="false" customHeight="false" outlineLevel="0" collapsed="false">
      <c r="A4323" s="215" t="s">
        <v>6903</v>
      </c>
    </row>
    <row r="4324" customFormat="false" ht="12" hidden="false" customHeight="false" outlineLevel="0" collapsed="false">
      <c r="A4324" s="215" t="s">
        <v>6904</v>
      </c>
    </row>
    <row r="4325" customFormat="false" ht="12" hidden="false" customHeight="false" outlineLevel="0" collapsed="false">
      <c r="A4325" s="215" t="s">
        <v>6905</v>
      </c>
    </row>
    <row r="4326" customFormat="false" ht="12" hidden="false" customHeight="false" outlineLevel="0" collapsed="false">
      <c r="A4326" s="215" t="s">
        <v>6906</v>
      </c>
    </row>
    <row r="4327" customFormat="false" ht="12" hidden="false" customHeight="false" outlineLevel="0" collapsed="false">
      <c r="A4327" s="215" t="s">
        <v>6907</v>
      </c>
    </row>
    <row r="4328" customFormat="false" ht="12" hidden="false" customHeight="false" outlineLevel="0" collapsed="false">
      <c r="A4328" s="215" t="s">
        <v>6908</v>
      </c>
    </row>
    <row r="4329" customFormat="false" ht="12" hidden="false" customHeight="false" outlineLevel="0" collapsed="false">
      <c r="A4329" s="215" t="s">
        <v>6909</v>
      </c>
    </row>
    <row r="4330" customFormat="false" ht="12" hidden="false" customHeight="false" outlineLevel="0" collapsed="false">
      <c r="A4330" s="215" t="s">
        <v>6910</v>
      </c>
    </row>
    <row r="4331" customFormat="false" ht="12" hidden="false" customHeight="false" outlineLevel="0" collapsed="false">
      <c r="A4331" s="215" t="s">
        <v>6911</v>
      </c>
    </row>
    <row r="4332" customFormat="false" ht="12" hidden="false" customHeight="false" outlineLevel="0" collapsed="false">
      <c r="A4332" s="215" t="s">
        <v>6912</v>
      </c>
    </row>
    <row r="4333" customFormat="false" ht="12" hidden="false" customHeight="false" outlineLevel="0" collapsed="false">
      <c r="A4333" s="215" t="s">
        <v>6913</v>
      </c>
    </row>
    <row r="4334" customFormat="false" ht="12" hidden="false" customHeight="false" outlineLevel="0" collapsed="false">
      <c r="A4334" s="215" t="s">
        <v>6914</v>
      </c>
    </row>
    <row r="4335" customFormat="false" ht="12" hidden="false" customHeight="false" outlineLevel="0" collapsed="false">
      <c r="A4335" s="215" t="s">
        <v>6915</v>
      </c>
    </row>
    <row r="4336" customFormat="false" ht="12" hidden="false" customHeight="false" outlineLevel="0" collapsed="false">
      <c r="A4336" s="215" t="s">
        <v>6916</v>
      </c>
    </row>
    <row r="4337" customFormat="false" ht="12" hidden="false" customHeight="false" outlineLevel="0" collapsed="false">
      <c r="A4337" s="215" t="s">
        <v>6917</v>
      </c>
    </row>
    <row r="4338" customFormat="false" ht="12" hidden="false" customHeight="false" outlineLevel="0" collapsed="false">
      <c r="A4338" s="215" t="s">
        <v>6918</v>
      </c>
    </row>
    <row r="4339" customFormat="false" ht="12" hidden="false" customHeight="false" outlineLevel="0" collapsed="false">
      <c r="A4339" s="215" t="s">
        <v>6919</v>
      </c>
    </row>
    <row r="4340" customFormat="false" ht="12" hidden="false" customHeight="false" outlineLevel="0" collapsed="false">
      <c r="A4340" s="215" t="s">
        <v>6920</v>
      </c>
    </row>
    <row r="4341" customFormat="false" ht="12" hidden="false" customHeight="false" outlineLevel="0" collapsed="false">
      <c r="A4341" s="215" t="s">
        <v>6921</v>
      </c>
    </row>
    <row r="4342" customFormat="false" ht="12" hidden="false" customHeight="false" outlineLevel="0" collapsed="false">
      <c r="A4342" s="215" t="s">
        <v>6922</v>
      </c>
    </row>
    <row r="4343" customFormat="false" ht="12" hidden="false" customHeight="false" outlineLevel="0" collapsed="false">
      <c r="A4343" s="215" t="s">
        <v>6923</v>
      </c>
    </row>
    <row r="4344" customFormat="false" ht="12" hidden="false" customHeight="false" outlineLevel="0" collapsed="false">
      <c r="A4344" s="215" t="s">
        <v>6924</v>
      </c>
    </row>
    <row r="4345" customFormat="false" ht="12" hidden="false" customHeight="false" outlineLevel="0" collapsed="false">
      <c r="A4345" s="215" t="s">
        <v>6925</v>
      </c>
    </row>
    <row r="4346" customFormat="false" ht="12" hidden="false" customHeight="false" outlineLevel="0" collapsed="false">
      <c r="A4346" s="215" t="s">
        <v>6926</v>
      </c>
    </row>
    <row r="4347" customFormat="false" ht="12" hidden="false" customHeight="false" outlineLevel="0" collapsed="false">
      <c r="A4347" s="215" t="s">
        <v>6927</v>
      </c>
    </row>
    <row r="4348" customFormat="false" ht="12" hidden="false" customHeight="false" outlineLevel="0" collapsed="false">
      <c r="A4348" s="215" t="s">
        <v>6928</v>
      </c>
    </row>
    <row r="4349" customFormat="false" ht="12" hidden="false" customHeight="false" outlineLevel="0" collapsed="false">
      <c r="A4349" s="215" t="s">
        <v>6929</v>
      </c>
    </row>
    <row r="4350" customFormat="false" ht="12" hidden="false" customHeight="false" outlineLevel="0" collapsed="false">
      <c r="A4350" s="215" t="s">
        <v>6930</v>
      </c>
    </row>
    <row r="4351" customFormat="false" ht="12" hidden="false" customHeight="false" outlineLevel="0" collapsed="false">
      <c r="A4351" s="215" t="s">
        <v>6931</v>
      </c>
    </row>
    <row r="4352" customFormat="false" ht="12" hidden="false" customHeight="false" outlineLevel="0" collapsed="false">
      <c r="A4352" s="215" t="s">
        <v>6932</v>
      </c>
    </row>
    <row r="4353" customFormat="false" ht="12" hidden="false" customHeight="false" outlineLevel="0" collapsed="false">
      <c r="A4353" s="215" t="s">
        <v>6933</v>
      </c>
    </row>
    <row r="4354" customFormat="false" ht="12" hidden="false" customHeight="false" outlineLevel="0" collapsed="false">
      <c r="A4354" s="215" t="s">
        <v>6934</v>
      </c>
    </row>
    <row r="4355" customFormat="false" ht="12" hidden="false" customHeight="false" outlineLevel="0" collapsed="false">
      <c r="A4355" s="215" t="s">
        <v>6935</v>
      </c>
    </row>
    <row r="4356" customFormat="false" ht="12" hidden="false" customHeight="false" outlineLevel="0" collapsed="false">
      <c r="A4356" s="215" t="s">
        <v>6936</v>
      </c>
    </row>
    <row r="4357" customFormat="false" ht="12" hidden="false" customHeight="false" outlineLevel="0" collapsed="false">
      <c r="A4357" s="215" t="s">
        <v>6937</v>
      </c>
    </row>
    <row r="4358" customFormat="false" ht="12" hidden="false" customHeight="false" outlineLevel="0" collapsed="false">
      <c r="A4358" s="215" t="s">
        <v>6938</v>
      </c>
    </row>
    <row r="4359" customFormat="false" ht="12" hidden="false" customHeight="false" outlineLevel="0" collapsed="false">
      <c r="A4359" s="215" t="s">
        <v>6939</v>
      </c>
    </row>
    <row r="4360" customFormat="false" ht="12" hidden="false" customHeight="false" outlineLevel="0" collapsed="false">
      <c r="A4360" s="215" t="s">
        <v>6940</v>
      </c>
    </row>
    <row r="4361" customFormat="false" ht="12" hidden="false" customHeight="false" outlineLevel="0" collapsed="false">
      <c r="A4361" s="215" t="s">
        <v>6941</v>
      </c>
    </row>
    <row r="4362" customFormat="false" ht="12" hidden="false" customHeight="false" outlineLevel="0" collapsed="false">
      <c r="A4362" s="215" t="s">
        <v>6942</v>
      </c>
    </row>
    <row r="4363" customFormat="false" ht="12" hidden="false" customHeight="false" outlineLevel="0" collapsed="false">
      <c r="A4363" s="215" t="s">
        <v>6943</v>
      </c>
    </row>
    <row r="4364" customFormat="false" ht="12" hidden="false" customHeight="false" outlineLevel="0" collapsed="false">
      <c r="A4364" s="215" t="s">
        <v>6944</v>
      </c>
    </row>
    <row r="4365" customFormat="false" ht="12" hidden="false" customHeight="false" outlineLevel="0" collapsed="false">
      <c r="A4365" s="215" t="s">
        <v>6945</v>
      </c>
    </row>
    <row r="4366" customFormat="false" ht="12" hidden="false" customHeight="false" outlineLevel="0" collapsed="false">
      <c r="A4366" s="215" t="s">
        <v>6946</v>
      </c>
    </row>
    <row r="4367" customFormat="false" ht="12" hidden="false" customHeight="false" outlineLevel="0" collapsed="false">
      <c r="A4367" s="215" t="s">
        <v>6947</v>
      </c>
    </row>
    <row r="4368" customFormat="false" ht="12" hidden="false" customHeight="false" outlineLevel="0" collapsed="false">
      <c r="A4368" s="215" t="s">
        <v>6948</v>
      </c>
    </row>
    <row r="4369" customFormat="false" ht="12" hidden="false" customHeight="false" outlineLevel="0" collapsed="false">
      <c r="A4369" s="215" t="s">
        <v>6949</v>
      </c>
    </row>
    <row r="4370" customFormat="false" ht="12" hidden="false" customHeight="false" outlineLevel="0" collapsed="false">
      <c r="A4370" s="215" t="s">
        <v>6950</v>
      </c>
    </row>
    <row r="4371" customFormat="false" ht="12" hidden="false" customHeight="false" outlineLevel="0" collapsed="false">
      <c r="A4371" s="215" t="s">
        <v>6951</v>
      </c>
    </row>
    <row r="4372" customFormat="false" ht="12" hidden="false" customHeight="false" outlineLevel="0" collapsed="false">
      <c r="A4372" s="215" t="s">
        <v>6952</v>
      </c>
    </row>
    <row r="4373" customFormat="false" ht="12" hidden="false" customHeight="false" outlineLevel="0" collapsed="false">
      <c r="A4373" s="215" t="s">
        <v>6953</v>
      </c>
    </row>
    <row r="4374" customFormat="false" ht="12" hidden="false" customHeight="false" outlineLevel="0" collapsed="false">
      <c r="A4374" s="215" t="s">
        <v>6954</v>
      </c>
    </row>
    <row r="4375" customFormat="false" ht="12" hidden="false" customHeight="false" outlineLevel="0" collapsed="false">
      <c r="A4375" s="215" t="s">
        <v>6955</v>
      </c>
    </row>
    <row r="4376" customFormat="false" ht="12" hidden="false" customHeight="false" outlineLevel="0" collapsed="false">
      <c r="A4376" s="215" t="s">
        <v>6956</v>
      </c>
    </row>
    <row r="4377" customFormat="false" ht="12" hidden="false" customHeight="false" outlineLevel="0" collapsed="false">
      <c r="A4377" s="215" t="s">
        <v>6957</v>
      </c>
    </row>
    <row r="4378" customFormat="false" ht="12" hidden="false" customHeight="false" outlineLevel="0" collapsed="false">
      <c r="A4378" s="215" t="s">
        <v>6958</v>
      </c>
    </row>
    <row r="4379" customFormat="false" ht="12" hidden="false" customHeight="false" outlineLevel="0" collapsed="false">
      <c r="A4379" s="215" t="s">
        <v>6959</v>
      </c>
    </row>
    <row r="4380" customFormat="false" ht="12" hidden="false" customHeight="false" outlineLevel="0" collapsed="false">
      <c r="A4380" s="215" t="s">
        <v>6960</v>
      </c>
    </row>
    <row r="4381" customFormat="false" ht="12" hidden="false" customHeight="false" outlineLevel="0" collapsed="false">
      <c r="A4381" s="215" t="s">
        <v>6961</v>
      </c>
    </row>
    <row r="4382" customFormat="false" ht="12" hidden="false" customHeight="false" outlineLevel="0" collapsed="false">
      <c r="A4382" s="215" t="s">
        <v>6962</v>
      </c>
    </row>
    <row r="4383" customFormat="false" ht="12" hidden="false" customHeight="false" outlineLevel="0" collapsed="false">
      <c r="A4383" s="215" t="s">
        <v>6963</v>
      </c>
    </row>
    <row r="4384" customFormat="false" ht="12" hidden="false" customHeight="false" outlineLevel="0" collapsed="false">
      <c r="A4384" s="215" t="s">
        <v>6964</v>
      </c>
    </row>
    <row r="4385" customFormat="false" ht="12" hidden="false" customHeight="false" outlineLevel="0" collapsed="false">
      <c r="A4385" s="215" t="s">
        <v>6965</v>
      </c>
    </row>
    <row r="4386" customFormat="false" ht="12" hidden="false" customHeight="false" outlineLevel="0" collapsed="false">
      <c r="A4386" s="215" t="s">
        <v>6966</v>
      </c>
    </row>
    <row r="4387" customFormat="false" ht="12" hidden="false" customHeight="false" outlineLevel="0" collapsed="false">
      <c r="A4387" s="215" t="s">
        <v>6967</v>
      </c>
    </row>
    <row r="4388" customFormat="false" ht="12" hidden="false" customHeight="false" outlineLevel="0" collapsed="false">
      <c r="A4388" s="215" t="s">
        <v>6968</v>
      </c>
    </row>
    <row r="4389" customFormat="false" ht="12" hidden="false" customHeight="false" outlineLevel="0" collapsed="false">
      <c r="A4389" s="215" t="s">
        <v>6969</v>
      </c>
    </row>
    <row r="4390" customFormat="false" ht="12" hidden="false" customHeight="false" outlineLevel="0" collapsed="false">
      <c r="A4390" s="215" t="s">
        <v>6970</v>
      </c>
    </row>
    <row r="4391" customFormat="false" ht="12" hidden="false" customHeight="false" outlineLevel="0" collapsed="false">
      <c r="A4391" s="215" t="s">
        <v>6971</v>
      </c>
    </row>
    <row r="4392" customFormat="false" ht="12" hidden="false" customHeight="false" outlineLevel="0" collapsed="false">
      <c r="A4392" s="215" t="s">
        <v>6972</v>
      </c>
    </row>
    <row r="4393" customFormat="false" ht="12" hidden="false" customHeight="false" outlineLevel="0" collapsed="false">
      <c r="A4393" s="215" t="s">
        <v>6973</v>
      </c>
    </row>
    <row r="4394" customFormat="false" ht="12" hidden="false" customHeight="false" outlineLevel="0" collapsed="false">
      <c r="A4394" s="215" t="s">
        <v>6974</v>
      </c>
    </row>
    <row r="4395" customFormat="false" ht="12" hidden="false" customHeight="false" outlineLevel="0" collapsed="false">
      <c r="A4395" s="215" t="s">
        <v>6975</v>
      </c>
    </row>
    <row r="4396" customFormat="false" ht="12" hidden="false" customHeight="false" outlineLevel="0" collapsed="false">
      <c r="A4396" s="215" t="s">
        <v>6976</v>
      </c>
    </row>
    <row r="4397" customFormat="false" ht="12" hidden="false" customHeight="false" outlineLevel="0" collapsed="false">
      <c r="A4397" s="215" t="s">
        <v>6977</v>
      </c>
    </row>
    <row r="4398" customFormat="false" ht="12" hidden="false" customHeight="false" outlineLevel="0" collapsed="false">
      <c r="A4398" s="215" t="s">
        <v>6978</v>
      </c>
    </row>
    <row r="4399" customFormat="false" ht="12" hidden="false" customHeight="false" outlineLevel="0" collapsed="false">
      <c r="A4399" s="215" t="s">
        <v>6979</v>
      </c>
    </row>
    <row r="4400" customFormat="false" ht="12" hidden="false" customHeight="false" outlineLevel="0" collapsed="false">
      <c r="A4400" s="215" t="s">
        <v>6980</v>
      </c>
    </row>
    <row r="4401" customFormat="false" ht="12" hidden="false" customHeight="false" outlineLevel="0" collapsed="false">
      <c r="A4401" s="215" t="s">
        <v>6981</v>
      </c>
    </row>
    <row r="4402" customFormat="false" ht="12" hidden="false" customHeight="false" outlineLevel="0" collapsed="false">
      <c r="A4402" s="215" t="s">
        <v>6982</v>
      </c>
    </row>
    <row r="4403" customFormat="false" ht="12" hidden="false" customHeight="false" outlineLevel="0" collapsed="false">
      <c r="A4403" s="215" t="s">
        <v>6983</v>
      </c>
    </row>
    <row r="4404" customFormat="false" ht="12" hidden="false" customHeight="false" outlineLevel="0" collapsed="false">
      <c r="A4404" s="215" t="s">
        <v>6984</v>
      </c>
    </row>
    <row r="4405" customFormat="false" ht="12" hidden="false" customHeight="false" outlineLevel="0" collapsed="false">
      <c r="A4405" s="215" t="s">
        <v>6985</v>
      </c>
    </row>
    <row r="4406" customFormat="false" ht="12" hidden="false" customHeight="false" outlineLevel="0" collapsed="false">
      <c r="A4406" s="215" t="s">
        <v>6986</v>
      </c>
    </row>
    <row r="4407" customFormat="false" ht="12" hidden="false" customHeight="false" outlineLevel="0" collapsed="false">
      <c r="A4407" s="215" t="s">
        <v>6987</v>
      </c>
    </row>
    <row r="4408" customFormat="false" ht="12" hidden="false" customHeight="false" outlineLevel="0" collapsed="false">
      <c r="A4408" s="215" t="s">
        <v>6988</v>
      </c>
    </row>
    <row r="4409" customFormat="false" ht="12" hidden="false" customHeight="false" outlineLevel="0" collapsed="false">
      <c r="A4409" s="215" t="s">
        <v>6989</v>
      </c>
    </row>
    <row r="4410" customFormat="false" ht="12" hidden="false" customHeight="false" outlineLevel="0" collapsed="false">
      <c r="A4410" s="215" t="s">
        <v>6990</v>
      </c>
    </row>
    <row r="4411" customFormat="false" ht="12" hidden="false" customHeight="false" outlineLevel="0" collapsed="false">
      <c r="A4411" s="215" t="s">
        <v>6991</v>
      </c>
    </row>
    <row r="4412" customFormat="false" ht="12" hidden="false" customHeight="false" outlineLevel="0" collapsed="false">
      <c r="A4412" s="215" t="s">
        <v>6992</v>
      </c>
    </row>
    <row r="4413" customFormat="false" ht="12" hidden="false" customHeight="false" outlineLevel="0" collapsed="false">
      <c r="A4413" s="215" t="s">
        <v>6993</v>
      </c>
    </row>
    <row r="4414" customFormat="false" ht="12" hidden="false" customHeight="false" outlineLevel="0" collapsed="false">
      <c r="A4414" s="215" t="s">
        <v>6994</v>
      </c>
    </row>
    <row r="4415" customFormat="false" ht="12" hidden="false" customHeight="false" outlineLevel="0" collapsed="false">
      <c r="A4415" s="215" t="s">
        <v>6995</v>
      </c>
    </row>
    <row r="4416" customFormat="false" ht="12" hidden="false" customHeight="false" outlineLevel="0" collapsed="false">
      <c r="A4416" s="215" t="s">
        <v>6996</v>
      </c>
    </row>
    <row r="4417" customFormat="false" ht="12" hidden="false" customHeight="false" outlineLevel="0" collapsed="false">
      <c r="A4417" s="215" t="s">
        <v>6997</v>
      </c>
    </row>
    <row r="4418" customFormat="false" ht="12" hidden="false" customHeight="false" outlineLevel="0" collapsed="false">
      <c r="A4418" s="215" t="s">
        <v>6998</v>
      </c>
    </row>
    <row r="4419" customFormat="false" ht="12" hidden="false" customHeight="false" outlineLevel="0" collapsed="false">
      <c r="A4419" s="215" t="s">
        <v>6999</v>
      </c>
    </row>
    <row r="4420" customFormat="false" ht="12" hidden="false" customHeight="false" outlineLevel="0" collapsed="false">
      <c r="A4420" s="215" t="s">
        <v>7000</v>
      </c>
    </row>
    <row r="4421" customFormat="false" ht="12" hidden="false" customHeight="false" outlineLevel="0" collapsed="false">
      <c r="A4421" s="215" t="s">
        <v>7001</v>
      </c>
    </row>
    <row r="4422" customFormat="false" ht="12" hidden="false" customHeight="false" outlineLevel="0" collapsed="false">
      <c r="A4422" s="215" t="s">
        <v>7002</v>
      </c>
    </row>
    <row r="4423" customFormat="false" ht="12" hidden="false" customHeight="false" outlineLevel="0" collapsed="false">
      <c r="A4423" s="215" t="s">
        <v>7003</v>
      </c>
    </row>
    <row r="4424" customFormat="false" ht="12" hidden="false" customHeight="false" outlineLevel="0" collapsed="false">
      <c r="A4424" s="215" t="s">
        <v>7004</v>
      </c>
    </row>
    <row r="4425" customFormat="false" ht="12" hidden="false" customHeight="false" outlineLevel="0" collapsed="false">
      <c r="A4425" s="215" t="s">
        <v>7005</v>
      </c>
    </row>
    <row r="4426" customFormat="false" ht="12" hidden="false" customHeight="false" outlineLevel="0" collapsed="false">
      <c r="A4426" s="215" t="s">
        <v>7006</v>
      </c>
    </row>
    <row r="4427" customFormat="false" ht="12" hidden="false" customHeight="false" outlineLevel="0" collapsed="false">
      <c r="A4427" s="215" t="s">
        <v>7007</v>
      </c>
    </row>
    <row r="4428" customFormat="false" ht="12" hidden="false" customHeight="false" outlineLevel="0" collapsed="false">
      <c r="A4428" s="215" t="s">
        <v>7008</v>
      </c>
    </row>
    <row r="4429" customFormat="false" ht="12" hidden="false" customHeight="false" outlineLevel="0" collapsed="false">
      <c r="A4429" s="215" t="s">
        <v>7009</v>
      </c>
    </row>
    <row r="4430" customFormat="false" ht="12" hidden="false" customHeight="false" outlineLevel="0" collapsed="false">
      <c r="A4430" s="215" t="s">
        <v>7010</v>
      </c>
    </row>
    <row r="4431" customFormat="false" ht="12" hidden="false" customHeight="false" outlineLevel="0" collapsed="false">
      <c r="A4431" s="215" t="s">
        <v>7011</v>
      </c>
    </row>
    <row r="4432" customFormat="false" ht="12" hidden="false" customHeight="false" outlineLevel="0" collapsed="false">
      <c r="A4432" s="215" t="s">
        <v>7012</v>
      </c>
    </row>
    <row r="4433" customFormat="false" ht="12" hidden="false" customHeight="false" outlineLevel="0" collapsed="false">
      <c r="A4433" s="215" t="s">
        <v>7013</v>
      </c>
    </row>
    <row r="4434" customFormat="false" ht="12" hidden="false" customHeight="false" outlineLevel="0" collapsed="false">
      <c r="A4434" s="215" t="s">
        <v>7014</v>
      </c>
    </row>
    <row r="4435" customFormat="false" ht="12" hidden="false" customHeight="false" outlineLevel="0" collapsed="false">
      <c r="A4435" s="215" t="s">
        <v>7015</v>
      </c>
    </row>
    <row r="4436" customFormat="false" ht="12" hidden="false" customHeight="false" outlineLevel="0" collapsed="false">
      <c r="A4436" s="215" t="s">
        <v>7016</v>
      </c>
    </row>
    <row r="4437" customFormat="false" ht="12" hidden="false" customHeight="false" outlineLevel="0" collapsed="false">
      <c r="A4437" s="215" t="s">
        <v>7017</v>
      </c>
    </row>
    <row r="4438" customFormat="false" ht="12" hidden="false" customHeight="false" outlineLevel="0" collapsed="false">
      <c r="A4438" s="215" t="s">
        <v>7018</v>
      </c>
    </row>
    <row r="4439" customFormat="false" ht="12" hidden="false" customHeight="false" outlineLevel="0" collapsed="false">
      <c r="A4439" s="215" t="s">
        <v>7019</v>
      </c>
    </row>
    <row r="4440" customFormat="false" ht="12" hidden="false" customHeight="false" outlineLevel="0" collapsed="false">
      <c r="A4440" s="215" t="s">
        <v>7020</v>
      </c>
    </row>
    <row r="4441" customFormat="false" ht="12" hidden="false" customHeight="false" outlineLevel="0" collapsed="false">
      <c r="A4441" s="215" t="s">
        <v>7021</v>
      </c>
    </row>
    <row r="4442" customFormat="false" ht="12" hidden="false" customHeight="false" outlineLevel="0" collapsed="false">
      <c r="A4442" s="215" t="s">
        <v>7022</v>
      </c>
    </row>
    <row r="4443" customFormat="false" ht="12" hidden="false" customHeight="false" outlineLevel="0" collapsed="false">
      <c r="A4443" s="215" t="s">
        <v>7023</v>
      </c>
    </row>
    <row r="4444" customFormat="false" ht="12" hidden="false" customHeight="false" outlineLevel="0" collapsed="false">
      <c r="A4444" s="215" t="s">
        <v>7024</v>
      </c>
    </row>
    <row r="4445" customFormat="false" ht="12" hidden="false" customHeight="false" outlineLevel="0" collapsed="false">
      <c r="A4445" s="215" t="s">
        <v>7025</v>
      </c>
    </row>
    <row r="4446" customFormat="false" ht="12" hidden="false" customHeight="false" outlineLevel="0" collapsed="false">
      <c r="A4446" s="215" t="s">
        <v>7026</v>
      </c>
    </row>
    <row r="4447" customFormat="false" ht="12" hidden="false" customHeight="false" outlineLevel="0" collapsed="false">
      <c r="A4447" s="215" t="s">
        <v>7027</v>
      </c>
    </row>
    <row r="4448" customFormat="false" ht="12" hidden="false" customHeight="false" outlineLevel="0" collapsed="false">
      <c r="A4448" s="215" t="s">
        <v>7028</v>
      </c>
    </row>
    <row r="4449" customFormat="false" ht="12" hidden="false" customHeight="false" outlineLevel="0" collapsed="false">
      <c r="A4449" s="215" t="s">
        <v>7029</v>
      </c>
    </row>
    <row r="4450" customFormat="false" ht="12" hidden="false" customHeight="false" outlineLevel="0" collapsed="false">
      <c r="A4450" s="215" t="s">
        <v>7030</v>
      </c>
    </row>
    <row r="4451" customFormat="false" ht="12" hidden="false" customHeight="false" outlineLevel="0" collapsed="false">
      <c r="A4451" s="215" t="s">
        <v>7031</v>
      </c>
    </row>
    <row r="4452" customFormat="false" ht="12" hidden="false" customHeight="false" outlineLevel="0" collapsed="false">
      <c r="A4452" s="215" t="s">
        <v>7032</v>
      </c>
    </row>
    <row r="4453" customFormat="false" ht="12" hidden="false" customHeight="false" outlineLevel="0" collapsed="false">
      <c r="A4453" s="215" t="s">
        <v>7033</v>
      </c>
    </row>
    <row r="4454" customFormat="false" ht="12" hidden="false" customHeight="false" outlineLevel="0" collapsed="false">
      <c r="A4454" s="215" t="s">
        <v>7034</v>
      </c>
    </row>
    <row r="4455" customFormat="false" ht="12" hidden="false" customHeight="false" outlineLevel="0" collapsed="false">
      <c r="A4455" s="215" t="s">
        <v>7035</v>
      </c>
    </row>
    <row r="4456" customFormat="false" ht="12" hidden="false" customHeight="false" outlineLevel="0" collapsed="false">
      <c r="A4456" s="215" t="s">
        <v>7036</v>
      </c>
    </row>
    <row r="4457" customFormat="false" ht="12" hidden="false" customHeight="false" outlineLevel="0" collapsed="false">
      <c r="A4457" s="215" t="s">
        <v>7037</v>
      </c>
    </row>
    <row r="4458" customFormat="false" ht="12" hidden="false" customHeight="false" outlineLevel="0" collapsed="false">
      <c r="A4458" s="215" t="s">
        <v>7038</v>
      </c>
    </row>
    <row r="4459" customFormat="false" ht="12" hidden="false" customHeight="false" outlineLevel="0" collapsed="false">
      <c r="A4459" s="215" t="s">
        <v>7039</v>
      </c>
    </row>
    <row r="4460" customFormat="false" ht="12" hidden="false" customHeight="false" outlineLevel="0" collapsed="false">
      <c r="A4460" s="215" t="s">
        <v>7040</v>
      </c>
    </row>
    <row r="4461" customFormat="false" ht="12" hidden="false" customHeight="false" outlineLevel="0" collapsed="false">
      <c r="A4461" s="215" t="s">
        <v>7041</v>
      </c>
    </row>
    <row r="4462" customFormat="false" ht="12" hidden="false" customHeight="false" outlineLevel="0" collapsed="false">
      <c r="A4462" s="215" t="s">
        <v>7042</v>
      </c>
    </row>
    <row r="4463" customFormat="false" ht="12" hidden="false" customHeight="false" outlineLevel="0" collapsed="false">
      <c r="A4463" s="215" t="s">
        <v>7043</v>
      </c>
    </row>
    <row r="4464" customFormat="false" ht="12" hidden="false" customHeight="false" outlineLevel="0" collapsed="false">
      <c r="A4464" s="215" t="s">
        <v>7044</v>
      </c>
    </row>
    <row r="4465" customFormat="false" ht="12" hidden="false" customHeight="false" outlineLevel="0" collapsed="false">
      <c r="A4465" s="215" t="s">
        <v>7045</v>
      </c>
    </row>
    <row r="4466" customFormat="false" ht="12" hidden="false" customHeight="false" outlineLevel="0" collapsed="false">
      <c r="A4466" s="215" t="s">
        <v>7046</v>
      </c>
    </row>
    <row r="4467" customFormat="false" ht="12" hidden="false" customHeight="false" outlineLevel="0" collapsed="false">
      <c r="A4467" s="215" t="s">
        <v>7047</v>
      </c>
    </row>
    <row r="4468" customFormat="false" ht="12" hidden="false" customHeight="false" outlineLevel="0" collapsed="false">
      <c r="A4468" s="215" t="s">
        <v>7048</v>
      </c>
    </row>
    <row r="4469" customFormat="false" ht="12" hidden="false" customHeight="false" outlineLevel="0" collapsed="false">
      <c r="A4469" s="215" t="s">
        <v>7049</v>
      </c>
    </row>
    <row r="4470" customFormat="false" ht="12" hidden="false" customHeight="false" outlineLevel="0" collapsed="false">
      <c r="A4470" s="215" t="s">
        <v>7050</v>
      </c>
    </row>
    <row r="4471" customFormat="false" ht="12" hidden="false" customHeight="false" outlineLevel="0" collapsed="false">
      <c r="A4471" s="215" t="s">
        <v>7051</v>
      </c>
    </row>
    <row r="4472" customFormat="false" ht="12" hidden="false" customHeight="false" outlineLevel="0" collapsed="false">
      <c r="A4472" s="215" t="s">
        <v>7052</v>
      </c>
    </row>
    <row r="4473" customFormat="false" ht="12" hidden="false" customHeight="false" outlineLevel="0" collapsed="false">
      <c r="A4473" s="215" t="s">
        <v>7053</v>
      </c>
    </row>
    <row r="4474" customFormat="false" ht="12" hidden="false" customHeight="false" outlineLevel="0" collapsed="false">
      <c r="A4474" s="215" t="s">
        <v>7054</v>
      </c>
    </row>
    <row r="4475" customFormat="false" ht="12" hidden="false" customHeight="false" outlineLevel="0" collapsed="false">
      <c r="A4475" s="215" t="s">
        <v>7055</v>
      </c>
    </row>
    <row r="4476" customFormat="false" ht="12" hidden="false" customHeight="false" outlineLevel="0" collapsed="false">
      <c r="A4476" s="215" t="s">
        <v>7056</v>
      </c>
    </row>
    <row r="4477" customFormat="false" ht="12" hidden="false" customHeight="false" outlineLevel="0" collapsed="false">
      <c r="A4477" s="215" t="s">
        <v>7057</v>
      </c>
    </row>
    <row r="4478" customFormat="false" ht="12" hidden="false" customHeight="false" outlineLevel="0" collapsed="false">
      <c r="A4478" s="215" t="s">
        <v>7058</v>
      </c>
    </row>
    <row r="4479" customFormat="false" ht="12" hidden="false" customHeight="false" outlineLevel="0" collapsed="false">
      <c r="A4479" s="215" t="s">
        <v>7059</v>
      </c>
    </row>
    <row r="4480" customFormat="false" ht="12" hidden="false" customHeight="false" outlineLevel="0" collapsed="false">
      <c r="A4480" s="215" t="s">
        <v>7060</v>
      </c>
    </row>
    <row r="4481" customFormat="false" ht="12" hidden="false" customHeight="false" outlineLevel="0" collapsed="false">
      <c r="A4481" s="215" t="s">
        <v>7061</v>
      </c>
    </row>
    <row r="4482" customFormat="false" ht="12" hidden="false" customHeight="false" outlineLevel="0" collapsed="false">
      <c r="A4482" s="215" t="s">
        <v>7062</v>
      </c>
    </row>
    <row r="4483" customFormat="false" ht="12" hidden="false" customHeight="false" outlineLevel="0" collapsed="false">
      <c r="A4483" s="215" t="s">
        <v>7063</v>
      </c>
    </row>
    <row r="4484" customFormat="false" ht="12" hidden="false" customHeight="false" outlineLevel="0" collapsed="false">
      <c r="A4484" s="215" t="s">
        <v>7064</v>
      </c>
    </row>
    <row r="4485" customFormat="false" ht="12" hidden="false" customHeight="false" outlineLevel="0" collapsed="false">
      <c r="A4485" s="215" t="s">
        <v>7065</v>
      </c>
    </row>
    <row r="4486" customFormat="false" ht="12" hidden="false" customHeight="false" outlineLevel="0" collapsed="false">
      <c r="A4486" s="215" t="s">
        <v>7066</v>
      </c>
    </row>
    <row r="4487" customFormat="false" ht="12" hidden="false" customHeight="false" outlineLevel="0" collapsed="false">
      <c r="A4487" s="215" t="s">
        <v>7067</v>
      </c>
    </row>
    <row r="4488" customFormat="false" ht="12" hidden="false" customHeight="false" outlineLevel="0" collapsed="false">
      <c r="A4488" s="215" t="s">
        <v>7068</v>
      </c>
    </row>
    <row r="4489" customFormat="false" ht="12" hidden="false" customHeight="false" outlineLevel="0" collapsed="false">
      <c r="A4489" s="215" t="s">
        <v>7069</v>
      </c>
    </row>
    <row r="4490" customFormat="false" ht="12" hidden="false" customHeight="false" outlineLevel="0" collapsed="false">
      <c r="A4490" s="215" t="s">
        <v>7070</v>
      </c>
    </row>
    <row r="4491" customFormat="false" ht="12" hidden="false" customHeight="false" outlineLevel="0" collapsed="false">
      <c r="A4491" s="215" t="s">
        <v>7071</v>
      </c>
    </row>
    <row r="4492" customFormat="false" ht="12" hidden="false" customHeight="false" outlineLevel="0" collapsed="false">
      <c r="A4492" s="215" t="s">
        <v>7072</v>
      </c>
    </row>
    <row r="4493" customFormat="false" ht="12" hidden="false" customHeight="false" outlineLevel="0" collapsed="false">
      <c r="A4493" s="215" t="s">
        <v>7073</v>
      </c>
    </row>
    <row r="4494" customFormat="false" ht="12" hidden="false" customHeight="false" outlineLevel="0" collapsed="false">
      <c r="A4494" s="215" t="s">
        <v>7074</v>
      </c>
    </row>
    <row r="4495" customFormat="false" ht="12" hidden="false" customHeight="false" outlineLevel="0" collapsed="false">
      <c r="A4495" s="215" t="s">
        <v>7075</v>
      </c>
    </row>
    <row r="4496" customFormat="false" ht="12" hidden="false" customHeight="false" outlineLevel="0" collapsed="false">
      <c r="A4496" s="215" t="s">
        <v>7076</v>
      </c>
    </row>
    <row r="4497" customFormat="false" ht="12" hidden="false" customHeight="false" outlineLevel="0" collapsed="false">
      <c r="A4497" s="215" t="s">
        <v>7077</v>
      </c>
    </row>
    <row r="4498" customFormat="false" ht="12" hidden="false" customHeight="false" outlineLevel="0" collapsed="false">
      <c r="A4498" s="215" t="s">
        <v>7078</v>
      </c>
    </row>
    <row r="4499" customFormat="false" ht="12" hidden="false" customHeight="false" outlineLevel="0" collapsed="false">
      <c r="A4499" s="215" t="s">
        <v>7079</v>
      </c>
    </row>
    <row r="4500" customFormat="false" ht="12" hidden="false" customHeight="false" outlineLevel="0" collapsed="false">
      <c r="A4500" s="215" t="s">
        <v>7080</v>
      </c>
    </row>
    <row r="4501" customFormat="false" ht="12" hidden="false" customHeight="false" outlineLevel="0" collapsed="false">
      <c r="A4501" s="215" t="s">
        <v>7081</v>
      </c>
    </row>
    <row r="4502" customFormat="false" ht="12" hidden="false" customHeight="false" outlineLevel="0" collapsed="false">
      <c r="A4502" s="215" t="s">
        <v>7082</v>
      </c>
    </row>
    <row r="4503" customFormat="false" ht="12" hidden="false" customHeight="false" outlineLevel="0" collapsed="false">
      <c r="A4503" s="215" t="s">
        <v>7083</v>
      </c>
    </row>
    <row r="4504" customFormat="false" ht="12" hidden="false" customHeight="false" outlineLevel="0" collapsed="false">
      <c r="A4504" s="215" t="s">
        <v>7084</v>
      </c>
    </row>
    <row r="4505" customFormat="false" ht="12" hidden="false" customHeight="false" outlineLevel="0" collapsed="false">
      <c r="A4505" s="215" t="s">
        <v>7085</v>
      </c>
    </row>
    <row r="4506" customFormat="false" ht="12" hidden="false" customHeight="false" outlineLevel="0" collapsed="false">
      <c r="A4506" s="215" t="s">
        <v>7086</v>
      </c>
    </row>
    <row r="4507" customFormat="false" ht="12" hidden="false" customHeight="false" outlineLevel="0" collapsed="false">
      <c r="A4507" s="215" t="s">
        <v>7087</v>
      </c>
    </row>
    <row r="4508" customFormat="false" ht="12" hidden="false" customHeight="false" outlineLevel="0" collapsed="false">
      <c r="A4508" s="215" t="s">
        <v>7088</v>
      </c>
    </row>
    <row r="4509" customFormat="false" ht="12" hidden="false" customHeight="false" outlineLevel="0" collapsed="false">
      <c r="A4509" s="215" t="s">
        <v>7089</v>
      </c>
    </row>
    <row r="4510" customFormat="false" ht="12" hidden="false" customHeight="false" outlineLevel="0" collapsed="false">
      <c r="A4510" s="215" t="s">
        <v>7090</v>
      </c>
    </row>
    <row r="4511" customFormat="false" ht="12" hidden="false" customHeight="false" outlineLevel="0" collapsed="false">
      <c r="A4511" s="215" t="s">
        <v>7091</v>
      </c>
    </row>
    <row r="4512" customFormat="false" ht="12" hidden="false" customHeight="false" outlineLevel="0" collapsed="false">
      <c r="A4512" s="215" t="s">
        <v>7092</v>
      </c>
    </row>
    <row r="4513" customFormat="false" ht="12" hidden="false" customHeight="false" outlineLevel="0" collapsed="false">
      <c r="A4513" s="215" t="s">
        <v>7093</v>
      </c>
    </row>
    <row r="4514" customFormat="false" ht="12" hidden="false" customHeight="false" outlineLevel="0" collapsed="false">
      <c r="A4514" s="215" t="s">
        <v>7094</v>
      </c>
    </row>
    <row r="4515" customFormat="false" ht="12" hidden="false" customHeight="false" outlineLevel="0" collapsed="false">
      <c r="A4515" s="215" t="s">
        <v>7095</v>
      </c>
    </row>
    <row r="4516" customFormat="false" ht="12" hidden="false" customHeight="false" outlineLevel="0" collapsed="false">
      <c r="A4516" s="215" t="s">
        <v>7096</v>
      </c>
    </row>
    <row r="4517" customFormat="false" ht="12" hidden="false" customHeight="false" outlineLevel="0" collapsed="false">
      <c r="A4517" s="215" t="s">
        <v>7097</v>
      </c>
    </row>
    <row r="4518" customFormat="false" ht="12" hidden="false" customHeight="false" outlineLevel="0" collapsed="false">
      <c r="A4518" s="215" t="s">
        <v>7098</v>
      </c>
    </row>
    <row r="4519" customFormat="false" ht="12" hidden="false" customHeight="false" outlineLevel="0" collapsed="false">
      <c r="A4519" s="215" t="s">
        <v>7099</v>
      </c>
    </row>
    <row r="4520" customFormat="false" ht="12" hidden="false" customHeight="false" outlineLevel="0" collapsed="false">
      <c r="A4520" s="215" t="s">
        <v>7100</v>
      </c>
    </row>
    <row r="4521" customFormat="false" ht="12" hidden="false" customHeight="false" outlineLevel="0" collapsed="false">
      <c r="A4521" s="215" t="s">
        <v>7101</v>
      </c>
    </row>
    <row r="4522" customFormat="false" ht="12" hidden="false" customHeight="false" outlineLevel="0" collapsed="false">
      <c r="A4522" s="215" t="s">
        <v>7102</v>
      </c>
    </row>
    <row r="4523" customFormat="false" ht="12" hidden="false" customHeight="false" outlineLevel="0" collapsed="false">
      <c r="A4523" s="215" t="s">
        <v>7103</v>
      </c>
    </row>
    <row r="4524" customFormat="false" ht="12" hidden="false" customHeight="false" outlineLevel="0" collapsed="false">
      <c r="A4524" s="215" t="s">
        <v>7104</v>
      </c>
    </row>
    <row r="4525" customFormat="false" ht="12" hidden="false" customHeight="false" outlineLevel="0" collapsed="false">
      <c r="A4525" s="215" t="s">
        <v>7105</v>
      </c>
    </row>
    <row r="4526" customFormat="false" ht="12" hidden="false" customHeight="false" outlineLevel="0" collapsed="false">
      <c r="A4526" s="215" t="s">
        <v>7106</v>
      </c>
    </row>
    <row r="4527" customFormat="false" ht="12" hidden="false" customHeight="false" outlineLevel="0" collapsed="false">
      <c r="A4527" s="215" t="s">
        <v>7107</v>
      </c>
    </row>
    <row r="4528" customFormat="false" ht="12" hidden="false" customHeight="false" outlineLevel="0" collapsed="false">
      <c r="A4528" s="215" t="s">
        <v>7108</v>
      </c>
    </row>
    <row r="4529" customFormat="false" ht="12" hidden="false" customHeight="false" outlineLevel="0" collapsed="false">
      <c r="A4529" s="215" t="s">
        <v>7109</v>
      </c>
    </row>
    <row r="4530" customFormat="false" ht="12" hidden="false" customHeight="false" outlineLevel="0" collapsed="false">
      <c r="A4530" s="215" t="s">
        <v>7110</v>
      </c>
    </row>
    <row r="4531" customFormat="false" ht="12" hidden="false" customHeight="false" outlineLevel="0" collapsed="false">
      <c r="A4531" s="215" t="s">
        <v>7111</v>
      </c>
    </row>
    <row r="4532" customFormat="false" ht="12" hidden="false" customHeight="false" outlineLevel="0" collapsed="false">
      <c r="A4532" s="215" t="s">
        <v>7112</v>
      </c>
    </row>
    <row r="4533" customFormat="false" ht="12" hidden="false" customHeight="false" outlineLevel="0" collapsed="false">
      <c r="A4533" s="215" t="s">
        <v>7113</v>
      </c>
    </row>
    <row r="4534" customFormat="false" ht="12" hidden="false" customHeight="false" outlineLevel="0" collapsed="false">
      <c r="A4534" s="215" t="s">
        <v>7114</v>
      </c>
    </row>
    <row r="4535" customFormat="false" ht="12" hidden="false" customHeight="false" outlineLevel="0" collapsed="false">
      <c r="A4535" s="215" t="s">
        <v>7115</v>
      </c>
    </row>
    <row r="4536" customFormat="false" ht="12" hidden="false" customHeight="false" outlineLevel="0" collapsed="false">
      <c r="A4536" s="215" t="s">
        <v>7116</v>
      </c>
    </row>
    <row r="4537" customFormat="false" ht="12" hidden="false" customHeight="false" outlineLevel="0" collapsed="false">
      <c r="A4537" s="215" t="s">
        <v>7117</v>
      </c>
    </row>
    <row r="4538" customFormat="false" ht="12" hidden="false" customHeight="false" outlineLevel="0" collapsed="false">
      <c r="A4538" s="215" t="s">
        <v>7118</v>
      </c>
    </row>
    <row r="4539" customFormat="false" ht="12" hidden="false" customHeight="false" outlineLevel="0" collapsed="false">
      <c r="A4539" s="215" t="s">
        <v>7119</v>
      </c>
    </row>
    <row r="4540" customFormat="false" ht="12" hidden="false" customHeight="false" outlineLevel="0" collapsed="false">
      <c r="A4540" s="215" t="s">
        <v>7120</v>
      </c>
    </row>
    <row r="4541" customFormat="false" ht="12" hidden="false" customHeight="false" outlineLevel="0" collapsed="false">
      <c r="A4541" s="215" t="s">
        <v>7121</v>
      </c>
    </row>
    <row r="4542" customFormat="false" ht="12" hidden="false" customHeight="false" outlineLevel="0" collapsed="false">
      <c r="A4542" s="215" t="s">
        <v>7122</v>
      </c>
    </row>
    <row r="4543" customFormat="false" ht="12" hidden="false" customHeight="false" outlineLevel="0" collapsed="false">
      <c r="A4543" s="215" t="s">
        <v>7123</v>
      </c>
    </row>
    <row r="4544" customFormat="false" ht="12" hidden="false" customHeight="false" outlineLevel="0" collapsed="false">
      <c r="A4544" s="215" t="s">
        <v>7124</v>
      </c>
    </row>
    <row r="4545" customFormat="false" ht="12" hidden="false" customHeight="false" outlineLevel="0" collapsed="false">
      <c r="A4545" s="215" t="s">
        <v>7125</v>
      </c>
    </row>
    <row r="4546" customFormat="false" ht="12" hidden="false" customHeight="false" outlineLevel="0" collapsed="false">
      <c r="A4546" s="215" t="s">
        <v>7126</v>
      </c>
    </row>
    <row r="4547" customFormat="false" ht="12" hidden="false" customHeight="false" outlineLevel="0" collapsed="false">
      <c r="A4547" s="215" t="s">
        <v>7127</v>
      </c>
    </row>
    <row r="4548" customFormat="false" ht="12" hidden="false" customHeight="false" outlineLevel="0" collapsed="false">
      <c r="A4548" s="215" t="s">
        <v>7128</v>
      </c>
    </row>
    <row r="4549" customFormat="false" ht="12" hidden="false" customHeight="false" outlineLevel="0" collapsed="false">
      <c r="A4549" s="215" t="s">
        <v>7129</v>
      </c>
    </row>
    <row r="4550" customFormat="false" ht="12" hidden="false" customHeight="false" outlineLevel="0" collapsed="false">
      <c r="A4550" s="215" t="s">
        <v>7130</v>
      </c>
    </row>
    <row r="4551" customFormat="false" ht="12" hidden="false" customHeight="false" outlineLevel="0" collapsed="false">
      <c r="A4551" s="215" t="s">
        <v>7131</v>
      </c>
    </row>
    <row r="4552" customFormat="false" ht="12" hidden="false" customHeight="false" outlineLevel="0" collapsed="false">
      <c r="A4552" s="215" t="s">
        <v>7132</v>
      </c>
    </row>
    <row r="4553" customFormat="false" ht="12" hidden="false" customHeight="false" outlineLevel="0" collapsed="false">
      <c r="A4553" s="215" t="s">
        <v>7133</v>
      </c>
    </row>
    <row r="4554" customFormat="false" ht="12" hidden="false" customHeight="false" outlineLevel="0" collapsed="false">
      <c r="A4554" s="215" t="s">
        <v>7134</v>
      </c>
    </row>
    <row r="4555" customFormat="false" ht="12" hidden="false" customHeight="false" outlineLevel="0" collapsed="false">
      <c r="A4555" s="215" t="s">
        <v>7135</v>
      </c>
    </row>
    <row r="4556" customFormat="false" ht="12" hidden="false" customHeight="false" outlineLevel="0" collapsed="false">
      <c r="A4556" s="215" t="s">
        <v>7136</v>
      </c>
    </row>
    <row r="4557" customFormat="false" ht="12" hidden="false" customHeight="false" outlineLevel="0" collapsed="false">
      <c r="A4557" s="215" t="s">
        <v>7137</v>
      </c>
    </row>
    <row r="4558" customFormat="false" ht="12" hidden="false" customHeight="false" outlineLevel="0" collapsed="false">
      <c r="A4558" s="215" t="s">
        <v>7138</v>
      </c>
    </row>
    <row r="4559" customFormat="false" ht="12" hidden="false" customHeight="false" outlineLevel="0" collapsed="false">
      <c r="A4559" s="215" t="s">
        <v>7139</v>
      </c>
    </row>
    <row r="4560" customFormat="false" ht="12" hidden="false" customHeight="false" outlineLevel="0" collapsed="false">
      <c r="A4560" s="215" t="s">
        <v>7140</v>
      </c>
    </row>
    <row r="4561" customFormat="false" ht="12" hidden="false" customHeight="false" outlineLevel="0" collapsed="false">
      <c r="A4561" s="215" t="s">
        <v>7141</v>
      </c>
    </row>
    <row r="4562" customFormat="false" ht="12" hidden="false" customHeight="false" outlineLevel="0" collapsed="false">
      <c r="A4562" s="215" t="s">
        <v>7142</v>
      </c>
    </row>
    <row r="4563" customFormat="false" ht="12" hidden="false" customHeight="false" outlineLevel="0" collapsed="false">
      <c r="A4563" s="215" t="s">
        <v>7143</v>
      </c>
    </row>
    <row r="4564" customFormat="false" ht="12" hidden="false" customHeight="false" outlineLevel="0" collapsed="false">
      <c r="A4564" s="215" t="s">
        <v>7144</v>
      </c>
    </row>
    <row r="4565" customFormat="false" ht="12" hidden="false" customHeight="false" outlineLevel="0" collapsed="false">
      <c r="A4565" s="215" t="s">
        <v>7145</v>
      </c>
    </row>
    <row r="4566" customFormat="false" ht="12" hidden="false" customHeight="false" outlineLevel="0" collapsed="false">
      <c r="A4566" s="215" t="s">
        <v>7146</v>
      </c>
    </row>
    <row r="4567" customFormat="false" ht="12" hidden="false" customHeight="false" outlineLevel="0" collapsed="false">
      <c r="A4567" s="215" t="s">
        <v>7147</v>
      </c>
    </row>
    <row r="4568" customFormat="false" ht="12" hidden="false" customHeight="false" outlineLevel="0" collapsed="false">
      <c r="A4568" s="215" t="s">
        <v>7148</v>
      </c>
    </row>
    <row r="4569" customFormat="false" ht="12" hidden="false" customHeight="false" outlineLevel="0" collapsed="false">
      <c r="A4569" s="215" t="s">
        <v>7149</v>
      </c>
    </row>
    <row r="4570" customFormat="false" ht="12" hidden="false" customHeight="false" outlineLevel="0" collapsed="false">
      <c r="A4570" s="215" t="s">
        <v>7150</v>
      </c>
    </row>
    <row r="4571" customFormat="false" ht="12" hidden="false" customHeight="false" outlineLevel="0" collapsed="false">
      <c r="A4571" s="215" t="s">
        <v>7151</v>
      </c>
    </row>
    <row r="4572" customFormat="false" ht="12" hidden="false" customHeight="false" outlineLevel="0" collapsed="false">
      <c r="A4572" s="215" t="s">
        <v>7152</v>
      </c>
    </row>
    <row r="4573" customFormat="false" ht="12" hidden="false" customHeight="false" outlineLevel="0" collapsed="false">
      <c r="A4573" s="215" t="s">
        <v>7153</v>
      </c>
    </row>
    <row r="4574" customFormat="false" ht="12" hidden="false" customHeight="false" outlineLevel="0" collapsed="false">
      <c r="A4574" s="215" t="s">
        <v>7154</v>
      </c>
    </row>
    <row r="4575" customFormat="false" ht="12" hidden="false" customHeight="false" outlineLevel="0" collapsed="false">
      <c r="A4575" s="215" t="s">
        <v>7155</v>
      </c>
    </row>
    <row r="4576" customFormat="false" ht="12" hidden="false" customHeight="false" outlineLevel="0" collapsed="false">
      <c r="A4576" s="215" t="s">
        <v>7156</v>
      </c>
    </row>
    <row r="4577" customFormat="false" ht="12" hidden="false" customHeight="false" outlineLevel="0" collapsed="false">
      <c r="A4577" s="215" t="s">
        <v>7157</v>
      </c>
    </row>
    <row r="4578" customFormat="false" ht="12" hidden="false" customHeight="false" outlineLevel="0" collapsed="false">
      <c r="A4578" s="215" t="s">
        <v>7158</v>
      </c>
    </row>
    <row r="4579" customFormat="false" ht="12" hidden="false" customHeight="false" outlineLevel="0" collapsed="false">
      <c r="A4579" s="215" t="s">
        <v>7159</v>
      </c>
    </row>
    <row r="4580" customFormat="false" ht="12" hidden="false" customHeight="false" outlineLevel="0" collapsed="false">
      <c r="A4580" s="215" t="s">
        <v>7160</v>
      </c>
    </row>
    <row r="4581" customFormat="false" ht="12" hidden="false" customHeight="false" outlineLevel="0" collapsed="false">
      <c r="A4581" s="215" t="s">
        <v>7161</v>
      </c>
    </row>
    <row r="4582" customFormat="false" ht="12" hidden="false" customHeight="false" outlineLevel="0" collapsed="false">
      <c r="A4582" s="215" t="s">
        <v>7162</v>
      </c>
    </row>
    <row r="4583" customFormat="false" ht="12" hidden="false" customHeight="false" outlineLevel="0" collapsed="false">
      <c r="A4583" s="215" t="s">
        <v>7163</v>
      </c>
    </row>
    <row r="4584" customFormat="false" ht="12" hidden="false" customHeight="false" outlineLevel="0" collapsed="false">
      <c r="A4584" s="215" t="s">
        <v>7164</v>
      </c>
    </row>
    <row r="4585" customFormat="false" ht="12" hidden="false" customHeight="false" outlineLevel="0" collapsed="false">
      <c r="A4585" s="215" t="s">
        <v>7165</v>
      </c>
    </row>
    <row r="4586" customFormat="false" ht="12" hidden="false" customHeight="false" outlineLevel="0" collapsed="false">
      <c r="A4586" s="215" t="s">
        <v>7166</v>
      </c>
    </row>
    <row r="4587" customFormat="false" ht="12" hidden="false" customHeight="false" outlineLevel="0" collapsed="false">
      <c r="A4587" s="215" t="s">
        <v>7167</v>
      </c>
    </row>
    <row r="4588" customFormat="false" ht="12" hidden="false" customHeight="false" outlineLevel="0" collapsed="false">
      <c r="A4588" s="215" t="s">
        <v>7168</v>
      </c>
    </row>
    <row r="4589" customFormat="false" ht="12" hidden="false" customHeight="false" outlineLevel="0" collapsed="false">
      <c r="A4589" s="215" t="s">
        <v>7169</v>
      </c>
    </row>
    <row r="4590" customFormat="false" ht="12" hidden="false" customHeight="false" outlineLevel="0" collapsed="false">
      <c r="A4590" s="215" t="s">
        <v>7170</v>
      </c>
    </row>
    <row r="4591" customFormat="false" ht="12" hidden="false" customHeight="false" outlineLevel="0" collapsed="false">
      <c r="A4591" s="215" t="s">
        <v>7171</v>
      </c>
    </row>
    <row r="4592" customFormat="false" ht="12" hidden="false" customHeight="false" outlineLevel="0" collapsed="false">
      <c r="A4592" s="215" t="s">
        <v>7172</v>
      </c>
    </row>
    <row r="4593" customFormat="false" ht="12" hidden="false" customHeight="false" outlineLevel="0" collapsed="false">
      <c r="A4593" s="215" t="s">
        <v>7173</v>
      </c>
    </row>
    <row r="4594" customFormat="false" ht="12" hidden="false" customHeight="false" outlineLevel="0" collapsed="false">
      <c r="A4594" s="215" t="s">
        <v>7174</v>
      </c>
    </row>
    <row r="4595" customFormat="false" ht="12" hidden="false" customHeight="false" outlineLevel="0" collapsed="false">
      <c r="A4595" s="215" t="s">
        <v>7175</v>
      </c>
    </row>
    <row r="4596" customFormat="false" ht="12" hidden="false" customHeight="false" outlineLevel="0" collapsed="false">
      <c r="A4596" s="215" t="s">
        <v>7176</v>
      </c>
    </row>
    <row r="4597" customFormat="false" ht="12" hidden="false" customHeight="false" outlineLevel="0" collapsed="false">
      <c r="A4597" s="215" t="s">
        <v>7177</v>
      </c>
    </row>
    <row r="4598" customFormat="false" ht="12" hidden="false" customHeight="false" outlineLevel="0" collapsed="false">
      <c r="A4598" s="215" t="s">
        <v>7178</v>
      </c>
    </row>
    <row r="4599" customFormat="false" ht="12" hidden="false" customHeight="false" outlineLevel="0" collapsed="false">
      <c r="A4599" s="215" t="s">
        <v>7179</v>
      </c>
    </row>
    <row r="4600" customFormat="false" ht="12" hidden="false" customHeight="false" outlineLevel="0" collapsed="false">
      <c r="A4600" s="215" t="s">
        <v>7180</v>
      </c>
    </row>
    <row r="4601" customFormat="false" ht="12" hidden="false" customHeight="false" outlineLevel="0" collapsed="false">
      <c r="A4601" s="215" t="s">
        <v>7181</v>
      </c>
    </row>
    <row r="4602" customFormat="false" ht="12" hidden="false" customHeight="false" outlineLevel="0" collapsed="false">
      <c r="A4602" s="215" t="s">
        <v>7182</v>
      </c>
    </row>
    <row r="4603" customFormat="false" ht="12" hidden="false" customHeight="false" outlineLevel="0" collapsed="false">
      <c r="A4603" s="215" t="s">
        <v>7183</v>
      </c>
    </row>
    <row r="4604" customFormat="false" ht="12" hidden="false" customHeight="false" outlineLevel="0" collapsed="false">
      <c r="A4604" s="215" t="s">
        <v>7184</v>
      </c>
    </row>
    <row r="4605" customFormat="false" ht="12" hidden="false" customHeight="false" outlineLevel="0" collapsed="false">
      <c r="A4605" s="215" t="s">
        <v>7185</v>
      </c>
    </row>
    <row r="4606" customFormat="false" ht="12" hidden="false" customHeight="false" outlineLevel="0" collapsed="false">
      <c r="A4606" s="215" t="s">
        <v>7186</v>
      </c>
    </row>
    <row r="4607" customFormat="false" ht="12" hidden="false" customHeight="false" outlineLevel="0" collapsed="false">
      <c r="A4607" s="215" t="s">
        <v>7187</v>
      </c>
    </row>
    <row r="4608" customFormat="false" ht="12" hidden="false" customHeight="false" outlineLevel="0" collapsed="false">
      <c r="A4608" s="215" t="s">
        <v>7188</v>
      </c>
    </row>
    <row r="4609" customFormat="false" ht="12" hidden="false" customHeight="false" outlineLevel="0" collapsed="false">
      <c r="A4609" s="215" t="s">
        <v>7189</v>
      </c>
    </row>
    <row r="4610" customFormat="false" ht="12" hidden="false" customHeight="false" outlineLevel="0" collapsed="false">
      <c r="A4610" s="215" t="s">
        <v>7190</v>
      </c>
    </row>
    <row r="4611" customFormat="false" ht="12" hidden="false" customHeight="false" outlineLevel="0" collapsed="false">
      <c r="A4611" s="215" t="s">
        <v>7191</v>
      </c>
    </row>
    <row r="4612" customFormat="false" ht="12" hidden="false" customHeight="false" outlineLevel="0" collapsed="false">
      <c r="A4612" s="215" t="s">
        <v>7192</v>
      </c>
    </row>
    <row r="4613" customFormat="false" ht="12" hidden="false" customHeight="false" outlineLevel="0" collapsed="false">
      <c r="A4613" s="215" t="s">
        <v>7193</v>
      </c>
    </row>
    <row r="4614" customFormat="false" ht="12" hidden="false" customHeight="false" outlineLevel="0" collapsed="false">
      <c r="A4614" s="215" t="s">
        <v>7194</v>
      </c>
    </row>
    <row r="4615" customFormat="false" ht="12" hidden="false" customHeight="false" outlineLevel="0" collapsed="false">
      <c r="A4615" s="215" t="s">
        <v>7195</v>
      </c>
    </row>
    <row r="4616" customFormat="false" ht="12" hidden="false" customHeight="false" outlineLevel="0" collapsed="false">
      <c r="A4616" s="215" t="s">
        <v>7196</v>
      </c>
    </row>
    <row r="4617" customFormat="false" ht="12" hidden="false" customHeight="false" outlineLevel="0" collapsed="false">
      <c r="A4617" s="215" t="s">
        <v>7197</v>
      </c>
    </row>
    <row r="4618" customFormat="false" ht="12" hidden="false" customHeight="false" outlineLevel="0" collapsed="false">
      <c r="A4618" s="215" t="s">
        <v>7198</v>
      </c>
    </row>
    <row r="4619" customFormat="false" ht="12" hidden="false" customHeight="false" outlineLevel="0" collapsed="false">
      <c r="A4619" s="215" t="s">
        <v>7199</v>
      </c>
    </row>
    <row r="4620" customFormat="false" ht="12" hidden="false" customHeight="false" outlineLevel="0" collapsed="false">
      <c r="A4620" s="215" t="s">
        <v>7200</v>
      </c>
    </row>
    <row r="4621" customFormat="false" ht="12" hidden="false" customHeight="false" outlineLevel="0" collapsed="false">
      <c r="A4621" s="215" t="s">
        <v>7201</v>
      </c>
    </row>
    <row r="4622" customFormat="false" ht="12" hidden="false" customHeight="false" outlineLevel="0" collapsed="false">
      <c r="A4622" s="215" t="s">
        <v>7202</v>
      </c>
    </row>
    <row r="4623" customFormat="false" ht="12" hidden="false" customHeight="false" outlineLevel="0" collapsed="false">
      <c r="A4623" s="215" t="s">
        <v>7203</v>
      </c>
    </row>
    <row r="4624" customFormat="false" ht="12" hidden="false" customHeight="false" outlineLevel="0" collapsed="false">
      <c r="A4624" s="215" t="s">
        <v>7204</v>
      </c>
    </row>
    <row r="4625" customFormat="false" ht="12" hidden="false" customHeight="false" outlineLevel="0" collapsed="false">
      <c r="A4625" s="215" t="s">
        <v>7205</v>
      </c>
    </row>
    <row r="4626" customFormat="false" ht="12" hidden="false" customHeight="false" outlineLevel="0" collapsed="false">
      <c r="A4626" s="215" t="s">
        <v>7206</v>
      </c>
    </row>
    <row r="4627" customFormat="false" ht="12" hidden="false" customHeight="false" outlineLevel="0" collapsed="false">
      <c r="A4627" s="215" t="s">
        <v>7207</v>
      </c>
    </row>
    <row r="4628" customFormat="false" ht="12" hidden="false" customHeight="false" outlineLevel="0" collapsed="false">
      <c r="A4628" s="215" t="s">
        <v>7208</v>
      </c>
    </row>
    <row r="4629" customFormat="false" ht="12" hidden="false" customHeight="false" outlineLevel="0" collapsed="false">
      <c r="A4629" s="215" t="s">
        <v>7209</v>
      </c>
    </row>
    <row r="4630" customFormat="false" ht="12" hidden="false" customHeight="false" outlineLevel="0" collapsed="false">
      <c r="A4630" s="215" t="s">
        <v>7210</v>
      </c>
    </row>
    <row r="4631" customFormat="false" ht="12" hidden="false" customHeight="false" outlineLevel="0" collapsed="false">
      <c r="A4631" s="215" t="s">
        <v>7211</v>
      </c>
    </row>
    <row r="4632" customFormat="false" ht="12" hidden="false" customHeight="false" outlineLevel="0" collapsed="false">
      <c r="A4632" s="215" t="s">
        <v>7212</v>
      </c>
    </row>
    <row r="4633" customFormat="false" ht="12" hidden="false" customHeight="false" outlineLevel="0" collapsed="false">
      <c r="A4633" s="215" t="s">
        <v>7213</v>
      </c>
    </row>
    <row r="4634" customFormat="false" ht="12" hidden="false" customHeight="false" outlineLevel="0" collapsed="false">
      <c r="A4634" s="215" t="s">
        <v>7214</v>
      </c>
    </row>
    <row r="4635" customFormat="false" ht="12" hidden="false" customHeight="false" outlineLevel="0" collapsed="false">
      <c r="A4635" s="215" t="s">
        <v>7215</v>
      </c>
    </row>
    <row r="4636" customFormat="false" ht="12" hidden="false" customHeight="false" outlineLevel="0" collapsed="false">
      <c r="A4636" s="215" t="s">
        <v>7216</v>
      </c>
    </row>
    <row r="4637" customFormat="false" ht="12" hidden="false" customHeight="false" outlineLevel="0" collapsed="false">
      <c r="A4637" s="215" t="s">
        <v>7217</v>
      </c>
    </row>
    <row r="4638" customFormat="false" ht="12" hidden="false" customHeight="false" outlineLevel="0" collapsed="false">
      <c r="A4638" s="215" t="s">
        <v>7218</v>
      </c>
    </row>
    <row r="4639" customFormat="false" ht="12" hidden="false" customHeight="false" outlineLevel="0" collapsed="false">
      <c r="A4639" s="215" t="s">
        <v>7219</v>
      </c>
    </row>
    <row r="4640" customFormat="false" ht="12" hidden="false" customHeight="false" outlineLevel="0" collapsed="false">
      <c r="A4640" s="215" t="s">
        <v>7220</v>
      </c>
    </row>
    <row r="4641" customFormat="false" ht="12" hidden="false" customHeight="false" outlineLevel="0" collapsed="false">
      <c r="A4641" s="215" t="s">
        <v>7221</v>
      </c>
    </row>
    <row r="4642" customFormat="false" ht="12" hidden="false" customHeight="false" outlineLevel="0" collapsed="false">
      <c r="A4642" s="215" t="s">
        <v>7222</v>
      </c>
    </row>
    <row r="4643" customFormat="false" ht="12" hidden="false" customHeight="false" outlineLevel="0" collapsed="false">
      <c r="A4643" s="215" t="s">
        <v>7223</v>
      </c>
    </row>
    <row r="4644" customFormat="false" ht="12" hidden="false" customHeight="false" outlineLevel="0" collapsed="false">
      <c r="A4644" s="215" t="s">
        <v>7224</v>
      </c>
    </row>
    <row r="4645" customFormat="false" ht="12" hidden="false" customHeight="false" outlineLevel="0" collapsed="false">
      <c r="A4645" s="215" t="s">
        <v>7225</v>
      </c>
    </row>
    <row r="4646" customFormat="false" ht="12" hidden="false" customHeight="false" outlineLevel="0" collapsed="false">
      <c r="A4646" s="215" t="s">
        <v>7226</v>
      </c>
    </row>
    <row r="4647" customFormat="false" ht="12" hidden="false" customHeight="false" outlineLevel="0" collapsed="false">
      <c r="A4647" s="215" t="s">
        <v>7227</v>
      </c>
    </row>
    <row r="4648" customFormat="false" ht="12" hidden="false" customHeight="false" outlineLevel="0" collapsed="false">
      <c r="A4648" s="215" t="s">
        <v>7228</v>
      </c>
    </row>
    <row r="4649" customFormat="false" ht="12" hidden="false" customHeight="false" outlineLevel="0" collapsed="false">
      <c r="A4649" s="215" t="s">
        <v>7229</v>
      </c>
    </row>
    <row r="4650" customFormat="false" ht="12" hidden="false" customHeight="false" outlineLevel="0" collapsed="false">
      <c r="A4650" s="215" t="s">
        <v>7230</v>
      </c>
    </row>
    <row r="4651" customFormat="false" ht="12" hidden="false" customHeight="false" outlineLevel="0" collapsed="false">
      <c r="A4651" s="215" t="s">
        <v>7231</v>
      </c>
    </row>
    <row r="4652" customFormat="false" ht="12" hidden="false" customHeight="false" outlineLevel="0" collapsed="false">
      <c r="A4652" s="215" t="s">
        <v>7232</v>
      </c>
    </row>
    <row r="4653" customFormat="false" ht="12" hidden="false" customHeight="false" outlineLevel="0" collapsed="false">
      <c r="A4653" s="215" t="s">
        <v>7233</v>
      </c>
    </row>
    <row r="4654" customFormat="false" ht="12" hidden="false" customHeight="false" outlineLevel="0" collapsed="false">
      <c r="A4654" s="215" t="s">
        <v>7234</v>
      </c>
    </row>
    <row r="4655" customFormat="false" ht="12" hidden="false" customHeight="false" outlineLevel="0" collapsed="false">
      <c r="A4655" s="215" t="s">
        <v>7235</v>
      </c>
    </row>
    <row r="4656" customFormat="false" ht="12" hidden="false" customHeight="false" outlineLevel="0" collapsed="false">
      <c r="A4656" s="215" t="s">
        <v>7236</v>
      </c>
    </row>
    <row r="4657" customFormat="false" ht="12" hidden="false" customHeight="false" outlineLevel="0" collapsed="false">
      <c r="A4657" s="215" t="s">
        <v>7237</v>
      </c>
    </row>
    <row r="4658" customFormat="false" ht="12" hidden="false" customHeight="false" outlineLevel="0" collapsed="false">
      <c r="A4658" s="215" t="s">
        <v>7238</v>
      </c>
    </row>
    <row r="4659" customFormat="false" ht="12" hidden="false" customHeight="false" outlineLevel="0" collapsed="false">
      <c r="A4659" s="215" t="s">
        <v>7239</v>
      </c>
    </row>
    <row r="4660" customFormat="false" ht="12" hidden="false" customHeight="false" outlineLevel="0" collapsed="false">
      <c r="A4660" s="215" t="s">
        <v>7240</v>
      </c>
    </row>
    <row r="4661" customFormat="false" ht="12" hidden="false" customHeight="false" outlineLevel="0" collapsed="false">
      <c r="A4661" s="215" t="s">
        <v>7241</v>
      </c>
    </row>
    <row r="4662" customFormat="false" ht="12" hidden="false" customHeight="false" outlineLevel="0" collapsed="false">
      <c r="A4662" s="215" t="s">
        <v>7242</v>
      </c>
    </row>
    <row r="4663" customFormat="false" ht="12" hidden="false" customHeight="false" outlineLevel="0" collapsed="false">
      <c r="A4663" s="215" t="s">
        <v>7243</v>
      </c>
    </row>
    <row r="4664" customFormat="false" ht="12" hidden="false" customHeight="false" outlineLevel="0" collapsed="false">
      <c r="A4664" s="215" t="s">
        <v>7244</v>
      </c>
    </row>
    <row r="4665" customFormat="false" ht="12" hidden="false" customHeight="false" outlineLevel="0" collapsed="false">
      <c r="A4665" s="215" t="s">
        <v>7245</v>
      </c>
    </row>
    <row r="4666" customFormat="false" ht="12" hidden="false" customHeight="false" outlineLevel="0" collapsed="false">
      <c r="A4666" s="215" t="s">
        <v>7246</v>
      </c>
    </row>
    <row r="4667" customFormat="false" ht="12" hidden="false" customHeight="false" outlineLevel="0" collapsed="false">
      <c r="A4667" s="215" t="s">
        <v>7247</v>
      </c>
    </row>
    <row r="4668" customFormat="false" ht="12" hidden="false" customHeight="false" outlineLevel="0" collapsed="false">
      <c r="A4668" s="215" t="s">
        <v>7248</v>
      </c>
    </row>
    <row r="4669" customFormat="false" ht="12" hidden="false" customHeight="false" outlineLevel="0" collapsed="false">
      <c r="A4669" s="215" t="s">
        <v>7249</v>
      </c>
    </row>
    <row r="4670" customFormat="false" ht="12" hidden="false" customHeight="false" outlineLevel="0" collapsed="false">
      <c r="A4670" s="215" t="s">
        <v>7250</v>
      </c>
    </row>
    <row r="4671" customFormat="false" ht="12" hidden="false" customHeight="false" outlineLevel="0" collapsed="false">
      <c r="A4671" s="215" t="s">
        <v>7251</v>
      </c>
    </row>
    <row r="4672" customFormat="false" ht="12" hidden="false" customHeight="false" outlineLevel="0" collapsed="false">
      <c r="A4672" s="215" t="s">
        <v>7252</v>
      </c>
    </row>
    <row r="4673" customFormat="false" ht="12" hidden="false" customHeight="false" outlineLevel="0" collapsed="false">
      <c r="A4673" s="215" t="s">
        <v>7253</v>
      </c>
    </row>
    <row r="4674" customFormat="false" ht="12" hidden="false" customHeight="false" outlineLevel="0" collapsed="false">
      <c r="A4674" s="215" t="s">
        <v>7254</v>
      </c>
    </row>
    <row r="4675" customFormat="false" ht="12" hidden="false" customHeight="false" outlineLevel="0" collapsed="false">
      <c r="A4675" s="215" t="s">
        <v>7255</v>
      </c>
    </row>
    <row r="4676" customFormat="false" ht="12" hidden="false" customHeight="false" outlineLevel="0" collapsed="false">
      <c r="A4676" s="215" t="s">
        <v>7256</v>
      </c>
    </row>
    <row r="4677" customFormat="false" ht="12" hidden="false" customHeight="false" outlineLevel="0" collapsed="false">
      <c r="A4677" s="215" t="s">
        <v>7257</v>
      </c>
    </row>
    <row r="4678" customFormat="false" ht="12" hidden="false" customHeight="false" outlineLevel="0" collapsed="false">
      <c r="A4678" s="215" t="s">
        <v>7258</v>
      </c>
    </row>
    <row r="4679" customFormat="false" ht="12" hidden="false" customHeight="false" outlineLevel="0" collapsed="false">
      <c r="A4679" s="215" t="s">
        <v>7259</v>
      </c>
    </row>
    <row r="4680" customFormat="false" ht="12" hidden="false" customHeight="false" outlineLevel="0" collapsed="false">
      <c r="A4680" s="215" t="s">
        <v>7260</v>
      </c>
    </row>
    <row r="4681" customFormat="false" ht="12" hidden="false" customHeight="false" outlineLevel="0" collapsed="false">
      <c r="A4681" s="215" t="s">
        <v>7261</v>
      </c>
    </row>
    <row r="4682" customFormat="false" ht="12" hidden="false" customHeight="false" outlineLevel="0" collapsed="false">
      <c r="A4682" s="215" t="s">
        <v>7262</v>
      </c>
    </row>
    <row r="4683" customFormat="false" ht="12" hidden="false" customHeight="false" outlineLevel="0" collapsed="false">
      <c r="A4683" s="215" t="s">
        <v>7263</v>
      </c>
    </row>
    <row r="4684" customFormat="false" ht="12" hidden="false" customHeight="false" outlineLevel="0" collapsed="false">
      <c r="A4684" s="215" t="s">
        <v>7264</v>
      </c>
    </row>
    <row r="4685" customFormat="false" ht="12" hidden="false" customHeight="false" outlineLevel="0" collapsed="false">
      <c r="A4685" s="215" t="s">
        <v>7265</v>
      </c>
    </row>
    <row r="4686" customFormat="false" ht="12" hidden="false" customHeight="false" outlineLevel="0" collapsed="false">
      <c r="A4686" s="215" t="s">
        <v>7266</v>
      </c>
    </row>
    <row r="4687" customFormat="false" ht="12" hidden="false" customHeight="false" outlineLevel="0" collapsed="false">
      <c r="A4687" s="215" t="s">
        <v>7267</v>
      </c>
    </row>
    <row r="4688" customFormat="false" ht="12" hidden="false" customHeight="false" outlineLevel="0" collapsed="false">
      <c r="A4688" s="215" t="s">
        <v>7268</v>
      </c>
    </row>
    <row r="4689" customFormat="false" ht="12" hidden="false" customHeight="false" outlineLevel="0" collapsed="false">
      <c r="A4689" s="215" t="s">
        <v>7269</v>
      </c>
    </row>
    <row r="4690" customFormat="false" ht="12" hidden="false" customHeight="false" outlineLevel="0" collapsed="false">
      <c r="A4690" s="215" t="s">
        <v>7270</v>
      </c>
    </row>
    <row r="4691" customFormat="false" ht="12" hidden="false" customHeight="false" outlineLevel="0" collapsed="false">
      <c r="A4691" s="215" t="s">
        <v>7271</v>
      </c>
    </row>
    <row r="4692" customFormat="false" ht="12" hidden="false" customHeight="false" outlineLevel="0" collapsed="false">
      <c r="A4692" s="215" t="s">
        <v>7272</v>
      </c>
    </row>
    <row r="4693" customFormat="false" ht="12" hidden="false" customHeight="false" outlineLevel="0" collapsed="false">
      <c r="A4693" s="215" t="s">
        <v>7273</v>
      </c>
    </row>
    <row r="4694" customFormat="false" ht="12" hidden="false" customHeight="false" outlineLevel="0" collapsed="false">
      <c r="A4694" s="215" t="s">
        <v>7274</v>
      </c>
    </row>
    <row r="4695" customFormat="false" ht="12" hidden="false" customHeight="false" outlineLevel="0" collapsed="false">
      <c r="A4695" s="215" t="s">
        <v>7275</v>
      </c>
    </row>
    <row r="4696" customFormat="false" ht="12" hidden="false" customHeight="false" outlineLevel="0" collapsed="false">
      <c r="A4696" s="215" t="s">
        <v>7276</v>
      </c>
    </row>
    <row r="4697" customFormat="false" ht="12" hidden="false" customHeight="false" outlineLevel="0" collapsed="false">
      <c r="A4697" s="215" t="s">
        <v>7277</v>
      </c>
    </row>
    <row r="4698" customFormat="false" ht="12" hidden="false" customHeight="false" outlineLevel="0" collapsed="false">
      <c r="A4698" s="215" t="s">
        <v>7278</v>
      </c>
    </row>
    <row r="4699" customFormat="false" ht="12" hidden="false" customHeight="false" outlineLevel="0" collapsed="false">
      <c r="A4699" s="215" t="s">
        <v>7279</v>
      </c>
    </row>
    <row r="4700" customFormat="false" ht="12" hidden="false" customHeight="false" outlineLevel="0" collapsed="false">
      <c r="A4700" s="215" t="s">
        <v>7280</v>
      </c>
    </row>
    <row r="4701" customFormat="false" ht="12" hidden="false" customHeight="false" outlineLevel="0" collapsed="false">
      <c r="A4701" s="215" t="s">
        <v>7281</v>
      </c>
    </row>
    <row r="4702" customFormat="false" ht="12" hidden="false" customHeight="false" outlineLevel="0" collapsed="false">
      <c r="A4702" s="215" t="s">
        <v>7282</v>
      </c>
    </row>
    <row r="4703" customFormat="false" ht="12" hidden="false" customHeight="false" outlineLevel="0" collapsed="false">
      <c r="A4703" s="215" t="s">
        <v>7283</v>
      </c>
    </row>
    <row r="4704" customFormat="false" ht="12" hidden="false" customHeight="false" outlineLevel="0" collapsed="false">
      <c r="A4704" s="215" t="s">
        <v>7284</v>
      </c>
    </row>
    <row r="4705" customFormat="false" ht="12" hidden="false" customHeight="false" outlineLevel="0" collapsed="false">
      <c r="A4705" s="215" t="s">
        <v>7285</v>
      </c>
    </row>
    <row r="4706" customFormat="false" ht="12" hidden="false" customHeight="false" outlineLevel="0" collapsed="false">
      <c r="A4706" s="215" t="s">
        <v>7286</v>
      </c>
    </row>
    <row r="4707" customFormat="false" ht="12" hidden="false" customHeight="false" outlineLevel="0" collapsed="false">
      <c r="A4707" s="215" t="s">
        <v>7287</v>
      </c>
    </row>
    <row r="4708" customFormat="false" ht="12" hidden="false" customHeight="false" outlineLevel="0" collapsed="false">
      <c r="A4708" s="215" t="s">
        <v>7288</v>
      </c>
    </row>
    <row r="4709" customFormat="false" ht="12" hidden="false" customHeight="false" outlineLevel="0" collapsed="false">
      <c r="A4709" s="215" t="s">
        <v>7289</v>
      </c>
    </row>
    <row r="4710" customFormat="false" ht="12" hidden="false" customHeight="false" outlineLevel="0" collapsed="false">
      <c r="A4710" s="215" t="s">
        <v>7290</v>
      </c>
    </row>
    <row r="4711" customFormat="false" ht="12" hidden="false" customHeight="false" outlineLevel="0" collapsed="false">
      <c r="A4711" s="215" t="s">
        <v>7291</v>
      </c>
    </row>
    <row r="4712" customFormat="false" ht="12" hidden="false" customHeight="false" outlineLevel="0" collapsed="false">
      <c r="A4712" s="215" t="s">
        <v>7292</v>
      </c>
    </row>
    <row r="4713" customFormat="false" ht="12" hidden="false" customHeight="false" outlineLevel="0" collapsed="false">
      <c r="A4713" s="215" t="s">
        <v>7293</v>
      </c>
    </row>
    <row r="4714" customFormat="false" ht="12" hidden="false" customHeight="false" outlineLevel="0" collapsed="false">
      <c r="A4714" s="215" t="s">
        <v>7294</v>
      </c>
    </row>
    <row r="4715" customFormat="false" ht="12" hidden="false" customHeight="false" outlineLevel="0" collapsed="false">
      <c r="A4715" s="215" t="s">
        <v>7295</v>
      </c>
    </row>
    <row r="4716" customFormat="false" ht="12" hidden="false" customHeight="false" outlineLevel="0" collapsed="false">
      <c r="A4716" s="215" t="s">
        <v>7296</v>
      </c>
    </row>
    <row r="4717" customFormat="false" ht="12" hidden="false" customHeight="false" outlineLevel="0" collapsed="false">
      <c r="A4717" s="215" t="s">
        <v>7297</v>
      </c>
    </row>
    <row r="4718" customFormat="false" ht="12" hidden="false" customHeight="false" outlineLevel="0" collapsed="false">
      <c r="A4718" s="215" t="s">
        <v>7298</v>
      </c>
    </row>
    <row r="4719" customFormat="false" ht="12" hidden="false" customHeight="false" outlineLevel="0" collapsed="false">
      <c r="A4719" s="215" t="s">
        <v>7299</v>
      </c>
    </row>
    <row r="4720" customFormat="false" ht="12" hidden="false" customHeight="false" outlineLevel="0" collapsed="false">
      <c r="A4720" s="215" t="s">
        <v>7300</v>
      </c>
    </row>
    <row r="4721" customFormat="false" ht="12" hidden="false" customHeight="false" outlineLevel="0" collapsed="false">
      <c r="A4721" s="215" t="s">
        <v>7301</v>
      </c>
    </row>
    <row r="4722" customFormat="false" ht="12" hidden="false" customHeight="false" outlineLevel="0" collapsed="false">
      <c r="A4722" s="215" t="s">
        <v>7302</v>
      </c>
    </row>
    <row r="4723" customFormat="false" ht="12" hidden="false" customHeight="false" outlineLevel="0" collapsed="false">
      <c r="A4723" s="215" t="s">
        <v>7303</v>
      </c>
    </row>
    <row r="4724" customFormat="false" ht="12" hidden="false" customHeight="false" outlineLevel="0" collapsed="false">
      <c r="A4724" s="215" t="s">
        <v>7304</v>
      </c>
    </row>
    <row r="4725" customFormat="false" ht="12" hidden="false" customHeight="false" outlineLevel="0" collapsed="false">
      <c r="A4725" s="215" t="s">
        <v>7305</v>
      </c>
    </row>
    <row r="4726" customFormat="false" ht="12" hidden="false" customHeight="false" outlineLevel="0" collapsed="false">
      <c r="A4726" s="215" t="s">
        <v>7306</v>
      </c>
    </row>
    <row r="4727" customFormat="false" ht="12" hidden="false" customHeight="false" outlineLevel="0" collapsed="false">
      <c r="A4727" s="215" t="s">
        <v>7307</v>
      </c>
    </row>
    <row r="4728" customFormat="false" ht="12" hidden="false" customHeight="false" outlineLevel="0" collapsed="false">
      <c r="A4728" s="215" t="s">
        <v>7308</v>
      </c>
    </row>
    <row r="4729" customFormat="false" ht="12" hidden="false" customHeight="false" outlineLevel="0" collapsed="false">
      <c r="A4729" s="215" t="s">
        <v>7309</v>
      </c>
    </row>
    <row r="4730" customFormat="false" ht="12" hidden="false" customHeight="false" outlineLevel="0" collapsed="false">
      <c r="A4730" s="215" t="s">
        <v>7310</v>
      </c>
    </row>
    <row r="4731" customFormat="false" ht="12" hidden="false" customHeight="false" outlineLevel="0" collapsed="false">
      <c r="A4731" s="215" t="s">
        <v>7311</v>
      </c>
    </row>
    <row r="4732" customFormat="false" ht="12" hidden="false" customHeight="false" outlineLevel="0" collapsed="false">
      <c r="A4732" s="215" t="s">
        <v>7312</v>
      </c>
    </row>
    <row r="4733" customFormat="false" ht="12" hidden="false" customHeight="false" outlineLevel="0" collapsed="false">
      <c r="A4733" s="215" t="s">
        <v>7313</v>
      </c>
    </row>
    <row r="4734" customFormat="false" ht="12" hidden="false" customHeight="false" outlineLevel="0" collapsed="false">
      <c r="A4734" s="215" t="s">
        <v>7314</v>
      </c>
    </row>
    <row r="4735" customFormat="false" ht="12" hidden="false" customHeight="false" outlineLevel="0" collapsed="false">
      <c r="A4735" s="215" t="s">
        <v>7315</v>
      </c>
    </row>
    <row r="4736" customFormat="false" ht="12" hidden="false" customHeight="false" outlineLevel="0" collapsed="false">
      <c r="A4736" s="215" t="s">
        <v>7316</v>
      </c>
    </row>
    <row r="4737" customFormat="false" ht="12" hidden="false" customHeight="false" outlineLevel="0" collapsed="false">
      <c r="A4737" s="215" t="s">
        <v>7317</v>
      </c>
    </row>
    <row r="4738" customFormat="false" ht="12" hidden="false" customHeight="false" outlineLevel="0" collapsed="false">
      <c r="A4738" s="215" t="s">
        <v>7318</v>
      </c>
    </row>
    <row r="4739" customFormat="false" ht="12" hidden="false" customHeight="false" outlineLevel="0" collapsed="false">
      <c r="A4739" s="215" t="s">
        <v>7319</v>
      </c>
    </row>
    <row r="4740" customFormat="false" ht="12" hidden="false" customHeight="false" outlineLevel="0" collapsed="false">
      <c r="A4740" s="215" t="s">
        <v>7320</v>
      </c>
    </row>
    <row r="4741" customFormat="false" ht="12" hidden="false" customHeight="false" outlineLevel="0" collapsed="false">
      <c r="A4741" s="215" t="s">
        <v>7321</v>
      </c>
    </row>
    <row r="4742" customFormat="false" ht="12" hidden="false" customHeight="false" outlineLevel="0" collapsed="false">
      <c r="A4742" s="215" t="s">
        <v>7322</v>
      </c>
    </row>
    <row r="4743" customFormat="false" ht="12" hidden="false" customHeight="false" outlineLevel="0" collapsed="false">
      <c r="A4743" s="215" t="s">
        <v>7323</v>
      </c>
    </row>
    <row r="4744" customFormat="false" ht="12" hidden="false" customHeight="false" outlineLevel="0" collapsed="false">
      <c r="A4744" s="215" t="s">
        <v>7324</v>
      </c>
    </row>
    <row r="4745" customFormat="false" ht="12" hidden="false" customHeight="false" outlineLevel="0" collapsed="false">
      <c r="A4745" s="215" t="s">
        <v>7325</v>
      </c>
    </row>
    <row r="4746" customFormat="false" ht="12" hidden="false" customHeight="false" outlineLevel="0" collapsed="false">
      <c r="A4746" s="215" t="s">
        <v>7326</v>
      </c>
    </row>
    <row r="4747" customFormat="false" ht="12" hidden="false" customHeight="false" outlineLevel="0" collapsed="false">
      <c r="A4747" s="215" t="s">
        <v>7327</v>
      </c>
    </row>
    <row r="4748" customFormat="false" ht="12" hidden="false" customHeight="false" outlineLevel="0" collapsed="false">
      <c r="A4748" s="215" t="s">
        <v>7328</v>
      </c>
    </row>
    <row r="4749" customFormat="false" ht="12" hidden="false" customHeight="false" outlineLevel="0" collapsed="false">
      <c r="A4749" s="215" t="s">
        <v>7329</v>
      </c>
    </row>
    <row r="4750" customFormat="false" ht="12" hidden="false" customHeight="false" outlineLevel="0" collapsed="false">
      <c r="A4750" s="215" t="s">
        <v>7330</v>
      </c>
    </row>
    <row r="4751" customFormat="false" ht="12" hidden="false" customHeight="false" outlineLevel="0" collapsed="false">
      <c r="A4751" s="215" t="s">
        <v>7331</v>
      </c>
    </row>
    <row r="4752" customFormat="false" ht="12" hidden="false" customHeight="false" outlineLevel="0" collapsed="false">
      <c r="A4752" s="215" t="s">
        <v>7332</v>
      </c>
    </row>
    <row r="4753" customFormat="false" ht="12" hidden="false" customHeight="false" outlineLevel="0" collapsed="false">
      <c r="A4753" s="215" t="s">
        <v>7333</v>
      </c>
    </row>
    <row r="4754" customFormat="false" ht="12" hidden="false" customHeight="false" outlineLevel="0" collapsed="false">
      <c r="A4754" s="215" t="s">
        <v>7334</v>
      </c>
    </row>
    <row r="4755" customFormat="false" ht="12" hidden="false" customHeight="false" outlineLevel="0" collapsed="false">
      <c r="A4755" s="215" t="s">
        <v>7335</v>
      </c>
    </row>
    <row r="4756" customFormat="false" ht="12" hidden="false" customHeight="false" outlineLevel="0" collapsed="false">
      <c r="A4756" s="215" t="s">
        <v>7336</v>
      </c>
    </row>
    <row r="4757" customFormat="false" ht="12" hidden="false" customHeight="false" outlineLevel="0" collapsed="false">
      <c r="A4757" s="215" t="s">
        <v>7337</v>
      </c>
    </row>
    <row r="4758" customFormat="false" ht="12" hidden="false" customHeight="false" outlineLevel="0" collapsed="false">
      <c r="A4758" s="215" t="s">
        <v>7338</v>
      </c>
    </row>
    <row r="4759" customFormat="false" ht="12" hidden="false" customHeight="false" outlineLevel="0" collapsed="false">
      <c r="A4759" s="215" t="s">
        <v>7339</v>
      </c>
    </row>
    <row r="4760" customFormat="false" ht="12" hidden="false" customHeight="false" outlineLevel="0" collapsed="false">
      <c r="A4760" s="215" t="s">
        <v>7340</v>
      </c>
    </row>
    <row r="4761" customFormat="false" ht="12" hidden="false" customHeight="false" outlineLevel="0" collapsed="false">
      <c r="A4761" s="215" t="s">
        <v>7341</v>
      </c>
    </row>
    <row r="4762" customFormat="false" ht="12" hidden="false" customHeight="false" outlineLevel="0" collapsed="false">
      <c r="A4762" s="215" t="s">
        <v>7342</v>
      </c>
    </row>
    <row r="4763" customFormat="false" ht="12" hidden="false" customHeight="false" outlineLevel="0" collapsed="false">
      <c r="A4763" s="215" t="s">
        <v>7343</v>
      </c>
    </row>
    <row r="4764" customFormat="false" ht="12" hidden="false" customHeight="false" outlineLevel="0" collapsed="false">
      <c r="A4764" s="215" t="s">
        <v>7344</v>
      </c>
    </row>
    <row r="4765" customFormat="false" ht="12" hidden="false" customHeight="false" outlineLevel="0" collapsed="false">
      <c r="A4765" s="215" t="s">
        <v>7345</v>
      </c>
    </row>
    <row r="4766" customFormat="false" ht="12" hidden="false" customHeight="false" outlineLevel="0" collapsed="false">
      <c r="A4766" s="215" t="s">
        <v>7346</v>
      </c>
    </row>
    <row r="4767" customFormat="false" ht="12" hidden="false" customHeight="false" outlineLevel="0" collapsed="false">
      <c r="A4767" s="215" t="s">
        <v>7347</v>
      </c>
    </row>
    <row r="4768" customFormat="false" ht="12" hidden="false" customHeight="false" outlineLevel="0" collapsed="false">
      <c r="A4768" s="215" t="s">
        <v>7348</v>
      </c>
    </row>
    <row r="4769" customFormat="false" ht="12" hidden="false" customHeight="false" outlineLevel="0" collapsed="false">
      <c r="A4769" s="215" t="s">
        <v>7349</v>
      </c>
    </row>
    <row r="4770" customFormat="false" ht="12" hidden="false" customHeight="false" outlineLevel="0" collapsed="false">
      <c r="A4770" s="215" t="s">
        <v>7350</v>
      </c>
    </row>
    <row r="4771" customFormat="false" ht="12" hidden="false" customHeight="false" outlineLevel="0" collapsed="false">
      <c r="A4771" s="215" t="s">
        <v>7351</v>
      </c>
    </row>
    <row r="4772" customFormat="false" ht="12" hidden="false" customHeight="false" outlineLevel="0" collapsed="false">
      <c r="A4772" s="215" t="s">
        <v>7352</v>
      </c>
    </row>
    <row r="4773" customFormat="false" ht="12" hidden="false" customHeight="false" outlineLevel="0" collapsed="false">
      <c r="A4773" s="215" t="s">
        <v>7353</v>
      </c>
    </row>
    <row r="4774" customFormat="false" ht="12" hidden="false" customHeight="false" outlineLevel="0" collapsed="false">
      <c r="A4774" s="215" t="s">
        <v>7354</v>
      </c>
    </row>
    <row r="4775" customFormat="false" ht="12" hidden="false" customHeight="false" outlineLevel="0" collapsed="false">
      <c r="A4775" s="215" t="s">
        <v>7355</v>
      </c>
    </row>
    <row r="4776" customFormat="false" ht="12" hidden="false" customHeight="false" outlineLevel="0" collapsed="false">
      <c r="A4776" s="215" t="s">
        <v>7356</v>
      </c>
    </row>
    <row r="4777" customFormat="false" ht="12" hidden="false" customHeight="false" outlineLevel="0" collapsed="false">
      <c r="A4777" s="215" t="s">
        <v>7357</v>
      </c>
    </row>
    <row r="4778" customFormat="false" ht="12" hidden="false" customHeight="false" outlineLevel="0" collapsed="false">
      <c r="A4778" s="215" t="s">
        <v>7358</v>
      </c>
    </row>
    <row r="4779" customFormat="false" ht="12" hidden="false" customHeight="false" outlineLevel="0" collapsed="false">
      <c r="A4779" s="215" t="s">
        <v>7359</v>
      </c>
    </row>
    <row r="4780" customFormat="false" ht="12" hidden="false" customHeight="false" outlineLevel="0" collapsed="false">
      <c r="A4780" s="215" t="s">
        <v>7360</v>
      </c>
    </row>
    <row r="4781" customFormat="false" ht="12" hidden="false" customHeight="false" outlineLevel="0" collapsed="false">
      <c r="A4781" s="215" t="s">
        <v>7361</v>
      </c>
    </row>
    <row r="4782" customFormat="false" ht="12" hidden="false" customHeight="false" outlineLevel="0" collapsed="false">
      <c r="A4782" s="215" t="s">
        <v>7362</v>
      </c>
    </row>
    <row r="4783" customFormat="false" ht="12" hidden="false" customHeight="false" outlineLevel="0" collapsed="false">
      <c r="A4783" s="215" t="s">
        <v>7363</v>
      </c>
    </row>
    <row r="4784" customFormat="false" ht="12" hidden="false" customHeight="false" outlineLevel="0" collapsed="false">
      <c r="A4784" s="215" t="s">
        <v>7364</v>
      </c>
    </row>
    <row r="4785" customFormat="false" ht="12" hidden="false" customHeight="false" outlineLevel="0" collapsed="false">
      <c r="A4785" s="215" t="s">
        <v>7365</v>
      </c>
    </row>
    <row r="4786" customFormat="false" ht="12" hidden="false" customHeight="false" outlineLevel="0" collapsed="false">
      <c r="A4786" s="215" t="s">
        <v>7366</v>
      </c>
    </row>
    <row r="4787" customFormat="false" ht="12" hidden="false" customHeight="false" outlineLevel="0" collapsed="false">
      <c r="A4787" s="215" t="s">
        <v>7367</v>
      </c>
    </row>
    <row r="4788" customFormat="false" ht="12" hidden="false" customHeight="false" outlineLevel="0" collapsed="false">
      <c r="A4788" s="215" t="s">
        <v>7368</v>
      </c>
    </row>
    <row r="4789" customFormat="false" ht="12" hidden="false" customHeight="false" outlineLevel="0" collapsed="false">
      <c r="A4789" s="215" t="s">
        <v>7369</v>
      </c>
    </row>
    <row r="4790" customFormat="false" ht="12" hidden="false" customHeight="false" outlineLevel="0" collapsed="false">
      <c r="A4790" s="215" t="s">
        <v>7370</v>
      </c>
    </row>
    <row r="4791" customFormat="false" ht="12" hidden="false" customHeight="false" outlineLevel="0" collapsed="false">
      <c r="A4791" s="215" t="s">
        <v>7371</v>
      </c>
    </row>
    <row r="4792" customFormat="false" ht="12" hidden="false" customHeight="false" outlineLevel="0" collapsed="false">
      <c r="A4792" s="215" t="s">
        <v>7372</v>
      </c>
    </row>
    <row r="4793" customFormat="false" ht="12" hidden="false" customHeight="false" outlineLevel="0" collapsed="false">
      <c r="A4793" s="215" t="s">
        <v>7373</v>
      </c>
    </row>
    <row r="4794" customFormat="false" ht="12" hidden="false" customHeight="false" outlineLevel="0" collapsed="false">
      <c r="A4794" s="215" t="s">
        <v>7374</v>
      </c>
    </row>
    <row r="4795" customFormat="false" ht="12" hidden="false" customHeight="false" outlineLevel="0" collapsed="false">
      <c r="A4795" s="215" t="s">
        <v>7375</v>
      </c>
    </row>
    <row r="4796" customFormat="false" ht="12" hidden="false" customHeight="false" outlineLevel="0" collapsed="false">
      <c r="A4796" s="215" t="s">
        <v>7376</v>
      </c>
    </row>
    <row r="4797" customFormat="false" ht="12" hidden="false" customHeight="false" outlineLevel="0" collapsed="false">
      <c r="A4797" s="215" t="s">
        <v>7377</v>
      </c>
    </row>
    <row r="4798" customFormat="false" ht="12" hidden="false" customHeight="false" outlineLevel="0" collapsed="false">
      <c r="A4798" s="215" t="s">
        <v>7378</v>
      </c>
    </row>
    <row r="4799" customFormat="false" ht="12" hidden="false" customHeight="false" outlineLevel="0" collapsed="false">
      <c r="A4799" s="215" t="s">
        <v>7379</v>
      </c>
    </row>
    <row r="4800" customFormat="false" ht="12" hidden="false" customHeight="false" outlineLevel="0" collapsed="false">
      <c r="A4800" s="215" t="s">
        <v>7380</v>
      </c>
    </row>
    <row r="4801" customFormat="false" ht="12" hidden="false" customHeight="false" outlineLevel="0" collapsed="false">
      <c r="A4801" s="215" t="s">
        <v>7381</v>
      </c>
    </row>
    <row r="4802" customFormat="false" ht="12" hidden="false" customHeight="false" outlineLevel="0" collapsed="false">
      <c r="A4802" s="215" t="s">
        <v>7382</v>
      </c>
    </row>
    <row r="4803" customFormat="false" ht="12" hidden="false" customHeight="false" outlineLevel="0" collapsed="false">
      <c r="A4803" s="215" t="s">
        <v>7383</v>
      </c>
    </row>
    <row r="4804" customFormat="false" ht="12" hidden="false" customHeight="false" outlineLevel="0" collapsed="false">
      <c r="A4804" s="215" t="s">
        <v>7384</v>
      </c>
    </row>
    <row r="4805" customFormat="false" ht="12" hidden="false" customHeight="false" outlineLevel="0" collapsed="false">
      <c r="A4805" s="215" t="s">
        <v>7385</v>
      </c>
    </row>
    <row r="4806" customFormat="false" ht="12" hidden="false" customHeight="false" outlineLevel="0" collapsed="false">
      <c r="A4806" s="215" t="s">
        <v>7386</v>
      </c>
    </row>
    <row r="4807" customFormat="false" ht="12" hidden="false" customHeight="false" outlineLevel="0" collapsed="false">
      <c r="A4807" s="215" t="s">
        <v>7387</v>
      </c>
    </row>
    <row r="4808" customFormat="false" ht="12" hidden="false" customHeight="false" outlineLevel="0" collapsed="false">
      <c r="A4808" s="215" t="s">
        <v>7388</v>
      </c>
    </row>
    <row r="4809" customFormat="false" ht="12" hidden="false" customHeight="false" outlineLevel="0" collapsed="false">
      <c r="A4809" s="215" t="s">
        <v>7389</v>
      </c>
    </row>
    <row r="4810" customFormat="false" ht="12" hidden="false" customHeight="false" outlineLevel="0" collapsed="false">
      <c r="A4810" s="215" t="s">
        <v>7390</v>
      </c>
    </row>
    <row r="4811" customFormat="false" ht="12" hidden="false" customHeight="false" outlineLevel="0" collapsed="false">
      <c r="A4811" s="215" t="s">
        <v>7391</v>
      </c>
    </row>
    <row r="4812" customFormat="false" ht="12" hidden="false" customHeight="false" outlineLevel="0" collapsed="false">
      <c r="A4812" s="215" t="s">
        <v>7392</v>
      </c>
    </row>
    <row r="4813" customFormat="false" ht="12" hidden="false" customHeight="false" outlineLevel="0" collapsed="false">
      <c r="A4813" s="215" t="s">
        <v>7393</v>
      </c>
    </row>
    <row r="4814" customFormat="false" ht="12" hidden="false" customHeight="false" outlineLevel="0" collapsed="false">
      <c r="A4814" s="215" t="s">
        <v>7394</v>
      </c>
    </row>
    <row r="4815" customFormat="false" ht="12" hidden="false" customHeight="false" outlineLevel="0" collapsed="false">
      <c r="A4815" s="215" t="s">
        <v>7395</v>
      </c>
    </row>
    <row r="4816" customFormat="false" ht="12" hidden="false" customHeight="false" outlineLevel="0" collapsed="false">
      <c r="A4816" s="215" t="s">
        <v>7396</v>
      </c>
    </row>
    <row r="4817" customFormat="false" ht="12" hidden="false" customHeight="false" outlineLevel="0" collapsed="false">
      <c r="A4817" s="215" t="s">
        <v>7397</v>
      </c>
    </row>
    <row r="4818" customFormat="false" ht="12" hidden="false" customHeight="false" outlineLevel="0" collapsed="false">
      <c r="A4818" s="215" t="s">
        <v>7398</v>
      </c>
    </row>
    <row r="4819" customFormat="false" ht="12" hidden="false" customHeight="false" outlineLevel="0" collapsed="false">
      <c r="A4819" s="215" t="s">
        <v>7399</v>
      </c>
    </row>
    <row r="4820" customFormat="false" ht="12" hidden="false" customHeight="false" outlineLevel="0" collapsed="false">
      <c r="A4820" s="215" t="s">
        <v>7400</v>
      </c>
    </row>
    <row r="4821" customFormat="false" ht="12" hidden="false" customHeight="false" outlineLevel="0" collapsed="false">
      <c r="A4821" s="215" t="s">
        <v>7401</v>
      </c>
    </row>
    <row r="4822" customFormat="false" ht="12" hidden="false" customHeight="false" outlineLevel="0" collapsed="false">
      <c r="A4822" s="215" t="s">
        <v>7402</v>
      </c>
    </row>
    <row r="4823" customFormat="false" ht="12" hidden="false" customHeight="false" outlineLevel="0" collapsed="false">
      <c r="A4823" s="215" t="s">
        <v>7403</v>
      </c>
    </row>
    <row r="4824" customFormat="false" ht="12" hidden="false" customHeight="false" outlineLevel="0" collapsed="false">
      <c r="A4824" s="215" t="s">
        <v>7404</v>
      </c>
    </row>
    <row r="4825" customFormat="false" ht="12" hidden="false" customHeight="false" outlineLevel="0" collapsed="false">
      <c r="A4825" s="215" t="s">
        <v>7405</v>
      </c>
    </row>
    <row r="4826" customFormat="false" ht="12" hidden="false" customHeight="false" outlineLevel="0" collapsed="false">
      <c r="A4826" s="215" t="s">
        <v>7406</v>
      </c>
    </row>
    <row r="4827" customFormat="false" ht="12" hidden="false" customHeight="false" outlineLevel="0" collapsed="false">
      <c r="A4827" s="215" t="s">
        <v>7407</v>
      </c>
    </row>
    <row r="4828" customFormat="false" ht="12" hidden="false" customHeight="false" outlineLevel="0" collapsed="false">
      <c r="A4828" s="215" t="s">
        <v>7408</v>
      </c>
    </row>
    <row r="4829" customFormat="false" ht="12" hidden="false" customHeight="false" outlineLevel="0" collapsed="false">
      <c r="A4829" s="215" t="s">
        <v>7409</v>
      </c>
    </row>
    <row r="4830" customFormat="false" ht="12" hidden="false" customHeight="false" outlineLevel="0" collapsed="false">
      <c r="A4830" s="215" t="s">
        <v>7410</v>
      </c>
    </row>
    <row r="4831" customFormat="false" ht="12" hidden="false" customHeight="false" outlineLevel="0" collapsed="false">
      <c r="A4831" s="215" t="s">
        <v>7411</v>
      </c>
    </row>
    <row r="4832" customFormat="false" ht="12" hidden="false" customHeight="false" outlineLevel="0" collapsed="false">
      <c r="A4832" s="215" t="s">
        <v>7412</v>
      </c>
    </row>
    <row r="4833" customFormat="false" ht="12" hidden="false" customHeight="false" outlineLevel="0" collapsed="false">
      <c r="A4833" s="215" t="s">
        <v>7413</v>
      </c>
    </row>
    <row r="4834" customFormat="false" ht="12" hidden="false" customHeight="false" outlineLevel="0" collapsed="false">
      <c r="A4834" s="215" t="s">
        <v>7414</v>
      </c>
    </row>
    <row r="4835" customFormat="false" ht="12" hidden="false" customHeight="false" outlineLevel="0" collapsed="false">
      <c r="A4835" s="215" t="s">
        <v>7415</v>
      </c>
    </row>
    <row r="4836" customFormat="false" ht="12" hidden="false" customHeight="false" outlineLevel="0" collapsed="false">
      <c r="A4836" s="215" t="s">
        <v>7416</v>
      </c>
    </row>
    <row r="4837" customFormat="false" ht="12" hidden="false" customHeight="false" outlineLevel="0" collapsed="false">
      <c r="A4837" s="215" t="s">
        <v>7417</v>
      </c>
    </row>
    <row r="4838" customFormat="false" ht="12" hidden="false" customHeight="false" outlineLevel="0" collapsed="false">
      <c r="A4838" s="215" t="s">
        <v>7418</v>
      </c>
    </row>
    <row r="4839" customFormat="false" ht="12" hidden="false" customHeight="false" outlineLevel="0" collapsed="false">
      <c r="A4839" s="215" t="s">
        <v>7419</v>
      </c>
    </row>
    <row r="4840" customFormat="false" ht="12" hidden="false" customHeight="false" outlineLevel="0" collapsed="false">
      <c r="A4840" s="215" t="s">
        <v>7420</v>
      </c>
    </row>
    <row r="4841" customFormat="false" ht="12" hidden="false" customHeight="false" outlineLevel="0" collapsed="false">
      <c r="A4841" s="215" t="s">
        <v>7421</v>
      </c>
    </row>
    <row r="4842" customFormat="false" ht="12" hidden="false" customHeight="false" outlineLevel="0" collapsed="false">
      <c r="A4842" s="215" t="s">
        <v>7422</v>
      </c>
    </row>
    <row r="4843" customFormat="false" ht="12" hidden="false" customHeight="false" outlineLevel="0" collapsed="false">
      <c r="A4843" s="215" t="s">
        <v>7423</v>
      </c>
    </row>
    <row r="4844" customFormat="false" ht="12" hidden="false" customHeight="false" outlineLevel="0" collapsed="false">
      <c r="A4844" s="215" t="s">
        <v>7424</v>
      </c>
    </row>
    <row r="4845" customFormat="false" ht="12" hidden="false" customHeight="false" outlineLevel="0" collapsed="false">
      <c r="A4845" s="215" t="s">
        <v>7425</v>
      </c>
    </row>
    <row r="4846" customFormat="false" ht="12" hidden="false" customHeight="false" outlineLevel="0" collapsed="false">
      <c r="A4846" s="215" t="s">
        <v>7426</v>
      </c>
    </row>
    <row r="4847" customFormat="false" ht="12" hidden="false" customHeight="false" outlineLevel="0" collapsed="false">
      <c r="A4847" s="215" t="s">
        <v>7427</v>
      </c>
    </row>
    <row r="4848" customFormat="false" ht="12" hidden="false" customHeight="false" outlineLevel="0" collapsed="false">
      <c r="A4848" s="215" t="s">
        <v>7428</v>
      </c>
    </row>
    <row r="4849" customFormat="false" ht="12" hidden="false" customHeight="false" outlineLevel="0" collapsed="false">
      <c r="A4849" s="215" t="s">
        <v>7429</v>
      </c>
    </row>
    <row r="4850" customFormat="false" ht="12" hidden="false" customHeight="false" outlineLevel="0" collapsed="false">
      <c r="A4850" s="215" t="s">
        <v>7430</v>
      </c>
    </row>
    <row r="4851" customFormat="false" ht="12" hidden="false" customHeight="false" outlineLevel="0" collapsed="false">
      <c r="A4851" s="215" t="s">
        <v>7431</v>
      </c>
    </row>
    <row r="4852" customFormat="false" ht="12" hidden="false" customHeight="false" outlineLevel="0" collapsed="false">
      <c r="A4852" s="215" t="s">
        <v>7432</v>
      </c>
    </row>
    <row r="4853" customFormat="false" ht="12" hidden="false" customHeight="false" outlineLevel="0" collapsed="false">
      <c r="A4853" s="215" t="s">
        <v>7433</v>
      </c>
    </row>
    <row r="4854" customFormat="false" ht="12" hidden="false" customHeight="false" outlineLevel="0" collapsed="false">
      <c r="A4854" s="215" t="s">
        <v>7434</v>
      </c>
    </row>
    <row r="4855" customFormat="false" ht="12" hidden="false" customHeight="false" outlineLevel="0" collapsed="false">
      <c r="A4855" s="215" t="s">
        <v>7435</v>
      </c>
    </row>
    <row r="4856" customFormat="false" ht="12" hidden="false" customHeight="false" outlineLevel="0" collapsed="false">
      <c r="A4856" s="215" t="s">
        <v>7436</v>
      </c>
    </row>
    <row r="4857" customFormat="false" ht="12" hidden="false" customHeight="false" outlineLevel="0" collapsed="false">
      <c r="A4857" s="215" t="s">
        <v>7437</v>
      </c>
    </row>
    <row r="4858" customFormat="false" ht="12" hidden="false" customHeight="false" outlineLevel="0" collapsed="false">
      <c r="A4858" s="215" t="s">
        <v>7438</v>
      </c>
    </row>
    <row r="4859" customFormat="false" ht="12" hidden="false" customHeight="false" outlineLevel="0" collapsed="false">
      <c r="A4859" s="215" t="s">
        <v>7439</v>
      </c>
    </row>
    <row r="4860" customFormat="false" ht="12" hidden="false" customHeight="false" outlineLevel="0" collapsed="false">
      <c r="A4860" s="215" t="s">
        <v>7440</v>
      </c>
    </row>
    <row r="4861" customFormat="false" ht="12" hidden="false" customHeight="false" outlineLevel="0" collapsed="false">
      <c r="A4861" s="215" t="s">
        <v>7441</v>
      </c>
    </row>
    <row r="4862" customFormat="false" ht="12" hidden="false" customHeight="false" outlineLevel="0" collapsed="false">
      <c r="A4862" s="215" t="s">
        <v>7442</v>
      </c>
    </row>
    <row r="4863" customFormat="false" ht="12" hidden="false" customHeight="false" outlineLevel="0" collapsed="false">
      <c r="A4863" s="215" t="s">
        <v>7443</v>
      </c>
    </row>
    <row r="4864" customFormat="false" ht="12" hidden="false" customHeight="false" outlineLevel="0" collapsed="false">
      <c r="A4864" s="215" t="s">
        <v>7444</v>
      </c>
    </row>
    <row r="4865" customFormat="false" ht="12" hidden="false" customHeight="false" outlineLevel="0" collapsed="false">
      <c r="A4865" s="215" t="s">
        <v>7445</v>
      </c>
    </row>
    <row r="4866" customFormat="false" ht="12" hidden="false" customHeight="false" outlineLevel="0" collapsed="false">
      <c r="A4866" s="215" t="s">
        <v>7446</v>
      </c>
    </row>
    <row r="4867" customFormat="false" ht="12" hidden="false" customHeight="false" outlineLevel="0" collapsed="false">
      <c r="A4867" s="215" t="s">
        <v>7447</v>
      </c>
    </row>
    <row r="4868" customFormat="false" ht="12" hidden="false" customHeight="false" outlineLevel="0" collapsed="false">
      <c r="A4868" s="215" t="s">
        <v>7448</v>
      </c>
    </row>
    <row r="4869" customFormat="false" ht="12" hidden="false" customHeight="false" outlineLevel="0" collapsed="false">
      <c r="A4869" s="215" t="s">
        <v>7449</v>
      </c>
    </row>
    <row r="4870" customFormat="false" ht="12" hidden="false" customHeight="false" outlineLevel="0" collapsed="false">
      <c r="A4870" s="215" t="s">
        <v>7450</v>
      </c>
    </row>
    <row r="4871" customFormat="false" ht="12" hidden="false" customHeight="false" outlineLevel="0" collapsed="false">
      <c r="A4871" s="215" t="s">
        <v>7451</v>
      </c>
    </row>
    <row r="4872" customFormat="false" ht="12" hidden="false" customHeight="false" outlineLevel="0" collapsed="false">
      <c r="A4872" s="215" t="s">
        <v>7452</v>
      </c>
    </row>
    <row r="4873" customFormat="false" ht="12" hidden="false" customHeight="false" outlineLevel="0" collapsed="false">
      <c r="A4873" s="215" t="s">
        <v>7453</v>
      </c>
    </row>
    <row r="4874" customFormat="false" ht="12" hidden="false" customHeight="false" outlineLevel="0" collapsed="false">
      <c r="A4874" s="215" t="s">
        <v>7454</v>
      </c>
    </row>
    <row r="4875" customFormat="false" ht="12" hidden="false" customHeight="false" outlineLevel="0" collapsed="false">
      <c r="A4875" s="215" t="s">
        <v>7455</v>
      </c>
    </row>
    <row r="4876" customFormat="false" ht="12" hidden="false" customHeight="false" outlineLevel="0" collapsed="false">
      <c r="A4876" s="215" t="s">
        <v>7456</v>
      </c>
    </row>
    <row r="4877" customFormat="false" ht="12" hidden="false" customHeight="false" outlineLevel="0" collapsed="false">
      <c r="A4877" s="215" t="s">
        <v>7457</v>
      </c>
    </row>
    <row r="4878" customFormat="false" ht="12" hidden="false" customHeight="false" outlineLevel="0" collapsed="false">
      <c r="A4878" s="215" t="s">
        <v>7458</v>
      </c>
    </row>
    <row r="4879" customFormat="false" ht="12" hidden="false" customHeight="false" outlineLevel="0" collapsed="false">
      <c r="A4879" s="215" t="s">
        <v>7459</v>
      </c>
    </row>
    <row r="4880" customFormat="false" ht="12" hidden="false" customHeight="false" outlineLevel="0" collapsed="false">
      <c r="A4880" s="215" t="s">
        <v>7460</v>
      </c>
    </row>
    <row r="4881" customFormat="false" ht="12" hidden="false" customHeight="false" outlineLevel="0" collapsed="false">
      <c r="A4881" s="215" t="s">
        <v>7461</v>
      </c>
    </row>
    <row r="4882" customFormat="false" ht="12" hidden="false" customHeight="false" outlineLevel="0" collapsed="false">
      <c r="A4882" s="215" t="s">
        <v>7462</v>
      </c>
    </row>
    <row r="4883" customFormat="false" ht="12" hidden="false" customHeight="false" outlineLevel="0" collapsed="false">
      <c r="A4883" s="215" t="s">
        <v>7463</v>
      </c>
    </row>
    <row r="4884" customFormat="false" ht="12" hidden="false" customHeight="false" outlineLevel="0" collapsed="false">
      <c r="A4884" s="215" t="s">
        <v>7464</v>
      </c>
    </row>
    <row r="4885" customFormat="false" ht="12" hidden="false" customHeight="false" outlineLevel="0" collapsed="false">
      <c r="A4885" s="215" t="s">
        <v>7465</v>
      </c>
    </row>
    <row r="4886" customFormat="false" ht="12" hidden="false" customHeight="false" outlineLevel="0" collapsed="false">
      <c r="A4886" s="215" t="s">
        <v>7466</v>
      </c>
    </row>
    <row r="4887" customFormat="false" ht="12" hidden="false" customHeight="false" outlineLevel="0" collapsed="false">
      <c r="A4887" s="215" t="s">
        <v>7467</v>
      </c>
    </row>
    <row r="4888" customFormat="false" ht="12" hidden="false" customHeight="false" outlineLevel="0" collapsed="false">
      <c r="A4888" s="215" t="s">
        <v>7468</v>
      </c>
    </row>
    <row r="4889" customFormat="false" ht="12" hidden="false" customHeight="false" outlineLevel="0" collapsed="false">
      <c r="A4889" s="215" t="s">
        <v>7469</v>
      </c>
    </row>
    <row r="4890" customFormat="false" ht="12" hidden="false" customHeight="false" outlineLevel="0" collapsed="false">
      <c r="A4890" s="215" t="s">
        <v>7470</v>
      </c>
    </row>
    <row r="4891" customFormat="false" ht="12" hidden="false" customHeight="false" outlineLevel="0" collapsed="false">
      <c r="A4891" s="215" t="s">
        <v>7471</v>
      </c>
    </row>
    <row r="4892" customFormat="false" ht="12" hidden="false" customHeight="false" outlineLevel="0" collapsed="false">
      <c r="A4892" s="215" t="s">
        <v>7472</v>
      </c>
    </row>
    <row r="4893" customFormat="false" ht="12" hidden="false" customHeight="false" outlineLevel="0" collapsed="false">
      <c r="A4893" s="215" t="s">
        <v>7473</v>
      </c>
    </row>
    <row r="4894" customFormat="false" ht="12" hidden="false" customHeight="false" outlineLevel="0" collapsed="false">
      <c r="A4894" s="215" t="s">
        <v>7474</v>
      </c>
    </row>
    <row r="4895" customFormat="false" ht="12" hidden="false" customHeight="false" outlineLevel="0" collapsed="false">
      <c r="A4895" s="215" t="s">
        <v>7475</v>
      </c>
    </row>
    <row r="4896" customFormat="false" ht="12" hidden="false" customHeight="false" outlineLevel="0" collapsed="false">
      <c r="A4896" s="215" t="s">
        <v>7476</v>
      </c>
    </row>
    <row r="4897" customFormat="false" ht="12" hidden="false" customHeight="false" outlineLevel="0" collapsed="false">
      <c r="A4897" s="215" t="s">
        <v>7477</v>
      </c>
    </row>
    <row r="4898" customFormat="false" ht="12" hidden="false" customHeight="false" outlineLevel="0" collapsed="false">
      <c r="A4898" s="215" t="s">
        <v>7478</v>
      </c>
    </row>
    <row r="4899" customFormat="false" ht="12" hidden="false" customHeight="false" outlineLevel="0" collapsed="false">
      <c r="A4899" s="215" t="s">
        <v>7479</v>
      </c>
    </row>
    <row r="4900" customFormat="false" ht="12" hidden="false" customHeight="false" outlineLevel="0" collapsed="false">
      <c r="A4900" s="215" t="s">
        <v>7480</v>
      </c>
    </row>
    <row r="4901" customFormat="false" ht="12" hidden="false" customHeight="false" outlineLevel="0" collapsed="false">
      <c r="A4901" s="215" t="s">
        <v>7481</v>
      </c>
    </row>
    <row r="4902" customFormat="false" ht="12" hidden="false" customHeight="false" outlineLevel="0" collapsed="false">
      <c r="A4902" s="215" t="s">
        <v>7482</v>
      </c>
    </row>
    <row r="4903" customFormat="false" ht="12" hidden="false" customHeight="false" outlineLevel="0" collapsed="false">
      <c r="A4903" s="215" t="s">
        <v>7483</v>
      </c>
    </row>
    <row r="4904" customFormat="false" ht="12" hidden="false" customHeight="false" outlineLevel="0" collapsed="false">
      <c r="A4904" s="215" t="s">
        <v>7484</v>
      </c>
    </row>
    <row r="4905" customFormat="false" ht="12" hidden="false" customHeight="false" outlineLevel="0" collapsed="false">
      <c r="A4905" s="215" t="s">
        <v>7485</v>
      </c>
    </row>
    <row r="4906" customFormat="false" ht="12" hidden="false" customHeight="false" outlineLevel="0" collapsed="false">
      <c r="A4906" s="215" t="s">
        <v>7486</v>
      </c>
    </row>
    <row r="4907" customFormat="false" ht="12" hidden="false" customHeight="false" outlineLevel="0" collapsed="false">
      <c r="A4907" s="215" t="s">
        <v>7487</v>
      </c>
    </row>
    <row r="4908" customFormat="false" ht="12" hidden="false" customHeight="false" outlineLevel="0" collapsed="false">
      <c r="A4908" s="215" t="s">
        <v>7488</v>
      </c>
    </row>
    <row r="4909" customFormat="false" ht="12" hidden="false" customHeight="false" outlineLevel="0" collapsed="false">
      <c r="A4909" s="215" t="s">
        <v>7489</v>
      </c>
    </row>
    <row r="4910" customFormat="false" ht="12" hidden="false" customHeight="false" outlineLevel="0" collapsed="false">
      <c r="A4910" s="215" t="s">
        <v>7490</v>
      </c>
    </row>
    <row r="4911" customFormat="false" ht="12" hidden="false" customHeight="false" outlineLevel="0" collapsed="false">
      <c r="A4911" s="215" t="s">
        <v>7491</v>
      </c>
    </row>
    <row r="4912" customFormat="false" ht="12" hidden="false" customHeight="false" outlineLevel="0" collapsed="false">
      <c r="A4912" s="215" t="s">
        <v>7492</v>
      </c>
    </row>
    <row r="4913" customFormat="false" ht="12" hidden="false" customHeight="false" outlineLevel="0" collapsed="false">
      <c r="A4913" s="215" t="s">
        <v>7493</v>
      </c>
    </row>
    <row r="4914" customFormat="false" ht="12" hidden="false" customHeight="false" outlineLevel="0" collapsed="false">
      <c r="A4914" s="215" t="s">
        <v>7494</v>
      </c>
    </row>
    <row r="4915" customFormat="false" ht="12" hidden="false" customHeight="false" outlineLevel="0" collapsed="false">
      <c r="A4915" s="215" t="s">
        <v>7495</v>
      </c>
    </row>
    <row r="4916" customFormat="false" ht="12" hidden="false" customHeight="false" outlineLevel="0" collapsed="false">
      <c r="A4916" s="215" t="s">
        <v>7496</v>
      </c>
    </row>
    <row r="4917" customFormat="false" ht="12" hidden="false" customHeight="false" outlineLevel="0" collapsed="false">
      <c r="A4917" s="215" t="s">
        <v>7497</v>
      </c>
    </row>
    <row r="4918" customFormat="false" ht="12" hidden="false" customHeight="false" outlineLevel="0" collapsed="false">
      <c r="A4918" s="215" t="s">
        <v>7498</v>
      </c>
    </row>
    <row r="4919" customFormat="false" ht="12" hidden="false" customHeight="false" outlineLevel="0" collapsed="false">
      <c r="A4919" s="215" t="s">
        <v>7499</v>
      </c>
    </row>
    <row r="4920" customFormat="false" ht="12" hidden="false" customHeight="false" outlineLevel="0" collapsed="false">
      <c r="A4920" s="215" t="s">
        <v>7500</v>
      </c>
    </row>
    <row r="4921" customFormat="false" ht="12" hidden="false" customHeight="false" outlineLevel="0" collapsed="false">
      <c r="A4921" s="215" t="s">
        <v>7501</v>
      </c>
    </row>
    <row r="4922" customFormat="false" ht="12" hidden="false" customHeight="false" outlineLevel="0" collapsed="false">
      <c r="A4922" s="215" t="s">
        <v>7502</v>
      </c>
    </row>
    <row r="4923" customFormat="false" ht="12" hidden="false" customHeight="false" outlineLevel="0" collapsed="false">
      <c r="A4923" s="215" t="s">
        <v>7503</v>
      </c>
    </row>
    <row r="4924" customFormat="false" ht="12" hidden="false" customHeight="false" outlineLevel="0" collapsed="false">
      <c r="A4924" s="215" t="s">
        <v>7504</v>
      </c>
    </row>
    <row r="4925" customFormat="false" ht="12" hidden="false" customHeight="false" outlineLevel="0" collapsed="false">
      <c r="A4925" s="215" t="s">
        <v>7505</v>
      </c>
    </row>
    <row r="4926" customFormat="false" ht="12" hidden="false" customHeight="false" outlineLevel="0" collapsed="false">
      <c r="A4926" s="215" t="s">
        <v>7506</v>
      </c>
    </row>
    <row r="4927" customFormat="false" ht="12" hidden="false" customHeight="false" outlineLevel="0" collapsed="false">
      <c r="A4927" s="215" t="s">
        <v>7507</v>
      </c>
    </row>
    <row r="4928" customFormat="false" ht="12" hidden="false" customHeight="false" outlineLevel="0" collapsed="false">
      <c r="A4928" s="215" t="s">
        <v>7508</v>
      </c>
    </row>
    <row r="4929" customFormat="false" ht="12" hidden="false" customHeight="false" outlineLevel="0" collapsed="false">
      <c r="A4929" s="215" t="s">
        <v>7509</v>
      </c>
    </row>
    <row r="4930" customFormat="false" ht="12" hidden="false" customHeight="false" outlineLevel="0" collapsed="false">
      <c r="A4930" s="215" t="s">
        <v>7510</v>
      </c>
    </row>
    <row r="4931" customFormat="false" ht="12" hidden="false" customHeight="false" outlineLevel="0" collapsed="false">
      <c r="A4931" s="215" t="s">
        <v>7511</v>
      </c>
    </row>
    <row r="4932" customFormat="false" ht="12" hidden="false" customHeight="false" outlineLevel="0" collapsed="false">
      <c r="A4932" s="215" t="s">
        <v>7512</v>
      </c>
    </row>
    <row r="4933" customFormat="false" ht="12" hidden="false" customHeight="false" outlineLevel="0" collapsed="false">
      <c r="A4933" s="215" t="s">
        <v>7513</v>
      </c>
    </row>
    <row r="4934" customFormat="false" ht="12" hidden="false" customHeight="false" outlineLevel="0" collapsed="false">
      <c r="A4934" s="215" t="s">
        <v>7514</v>
      </c>
    </row>
    <row r="4935" customFormat="false" ht="12" hidden="false" customHeight="false" outlineLevel="0" collapsed="false">
      <c r="A4935" s="215" t="s">
        <v>7515</v>
      </c>
    </row>
    <row r="4936" customFormat="false" ht="12" hidden="false" customHeight="false" outlineLevel="0" collapsed="false">
      <c r="A4936" s="215" t="s">
        <v>7516</v>
      </c>
    </row>
    <row r="4937" customFormat="false" ht="12" hidden="false" customHeight="false" outlineLevel="0" collapsed="false">
      <c r="A4937" s="215" t="s">
        <v>7517</v>
      </c>
    </row>
    <row r="4938" customFormat="false" ht="12" hidden="false" customHeight="false" outlineLevel="0" collapsed="false">
      <c r="A4938" s="215" t="s">
        <v>7518</v>
      </c>
    </row>
    <row r="4939" customFormat="false" ht="12" hidden="false" customHeight="false" outlineLevel="0" collapsed="false">
      <c r="A4939" s="215" t="s">
        <v>7519</v>
      </c>
    </row>
    <row r="4940" customFormat="false" ht="12" hidden="false" customHeight="false" outlineLevel="0" collapsed="false">
      <c r="A4940" s="215" t="s">
        <v>7520</v>
      </c>
    </row>
    <row r="4941" customFormat="false" ht="12" hidden="false" customHeight="false" outlineLevel="0" collapsed="false">
      <c r="A4941" s="215" t="s">
        <v>7521</v>
      </c>
    </row>
    <row r="4942" customFormat="false" ht="12" hidden="false" customHeight="false" outlineLevel="0" collapsed="false">
      <c r="A4942" s="215" t="s">
        <v>7522</v>
      </c>
    </row>
    <row r="4943" customFormat="false" ht="12" hidden="false" customHeight="false" outlineLevel="0" collapsed="false">
      <c r="A4943" s="215" t="s">
        <v>7523</v>
      </c>
    </row>
    <row r="4944" customFormat="false" ht="12" hidden="false" customHeight="false" outlineLevel="0" collapsed="false">
      <c r="A4944" s="215" t="s">
        <v>7524</v>
      </c>
    </row>
    <row r="4945" customFormat="false" ht="12" hidden="false" customHeight="false" outlineLevel="0" collapsed="false">
      <c r="A4945" s="215" t="s">
        <v>7525</v>
      </c>
    </row>
    <row r="4946" customFormat="false" ht="12" hidden="false" customHeight="false" outlineLevel="0" collapsed="false">
      <c r="A4946" s="215" t="s">
        <v>7526</v>
      </c>
    </row>
    <row r="4947" customFormat="false" ht="12" hidden="false" customHeight="false" outlineLevel="0" collapsed="false">
      <c r="A4947" s="215" t="s">
        <v>7527</v>
      </c>
    </row>
    <row r="4948" customFormat="false" ht="12" hidden="false" customHeight="false" outlineLevel="0" collapsed="false">
      <c r="A4948" s="215" t="s">
        <v>7528</v>
      </c>
    </row>
    <row r="4949" customFormat="false" ht="12" hidden="false" customHeight="false" outlineLevel="0" collapsed="false">
      <c r="A4949" s="215" t="s">
        <v>7529</v>
      </c>
    </row>
    <row r="4950" customFormat="false" ht="12" hidden="false" customHeight="false" outlineLevel="0" collapsed="false">
      <c r="A4950" s="215" t="s">
        <v>7530</v>
      </c>
    </row>
    <row r="4951" customFormat="false" ht="12" hidden="false" customHeight="false" outlineLevel="0" collapsed="false">
      <c r="A4951" s="215" t="s">
        <v>7531</v>
      </c>
    </row>
    <row r="4952" customFormat="false" ht="12" hidden="false" customHeight="false" outlineLevel="0" collapsed="false">
      <c r="A4952" s="215" t="s">
        <v>7532</v>
      </c>
    </row>
    <row r="4953" customFormat="false" ht="12" hidden="false" customHeight="false" outlineLevel="0" collapsed="false">
      <c r="A4953" s="215" t="s">
        <v>7533</v>
      </c>
    </row>
    <row r="4954" customFormat="false" ht="12" hidden="false" customHeight="false" outlineLevel="0" collapsed="false">
      <c r="A4954" s="215" t="s">
        <v>7534</v>
      </c>
    </row>
    <row r="4955" customFormat="false" ht="12" hidden="false" customHeight="false" outlineLevel="0" collapsed="false">
      <c r="A4955" s="215" t="s">
        <v>7535</v>
      </c>
    </row>
    <row r="4956" customFormat="false" ht="12" hidden="false" customHeight="false" outlineLevel="0" collapsed="false">
      <c r="A4956" s="215" t="s">
        <v>7536</v>
      </c>
    </row>
    <row r="4957" customFormat="false" ht="12" hidden="false" customHeight="false" outlineLevel="0" collapsed="false">
      <c r="A4957" s="215" t="s">
        <v>7537</v>
      </c>
    </row>
    <row r="4958" customFormat="false" ht="12" hidden="false" customHeight="false" outlineLevel="0" collapsed="false">
      <c r="A4958" s="215" t="s">
        <v>7538</v>
      </c>
    </row>
    <row r="4959" customFormat="false" ht="12" hidden="false" customHeight="false" outlineLevel="0" collapsed="false">
      <c r="A4959" s="215" t="s">
        <v>7539</v>
      </c>
    </row>
    <row r="4960" customFormat="false" ht="12" hidden="false" customHeight="false" outlineLevel="0" collapsed="false">
      <c r="A4960" s="215" t="s">
        <v>7540</v>
      </c>
    </row>
    <row r="4961" customFormat="false" ht="12" hidden="false" customHeight="false" outlineLevel="0" collapsed="false">
      <c r="A4961" s="215" t="s">
        <v>7541</v>
      </c>
    </row>
    <row r="4962" customFormat="false" ht="12" hidden="false" customHeight="false" outlineLevel="0" collapsed="false">
      <c r="A4962" s="215" t="s">
        <v>7542</v>
      </c>
    </row>
    <row r="4963" customFormat="false" ht="12" hidden="false" customHeight="false" outlineLevel="0" collapsed="false">
      <c r="A4963" s="215" t="s">
        <v>7543</v>
      </c>
    </row>
    <row r="4964" customFormat="false" ht="12" hidden="false" customHeight="false" outlineLevel="0" collapsed="false">
      <c r="A4964" s="215" t="s">
        <v>7544</v>
      </c>
    </row>
    <row r="4965" customFormat="false" ht="12" hidden="false" customHeight="false" outlineLevel="0" collapsed="false">
      <c r="A4965" s="215" t="s">
        <v>7545</v>
      </c>
    </row>
    <row r="4966" customFormat="false" ht="12" hidden="false" customHeight="false" outlineLevel="0" collapsed="false">
      <c r="A4966" s="215" t="s">
        <v>7546</v>
      </c>
    </row>
    <row r="4967" customFormat="false" ht="12" hidden="false" customHeight="false" outlineLevel="0" collapsed="false">
      <c r="A4967" s="215" t="s">
        <v>7547</v>
      </c>
    </row>
    <row r="4968" customFormat="false" ht="12" hidden="false" customHeight="false" outlineLevel="0" collapsed="false">
      <c r="A4968" s="215" t="s">
        <v>7548</v>
      </c>
    </row>
    <row r="4969" customFormat="false" ht="12" hidden="false" customHeight="false" outlineLevel="0" collapsed="false">
      <c r="A4969" s="215" t="s">
        <v>7549</v>
      </c>
    </row>
    <row r="4970" customFormat="false" ht="12" hidden="false" customHeight="false" outlineLevel="0" collapsed="false">
      <c r="A4970" s="215" t="s">
        <v>7550</v>
      </c>
    </row>
    <row r="4971" customFormat="false" ht="12" hidden="false" customHeight="false" outlineLevel="0" collapsed="false">
      <c r="A4971" s="215" t="s">
        <v>7551</v>
      </c>
    </row>
    <row r="4972" customFormat="false" ht="12" hidden="false" customHeight="false" outlineLevel="0" collapsed="false">
      <c r="A4972" s="215" t="s">
        <v>7552</v>
      </c>
    </row>
    <row r="4973" customFormat="false" ht="12" hidden="false" customHeight="false" outlineLevel="0" collapsed="false">
      <c r="A4973" s="215" t="s">
        <v>7553</v>
      </c>
    </row>
    <row r="4974" customFormat="false" ht="12" hidden="false" customHeight="false" outlineLevel="0" collapsed="false">
      <c r="A4974" s="215" t="s">
        <v>7554</v>
      </c>
    </row>
    <row r="4975" customFormat="false" ht="12" hidden="false" customHeight="false" outlineLevel="0" collapsed="false">
      <c r="A4975" s="215" t="s">
        <v>7555</v>
      </c>
    </row>
    <row r="4976" customFormat="false" ht="12" hidden="false" customHeight="false" outlineLevel="0" collapsed="false">
      <c r="A4976" s="215" t="s">
        <v>7556</v>
      </c>
    </row>
    <row r="4977" customFormat="false" ht="12" hidden="false" customHeight="false" outlineLevel="0" collapsed="false">
      <c r="A4977" s="215" t="s">
        <v>7557</v>
      </c>
    </row>
    <row r="4978" customFormat="false" ht="12" hidden="false" customHeight="false" outlineLevel="0" collapsed="false">
      <c r="A4978" s="215" t="s">
        <v>7558</v>
      </c>
    </row>
    <row r="4979" customFormat="false" ht="12" hidden="false" customHeight="false" outlineLevel="0" collapsed="false">
      <c r="A4979" s="215" t="s">
        <v>7559</v>
      </c>
    </row>
    <row r="4980" customFormat="false" ht="12" hidden="false" customHeight="false" outlineLevel="0" collapsed="false">
      <c r="A4980" s="215" t="s">
        <v>7560</v>
      </c>
    </row>
    <row r="4981" customFormat="false" ht="12" hidden="false" customHeight="false" outlineLevel="0" collapsed="false">
      <c r="A4981" s="215" t="s">
        <v>7561</v>
      </c>
    </row>
    <row r="4982" customFormat="false" ht="12" hidden="false" customHeight="false" outlineLevel="0" collapsed="false">
      <c r="A4982" s="215" t="s">
        <v>7562</v>
      </c>
    </row>
    <row r="4983" customFormat="false" ht="12" hidden="false" customHeight="false" outlineLevel="0" collapsed="false">
      <c r="A4983" s="215" t="s">
        <v>7563</v>
      </c>
    </row>
    <row r="4984" customFormat="false" ht="12" hidden="false" customHeight="false" outlineLevel="0" collapsed="false">
      <c r="A4984" s="215" t="s">
        <v>7564</v>
      </c>
    </row>
    <row r="4985" customFormat="false" ht="12" hidden="false" customHeight="false" outlineLevel="0" collapsed="false">
      <c r="A4985" s="215" t="s">
        <v>7565</v>
      </c>
    </row>
    <row r="4986" customFormat="false" ht="12" hidden="false" customHeight="false" outlineLevel="0" collapsed="false">
      <c r="A4986" s="215" t="s">
        <v>7566</v>
      </c>
    </row>
    <row r="4987" customFormat="false" ht="12" hidden="false" customHeight="false" outlineLevel="0" collapsed="false">
      <c r="A4987" s="215" t="s">
        <v>7567</v>
      </c>
    </row>
    <row r="4988" customFormat="false" ht="12" hidden="false" customHeight="false" outlineLevel="0" collapsed="false">
      <c r="A4988" s="215" t="s">
        <v>7568</v>
      </c>
    </row>
    <row r="4989" customFormat="false" ht="12" hidden="false" customHeight="false" outlineLevel="0" collapsed="false">
      <c r="A4989" s="215" t="s">
        <v>7569</v>
      </c>
    </row>
    <row r="4990" customFormat="false" ht="12" hidden="false" customHeight="false" outlineLevel="0" collapsed="false">
      <c r="A4990" s="215" t="s">
        <v>7570</v>
      </c>
    </row>
    <row r="4991" customFormat="false" ht="12" hidden="false" customHeight="false" outlineLevel="0" collapsed="false">
      <c r="A4991" s="215" t="s">
        <v>7571</v>
      </c>
    </row>
    <row r="4992" customFormat="false" ht="12" hidden="false" customHeight="false" outlineLevel="0" collapsed="false">
      <c r="A4992" s="215" t="s">
        <v>7572</v>
      </c>
    </row>
    <row r="4993" customFormat="false" ht="12" hidden="false" customHeight="false" outlineLevel="0" collapsed="false">
      <c r="A4993" s="215" t="s">
        <v>7573</v>
      </c>
    </row>
    <row r="4994" customFormat="false" ht="12" hidden="false" customHeight="false" outlineLevel="0" collapsed="false">
      <c r="A4994" s="215" t="s">
        <v>7574</v>
      </c>
    </row>
    <row r="4995" customFormat="false" ht="12" hidden="false" customHeight="false" outlineLevel="0" collapsed="false">
      <c r="A4995" s="215" t="s">
        <v>7575</v>
      </c>
    </row>
    <row r="4996" customFormat="false" ht="12" hidden="false" customHeight="false" outlineLevel="0" collapsed="false">
      <c r="A4996" s="215" t="s">
        <v>7576</v>
      </c>
    </row>
    <row r="4997" customFormat="false" ht="12" hidden="false" customHeight="false" outlineLevel="0" collapsed="false">
      <c r="A4997" s="215" t="s">
        <v>7577</v>
      </c>
    </row>
    <row r="4998" customFormat="false" ht="12" hidden="false" customHeight="false" outlineLevel="0" collapsed="false">
      <c r="A4998" s="215" t="s">
        <v>7578</v>
      </c>
    </row>
    <row r="4999" customFormat="false" ht="12" hidden="false" customHeight="false" outlineLevel="0" collapsed="false">
      <c r="A4999" s="215" t="s">
        <v>7579</v>
      </c>
    </row>
    <row r="5000" customFormat="false" ht="12" hidden="false" customHeight="false" outlineLevel="0" collapsed="false">
      <c r="A5000" s="215" t="s">
        <v>7580</v>
      </c>
    </row>
    <row r="5001" customFormat="false" ht="12" hidden="false" customHeight="false" outlineLevel="0" collapsed="false">
      <c r="A5001" s="215" t="s">
        <v>7581</v>
      </c>
    </row>
    <row r="5002" customFormat="false" ht="12" hidden="false" customHeight="false" outlineLevel="0" collapsed="false">
      <c r="A5002" s="215" t="s">
        <v>7582</v>
      </c>
    </row>
    <row r="5003" customFormat="false" ht="12" hidden="false" customHeight="false" outlineLevel="0" collapsed="false">
      <c r="A5003" s="215" t="s">
        <v>7583</v>
      </c>
    </row>
    <row r="5004" customFormat="false" ht="12" hidden="false" customHeight="false" outlineLevel="0" collapsed="false">
      <c r="A5004" s="215" t="s">
        <v>7584</v>
      </c>
    </row>
    <row r="5005" customFormat="false" ht="12" hidden="false" customHeight="false" outlineLevel="0" collapsed="false">
      <c r="A5005" s="215" t="s">
        <v>7585</v>
      </c>
    </row>
    <row r="5006" customFormat="false" ht="12" hidden="false" customHeight="false" outlineLevel="0" collapsed="false">
      <c r="A5006" s="215" t="s">
        <v>7586</v>
      </c>
    </row>
    <row r="5007" customFormat="false" ht="12" hidden="false" customHeight="false" outlineLevel="0" collapsed="false">
      <c r="A5007" s="215" t="s">
        <v>7587</v>
      </c>
    </row>
    <row r="5008" customFormat="false" ht="12" hidden="false" customHeight="false" outlineLevel="0" collapsed="false">
      <c r="A5008" s="215" t="s">
        <v>7588</v>
      </c>
    </row>
    <row r="5009" customFormat="false" ht="12" hidden="false" customHeight="false" outlineLevel="0" collapsed="false">
      <c r="A5009" s="215" t="s">
        <v>7589</v>
      </c>
    </row>
    <row r="5010" customFormat="false" ht="12" hidden="false" customHeight="false" outlineLevel="0" collapsed="false">
      <c r="A5010" s="215" t="s">
        <v>7590</v>
      </c>
    </row>
    <row r="5011" customFormat="false" ht="12" hidden="false" customHeight="false" outlineLevel="0" collapsed="false">
      <c r="A5011" s="215" t="s">
        <v>7591</v>
      </c>
    </row>
    <row r="5012" customFormat="false" ht="12" hidden="false" customHeight="false" outlineLevel="0" collapsed="false">
      <c r="A5012" s="215" t="s">
        <v>7592</v>
      </c>
    </row>
    <row r="5013" customFormat="false" ht="12" hidden="false" customHeight="false" outlineLevel="0" collapsed="false">
      <c r="A5013" s="215" t="s">
        <v>7593</v>
      </c>
    </row>
    <row r="5014" customFormat="false" ht="12" hidden="false" customHeight="false" outlineLevel="0" collapsed="false">
      <c r="A5014" s="215" t="s">
        <v>7594</v>
      </c>
    </row>
    <row r="5015" customFormat="false" ht="12" hidden="false" customHeight="false" outlineLevel="0" collapsed="false">
      <c r="A5015" s="215" t="s">
        <v>7595</v>
      </c>
    </row>
    <row r="5016" customFormat="false" ht="12" hidden="false" customHeight="false" outlineLevel="0" collapsed="false">
      <c r="A5016" s="215" t="s">
        <v>7596</v>
      </c>
    </row>
    <row r="5017" customFormat="false" ht="12" hidden="false" customHeight="false" outlineLevel="0" collapsed="false">
      <c r="A5017" s="215" t="s">
        <v>7597</v>
      </c>
    </row>
    <row r="5018" customFormat="false" ht="12" hidden="false" customHeight="false" outlineLevel="0" collapsed="false">
      <c r="A5018" s="215" t="s">
        <v>7598</v>
      </c>
    </row>
    <row r="5019" customFormat="false" ht="12" hidden="false" customHeight="false" outlineLevel="0" collapsed="false">
      <c r="A5019" s="215" t="s">
        <v>7599</v>
      </c>
    </row>
    <row r="5020" customFormat="false" ht="12" hidden="false" customHeight="false" outlineLevel="0" collapsed="false">
      <c r="A5020" s="215" t="s">
        <v>7600</v>
      </c>
    </row>
    <row r="5021" customFormat="false" ht="12" hidden="false" customHeight="false" outlineLevel="0" collapsed="false">
      <c r="A5021" s="215" t="s">
        <v>7601</v>
      </c>
    </row>
    <row r="5022" customFormat="false" ht="12" hidden="false" customHeight="false" outlineLevel="0" collapsed="false">
      <c r="A5022" s="215" t="s">
        <v>7602</v>
      </c>
    </row>
    <row r="5023" customFormat="false" ht="12" hidden="false" customHeight="false" outlineLevel="0" collapsed="false">
      <c r="A5023" s="215" t="s">
        <v>7603</v>
      </c>
    </row>
    <row r="5024" customFormat="false" ht="12" hidden="false" customHeight="false" outlineLevel="0" collapsed="false">
      <c r="A5024" s="215" t="s">
        <v>7604</v>
      </c>
    </row>
    <row r="5025" customFormat="false" ht="12" hidden="false" customHeight="false" outlineLevel="0" collapsed="false">
      <c r="A5025" s="215" t="s">
        <v>7605</v>
      </c>
    </row>
    <row r="5026" customFormat="false" ht="12" hidden="false" customHeight="false" outlineLevel="0" collapsed="false">
      <c r="A5026" s="215" t="s">
        <v>7606</v>
      </c>
    </row>
    <row r="5027" customFormat="false" ht="12" hidden="false" customHeight="false" outlineLevel="0" collapsed="false">
      <c r="A5027" s="215" t="s">
        <v>7607</v>
      </c>
    </row>
    <row r="5028" customFormat="false" ht="12" hidden="false" customHeight="false" outlineLevel="0" collapsed="false">
      <c r="A5028" s="215" t="s">
        <v>7608</v>
      </c>
    </row>
    <row r="5029" customFormat="false" ht="12" hidden="false" customHeight="false" outlineLevel="0" collapsed="false">
      <c r="A5029" s="215" t="s">
        <v>7609</v>
      </c>
    </row>
    <row r="5030" customFormat="false" ht="12" hidden="false" customHeight="false" outlineLevel="0" collapsed="false">
      <c r="A5030" s="215" t="s">
        <v>7610</v>
      </c>
    </row>
    <row r="5031" customFormat="false" ht="12" hidden="false" customHeight="false" outlineLevel="0" collapsed="false">
      <c r="A5031" s="215" t="s">
        <v>7611</v>
      </c>
    </row>
    <row r="5032" customFormat="false" ht="12" hidden="false" customHeight="false" outlineLevel="0" collapsed="false">
      <c r="A5032" s="215" t="s">
        <v>7612</v>
      </c>
    </row>
    <row r="5033" customFormat="false" ht="12" hidden="false" customHeight="false" outlineLevel="0" collapsed="false">
      <c r="A5033" s="215" t="s">
        <v>7613</v>
      </c>
    </row>
    <row r="5034" customFormat="false" ht="12" hidden="false" customHeight="false" outlineLevel="0" collapsed="false">
      <c r="A5034" s="215" t="s">
        <v>7614</v>
      </c>
    </row>
    <row r="5035" customFormat="false" ht="12" hidden="false" customHeight="false" outlineLevel="0" collapsed="false">
      <c r="A5035" s="215" t="s">
        <v>7615</v>
      </c>
    </row>
    <row r="5036" customFormat="false" ht="12" hidden="false" customHeight="false" outlineLevel="0" collapsed="false">
      <c r="A5036" s="215" t="s">
        <v>7616</v>
      </c>
    </row>
    <row r="5037" customFormat="false" ht="12" hidden="false" customHeight="false" outlineLevel="0" collapsed="false">
      <c r="A5037" s="215" t="s">
        <v>7617</v>
      </c>
    </row>
    <row r="5038" customFormat="false" ht="12" hidden="false" customHeight="false" outlineLevel="0" collapsed="false">
      <c r="A5038" s="215" t="s">
        <v>7618</v>
      </c>
    </row>
    <row r="5039" customFormat="false" ht="12" hidden="false" customHeight="false" outlineLevel="0" collapsed="false">
      <c r="A5039" s="215" t="s">
        <v>7619</v>
      </c>
    </row>
    <row r="5040" customFormat="false" ht="12" hidden="false" customHeight="false" outlineLevel="0" collapsed="false">
      <c r="A5040" s="215" t="s">
        <v>7620</v>
      </c>
    </row>
    <row r="5041" customFormat="false" ht="12" hidden="false" customHeight="false" outlineLevel="0" collapsed="false">
      <c r="A5041" s="215" t="s">
        <v>7621</v>
      </c>
    </row>
    <row r="5042" customFormat="false" ht="12" hidden="false" customHeight="false" outlineLevel="0" collapsed="false">
      <c r="A5042" s="215" t="s">
        <v>7622</v>
      </c>
    </row>
    <row r="5043" customFormat="false" ht="12" hidden="false" customHeight="false" outlineLevel="0" collapsed="false">
      <c r="A5043" s="215" t="s">
        <v>7623</v>
      </c>
    </row>
    <row r="5044" customFormat="false" ht="12" hidden="false" customHeight="false" outlineLevel="0" collapsed="false">
      <c r="A5044" s="215" t="s">
        <v>7624</v>
      </c>
    </row>
    <row r="5045" customFormat="false" ht="12" hidden="false" customHeight="false" outlineLevel="0" collapsed="false">
      <c r="A5045" s="215" t="s">
        <v>7625</v>
      </c>
    </row>
    <row r="5046" customFormat="false" ht="12" hidden="false" customHeight="false" outlineLevel="0" collapsed="false">
      <c r="A5046" s="215" t="s">
        <v>7626</v>
      </c>
    </row>
    <row r="5047" customFormat="false" ht="12" hidden="false" customHeight="false" outlineLevel="0" collapsed="false">
      <c r="A5047" s="215" t="s">
        <v>7627</v>
      </c>
    </row>
    <row r="5048" customFormat="false" ht="12" hidden="false" customHeight="false" outlineLevel="0" collapsed="false">
      <c r="A5048" s="215" t="s">
        <v>7628</v>
      </c>
    </row>
    <row r="5049" customFormat="false" ht="12" hidden="false" customHeight="false" outlineLevel="0" collapsed="false">
      <c r="A5049" s="215" t="s">
        <v>7629</v>
      </c>
    </row>
    <row r="5050" customFormat="false" ht="12" hidden="false" customHeight="false" outlineLevel="0" collapsed="false">
      <c r="A5050" s="215" t="s">
        <v>7630</v>
      </c>
    </row>
    <row r="5051" customFormat="false" ht="12" hidden="false" customHeight="false" outlineLevel="0" collapsed="false">
      <c r="A5051" s="215" t="s">
        <v>7631</v>
      </c>
    </row>
    <row r="5052" customFormat="false" ht="12" hidden="false" customHeight="false" outlineLevel="0" collapsed="false">
      <c r="A5052" s="215" t="s">
        <v>7632</v>
      </c>
    </row>
    <row r="5053" customFormat="false" ht="12" hidden="false" customHeight="false" outlineLevel="0" collapsed="false">
      <c r="A5053" s="215" t="s">
        <v>7633</v>
      </c>
    </row>
    <row r="5054" customFormat="false" ht="12" hidden="false" customHeight="false" outlineLevel="0" collapsed="false">
      <c r="A5054" s="215" t="s">
        <v>7634</v>
      </c>
    </row>
    <row r="5055" customFormat="false" ht="12" hidden="false" customHeight="false" outlineLevel="0" collapsed="false">
      <c r="A5055" s="215" t="s">
        <v>7635</v>
      </c>
    </row>
    <row r="5056" customFormat="false" ht="12" hidden="false" customHeight="false" outlineLevel="0" collapsed="false">
      <c r="A5056" s="215" t="s">
        <v>7636</v>
      </c>
    </row>
    <row r="5057" customFormat="false" ht="12" hidden="false" customHeight="false" outlineLevel="0" collapsed="false">
      <c r="A5057" s="215" t="s">
        <v>7637</v>
      </c>
    </row>
    <row r="5058" customFormat="false" ht="12" hidden="false" customHeight="false" outlineLevel="0" collapsed="false">
      <c r="A5058" s="215" t="s">
        <v>7638</v>
      </c>
    </row>
    <row r="5059" customFormat="false" ht="12" hidden="false" customHeight="false" outlineLevel="0" collapsed="false">
      <c r="A5059" s="215" t="s">
        <v>7639</v>
      </c>
    </row>
    <row r="5060" customFormat="false" ht="12" hidden="false" customHeight="false" outlineLevel="0" collapsed="false">
      <c r="A5060" s="215" t="s">
        <v>7640</v>
      </c>
    </row>
    <row r="5061" customFormat="false" ht="12" hidden="false" customHeight="false" outlineLevel="0" collapsed="false">
      <c r="A5061" s="215" t="s">
        <v>7641</v>
      </c>
    </row>
    <row r="5062" customFormat="false" ht="12" hidden="false" customHeight="false" outlineLevel="0" collapsed="false">
      <c r="A5062" s="215" t="s">
        <v>7642</v>
      </c>
    </row>
    <row r="5063" customFormat="false" ht="12" hidden="false" customHeight="false" outlineLevel="0" collapsed="false">
      <c r="A5063" s="215" t="s">
        <v>7643</v>
      </c>
    </row>
    <row r="5064" customFormat="false" ht="12" hidden="false" customHeight="false" outlineLevel="0" collapsed="false">
      <c r="A5064" s="215" t="s">
        <v>7644</v>
      </c>
    </row>
    <row r="5065" customFormat="false" ht="12" hidden="false" customHeight="false" outlineLevel="0" collapsed="false">
      <c r="A5065" s="215" t="s">
        <v>7645</v>
      </c>
    </row>
    <row r="5066" customFormat="false" ht="12" hidden="false" customHeight="false" outlineLevel="0" collapsed="false">
      <c r="A5066" s="215" t="s">
        <v>7646</v>
      </c>
    </row>
    <row r="5067" customFormat="false" ht="12" hidden="false" customHeight="false" outlineLevel="0" collapsed="false">
      <c r="A5067" s="215" t="s">
        <v>7647</v>
      </c>
    </row>
    <row r="5068" customFormat="false" ht="12" hidden="false" customHeight="false" outlineLevel="0" collapsed="false">
      <c r="A5068" s="215" t="s">
        <v>7648</v>
      </c>
    </row>
    <row r="5069" customFormat="false" ht="12" hidden="false" customHeight="false" outlineLevel="0" collapsed="false">
      <c r="A5069" s="215" t="s">
        <v>7649</v>
      </c>
    </row>
    <row r="5070" customFormat="false" ht="12" hidden="false" customHeight="false" outlineLevel="0" collapsed="false">
      <c r="A5070" s="215" t="s">
        <v>7650</v>
      </c>
    </row>
    <row r="5071" customFormat="false" ht="12" hidden="false" customHeight="false" outlineLevel="0" collapsed="false">
      <c r="A5071" s="215" t="s">
        <v>7651</v>
      </c>
    </row>
    <row r="5072" customFormat="false" ht="12" hidden="false" customHeight="false" outlineLevel="0" collapsed="false">
      <c r="A5072" s="215" t="s">
        <v>7652</v>
      </c>
    </row>
    <row r="5073" customFormat="false" ht="12" hidden="false" customHeight="false" outlineLevel="0" collapsed="false">
      <c r="A5073" s="215" t="s">
        <v>7653</v>
      </c>
    </row>
    <row r="5074" customFormat="false" ht="12" hidden="false" customHeight="false" outlineLevel="0" collapsed="false">
      <c r="A5074" s="215" t="s">
        <v>7654</v>
      </c>
    </row>
    <row r="5075" customFormat="false" ht="12" hidden="false" customHeight="false" outlineLevel="0" collapsed="false">
      <c r="A5075" s="215" t="s">
        <v>7655</v>
      </c>
    </row>
    <row r="5076" customFormat="false" ht="12" hidden="false" customHeight="false" outlineLevel="0" collapsed="false">
      <c r="A5076" s="215" t="s">
        <v>7656</v>
      </c>
    </row>
    <row r="5077" customFormat="false" ht="12" hidden="false" customHeight="false" outlineLevel="0" collapsed="false">
      <c r="A5077" s="215" t="s">
        <v>7657</v>
      </c>
    </row>
    <row r="5078" customFormat="false" ht="12" hidden="false" customHeight="false" outlineLevel="0" collapsed="false">
      <c r="A5078" s="215" t="s">
        <v>7658</v>
      </c>
    </row>
    <row r="5079" customFormat="false" ht="12" hidden="false" customHeight="false" outlineLevel="0" collapsed="false">
      <c r="A5079" s="215" t="s">
        <v>7659</v>
      </c>
    </row>
    <row r="5080" customFormat="false" ht="12" hidden="false" customHeight="false" outlineLevel="0" collapsed="false">
      <c r="A5080" s="215" t="s">
        <v>7660</v>
      </c>
    </row>
    <row r="5081" customFormat="false" ht="12" hidden="false" customHeight="false" outlineLevel="0" collapsed="false">
      <c r="A5081" s="215" t="s">
        <v>7661</v>
      </c>
    </row>
    <row r="5082" customFormat="false" ht="12" hidden="false" customHeight="false" outlineLevel="0" collapsed="false">
      <c r="A5082" s="215" t="s">
        <v>7662</v>
      </c>
    </row>
    <row r="5083" customFormat="false" ht="12" hidden="false" customHeight="false" outlineLevel="0" collapsed="false">
      <c r="A5083" s="215" t="s">
        <v>7663</v>
      </c>
    </row>
    <row r="5084" customFormat="false" ht="12" hidden="false" customHeight="false" outlineLevel="0" collapsed="false">
      <c r="A5084" s="215" t="s">
        <v>7664</v>
      </c>
    </row>
    <row r="5085" customFormat="false" ht="12" hidden="false" customHeight="false" outlineLevel="0" collapsed="false">
      <c r="A5085" s="215" t="s">
        <v>7665</v>
      </c>
    </row>
    <row r="5086" customFormat="false" ht="12" hidden="false" customHeight="false" outlineLevel="0" collapsed="false">
      <c r="A5086" s="215" t="s">
        <v>7666</v>
      </c>
    </row>
    <row r="5087" customFormat="false" ht="12" hidden="false" customHeight="false" outlineLevel="0" collapsed="false">
      <c r="A5087" s="215" t="s">
        <v>7667</v>
      </c>
    </row>
    <row r="5088" customFormat="false" ht="12" hidden="false" customHeight="false" outlineLevel="0" collapsed="false">
      <c r="A5088" s="215" t="s">
        <v>7668</v>
      </c>
    </row>
    <row r="5089" customFormat="false" ht="12" hidden="false" customHeight="false" outlineLevel="0" collapsed="false">
      <c r="A5089" s="215" t="s">
        <v>7669</v>
      </c>
    </row>
    <row r="5090" customFormat="false" ht="12" hidden="false" customHeight="false" outlineLevel="0" collapsed="false">
      <c r="A5090" s="215" t="s">
        <v>7670</v>
      </c>
    </row>
    <row r="5091" customFormat="false" ht="12" hidden="false" customHeight="false" outlineLevel="0" collapsed="false">
      <c r="A5091" s="215" t="s">
        <v>7671</v>
      </c>
    </row>
    <row r="5092" customFormat="false" ht="12" hidden="false" customHeight="false" outlineLevel="0" collapsed="false">
      <c r="A5092" s="215" t="s">
        <v>7672</v>
      </c>
    </row>
    <row r="5093" customFormat="false" ht="12" hidden="false" customHeight="false" outlineLevel="0" collapsed="false">
      <c r="A5093" s="215" t="s">
        <v>7673</v>
      </c>
    </row>
    <row r="5094" customFormat="false" ht="12" hidden="false" customHeight="false" outlineLevel="0" collapsed="false">
      <c r="A5094" s="215" t="s">
        <v>7674</v>
      </c>
    </row>
    <row r="5095" customFormat="false" ht="12" hidden="false" customHeight="false" outlineLevel="0" collapsed="false">
      <c r="A5095" s="215" t="s">
        <v>7675</v>
      </c>
    </row>
    <row r="5096" customFormat="false" ht="12" hidden="false" customHeight="false" outlineLevel="0" collapsed="false">
      <c r="A5096" s="215" t="s">
        <v>7676</v>
      </c>
    </row>
    <row r="5097" customFormat="false" ht="12" hidden="false" customHeight="false" outlineLevel="0" collapsed="false">
      <c r="A5097" s="215" t="s">
        <v>7677</v>
      </c>
    </row>
    <row r="5098" customFormat="false" ht="12" hidden="false" customHeight="false" outlineLevel="0" collapsed="false">
      <c r="A5098" s="215" t="s">
        <v>7678</v>
      </c>
    </row>
    <row r="5099" customFormat="false" ht="12" hidden="false" customHeight="false" outlineLevel="0" collapsed="false">
      <c r="A5099" s="215" t="s">
        <v>7679</v>
      </c>
    </row>
    <row r="5100" customFormat="false" ht="12" hidden="false" customHeight="false" outlineLevel="0" collapsed="false">
      <c r="A5100" s="215" t="s">
        <v>7680</v>
      </c>
    </row>
    <row r="5101" customFormat="false" ht="12" hidden="false" customHeight="false" outlineLevel="0" collapsed="false">
      <c r="A5101" s="215" t="s">
        <v>7681</v>
      </c>
    </row>
    <row r="5102" customFormat="false" ht="12" hidden="false" customHeight="false" outlineLevel="0" collapsed="false">
      <c r="A5102" s="215" t="s">
        <v>7682</v>
      </c>
    </row>
    <row r="5103" customFormat="false" ht="12" hidden="false" customHeight="false" outlineLevel="0" collapsed="false">
      <c r="A5103" s="215" t="s">
        <v>7683</v>
      </c>
    </row>
    <row r="5104" customFormat="false" ht="12" hidden="false" customHeight="false" outlineLevel="0" collapsed="false">
      <c r="A5104" s="215" t="s">
        <v>7684</v>
      </c>
    </row>
    <row r="5105" customFormat="false" ht="12" hidden="false" customHeight="false" outlineLevel="0" collapsed="false">
      <c r="A5105" s="215" t="s">
        <v>7685</v>
      </c>
    </row>
    <row r="5106" customFormat="false" ht="12" hidden="false" customHeight="false" outlineLevel="0" collapsed="false">
      <c r="A5106" s="215" t="s">
        <v>7686</v>
      </c>
    </row>
    <row r="5107" customFormat="false" ht="12" hidden="false" customHeight="false" outlineLevel="0" collapsed="false">
      <c r="A5107" s="215" t="s">
        <v>7687</v>
      </c>
    </row>
    <row r="5108" customFormat="false" ht="12" hidden="false" customHeight="false" outlineLevel="0" collapsed="false">
      <c r="A5108" s="215" t="s">
        <v>7688</v>
      </c>
    </row>
    <row r="5109" customFormat="false" ht="12" hidden="false" customHeight="false" outlineLevel="0" collapsed="false">
      <c r="A5109" s="215" t="s">
        <v>7689</v>
      </c>
    </row>
    <row r="5110" customFormat="false" ht="12" hidden="false" customHeight="false" outlineLevel="0" collapsed="false">
      <c r="A5110" s="215" t="s">
        <v>7690</v>
      </c>
    </row>
    <row r="5111" customFormat="false" ht="12" hidden="false" customHeight="false" outlineLevel="0" collapsed="false">
      <c r="A5111" s="215" t="s">
        <v>7691</v>
      </c>
    </row>
    <row r="5112" customFormat="false" ht="12" hidden="false" customHeight="false" outlineLevel="0" collapsed="false">
      <c r="A5112" s="215" t="s">
        <v>7692</v>
      </c>
    </row>
    <row r="5113" customFormat="false" ht="12" hidden="false" customHeight="false" outlineLevel="0" collapsed="false">
      <c r="A5113" s="215" t="s">
        <v>7693</v>
      </c>
    </row>
    <row r="5114" customFormat="false" ht="12" hidden="false" customHeight="false" outlineLevel="0" collapsed="false">
      <c r="A5114" s="215" t="s">
        <v>7694</v>
      </c>
    </row>
    <row r="5115" customFormat="false" ht="12" hidden="false" customHeight="false" outlineLevel="0" collapsed="false">
      <c r="A5115" s="215" t="s">
        <v>7695</v>
      </c>
    </row>
    <row r="5116" customFormat="false" ht="12" hidden="false" customHeight="false" outlineLevel="0" collapsed="false">
      <c r="A5116" s="215" t="s">
        <v>7696</v>
      </c>
    </row>
    <row r="5117" customFormat="false" ht="12" hidden="false" customHeight="false" outlineLevel="0" collapsed="false">
      <c r="A5117" s="215" t="s">
        <v>7697</v>
      </c>
    </row>
    <row r="5118" customFormat="false" ht="12" hidden="false" customHeight="false" outlineLevel="0" collapsed="false">
      <c r="A5118" s="215" t="s">
        <v>7698</v>
      </c>
    </row>
    <row r="5119" customFormat="false" ht="12" hidden="false" customHeight="false" outlineLevel="0" collapsed="false">
      <c r="A5119" s="215" t="s">
        <v>7699</v>
      </c>
    </row>
    <row r="5120" customFormat="false" ht="12" hidden="false" customHeight="false" outlineLevel="0" collapsed="false">
      <c r="A5120" s="215" t="s">
        <v>7700</v>
      </c>
    </row>
    <row r="5121" customFormat="false" ht="12" hidden="false" customHeight="false" outlineLevel="0" collapsed="false">
      <c r="A5121" s="215" t="s">
        <v>7701</v>
      </c>
    </row>
    <row r="5122" customFormat="false" ht="12" hidden="false" customHeight="false" outlineLevel="0" collapsed="false">
      <c r="A5122" s="215" t="s">
        <v>7702</v>
      </c>
    </row>
    <row r="5123" customFormat="false" ht="12" hidden="false" customHeight="false" outlineLevel="0" collapsed="false">
      <c r="A5123" s="215" t="s">
        <v>7703</v>
      </c>
    </row>
    <row r="5124" customFormat="false" ht="12" hidden="false" customHeight="false" outlineLevel="0" collapsed="false">
      <c r="A5124" s="215" t="s">
        <v>7704</v>
      </c>
    </row>
    <row r="5125" customFormat="false" ht="12" hidden="false" customHeight="false" outlineLevel="0" collapsed="false">
      <c r="A5125" s="215" t="s">
        <v>7705</v>
      </c>
    </row>
    <row r="5126" customFormat="false" ht="12" hidden="false" customHeight="false" outlineLevel="0" collapsed="false">
      <c r="A5126" s="215" t="s">
        <v>7706</v>
      </c>
    </row>
    <row r="5127" customFormat="false" ht="12" hidden="false" customHeight="false" outlineLevel="0" collapsed="false">
      <c r="A5127" s="215" t="s">
        <v>7707</v>
      </c>
    </row>
    <row r="5128" customFormat="false" ht="12" hidden="false" customHeight="false" outlineLevel="0" collapsed="false">
      <c r="A5128" s="215" t="s">
        <v>7708</v>
      </c>
    </row>
    <row r="5129" customFormat="false" ht="12" hidden="false" customHeight="false" outlineLevel="0" collapsed="false">
      <c r="A5129" s="215" t="s">
        <v>7709</v>
      </c>
    </row>
    <row r="5130" customFormat="false" ht="12" hidden="false" customHeight="false" outlineLevel="0" collapsed="false">
      <c r="A5130" s="215" t="s">
        <v>7710</v>
      </c>
    </row>
    <row r="5131" customFormat="false" ht="12" hidden="false" customHeight="false" outlineLevel="0" collapsed="false">
      <c r="A5131" s="215" t="s">
        <v>7711</v>
      </c>
    </row>
    <row r="5132" customFormat="false" ht="12" hidden="false" customHeight="false" outlineLevel="0" collapsed="false">
      <c r="A5132" s="215" t="s">
        <v>7712</v>
      </c>
    </row>
    <row r="5133" customFormat="false" ht="12" hidden="false" customHeight="false" outlineLevel="0" collapsed="false">
      <c r="A5133" s="215" t="s">
        <v>7713</v>
      </c>
    </row>
    <row r="5134" customFormat="false" ht="12" hidden="false" customHeight="false" outlineLevel="0" collapsed="false">
      <c r="A5134" s="215" t="s">
        <v>7714</v>
      </c>
    </row>
    <row r="5135" customFormat="false" ht="12" hidden="false" customHeight="false" outlineLevel="0" collapsed="false">
      <c r="A5135" s="215" t="s">
        <v>7715</v>
      </c>
    </row>
    <row r="5136" customFormat="false" ht="12" hidden="false" customHeight="false" outlineLevel="0" collapsed="false">
      <c r="A5136" s="215" t="s">
        <v>7716</v>
      </c>
    </row>
    <row r="5137" customFormat="false" ht="12" hidden="false" customHeight="false" outlineLevel="0" collapsed="false">
      <c r="A5137" s="215" t="s">
        <v>7717</v>
      </c>
    </row>
    <row r="5138" customFormat="false" ht="12" hidden="false" customHeight="false" outlineLevel="0" collapsed="false">
      <c r="A5138" s="215" t="s">
        <v>7718</v>
      </c>
    </row>
    <row r="5139" customFormat="false" ht="12" hidden="false" customHeight="false" outlineLevel="0" collapsed="false">
      <c r="A5139" s="215" t="s">
        <v>7719</v>
      </c>
    </row>
    <row r="5140" customFormat="false" ht="12" hidden="false" customHeight="false" outlineLevel="0" collapsed="false">
      <c r="A5140" s="215" t="s">
        <v>7720</v>
      </c>
    </row>
    <row r="5141" customFormat="false" ht="12" hidden="false" customHeight="false" outlineLevel="0" collapsed="false">
      <c r="A5141" s="215" t="s">
        <v>7721</v>
      </c>
    </row>
    <row r="5142" customFormat="false" ht="12" hidden="false" customHeight="false" outlineLevel="0" collapsed="false">
      <c r="A5142" s="215" t="s">
        <v>7722</v>
      </c>
    </row>
    <row r="5143" customFormat="false" ht="12" hidden="false" customHeight="false" outlineLevel="0" collapsed="false">
      <c r="A5143" s="215" t="s">
        <v>7723</v>
      </c>
    </row>
    <row r="5144" customFormat="false" ht="12" hidden="false" customHeight="false" outlineLevel="0" collapsed="false">
      <c r="A5144" s="215" t="s">
        <v>7724</v>
      </c>
    </row>
    <row r="5145" customFormat="false" ht="12" hidden="false" customHeight="false" outlineLevel="0" collapsed="false">
      <c r="A5145" s="215" t="s">
        <v>7725</v>
      </c>
    </row>
    <row r="5146" customFormat="false" ht="12" hidden="false" customHeight="false" outlineLevel="0" collapsed="false">
      <c r="A5146" s="215" t="s">
        <v>7726</v>
      </c>
    </row>
    <row r="5147" customFormat="false" ht="12" hidden="false" customHeight="false" outlineLevel="0" collapsed="false">
      <c r="A5147" s="215" t="s">
        <v>7727</v>
      </c>
    </row>
    <row r="5148" customFormat="false" ht="12" hidden="false" customHeight="false" outlineLevel="0" collapsed="false">
      <c r="A5148" s="215" t="s">
        <v>7728</v>
      </c>
    </row>
    <row r="5149" customFormat="false" ht="12" hidden="false" customHeight="false" outlineLevel="0" collapsed="false">
      <c r="A5149" s="215" t="s">
        <v>7729</v>
      </c>
    </row>
    <row r="5150" customFormat="false" ht="12" hidden="false" customHeight="false" outlineLevel="0" collapsed="false">
      <c r="A5150" s="215" t="s">
        <v>7730</v>
      </c>
    </row>
    <row r="5151" customFormat="false" ht="12" hidden="false" customHeight="false" outlineLevel="0" collapsed="false">
      <c r="A5151" s="215" t="s">
        <v>7731</v>
      </c>
    </row>
    <row r="5152" customFormat="false" ht="12" hidden="false" customHeight="false" outlineLevel="0" collapsed="false">
      <c r="A5152" s="215" t="s">
        <v>7732</v>
      </c>
    </row>
    <row r="5153" customFormat="false" ht="12" hidden="false" customHeight="false" outlineLevel="0" collapsed="false">
      <c r="A5153" s="215" t="s">
        <v>7733</v>
      </c>
    </row>
    <row r="5154" customFormat="false" ht="12" hidden="false" customHeight="false" outlineLevel="0" collapsed="false">
      <c r="A5154" s="215" t="s">
        <v>7734</v>
      </c>
    </row>
    <row r="5155" customFormat="false" ht="12" hidden="false" customHeight="false" outlineLevel="0" collapsed="false">
      <c r="A5155" s="215" t="s">
        <v>7735</v>
      </c>
    </row>
    <row r="5156" customFormat="false" ht="12" hidden="false" customHeight="false" outlineLevel="0" collapsed="false">
      <c r="A5156" s="215" t="s">
        <v>7736</v>
      </c>
    </row>
    <row r="5157" customFormat="false" ht="12" hidden="false" customHeight="false" outlineLevel="0" collapsed="false">
      <c r="A5157" s="215" t="s">
        <v>7737</v>
      </c>
    </row>
    <row r="5158" customFormat="false" ht="12" hidden="false" customHeight="false" outlineLevel="0" collapsed="false">
      <c r="A5158" s="215" t="s">
        <v>7738</v>
      </c>
    </row>
    <row r="5159" customFormat="false" ht="12" hidden="false" customHeight="false" outlineLevel="0" collapsed="false">
      <c r="A5159" s="215" t="s">
        <v>7739</v>
      </c>
    </row>
    <row r="5160" customFormat="false" ht="12" hidden="false" customHeight="false" outlineLevel="0" collapsed="false">
      <c r="A5160" s="215" t="s">
        <v>7740</v>
      </c>
    </row>
    <row r="5161" customFormat="false" ht="12" hidden="false" customHeight="false" outlineLevel="0" collapsed="false">
      <c r="A5161" s="215" t="s">
        <v>7741</v>
      </c>
    </row>
    <row r="5162" customFormat="false" ht="12" hidden="false" customHeight="false" outlineLevel="0" collapsed="false">
      <c r="A5162" s="215" t="s">
        <v>7742</v>
      </c>
    </row>
    <row r="5163" customFormat="false" ht="12" hidden="false" customHeight="false" outlineLevel="0" collapsed="false">
      <c r="A5163" s="215" t="s">
        <v>7743</v>
      </c>
    </row>
    <row r="5164" customFormat="false" ht="12" hidden="false" customHeight="false" outlineLevel="0" collapsed="false">
      <c r="A5164" s="215" t="s">
        <v>7744</v>
      </c>
    </row>
    <row r="5165" customFormat="false" ht="12" hidden="false" customHeight="false" outlineLevel="0" collapsed="false">
      <c r="A5165" s="215" t="s">
        <v>7745</v>
      </c>
    </row>
    <row r="5166" customFormat="false" ht="12" hidden="false" customHeight="false" outlineLevel="0" collapsed="false">
      <c r="A5166" s="215" t="s">
        <v>7746</v>
      </c>
    </row>
    <row r="5167" customFormat="false" ht="12" hidden="false" customHeight="false" outlineLevel="0" collapsed="false">
      <c r="A5167" s="215" t="s">
        <v>7747</v>
      </c>
    </row>
    <row r="5168" customFormat="false" ht="12" hidden="false" customHeight="false" outlineLevel="0" collapsed="false">
      <c r="A5168" s="215" t="s">
        <v>7748</v>
      </c>
    </row>
    <row r="5169" customFormat="false" ht="12" hidden="false" customHeight="false" outlineLevel="0" collapsed="false">
      <c r="A5169" s="215" t="s">
        <v>7749</v>
      </c>
    </row>
    <row r="5170" customFormat="false" ht="12" hidden="false" customHeight="false" outlineLevel="0" collapsed="false">
      <c r="A5170" s="215" t="s">
        <v>7750</v>
      </c>
    </row>
    <row r="5171" customFormat="false" ht="12" hidden="false" customHeight="false" outlineLevel="0" collapsed="false">
      <c r="A5171" s="215" t="s">
        <v>7751</v>
      </c>
    </row>
    <row r="5172" customFormat="false" ht="12" hidden="false" customHeight="false" outlineLevel="0" collapsed="false">
      <c r="A5172" s="215" t="s">
        <v>7752</v>
      </c>
    </row>
    <row r="5173" customFormat="false" ht="12" hidden="false" customHeight="false" outlineLevel="0" collapsed="false">
      <c r="A5173" s="215" t="s">
        <v>7753</v>
      </c>
    </row>
    <row r="5174" customFormat="false" ht="12" hidden="false" customHeight="false" outlineLevel="0" collapsed="false">
      <c r="A5174" s="215" t="s">
        <v>7754</v>
      </c>
    </row>
    <row r="5175" customFormat="false" ht="12" hidden="false" customHeight="false" outlineLevel="0" collapsed="false">
      <c r="A5175" s="215" t="s">
        <v>7755</v>
      </c>
    </row>
    <row r="5176" customFormat="false" ht="12" hidden="false" customHeight="false" outlineLevel="0" collapsed="false">
      <c r="A5176" s="215" t="s">
        <v>7756</v>
      </c>
    </row>
    <row r="5177" customFormat="false" ht="12" hidden="false" customHeight="false" outlineLevel="0" collapsed="false">
      <c r="A5177" s="215" t="s">
        <v>7757</v>
      </c>
    </row>
    <row r="5178" customFormat="false" ht="12" hidden="false" customHeight="false" outlineLevel="0" collapsed="false">
      <c r="A5178" s="215" t="s">
        <v>7758</v>
      </c>
    </row>
    <row r="5179" customFormat="false" ht="12" hidden="false" customHeight="false" outlineLevel="0" collapsed="false">
      <c r="A5179" s="215" t="s">
        <v>7759</v>
      </c>
    </row>
    <row r="5180" customFormat="false" ht="12" hidden="false" customHeight="false" outlineLevel="0" collapsed="false">
      <c r="A5180" s="215" t="s">
        <v>7760</v>
      </c>
    </row>
    <row r="5181" customFormat="false" ht="12" hidden="false" customHeight="false" outlineLevel="0" collapsed="false">
      <c r="A5181" s="215" t="s">
        <v>7761</v>
      </c>
    </row>
    <row r="5182" customFormat="false" ht="12" hidden="false" customHeight="false" outlineLevel="0" collapsed="false">
      <c r="A5182" s="215" t="s">
        <v>7762</v>
      </c>
    </row>
    <row r="5183" customFormat="false" ht="12" hidden="false" customHeight="false" outlineLevel="0" collapsed="false">
      <c r="A5183" s="215" t="s">
        <v>7763</v>
      </c>
    </row>
    <row r="5184" customFormat="false" ht="12" hidden="false" customHeight="false" outlineLevel="0" collapsed="false">
      <c r="A5184" s="215" t="s">
        <v>7764</v>
      </c>
    </row>
    <row r="5185" customFormat="false" ht="12" hidden="false" customHeight="false" outlineLevel="0" collapsed="false">
      <c r="A5185" s="215" t="s">
        <v>7765</v>
      </c>
    </row>
    <row r="5186" customFormat="false" ht="12" hidden="false" customHeight="false" outlineLevel="0" collapsed="false">
      <c r="A5186" s="215" t="s">
        <v>7766</v>
      </c>
    </row>
    <row r="5187" customFormat="false" ht="12" hidden="false" customHeight="false" outlineLevel="0" collapsed="false">
      <c r="A5187" s="215" t="s">
        <v>7767</v>
      </c>
    </row>
    <row r="5188" customFormat="false" ht="12" hidden="false" customHeight="false" outlineLevel="0" collapsed="false">
      <c r="A5188" s="215" t="s">
        <v>7768</v>
      </c>
    </row>
    <row r="5189" customFormat="false" ht="12" hidden="false" customHeight="false" outlineLevel="0" collapsed="false">
      <c r="A5189" s="215" t="s">
        <v>7769</v>
      </c>
    </row>
    <row r="5190" customFormat="false" ht="12" hidden="false" customHeight="false" outlineLevel="0" collapsed="false">
      <c r="A5190" s="215" t="s">
        <v>7770</v>
      </c>
    </row>
    <row r="5191" customFormat="false" ht="12" hidden="false" customHeight="false" outlineLevel="0" collapsed="false">
      <c r="A5191" s="215" t="s">
        <v>7771</v>
      </c>
    </row>
    <row r="5192" customFormat="false" ht="12" hidden="false" customHeight="false" outlineLevel="0" collapsed="false">
      <c r="A5192" s="215" t="s">
        <v>7772</v>
      </c>
    </row>
    <row r="5193" customFormat="false" ht="12" hidden="false" customHeight="false" outlineLevel="0" collapsed="false">
      <c r="A5193" s="215" t="s">
        <v>7773</v>
      </c>
    </row>
    <row r="5194" customFormat="false" ht="12" hidden="false" customHeight="false" outlineLevel="0" collapsed="false">
      <c r="A5194" s="215" t="s">
        <v>7774</v>
      </c>
    </row>
    <row r="5195" customFormat="false" ht="12" hidden="false" customHeight="false" outlineLevel="0" collapsed="false">
      <c r="A5195" s="215" t="s">
        <v>7775</v>
      </c>
    </row>
    <row r="5196" customFormat="false" ht="12" hidden="false" customHeight="false" outlineLevel="0" collapsed="false">
      <c r="A5196" s="215" t="s">
        <v>7776</v>
      </c>
    </row>
    <row r="5197" customFormat="false" ht="12" hidden="false" customHeight="false" outlineLevel="0" collapsed="false">
      <c r="A5197" s="215" t="s">
        <v>7777</v>
      </c>
    </row>
    <row r="5198" customFormat="false" ht="12" hidden="false" customHeight="false" outlineLevel="0" collapsed="false">
      <c r="A5198" s="215" t="s">
        <v>7778</v>
      </c>
    </row>
    <row r="5199" customFormat="false" ht="12" hidden="false" customHeight="false" outlineLevel="0" collapsed="false">
      <c r="A5199" s="215" t="s">
        <v>7779</v>
      </c>
    </row>
    <row r="5200" customFormat="false" ht="12" hidden="false" customHeight="false" outlineLevel="0" collapsed="false">
      <c r="A5200" s="215" t="s">
        <v>7780</v>
      </c>
    </row>
    <row r="5201" customFormat="false" ht="12" hidden="false" customHeight="false" outlineLevel="0" collapsed="false">
      <c r="A5201" s="215" t="s">
        <v>7781</v>
      </c>
    </row>
    <row r="5202" customFormat="false" ht="12" hidden="false" customHeight="false" outlineLevel="0" collapsed="false">
      <c r="A5202" s="215" t="s">
        <v>7782</v>
      </c>
    </row>
    <row r="5203" customFormat="false" ht="12" hidden="false" customHeight="false" outlineLevel="0" collapsed="false">
      <c r="A5203" s="215" t="s">
        <v>7783</v>
      </c>
    </row>
    <row r="5204" customFormat="false" ht="12" hidden="false" customHeight="false" outlineLevel="0" collapsed="false">
      <c r="A5204" s="215" t="s">
        <v>7784</v>
      </c>
    </row>
    <row r="5205" customFormat="false" ht="12" hidden="false" customHeight="false" outlineLevel="0" collapsed="false">
      <c r="A5205" s="215" t="s">
        <v>7785</v>
      </c>
    </row>
    <row r="5206" customFormat="false" ht="12" hidden="false" customHeight="false" outlineLevel="0" collapsed="false">
      <c r="A5206" s="215" t="s">
        <v>7786</v>
      </c>
    </row>
    <row r="5207" customFormat="false" ht="12" hidden="false" customHeight="false" outlineLevel="0" collapsed="false">
      <c r="A5207" s="215" t="s">
        <v>7787</v>
      </c>
    </row>
    <row r="5208" customFormat="false" ht="12" hidden="false" customHeight="false" outlineLevel="0" collapsed="false">
      <c r="A5208" s="215" t="s">
        <v>7788</v>
      </c>
    </row>
    <row r="5209" customFormat="false" ht="12" hidden="false" customHeight="false" outlineLevel="0" collapsed="false">
      <c r="A5209" s="215" t="s">
        <v>7789</v>
      </c>
    </row>
    <row r="5210" customFormat="false" ht="12" hidden="false" customHeight="false" outlineLevel="0" collapsed="false">
      <c r="A5210" s="215" t="s">
        <v>7790</v>
      </c>
    </row>
    <row r="5211" customFormat="false" ht="12" hidden="false" customHeight="false" outlineLevel="0" collapsed="false">
      <c r="A5211" s="215" t="s">
        <v>7791</v>
      </c>
    </row>
    <row r="5212" customFormat="false" ht="12" hidden="false" customHeight="false" outlineLevel="0" collapsed="false">
      <c r="A5212" s="215" t="s">
        <v>7792</v>
      </c>
    </row>
    <row r="5213" customFormat="false" ht="12" hidden="false" customHeight="false" outlineLevel="0" collapsed="false">
      <c r="A5213" s="215" t="s">
        <v>7793</v>
      </c>
    </row>
    <row r="5214" customFormat="false" ht="12" hidden="false" customHeight="false" outlineLevel="0" collapsed="false">
      <c r="A5214" s="215" t="s">
        <v>7794</v>
      </c>
    </row>
    <row r="5215" customFormat="false" ht="12" hidden="false" customHeight="false" outlineLevel="0" collapsed="false">
      <c r="A5215" s="215" t="s">
        <v>7795</v>
      </c>
    </row>
    <row r="5216" customFormat="false" ht="12" hidden="false" customHeight="false" outlineLevel="0" collapsed="false">
      <c r="A5216" s="215" t="s">
        <v>7796</v>
      </c>
    </row>
    <row r="5217" customFormat="false" ht="12" hidden="false" customHeight="false" outlineLevel="0" collapsed="false">
      <c r="A5217" s="215" t="s">
        <v>7797</v>
      </c>
    </row>
    <row r="5218" customFormat="false" ht="12" hidden="false" customHeight="false" outlineLevel="0" collapsed="false">
      <c r="A5218" s="215" t="s">
        <v>7798</v>
      </c>
    </row>
    <row r="5219" customFormat="false" ht="12" hidden="false" customHeight="false" outlineLevel="0" collapsed="false">
      <c r="A5219" s="215" t="s">
        <v>7799</v>
      </c>
    </row>
    <row r="5220" customFormat="false" ht="12" hidden="false" customHeight="false" outlineLevel="0" collapsed="false">
      <c r="A5220" s="215" t="s">
        <v>7800</v>
      </c>
    </row>
    <row r="5221" customFormat="false" ht="12" hidden="false" customHeight="false" outlineLevel="0" collapsed="false">
      <c r="A5221" s="215" t="s">
        <v>7801</v>
      </c>
    </row>
    <row r="5222" customFormat="false" ht="12" hidden="false" customHeight="false" outlineLevel="0" collapsed="false">
      <c r="A5222" s="215" t="s">
        <v>7802</v>
      </c>
    </row>
    <row r="5223" customFormat="false" ht="12" hidden="false" customHeight="false" outlineLevel="0" collapsed="false">
      <c r="A5223" s="215" t="s">
        <v>7803</v>
      </c>
    </row>
    <row r="5224" customFormat="false" ht="12" hidden="false" customHeight="false" outlineLevel="0" collapsed="false">
      <c r="A5224" s="215" t="s">
        <v>7804</v>
      </c>
    </row>
    <row r="5225" customFormat="false" ht="12" hidden="false" customHeight="false" outlineLevel="0" collapsed="false">
      <c r="A5225" s="215" t="s">
        <v>7805</v>
      </c>
    </row>
    <row r="5226" customFormat="false" ht="12" hidden="false" customHeight="false" outlineLevel="0" collapsed="false">
      <c r="A5226" s="215" t="s">
        <v>7806</v>
      </c>
    </row>
    <row r="5227" customFormat="false" ht="12" hidden="false" customHeight="false" outlineLevel="0" collapsed="false">
      <c r="A5227" s="215" t="s">
        <v>7807</v>
      </c>
    </row>
    <row r="5228" customFormat="false" ht="12" hidden="false" customHeight="false" outlineLevel="0" collapsed="false">
      <c r="A5228" s="215" t="s">
        <v>7808</v>
      </c>
    </row>
    <row r="5229" customFormat="false" ht="12" hidden="false" customHeight="false" outlineLevel="0" collapsed="false">
      <c r="A5229" s="215" t="s">
        <v>7809</v>
      </c>
    </row>
    <row r="5230" customFormat="false" ht="12" hidden="false" customHeight="false" outlineLevel="0" collapsed="false">
      <c r="A5230" s="215" t="s">
        <v>7810</v>
      </c>
    </row>
    <row r="5231" customFormat="false" ht="12" hidden="false" customHeight="false" outlineLevel="0" collapsed="false">
      <c r="A5231" s="215" t="s">
        <v>7811</v>
      </c>
    </row>
    <row r="5232" customFormat="false" ht="12" hidden="false" customHeight="false" outlineLevel="0" collapsed="false">
      <c r="A5232" s="215" t="s">
        <v>7812</v>
      </c>
    </row>
    <row r="5233" customFormat="false" ht="12" hidden="false" customHeight="false" outlineLevel="0" collapsed="false">
      <c r="A5233" s="215" t="s">
        <v>7813</v>
      </c>
    </row>
    <row r="5234" customFormat="false" ht="12" hidden="false" customHeight="false" outlineLevel="0" collapsed="false">
      <c r="A5234" s="215" t="s">
        <v>7814</v>
      </c>
    </row>
    <row r="5235" customFormat="false" ht="12" hidden="false" customHeight="false" outlineLevel="0" collapsed="false">
      <c r="A5235" s="215" t="s">
        <v>7815</v>
      </c>
    </row>
    <row r="5236" customFormat="false" ht="12" hidden="false" customHeight="false" outlineLevel="0" collapsed="false">
      <c r="A5236" s="215" t="s">
        <v>7816</v>
      </c>
    </row>
    <row r="5237" customFormat="false" ht="12" hidden="false" customHeight="false" outlineLevel="0" collapsed="false">
      <c r="A5237" s="215" t="s">
        <v>7817</v>
      </c>
    </row>
    <row r="5238" customFormat="false" ht="12" hidden="false" customHeight="false" outlineLevel="0" collapsed="false">
      <c r="A5238" s="215" t="s">
        <v>7818</v>
      </c>
    </row>
    <row r="5239" customFormat="false" ht="12" hidden="false" customHeight="false" outlineLevel="0" collapsed="false">
      <c r="A5239" s="215" t="s">
        <v>7819</v>
      </c>
    </row>
    <row r="5240" customFormat="false" ht="12" hidden="false" customHeight="false" outlineLevel="0" collapsed="false">
      <c r="A5240" s="215" t="s">
        <v>7820</v>
      </c>
    </row>
    <row r="5241" customFormat="false" ht="12" hidden="false" customHeight="false" outlineLevel="0" collapsed="false">
      <c r="A5241" s="215" t="s">
        <v>7821</v>
      </c>
    </row>
    <row r="5242" customFormat="false" ht="12" hidden="false" customHeight="false" outlineLevel="0" collapsed="false">
      <c r="A5242" s="215" t="s">
        <v>7822</v>
      </c>
    </row>
    <row r="5243" customFormat="false" ht="12" hidden="false" customHeight="false" outlineLevel="0" collapsed="false">
      <c r="A5243" s="215" t="s">
        <v>7823</v>
      </c>
    </row>
    <row r="5244" customFormat="false" ht="12" hidden="false" customHeight="false" outlineLevel="0" collapsed="false">
      <c r="A5244" s="215" t="s">
        <v>7824</v>
      </c>
    </row>
    <row r="5245" customFormat="false" ht="12" hidden="false" customHeight="false" outlineLevel="0" collapsed="false">
      <c r="A5245" s="215" t="s">
        <v>7825</v>
      </c>
    </row>
    <row r="5246" customFormat="false" ht="12" hidden="false" customHeight="false" outlineLevel="0" collapsed="false">
      <c r="A5246" s="215" t="s">
        <v>7826</v>
      </c>
    </row>
    <row r="5247" customFormat="false" ht="12" hidden="false" customHeight="false" outlineLevel="0" collapsed="false">
      <c r="A5247" s="215" t="s">
        <v>7827</v>
      </c>
    </row>
    <row r="5248" customFormat="false" ht="12" hidden="false" customHeight="false" outlineLevel="0" collapsed="false">
      <c r="A5248" s="215" t="s">
        <v>7828</v>
      </c>
    </row>
    <row r="5249" customFormat="false" ht="12" hidden="false" customHeight="false" outlineLevel="0" collapsed="false">
      <c r="A5249" s="215" t="s">
        <v>7829</v>
      </c>
    </row>
    <row r="5250" customFormat="false" ht="12" hidden="false" customHeight="false" outlineLevel="0" collapsed="false">
      <c r="A5250" s="215" t="s">
        <v>7830</v>
      </c>
    </row>
    <row r="5251" customFormat="false" ht="12" hidden="false" customHeight="false" outlineLevel="0" collapsed="false">
      <c r="A5251" s="215" t="s">
        <v>7831</v>
      </c>
    </row>
    <row r="5252" customFormat="false" ht="12" hidden="false" customHeight="false" outlineLevel="0" collapsed="false">
      <c r="A5252" s="215" t="s">
        <v>7832</v>
      </c>
    </row>
    <row r="5253" customFormat="false" ht="12" hidden="false" customHeight="false" outlineLevel="0" collapsed="false">
      <c r="A5253" s="215" t="s">
        <v>7833</v>
      </c>
    </row>
    <row r="5254" customFormat="false" ht="12" hidden="false" customHeight="false" outlineLevel="0" collapsed="false">
      <c r="A5254" s="215" t="s">
        <v>7834</v>
      </c>
    </row>
    <row r="5255" customFormat="false" ht="12" hidden="false" customHeight="false" outlineLevel="0" collapsed="false">
      <c r="A5255" s="215" t="s">
        <v>7835</v>
      </c>
    </row>
    <row r="5256" customFormat="false" ht="12" hidden="false" customHeight="false" outlineLevel="0" collapsed="false">
      <c r="A5256" s="215" t="s">
        <v>7836</v>
      </c>
    </row>
    <row r="5257" customFormat="false" ht="12" hidden="false" customHeight="false" outlineLevel="0" collapsed="false">
      <c r="A5257" s="215" t="s">
        <v>7837</v>
      </c>
    </row>
    <row r="5258" customFormat="false" ht="12" hidden="false" customHeight="false" outlineLevel="0" collapsed="false">
      <c r="A5258" s="215" t="s">
        <v>7838</v>
      </c>
    </row>
    <row r="5259" customFormat="false" ht="12" hidden="false" customHeight="false" outlineLevel="0" collapsed="false">
      <c r="A5259" s="215" t="s">
        <v>7839</v>
      </c>
    </row>
    <row r="5260" customFormat="false" ht="12" hidden="false" customHeight="false" outlineLevel="0" collapsed="false">
      <c r="A5260" s="215" t="s">
        <v>7840</v>
      </c>
    </row>
    <row r="5261" customFormat="false" ht="12" hidden="false" customHeight="false" outlineLevel="0" collapsed="false">
      <c r="A5261" s="215" t="s">
        <v>7841</v>
      </c>
    </row>
    <row r="5262" customFormat="false" ht="12" hidden="false" customHeight="false" outlineLevel="0" collapsed="false">
      <c r="A5262" s="215" t="s">
        <v>7842</v>
      </c>
    </row>
    <row r="5263" customFormat="false" ht="12" hidden="false" customHeight="false" outlineLevel="0" collapsed="false">
      <c r="A5263" s="215" t="s">
        <v>7843</v>
      </c>
    </row>
    <row r="5264" customFormat="false" ht="12" hidden="false" customHeight="false" outlineLevel="0" collapsed="false">
      <c r="A5264" s="215" t="s">
        <v>7844</v>
      </c>
    </row>
    <row r="5265" customFormat="false" ht="12" hidden="false" customHeight="false" outlineLevel="0" collapsed="false">
      <c r="A5265" s="215" t="s">
        <v>7845</v>
      </c>
    </row>
    <row r="5266" customFormat="false" ht="12" hidden="false" customHeight="false" outlineLevel="0" collapsed="false">
      <c r="A5266" s="215" t="s">
        <v>7846</v>
      </c>
    </row>
    <row r="5267" customFormat="false" ht="12" hidden="false" customHeight="false" outlineLevel="0" collapsed="false">
      <c r="A5267" s="215" t="s">
        <v>7847</v>
      </c>
    </row>
    <row r="5268" customFormat="false" ht="12" hidden="false" customHeight="false" outlineLevel="0" collapsed="false">
      <c r="A5268" s="215" t="s">
        <v>7848</v>
      </c>
    </row>
    <row r="5269" customFormat="false" ht="12" hidden="false" customHeight="false" outlineLevel="0" collapsed="false">
      <c r="A5269" s="215" t="s">
        <v>7849</v>
      </c>
    </row>
    <row r="5270" customFormat="false" ht="12" hidden="false" customHeight="false" outlineLevel="0" collapsed="false">
      <c r="A5270" s="215" t="s">
        <v>7850</v>
      </c>
    </row>
    <row r="5271" customFormat="false" ht="12" hidden="false" customHeight="false" outlineLevel="0" collapsed="false">
      <c r="A5271" s="215" t="s">
        <v>7851</v>
      </c>
    </row>
    <row r="5272" customFormat="false" ht="12" hidden="false" customHeight="false" outlineLevel="0" collapsed="false">
      <c r="A5272" s="215" t="s">
        <v>7852</v>
      </c>
    </row>
    <row r="5273" customFormat="false" ht="12" hidden="false" customHeight="false" outlineLevel="0" collapsed="false">
      <c r="A5273" s="215" t="s">
        <v>7853</v>
      </c>
    </row>
    <row r="5274" customFormat="false" ht="12" hidden="false" customHeight="false" outlineLevel="0" collapsed="false">
      <c r="A5274" s="215" t="s">
        <v>7854</v>
      </c>
    </row>
    <row r="5275" customFormat="false" ht="12" hidden="false" customHeight="false" outlineLevel="0" collapsed="false">
      <c r="A5275" s="215" t="s">
        <v>7855</v>
      </c>
    </row>
    <row r="5276" customFormat="false" ht="12" hidden="false" customHeight="false" outlineLevel="0" collapsed="false">
      <c r="A5276" s="215" t="s">
        <v>7856</v>
      </c>
    </row>
    <row r="5277" customFormat="false" ht="12" hidden="false" customHeight="false" outlineLevel="0" collapsed="false">
      <c r="A5277" s="215" t="s">
        <v>7857</v>
      </c>
    </row>
    <row r="5278" customFormat="false" ht="12" hidden="false" customHeight="false" outlineLevel="0" collapsed="false">
      <c r="A5278" s="215" t="s">
        <v>7858</v>
      </c>
    </row>
    <row r="5279" customFormat="false" ht="12" hidden="false" customHeight="false" outlineLevel="0" collapsed="false">
      <c r="A5279" s="215" t="s">
        <v>7859</v>
      </c>
    </row>
    <row r="5280" customFormat="false" ht="12" hidden="false" customHeight="false" outlineLevel="0" collapsed="false">
      <c r="A5280" s="215" t="s">
        <v>7860</v>
      </c>
    </row>
    <row r="5281" customFormat="false" ht="12" hidden="false" customHeight="false" outlineLevel="0" collapsed="false">
      <c r="A5281" s="215" t="s">
        <v>7861</v>
      </c>
    </row>
    <row r="5282" customFormat="false" ht="12" hidden="false" customHeight="false" outlineLevel="0" collapsed="false">
      <c r="A5282" s="215" t="s">
        <v>7862</v>
      </c>
    </row>
    <row r="5283" customFormat="false" ht="12" hidden="false" customHeight="false" outlineLevel="0" collapsed="false">
      <c r="A5283" s="215" t="s">
        <v>7863</v>
      </c>
    </row>
    <row r="5284" customFormat="false" ht="12" hidden="false" customHeight="false" outlineLevel="0" collapsed="false">
      <c r="A5284" s="215" t="s">
        <v>7864</v>
      </c>
    </row>
    <row r="5285" customFormat="false" ht="12" hidden="false" customHeight="false" outlineLevel="0" collapsed="false">
      <c r="A5285" s="215" t="s">
        <v>7865</v>
      </c>
    </row>
    <row r="5286" customFormat="false" ht="12" hidden="false" customHeight="false" outlineLevel="0" collapsed="false">
      <c r="A5286" s="215" t="s">
        <v>7866</v>
      </c>
    </row>
    <row r="5287" customFormat="false" ht="12" hidden="false" customHeight="false" outlineLevel="0" collapsed="false">
      <c r="A5287" s="215" t="s">
        <v>7867</v>
      </c>
    </row>
    <row r="5288" customFormat="false" ht="12" hidden="false" customHeight="false" outlineLevel="0" collapsed="false">
      <c r="A5288" s="215" t="s">
        <v>7868</v>
      </c>
    </row>
    <row r="5289" customFormat="false" ht="12" hidden="false" customHeight="false" outlineLevel="0" collapsed="false">
      <c r="A5289" s="215" t="s">
        <v>7869</v>
      </c>
    </row>
    <row r="5290" customFormat="false" ht="12" hidden="false" customHeight="false" outlineLevel="0" collapsed="false">
      <c r="A5290" s="215" t="s">
        <v>7870</v>
      </c>
    </row>
    <row r="5291" customFormat="false" ht="12" hidden="false" customHeight="false" outlineLevel="0" collapsed="false">
      <c r="A5291" s="215" t="s">
        <v>7871</v>
      </c>
    </row>
    <row r="5292" customFormat="false" ht="12" hidden="false" customHeight="false" outlineLevel="0" collapsed="false">
      <c r="A5292" s="215" t="s">
        <v>7872</v>
      </c>
    </row>
    <row r="5293" customFormat="false" ht="12" hidden="false" customHeight="false" outlineLevel="0" collapsed="false">
      <c r="A5293" s="215" t="s">
        <v>7873</v>
      </c>
    </row>
    <row r="5294" customFormat="false" ht="12" hidden="false" customHeight="false" outlineLevel="0" collapsed="false">
      <c r="A5294" s="215" t="s">
        <v>7874</v>
      </c>
    </row>
    <row r="5295" customFormat="false" ht="12" hidden="false" customHeight="false" outlineLevel="0" collapsed="false">
      <c r="A5295" s="215" t="s">
        <v>7875</v>
      </c>
    </row>
    <row r="5296" customFormat="false" ht="12" hidden="false" customHeight="false" outlineLevel="0" collapsed="false">
      <c r="A5296" s="215" t="s">
        <v>7876</v>
      </c>
    </row>
    <row r="5297" customFormat="false" ht="12" hidden="false" customHeight="false" outlineLevel="0" collapsed="false">
      <c r="A5297" s="215" t="s">
        <v>7877</v>
      </c>
    </row>
    <row r="5298" customFormat="false" ht="12" hidden="false" customHeight="false" outlineLevel="0" collapsed="false">
      <c r="A5298" s="215" t="s">
        <v>7878</v>
      </c>
    </row>
    <row r="5299" customFormat="false" ht="12" hidden="false" customHeight="false" outlineLevel="0" collapsed="false">
      <c r="A5299" s="215" t="s">
        <v>7879</v>
      </c>
    </row>
    <row r="5300" customFormat="false" ht="12" hidden="false" customHeight="false" outlineLevel="0" collapsed="false">
      <c r="A5300" s="215" t="s">
        <v>7880</v>
      </c>
    </row>
    <row r="5301" customFormat="false" ht="12" hidden="false" customHeight="false" outlineLevel="0" collapsed="false">
      <c r="A5301" s="215" t="s">
        <v>7881</v>
      </c>
    </row>
    <row r="5302" customFormat="false" ht="12" hidden="false" customHeight="false" outlineLevel="0" collapsed="false">
      <c r="A5302" s="215" t="s">
        <v>7882</v>
      </c>
    </row>
    <row r="5303" customFormat="false" ht="12" hidden="false" customHeight="false" outlineLevel="0" collapsed="false">
      <c r="A5303" s="215" t="s">
        <v>7883</v>
      </c>
    </row>
    <row r="5304" customFormat="false" ht="12" hidden="false" customHeight="false" outlineLevel="0" collapsed="false">
      <c r="A5304" s="215" t="s">
        <v>7884</v>
      </c>
    </row>
    <row r="5305" customFormat="false" ht="12" hidden="false" customHeight="false" outlineLevel="0" collapsed="false">
      <c r="A5305" s="215" t="s">
        <v>7885</v>
      </c>
    </row>
    <row r="5306" customFormat="false" ht="12" hidden="false" customHeight="false" outlineLevel="0" collapsed="false">
      <c r="A5306" s="215" t="s">
        <v>7886</v>
      </c>
    </row>
    <row r="5307" customFormat="false" ht="12" hidden="false" customHeight="false" outlineLevel="0" collapsed="false">
      <c r="A5307" s="215" t="s">
        <v>7887</v>
      </c>
    </row>
    <row r="5308" customFormat="false" ht="12" hidden="false" customHeight="false" outlineLevel="0" collapsed="false">
      <c r="A5308" s="215" t="s">
        <v>7888</v>
      </c>
    </row>
    <row r="5309" customFormat="false" ht="12" hidden="false" customHeight="false" outlineLevel="0" collapsed="false">
      <c r="A5309" s="215" t="s">
        <v>7889</v>
      </c>
    </row>
    <row r="5310" customFormat="false" ht="12" hidden="false" customHeight="false" outlineLevel="0" collapsed="false">
      <c r="A5310" s="215" t="s">
        <v>7890</v>
      </c>
    </row>
    <row r="5311" customFormat="false" ht="12" hidden="false" customHeight="false" outlineLevel="0" collapsed="false">
      <c r="A5311" s="215" t="s">
        <v>7891</v>
      </c>
    </row>
    <row r="5312" customFormat="false" ht="12" hidden="false" customHeight="false" outlineLevel="0" collapsed="false">
      <c r="A5312" s="215" t="s">
        <v>7892</v>
      </c>
    </row>
    <row r="5313" customFormat="false" ht="12" hidden="false" customHeight="false" outlineLevel="0" collapsed="false">
      <c r="A5313" s="215" t="s">
        <v>7893</v>
      </c>
    </row>
    <row r="5314" customFormat="false" ht="12" hidden="false" customHeight="false" outlineLevel="0" collapsed="false">
      <c r="A5314" s="215" t="s">
        <v>7894</v>
      </c>
    </row>
    <row r="5315" customFormat="false" ht="12" hidden="false" customHeight="false" outlineLevel="0" collapsed="false">
      <c r="A5315" s="215" t="s">
        <v>7895</v>
      </c>
    </row>
    <row r="5316" customFormat="false" ht="12" hidden="false" customHeight="false" outlineLevel="0" collapsed="false">
      <c r="A5316" s="215" t="s">
        <v>7896</v>
      </c>
    </row>
    <row r="5317" customFormat="false" ht="12" hidden="false" customHeight="false" outlineLevel="0" collapsed="false">
      <c r="A5317" s="215" t="s">
        <v>7897</v>
      </c>
    </row>
    <row r="5318" customFormat="false" ht="12" hidden="false" customHeight="false" outlineLevel="0" collapsed="false">
      <c r="A5318" s="215" t="s">
        <v>7898</v>
      </c>
    </row>
    <row r="5319" customFormat="false" ht="12" hidden="false" customHeight="false" outlineLevel="0" collapsed="false">
      <c r="A5319" s="215" t="s">
        <v>7899</v>
      </c>
    </row>
    <row r="5320" customFormat="false" ht="12" hidden="false" customHeight="false" outlineLevel="0" collapsed="false">
      <c r="A5320" s="215" t="s">
        <v>7900</v>
      </c>
    </row>
    <row r="5321" customFormat="false" ht="12" hidden="false" customHeight="false" outlineLevel="0" collapsed="false">
      <c r="A5321" s="215" t="s">
        <v>7901</v>
      </c>
    </row>
    <row r="5322" customFormat="false" ht="12" hidden="false" customHeight="false" outlineLevel="0" collapsed="false">
      <c r="A5322" s="215" t="s">
        <v>7902</v>
      </c>
    </row>
    <row r="5323" customFormat="false" ht="12" hidden="false" customHeight="false" outlineLevel="0" collapsed="false">
      <c r="A5323" s="215" t="s">
        <v>7903</v>
      </c>
    </row>
    <row r="5324" customFormat="false" ht="12" hidden="false" customHeight="false" outlineLevel="0" collapsed="false">
      <c r="A5324" s="215" t="s">
        <v>7904</v>
      </c>
    </row>
    <row r="5325" customFormat="false" ht="12" hidden="false" customHeight="false" outlineLevel="0" collapsed="false">
      <c r="A5325" s="215" t="s">
        <v>7905</v>
      </c>
    </row>
    <row r="5326" customFormat="false" ht="12" hidden="false" customHeight="false" outlineLevel="0" collapsed="false">
      <c r="A5326" s="215" t="s">
        <v>7906</v>
      </c>
    </row>
    <row r="5327" customFormat="false" ht="12" hidden="false" customHeight="false" outlineLevel="0" collapsed="false">
      <c r="A5327" s="215" t="s">
        <v>7907</v>
      </c>
    </row>
    <row r="5328" customFormat="false" ht="12" hidden="false" customHeight="false" outlineLevel="0" collapsed="false">
      <c r="A5328" s="215" t="s">
        <v>7908</v>
      </c>
    </row>
    <row r="5329" customFormat="false" ht="12" hidden="false" customHeight="false" outlineLevel="0" collapsed="false">
      <c r="A5329" s="215" t="s">
        <v>7909</v>
      </c>
    </row>
    <row r="5330" customFormat="false" ht="12" hidden="false" customHeight="false" outlineLevel="0" collapsed="false">
      <c r="A5330" s="215" t="s">
        <v>7910</v>
      </c>
    </row>
    <row r="5331" customFormat="false" ht="12" hidden="false" customHeight="false" outlineLevel="0" collapsed="false">
      <c r="A5331" s="215" t="s">
        <v>7911</v>
      </c>
    </row>
    <row r="5332" customFormat="false" ht="12" hidden="false" customHeight="false" outlineLevel="0" collapsed="false">
      <c r="A5332" s="215" t="s">
        <v>7912</v>
      </c>
    </row>
    <row r="5333" customFormat="false" ht="12" hidden="false" customHeight="false" outlineLevel="0" collapsed="false">
      <c r="A5333" s="215" t="s">
        <v>7913</v>
      </c>
    </row>
    <row r="5334" customFormat="false" ht="12" hidden="false" customHeight="false" outlineLevel="0" collapsed="false">
      <c r="A5334" s="215" t="s">
        <v>7914</v>
      </c>
    </row>
    <row r="5335" customFormat="false" ht="12" hidden="false" customHeight="false" outlineLevel="0" collapsed="false">
      <c r="A5335" s="215" t="s">
        <v>7915</v>
      </c>
    </row>
    <row r="5336" customFormat="false" ht="12" hidden="false" customHeight="false" outlineLevel="0" collapsed="false">
      <c r="A5336" s="215" t="s">
        <v>7916</v>
      </c>
    </row>
    <row r="5337" customFormat="false" ht="12" hidden="false" customHeight="false" outlineLevel="0" collapsed="false">
      <c r="A5337" s="215" t="s">
        <v>7917</v>
      </c>
    </row>
    <row r="5338" customFormat="false" ht="12" hidden="false" customHeight="false" outlineLevel="0" collapsed="false">
      <c r="A5338" s="215" t="s">
        <v>7918</v>
      </c>
    </row>
    <row r="5339" customFormat="false" ht="12" hidden="false" customHeight="false" outlineLevel="0" collapsed="false">
      <c r="A5339" s="215" t="s">
        <v>7919</v>
      </c>
    </row>
    <row r="5340" customFormat="false" ht="12" hidden="false" customHeight="false" outlineLevel="0" collapsed="false">
      <c r="A5340" s="215" t="s">
        <v>7920</v>
      </c>
    </row>
    <row r="5341" customFormat="false" ht="12" hidden="false" customHeight="false" outlineLevel="0" collapsed="false">
      <c r="A5341" s="215" t="s">
        <v>7921</v>
      </c>
    </row>
    <row r="5342" customFormat="false" ht="12" hidden="false" customHeight="false" outlineLevel="0" collapsed="false">
      <c r="A5342" s="215" t="s">
        <v>7922</v>
      </c>
    </row>
    <row r="5343" customFormat="false" ht="12" hidden="false" customHeight="false" outlineLevel="0" collapsed="false">
      <c r="A5343" s="215" t="s">
        <v>7923</v>
      </c>
    </row>
    <row r="5344" customFormat="false" ht="12" hidden="false" customHeight="false" outlineLevel="0" collapsed="false">
      <c r="A5344" s="215" t="s">
        <v>7924</v>
      </c>
    </row>
    <row r="5345" customFormat="false" ht="12" hidden="false" customHeight="false" outlineLevel="0" collapsed="false">
      <c r="A5345" s="215" t="s">
        <v>7925</v>
      </c>
    </row>
    <row r="5346" customFormat="false" ht="12" hidden="false" customHeight="false" outlineLevel="0" collapsed="false">
      <c r="A5346" s="215" t="s">
        <v>7926</v>
      </c>
    </row>
    <row r="5347" customFormat="false" ht="12" hidden="false" customHeight="false" outlineLevel="0" collapsed="false">
      <c r="A5347" s="215" t="s">
        <v>7927</v>
      </c>
    </row>
    <row r="5348" customFormat="false" ht="12" hidden="false" customHeight="false" outlineLevel="0" collapsed="false">
      <c r="A5348" s="215" t="s">
        <v>7928</v>
      </c>
    </row>
    <row r="5349" customFormat="false" ht="12" hidden="false" customHeight="false" outlineLevel="0" collapsed="false">
      <c r="A5349" s="215" t="s">
        <v>7929</v>
      </c>
    </row>
    <row r="5350" customFormat="false" ht="12" hidden="false" customHeight="false" outlineLevel="0" collapsed="false">
      <c r="A5350" s="215" t="s">
        <v>7930</v>
      </c>
    </row>
    <row r="5351" customFormat="false" ht="12" hidden="false" customHeight="false" outlineLevel="0" collapsed="false">
      <c r="A5351" s="215" t="s">
        <v>7931</v>
      </c>
    </row>
    <row r="5352" customFormat="false" ht="12" hidden="false" customHeight="false" outlineLevel="0" collapsed="false">
      <c r="A5352" s="215" t="s">
        <v>7932</v>
      </c>
    </row>
    <row r="5353" customFormat="false" ht="12" hidden="false" customHeight="false" outlineLevel="0" collapsed="false">
      <c r="A5353" s="215" t="s">
        <v>7933</v>
      </c>
    </row>
    <row r="5354" customFormat="false" ht="12" hidden="false" customHeight="false" outlineLevel="0" collapsed="false">
      <c r="A5354" s="215" t="s">
        <v>7934</v>
      </c>
    </row>
    <row r="5355" customFormat="false" ht="12" hidden="false" customHeight="false" outlineLevel="0" collapsed="false">
      <c r="A5355" s="215" t="s">
        <v>7935</v>
      </c>
    </row>
    <row r="5356" customFormat="false" ht="12" hidden="false" customHeight="false" outlineLevel="0" collapsed="false">
      <c r="A5356" s="215" t="s">
        <v>7936</v>
      </c>
    </row>
    <row r="5357" customFormat="false" ht="12" hidden="false" customHeight="false" outlineLevel="0" collapsed="false">
      <c r="A5357" s="215" t="s">
        <v>7937</v>
      </c>
    </row>
    <row r="5358" customFormat="false" ht="12" hidden="false" customHeight="false" outlineLevel="0" collapsed="false">
      <c r="A5358" s="215" t="s">
        <v>7938</v>
      </c>
    </row>
    <row r="5359" customFormat="false" ht="12" hidden="false" customHeight="false" outlineLevel="0" collapsed="false">
      <c r="A5359" s="215" t="s">
        <v>7939</v>
      </c>
    </row>
    <row r="5360" customFormat="false" ht="12" hidden="false" customHeight="false" outlineLevel="0" collapsed="false">
      <c r="A5360" s="215" t="s">
        <v>7940</v>
      </c>
    </row>
    <row r="5361" customFormat="false" ht="12" hidden="false" customHeight="false" outlineLevel="0" collapsed="false">
      <c r="A5361" s="215" t="s">
        <v>7941</v>
      </c>
    </row>
    <row r="5362" customFormat="false" ht="12" hidden="false" customHeight="false" outlineLevel="0" collapsed="false">
      <c r="A5362" s="215" t="s">
        <v>7942</v>
      </c>
    </row>
    <row r="5363" customFormat="false" ht="12" hidden="false" customHeight="false" outlineLevel="0" collapsed="false">
      <c r="A5363" s="215" t="s">
        <v>7943</v>
      </c>
    </row>
    <row r="5364" customFormat="false" ht="12" hidden="false" customHeight="false" outlineLevel="0" collapsed="false">
      <c r="A5364" s="215" t="s">
        <v>7944</v>
      </c>
    </row>
    <row r="5365" customFormat="false" ht="12" hidden="false" customHeight="false" outlineLevel="0" collapsed="false">
      <c r="A5365" s="215" t="s">
        <v>7945</v>
      </c>
    </row>
    <row r="5366" customFormat="false" ht="12" hidden="false" customHeight="false" outlineLevel="0" collapsed="false">
      <c r="A5366" s="215" t="s">
        <v>7946</v>
      </c>
    </row>
    <row r="5367" customFormat="false" ht="12" hidden="false" customHeight="false" outlineLevel="0" collapsed="false">
      <c r="A5367" s="215" t="s">
        <v>7947</v>
      </c>
    </row>
    <row r="5368" customFormat="false" ht="12" hidden="false" customHeight="false" outlineLevel="0" collapsed="false">
      <c r="A5368" s="215" t="s">
        <v>7948</v>
      </c>
    </row>
    <row r="5369" customFormat="false" ht="12" hidden="false" customHeight="false" outlineLevel="0" collapsed="false">
      <c r="A5369" s="215" t="s">
        <v>7949</v>
      </c>
    </row>
    <row r="5370" customFormat="false" ht="12" hidden="false" customHeight="false" outlineLevel="0" collapsed="false">
      <c r="A5370" s="215" t="s">
        <v>7950</v>
      </c>
    </row>
    <row r="5371" customFormat="false" ht="12" hidden="false" customHeight="false" outlineLevel="0" collapsed="false">
      <c r="A5371" s="215" t="s">
        <v>7951</v>
      </c>
    </row>
    <row r="5372" customFormat="false" ht="12" hidden="false" customHeight="false" outlineLevel="0" collapsed="false">
      <c r="A5372" s="215" t="s">
        <v>7952</v>
      </c>
    </row>
    <row r="5373" customFormat="false" ht="12" hidden="false" customHeight="false" outlineLevel="0" collapsed="false">
      <c r="A5373" s="215" t="s">
        <v>7953</v>
      </c>
    </row>
    <row r="5374" customFormat="false" ht="12" hidden="false" customHeight="false" outlineLevel="0" collapsed="false">
      <c r="A5374" s="215" t="s">
        <v>7954</v>
      </c>
    </row>
    <row r="5375" customFormat="false" ht="12" hidden="false" customHeight="false" outlineLevel="0" collapsed="false">
      <c r="A5375" s="215" t="s">
        <v>7955</v>
      </c>
    </row>
    <row r="5376" customFormat="false" ht="12" hidden="false" customHeight="false" outlineLevel="0" collapsed="false">
      <c r="A5376" s="215" t="s">
        <v>7956</v>
      </c>
    </row>
    <row r="5377" customFormat="false" ht="12" hidden="false" customHeight="false" outlineLevel="0" collapsed="false">
      <c r="A5377" s="215" t="s">
        <v>7957</v>
      </c>
    </row>
    <row r="5378" customFormat="false" ht="12" hidden="false" customHeight="false" outlineLevel="0" collapsed="false">
      <c r="A5378" s="215" t="s">
        <v>7958</v>
      </c>
    </row>
    <row r="5379" customFormat="false" ht="12" hidden="false" customHeight="false" outlineLevel="0" collapsed="false">
      <c r="A5379" s="215" t="s">
        <v>7959</v>
      </c>
    </row>
    <row r="5380" customFormat="false" ht="12" hidden="false" customHeight="false" outlineLevel="0" collapsed="false">
      <c r="A5380" s="215" t="s">
        <v>7960</v>
      </c>
    </row>
    <row r="5381" customFormat="false" ht="12" hidden="false" customHeight="false" outlineLevel="0" collapsed="false">
      <c r="A5381" s="215" t="s">
        <v>7961</v>
      </c>
    </row>
    <row r="5382" customFormat="false" ht="12" hidden="false" customHeight="false" outlineLevel="0" collapsed="false">
      <c r="A5382" s="215" t="s">
        <v>7962</v>
      </c>
    </row>
    <row r="5383" customFormat="false" ht="12" hidden="false" customHeight="false" outlineLevel="0" collapsed="false">
      <c r="A5383" s="215" t="s">
        <v>7963</v>
      </c>
    </row>
    <row r="5384" customFormat="false" ht="12" hidden="false" customHeight="false" outlineLevel="0" collapsed="false">
      <c r="A5384" s="215" t="s">
        <v>7964</v>
      </c>
    </row>
    <row r="5385" customFormat="false" ht="12" hidden="false" customHeight="false" outlineLevel="0" collapsed="false">
      <c r="A5385" s="215" t="s">
        <v>7965</v>
      </c>
    </row>
    <row r="5386" customFormat="false" ht="12" hidden="false" customHeight="false" outlineLevel="0" collapsed="false">
      <c r="A5386" s="215" t="s">
        <v>7966</v>
      </c>
    </row>
    <row r="5387" customFormat="false" ht="12" hidden="false" customHeight="false" outlineLevel="0" collapsed="false">
      <c r="A5387" s="215" t="s">
        <v>7967</v>
      </c>
    </row>
    <row r="5388" customFormat="false" ht="12" hidden="false" customHeight="false" outlineLevel="0" collapsed="false">
      <c r="A5388" s="215" t="s">
        <v>7968</v>
      </c>
    </row>
    <row r="5389" customFormat="false" ht="12" hidden="false" customHeight="false" outlineLevel="0" collapsed="false">
      <c r="A5389" s="215" t="s">
        <v>7969</v>
      </c>
    </row>
    <row r="5390" customFormat="false" ht="12" hidden="false" customHeight="false" outlineLevel="0" collapsed="false">
      <c r="A5390" s="215" t="s">
        <v>7970</v>
      </c>
    </row>
    <row r="5391" customFormat="false" ht="12" hidden="false" customHeight="false" outlineLevel="0" collapsed="false">
      <c r="A5391" s="215" t="s">
        <v>7971</v>
      </c>
    </row>
    <row r="5392" customFormat="false" ht="12" hidden="false" customHeight="false" outlineLevel="0" collapsed="false">
      <c r="A5392" s="215" t="s">
        <v>7972</v>
      </c>
    </row>
    <row r="5393" customFormat="false" ht="12" hidden="false" customHeight="false" outlineLevel="0" collapsed="false">
      <c r="A5393" s="215" t="s">
        <v>7973</v>
      </c>
    </row>
    <row r="5394" customFormat="false" ht="12" hidden="false" customHeight="false" outlineLevel="0" collapsed="false">
      <c r="A5394" s="215" t="s">
        <v>7974</v>
      </c>
    </row>
    <row r="5395" customFormat="false" ht="12" hidden="false" customHeight="false" outlineLevel="0" collapsed="false">
      <c r="A5395" s="215" t="s">
        <v>7975</v>
      </c>
    </row>
    <row r="5396" customFormat="false" ht="12" hidden="false" customHeight="false" outlineLevel="0" collapsed="false">
      <c r="A5396" s="215" t="s">
        <v>7976</v>
      </c>
    </row>
    <row r="5397" customFormat="false" ht="12" hidden="false" customHeight="false" outlineLevel="0" collapsed="false">
      <c r="A5397" s="215" t="s">
        <v>7977</v>
      </c>
    </row>
    <row r="5398" customFormat="false" ht="12" hidden="false" customHeight="false" outlineLevel="0" collapsed="false">
      <c r="A5398" s="215" t="s">
        <v>7978</v>
      </c>
    </row>
    <row r="5399" customFormat="false" ht="12" hidden="false" customHeight="false" outlineLevel="0" collapsed="false">
      <c r="A5399" s="215" t="s">
        <v>7979</v>
      </c>
    </row>
    <row r="5400" customFormat="false" ht="12" hidden="false" customHeight="false" outlineLevel="0" collapsed="false">
      <c r="A5400" s="215" t="s">
        <v>7980</v>
      </c>
    </row>
    <row r="5401" customFormat="false" ht="12" hidden="false" customHeight="false" outlineLevel="0" collapsed="false">
      <c r="A5401" s="215" t="s">
        <v>7981</v>
      </c>
    </row>
    <row r="5402" customFormat="false" ht="12" hidden="false" customHeight="false" outlineLevel="0" collapsed="false">
      <c r="A5402" s="215" t="s">
        <v>7982</v>
      </c>
    </row>
    <row r="5403" customFormat="false" ht="12" hidden="false" customHeight="false" outlineLevel="0" collapsed="false">
      <c r="A5403" s="215" t="s">
        <v>7983</v>
      </c>
    </row>
    <row r="5404" customFormat="false" ht="12" hidden="false" customHeight="false" outlineLevel="0" collapsed="false">
      <c r="A5404" s="215" t="s">
        <v>7984</v>
      </c>
    </row>
    <row r="5405" customFormat="false" ht="12" hidden="false" customHeight="false" outlineLevel="0" collapsed="false">
      <c r="A5405" s="215" t="s">
        <v>7985</v>
      </c>
    </row>
    <row r="5406" customFormat="false" ht="12" hidden="false" customHeight="false" outlineLevel="0" collapsed="false">
      <c r="A5406" s="215" t="s">
        <v>7986</v>
      </c>
    </row>
    <row r="5407" customFormat="false" ht="12" hidden="false" customHeight="false" outlineLevel="0" collapsed="false">
      <c r="A5407" s="215" t="s">
        <v>7987</v>
      </c>
    </row>
    <row r="5408" customFormat="false" ht="12" hidden="false" customHeight="false" outlineLevel="0" collapsed="false">
      <c r="A5408" s="215" t="s">
        <v>7988</v>
      </c>
    </row>
    <row r="5409" customFormat="false" ht="12" hidden="false" customHeight="false" outlineLevel="0" collapsed="false">
      <c r="A5409" s="215" t="s">
        <v>7989</v>
      </c>
    </row>
    <row r="5410" customFormat="false" ht="12" hidden="false" customHeight="false" outlineLevel="0" collapsed="false">
      <c r="A5410" s="215" t="s">
        <v>7990</v>
      </c>
    </row>
    <row r="5411" customFormat="false" ht="12" hidden="false" customHeight="false" outlineLevel="0" collapsed="false">
      <c r="A5411" s="215" t="s">
        <v>7991</v>
      </c>
    </row>
    <row r="5412" customFormat="false" ht="12" hidden="false" customHeight="false" outlineLevel="0" collapsed="false">
      <c r="A5412" s="215" t="s">
        <v>7992</v>
      </c>
    </row>
    <row r="5413" customFormat="false" ht="12" hidden="false" customHeight="false" outlineLevel="0" collapsed="false">
      <c r="A5413" s="215" t="s">
        <v>7993</v>
      </c>
    </row>
    <row r="5414" customFormat="false" ht="12" hidden="false" customHeight="false" outlineLevel="0" collapsed="false">
      <c r="A5414" s="215" t="s">
        <v>7994</v>
      </c>
    </row>
    <row r="5415" customFormat="false" ht="12" hidden="false" customHeight="false" outlineLevel="0" collapsed="false">
      <c r="A5415" s="215" t="s">
        <v>7995</v>
      </c>
    </row>
    <row r="5416" customFormat="false" ht="12" hidden="false" customHeight="false" outlineLevel="0" collapsed="false">
      <c r="A5416" s="215" t="s">
        <v>7996</v>
      </c>
    </row>
    <row r="5417" customFormat="false" ht="12" hidden="false" customHeight="false" outlineLevel="0" collapsed="false">
      <c r="A5417" s="215" t="s">
        <v>7997</v>
      </c>
    </row>
    <row r="5418" customFormat="false" ht="12" hidden="false" customHeight="false" outlineLevel="0" collapsed="false">
      <c r="A5418" s="215" t="s">
        <v>7998</v>
      </c>
    </row>
    <row r="5419" customFormat="false" ht="12" hidden="false" customHeight="false" outlineLevel="0" collapsed="false">
      <c r="A5419" s="215" t="s">
        <v>7999</v>
      </c>
    </row>
    <row r="5420" customFormat="false" ht="12" hidden="false" customHeight="false" outlineLevel="0" collapsed="false">
      <c r="A5420" s="215" t="s">
        <v>8000</v>
      </c>
    </row>
    <row r="5421" customFormat="false" ht="12" hidden="false" customHeight="false" outlineLevel="0" collapsed="false">
      <c r="A5421" s="215" t="s">
        <v>8001</v>
      </c>
    </row>
    <row r="5422" customFormat="false" ht="12" hidden="false" customHeight="false" outlineLevel="0" collapsed="false">
      <c r="A5422" s="215" t="s">
        <v>8002</v>
      </c>
    </row>
    <row r="5423" customFormat="false" ht="12" hidden="false" customHeight="false" outlineLevel="0" collapsed="false">
      <c r="A5423" s="215" t="s">
        <v>8003</v>
      </c>
    </row>
    <row r="5424" customFormat="false" ht="12" hidden="false" customHeight="false" outlineLevel="0" collapsed="false">
      <c r="A5424" s="215" t="s">
        <v>8004</v>
      </c>
    </row>
    <row r="5425" customFormat="false" ht="12" hidden="false" customHeight="false" outlineLevel="0" collapsed="false">
      <c r="A5425" s="215" t="s">
        <v>8005</v>
      </c>
    </row>
    <row r="5426" customFormat="false" ht="12" hidden="false" customHeight="false" outlineLevel="0" collapsed="false">
      <c r="A5426" s="215" t="s">
        <v>8006</v>
      </c>
    </row>
    <row r="5427" customFormat="false" ht="12" hidden="false" customHeight="false" outlineLevel="0" collapsed="false">
      <c r="A5427" s="215" t="s">
        <v>8007</v>
      </c>
    </row>
    <row r="5428" customFormat="false" ht="12" hidden="false" customHeight="false" outlineLevel="0" collapsed="false">
      <c r="A5428" s="215" t="s">
        <v>8008</v>
      </c>
    </row>
    <row r="5429" customFormat="false" ht="12" hidden="false" customHeight="false" outlineLevel="0" collapsed="false">
      <c r="A5429" s="215" t="s">
        <v>8009</v>
      </c>
    </row>
    <row r="5430" customFormat="false" ht="12" hidden="false" customHeight="false" outlineLevel="0" collapsed="false">
      <c r="A5430" s="215" t="s">
        <v>8010</v>
      </c>
    </row>
    <row r="5431" customFormat="false" ht="12" hidden="false" customHeight="false" outlineLevel="0" collapsed="false">
      <c r="A5431" s="215" t="s">
        <v>8011</v>
      </c>
    </row>
    <row r="5432" customFormat="false" ht="12" hidden="false" customHeight="false" outlineLevel="0" collapsed="false">
      <c r="A5432" s="215" t="s">
        <v>8012</v>
      </c>
    </row>
    <row r="5433" customFormat="false" ht="12" hidden="false" customHeight="false" outlineLevel="0" collapsed="false">
      <c r="A5433" s="215" t="s">
        <v>8013</v>
      </c>
    </row>
    <row r="5434" customFormat="false" ht="12" hidden="false" customHeight="false" outlineLevel="0" collapsed="false">
      <c r="A5434" s="215" t="s">
        <v>8014</v>
      </c>
    </row>
    <row r="5435" customFormat="false" ht="12" hidden="false" customHeight="false" outlineLevel="0" collapsed="false">
      <c r="A5435" s="215" t="s">
        <v>8015</v>
      </c>
    </row>
    <row r="5436" customFormat="false" ht="12" hidden="false" customHeight="false" outlineLevel="0" collapsed="false">
      <c r="A5436" s="215" t="s">
        <v>8016</v>
      </c>
    </row>
    <row r="5437" customFormat="false" ht="12" hidden="false" customHeight="false" outlineLevel="0" collapsed="false">
      <c r="A5437" s="215" t="s">
        <v>8017</v>
      </c>
    </row>
    <row r="5438" customFormat="false" ht="12" hidden="false" customHeight="false" outlineLevel="0" collapsed="false">
      <c r="A5438" s="215" t="s">
        <v>8018</v>
      </c>
    </row>
    <row r="5439" customFormat="false" ht="12" hidden="false" customHeight="false" outlineLevel="0" collapsed="false">
      <c r="A5439" s="215" t="s">
        <v>8019</v>
      </c>
    </row>
    <row r="5440" customFormat="false" ht="12" hidden="false" customHeight="false" outlineLevel="0" collapsed="false">
      <c r="A5440" s="215" t="s">
        <v>8020</v>
      </c>
    </row>
    <row r="5441" customFormat="false" ht="12" hidden="false" customHeight="false" outlineLevel="0" collapsed="false">
      <c r="A5441" s="215" t="s">
        <v>8021</v>
      </c>
    </row>
    <row r="5442" customFormat="false" ht="12" hidden="false" customHeight="false" outlineLevel="0" collapsed="false">
      <c r="A5442" s="215" t="s">
        <v>8022</v>
      </c>
    </row>
    <row r="5443" customFormat="false" ht="12" hidden="false" customHeight="false" outlineLevel="0" collapsed="false">
      <c r="A5443" s="215" t="s">
        <v>8023</v>
      </c>
    </row>
    <row r="5444" customFormat="false" ht="12" hidden="false" customHeight="false" outlineLevel="0" collapsed="false">
      <c r="A5444" s="215" t="s">
        <v>8024</v>
      </c>
    </row>
    <row r="5445" customFormat="false" ht="12" hidden="false" customHeight="false" outlineLevel="0" collapsed="false">
      <c r="A5445" s="215" t="s">
        <v>8025</v>
      </c>
    </row>
    <row r="5446" customFormat="false" ht="12" hidden="false" customHeight="false" outlineLevel="0" collapsed="false">
      <c r="A5446" s="215" t="s">
        <v>8026</v>
      </c>
    </row>
    <row r="5447" customFormat="false" ht="12" hidden="false" customHeight="false" outlineLevel="0" collapsed="false">
      <c r="A5447" s="215" t="s">
        <v>8027</v>
      </c>
    </row>
    <row r="5448" customFormat="false" ht="12" hidden="false" customHeight="false" outlineLevel="0" collapsed="false">
      <c r="A5448" s="215" t="s">
        <v>8028</v>
      </c>
    </row>
    <row r="5449" customFormat="false" ht="12" hidden="false" customHeight="false" outlineLevel="0" collapsed="false">
      <c r="A5449" s="215" t="s">
        <v>8029</v>
      </c>
    </row>
    <row r="5450" customFormat="false" ht="12" hidden="false" customHeight="false" outlineLevel="0" collapsed="false">
      <c r="A5450" s="215" t="s">
        <v>8030</v>
      </c>
    </row>
    <row r="5451" customFormat="false" ht="12" hidden="false" customHeight="false" outlineLevel="0" collapsed="false">
      <c r="A5451" s="215" t="s">
        <v>8031</v>
      </c>
    </row>
    <row r="5452" customFormat="false" ht="12" hidden="false" customHeight="false" outlineLevel="0" collapsed="false">
      <c r="A5452" s="215" t="s">
        <v>8032</v>
      </c>
    </row>
    <row r="5453" customFormat="false" ht="12" hidden="false" customHeight="false" outlineLevel="0" collapsed="false">
      <c r="A5453" s="215" t="s">
        <v>8033</v>
      </c>
    </row>
    <row r="5454" customFormat="false" ht="12" hidden="false" customHeight="false" outlineLevel="0" collapsed="false">
      <c r="A5454" s="215" t="s">
        <v>8034</v>
      </c>
    </row>
    <row r="5455" customFormat="false" ht="12" hidden="false" customHeight="false" outlineLevel="0" collapsed="false">
      <c r="A5455" s="215" t="s">
        <v>8035</v>
      </c>
    </row>
    <row r="5456" customFormat="false" ht="12" hidden="false" customHeight="false" outlineLevel="0" collapsed="false">
      <c r="A5456" s="215" t="s">
        <v>8036</v>
      </c>
    </row>
    <row r="5457" customFormat="false" ht="12" hidden="false" customHeight="false" outlineLevel="0" collapsed="false">
      <c r="A5457" s="215" t="s">
        <v>8037</v>
      </c>
    </row>
    <row r="5458" customFormat="false" ht="12" hidden="false" customHeight="false" outlineLevel="0" collapsed="false">
      <c r="A5458" s="215" t="s">
        <v>8038</v>
      </c>
    </row>
    <row r="5459" customFormat="false" ht="12" hidden="false" customHeight="false" outlineLevel="0" collapsed="false">
      <c r="A5459" s="215" t="s">
        <v>8039</v>
      </c>
    </row>
    <row r="5460" customFormat="false" ht="12" hidden="false" customHeight="false" outlineLevel="0" collapsed="false">
      <c r="A5460" s="215" t="s">
        <v>8040</v>
      </c>
    </row>
    <row r="5461" customFormat="false" ht="12" hidden="false" customHeight="false" outlineLevel="0" collapsed="false">
      <c r="A5461" s="215" t="s">
        <v>8041</v>
      </c>
    </row>
    <row r="5462" customFormat="false" ht="12" hidden="false" customHeight="false" outlineLevel="0" collapsed="false">
      <c r="A5462" s="215" t="s">
        <v>8042</v>
      </c>
    </row>
    <row r="5463" customFormat="false" ht="12" hidden="false" customHeight="false" outlineLevel="0" collapsed="false">
      <c r="A5463" s="215" t="s">
        <v>8043</v>
      </c>
    </row>
    <row r="5464" customFormat="false" ht="12" hidden="false" customHeight="false" outlineLevel="0" collapsed="false">
      <c r="A5464" s="215" t="s">
        <v>8044</v>
      </c>
    </row>
    <row r="5465" customFormat="false" ht="12" hidden="false" customHeight="false" outlineLevel="0" collapsed="false">
      <c r="A5465" s="215" t="s">
        <v>8045</v>
      </c>
    </row>
    <row r="5466" customFormat="false" ht="12" hidden="false" customHeight="false" outlineLevel="0" collapsed="false">
      <c r="A5466" s="215" t="s">
        <v>8046</v>
      </c>
    </row>
    <row r="5467" customFormat="false" ht="12" hidden="false" customHeight="false" outlineLevel="0" collapsed="false">
      <c r="A5467" s="215" t="s">
        <v>8047</v>
      </c>
    </row>
    <row r="5468" customFormat="false" ht="12" hidden="false" customHeight="false" outlineLevel="0" collapsed="false">
      <c r="A5468" s="215" t="s">
        <v>8048</v>
      </c>
    </row>
    <row r="5469" customFormat="false" ht="12" hidden="false" customHeight="false" outlineLevel="0" collapsed="false">
      <c r="A5469" s="215" t="s">
        <v>8049</v>
      </c>
    </row>
    <row r="5470" customFormat="false" ht="12" hidden="false" customHeight="false" outlineLevel="0" collapsed="false">
      <c r="A5470" s="215" t="s">
        <v>8050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21" zoomScaleNormal="121" zoomScalePageLayoutView="100" workbookViewId="0">
      <selection pane="topLeft" activeCell="E19" activeCellId="1" sqref="A2:A8 E19"/>
    </sheetView>
  </sheetViews>
  <sheetFormatPr defaultColWidth="11.43359375" defaultRowHeight="12.75" customHeight="true" zeroHeight="false" outlineLevelRow="0" outlineLevelCol="0"/>
  <cols>
    <col collapsed="false" customWidth="true" hidden="false" outlineLevel="0" max="1" min="1" style="216" width="17.71"/>
    <col collapsed="false" customWidth="true" hidden="false" outlineLevel="0" max="2" min="2" style="216" width="19.43"/>
    <col collapsed="false" customWidth="true" hidden="false" outlineLevel="0" max="255" min="3" style="216" width="9.14"/>
    <col collapsed="false" customWidth="false" hidden="false" outlineLevel="0" max="16384" min="256" style="216" width="11.43"/>
  </cols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D25" activeCellId="1" sqref="A2:A8 D25"/>
    </sheetView>
  </sheetViews>
  <sheetFormatPr defaultColWidth="11.43359375" defaultRowHeight="15" customHeight="true" zeroHeight="false" outlineLevelRow="0" outlineLevelCol="0"/>
  <cols>
    <col collapsed="false" customWidth="true" hidden="false" outlineLevel="0" max="1" min="1" style="217" width="28"/>
    <col collapsed="false" customWidth="false" hidden="false" outlineLevel="0" max="6" min="2" style="217" width="11.43"/>
    <col collapsed="false" customWidth="false" hidden="false" outlineLevel="0" max="16384" min="7" style="218" width="11.43"/>
  </cols>
  <sheetData>
    <row r="1" s="222" customFormat="true" ht="15" hidden="false" customHeight="false" outlineLevel="0" collapsed="false">
      <c r="A1" s="219" t="s">
        <v>8051</v>
      </c>
      <c r="B1" s="220"/>
      <c r="C1" s="221" t="s">
        <v>8052</v>
      </c>
      <c r="D1" s="221" t="s">
        <v>8053</v>
      </c>
      <c r="E1" s="221" t="s">
        <v>8054</v>
      </c>
      <c r="F1" s="220"/>
    </row>
    <row r="2" s="222" customFormat="true" ht="15" hidden="false" customHeight="false" outlineLevel="0" collapsed="false">
      <c r="A2" s="220"/>
      <c r="B2" s="220"/>
      <c r="C2" s="223" t="n">
        <v>0.58</v>
      </c>
      <c r="D2" s="223" t="n">
        <v>0.24</v>
      </c>
      <c r="E2" s="223" t="n">
        <v>0.18</v>
      </c>
      <c r="F2" s="220"/>
    </row>
    <row r="3" customFormat="false" ht="15" hidden="false" customHeight="false" outlineLevel="0" collapsed="false">
      <c r="A3" s="218"/>
      <c r="B3" s="218"/>
      <c r="C3" s="218"/>
    </row>
    <row r="4" customFormat="false" ht="15" hidden="false" customHeight="false" outlineLevel="0" collapsed="false">
      <c r="A4" s="224" t="s">
        <v>8055</v>
      </c>
      <c r="B4" s="225"/>
      <c r="C4" s="218"/>
    </row>
    <row r="5" customFormat="false" ht="15" hidden="false" customHeight="false" outlineLevel="0" collapsed="false">
      <c r="A5" s="226"/>
      <c r="B5" s="225"/>
    </row>
    <row r="6" customFormat="false" ht="15" hidden="false" customHeight="false" outlineLevel="0" collapsed="false">
      <c r="A6" s="227" t="s">
        <v>8056</v>
      </c>
      <c r="B6" s="228" t="s">
        <v>8057</v>
      </c>
    </row>
    <row r="7" customFormat="false" ht="15" hidden="false" customHeight="false" outlineLevel="0" collapsed="false">
      <c r="A7" s="229" t="s">
        <v>8058</v>
      </c>
      <c r="B7" s="230" t="s">
        <v>8059</v>
      </c>
    </row>
    <row r="8" customFormat="false" ht="15" hidden="false" customHeight="false" outlineLevel="0" collapsed="false">
      <c r="A8" s="229" t="s">
        <v>8060</v>
      </c>
      <c r="B8" s="230" t="s">
        <v>8061</v>
      </c>
    </row>
    <row r="9" customFormat="false" ht="15" hidden="false" customHeight="false" outlineLevel="0" collapsed="false">
      <c r="A9" s="229" t="s">
        <v>8062</v>
      </c>
      <c r="B9" s="230" t="s">
        <v>8063</v>
      </c>
    </row>
    <row r="10" customFormat="false" ht="15" hidden="false" customHeight="false" outlineLevel="0" collapsed="false">
      <c r="A10" s="227" t="s">
        <v>8064</v>
      </c>
      <c r="B10" s="231" t="s">
        <v>8065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J2" activeCellId="1" sqref="A2:A8 J2"/>
    </sheetView>
  </sheetViews>
  <sheetFormatPr defaultColWidth="11.43359375" defaultRowHeight="12.75" customHeight="true" zeroHeight="false" outlineLevelRow="0" outlineLevelCol="0"/>
  <cols>
    <col collapsed="false" customWidth="true" hidden="false" outlineLevel="0" max="1" min="1" style="232" width="11.71"/>
    <col collapsed="false" customWidth="true" hidden="false" outlineLevel="0" max="2" min="2" style="232" width="10.14"/>
    <col collapsed="false" customWidth="true" hidden="false" outlineLevel="0" max="4" min="3" style="232" width="3"/>
    <col collapsed="false" customWidth="true" hidden="false" outlineLevel="0" max="5" min="5" style="232" width="8.86"/>
    <col collapsed="false" customWidth="true" hidden="false" outlineLevel="0" max="6" min="6" style="232" width="11.14"/>
    <col collapsed="false" customWidth="true" hidden="false" outlineLevel="0" max="7" min="7" style="232" width="6.29"/>
    <col collapsed="false" customWidth="true" hidden="false" outlineLevel="0" max="8" min="8" style="232" width="4.14"/>
    <col collapsed="false" customWidth="true" hidden="false" outlineLevel="0" max="9" min="9" style="232" width="8.43"/>
    <col collapsed="false" customWidth="true" hidden="false" outlineLevel="0" max="10" min="10" style="232" width="12"/>
    <col collapsed="false" customWidth="true" hidden="false" outlineLevel="0" max="11" min="11" style="232" width="4.14"/>
    <col collapsed="false" customWidth="true" hidden="false" outlineLevel="0" max="12" min="12" style="232" width="12"/>
    <col collapsed="false" customWidth="true" hidden="false" outlineLevel="0" max="13" min="13" style="232" width="14.29"/>
    <col collapsed="false" customWidth="true" hidden="false" outlineLevel="0" max="14" min="14" style="232" width="11.14"/>
    <col collapsed="false" customWidth="true" hidden="false" outlineLevel="0" max="15" min="15" style="232" width="9.86"/>
    <col collapsed="false" customWidth="true" hidden="false" outlineLevel="0" max="16" min="16" style="232" width="14.43"/>
    <col collapsed="false" customWidth="true" hidden="false" outlineLevel="0" max="17" min="17" style="232" width="11.29"/>
    <col collapsed="false" customWidth="true" hidden="false" outlineLevel="0" max="18" min="18" style="232" width="10.43"/>
    <col collapsed="false" customWidth="true" hidden="false" outlineLevel="0" max="19" min="19" style="233" width="13"/>
    <col collapsed="false" customWidth="false" hidden="false" outlineLevel="0" max="20" min="20" style="233" width="11.43"/>
    <col collapsed="false" customWidth="true" hidden="false" outlineLevel="0" max="21" min="21" style="232" width="12.43"/>
    <col collapsed="false" customWidth="true" hidden="false" outlineLevel="0" max="22" min="22" style="232" width="11.86"/>
    <col collapsed="false" customWidth="false" hidden="false" outlineLevel="0" max="23" min="23" style="233" width="11.43"/>
    <col collapsed="false" customWidth="true" hidden="false" outlineLevel="0" max="24" min="24" style="233" width="15.86"/>
    <col collapsed="false" customWidth="false" hidden="false" outlineLevel="0" max="16384" min="25" style="233" width="11.43"/>
  </cols>
  <sheetData>
    <row r="1" customFormat="false" ht="15" hidden="false" customHeight="false" outlineLevel="0" collapsed="false">
      <c r="A1" s="234"/>
      <c r="B1" s="234"/>
      <c r="C1" s="234"/>
      <c r="D1" s="234"/>
      <c r="E1" s="234"/>
      <c r="F1" s="234"/>
      <c r="G1" s="234"/>
      <c r="H1" s="235" t="s">
        <v>8066</v>
      </c>
      <c r="I1" s="235"/>
      <c r="J1" s="235"/>
      <c r="K1" s="236" t="s">
        <v>8067</v>
      </c>
      <c r="L1" s="236"/>
      <c r="M1" s="236"/>
      <c r="N1" s="236"/>
      <c r="O1" s="236"/>
      <c r="P1" s="236"/>
      <c r="Q1" s="236"/>
      <c r="R1" s="236"/>
      <c r="S1" s="237" t="s">
        <v>8068</v>
      </c>
      <c r="T1" s="237"/>
      <c r="U1" s="238" t="s">
        <v>8069</v>
      </c>
      <c r="V1" s="238"/>
      <c r="W1" s="238"/>
      <c r="X1" s="239"/>
      <c r="Y1" s="240"/>
    </row>
    <row r="2" customFormat="false" ht="12.75" hidden="false" customHeight="false" outlineLevel="0" collapsed="false">
      <c r="A2" s="241" t="s">
        <v>8070</v>
      </c>
      <c r="B2" s="241" t="s">
        <v>213</v>
      </c>
      <c r="C2" s="241" t="s">
        <v>22</v>
      </c>
      <c r="D2" s="241" t="s">
        <v>21</v>
      </c>
      <c r="E2" s="241" t="s">
        <v>8071</v>
      </c>
      <c r="F2" s="241" t="s">
        <v>8072</v>
      </c>
      <c r="G2" s="241" t="s">
        <v>8073</v>
      </c>
      <c r="H2" s="241" t="s">
        <v>8074</v>
      </c>
      <c r="I2" s="241" t="s">
        <v>8075</v>
      </c>
      <c r="J2" s="242" t="s">
        <v>8076</v>
      </c>
      <c r="K2" s="243" t="s">
        <v>8074</v>
      </c>
      <c r="L2" s="241" t="s">
        <v>8077</v>
      </c>
      <c r="M2" s="241" t="s">
        <v>8078</v>
      </c>
      <c r="N2" s="241" t="s">
        <v>8079</v>
      </c>
      <c r="O2" s="241" t="s">
        <v>8080</v>
      </c>
      <c r="P2" s="241" t="s">
        <v>8081</v>
      </c>
      <c r="Q2" s="241" t="s">
        <v>8082</v>
      </c>
      <c r="R2" s="242" t="s">
        <v>8083</v>
      </c>
      <c r="S2" s="244" t="s">
        <v>8084</v>
      </c>
      <c r="T2" s="241" t="s">
        <v>8085</v>
      </c>
      <c r="U2" s="245" t="s">
        <v>8086</v>
      </c>
      <c r="V2" s="245" t="s">
        <v>8087</v>
      </c>
      <c r="W2" s="246" t="s">
        <v>8088</v>
      </c>
      <c r="X2" s="241" t="s">
        <v>8089</v>
      </c>
      <c r="Y2" s="247" t="s">
        <v>8090</v>
      </c>
    </row>
    <row r="3" s="257" customFormat="true" ht="12.75" hidden="false" customHeight="false" outlineLevel="0" collapsed="false">
      <c r="A3" s="248" t="s">
        <v>8091</v>
      </c>
      <c r="B3" s="249" t="n">
        <v>40518</v>
      </c>
      <c r="C3" s="250"/>
      <c r="D3" s="251"/>
      <c r="E3" s="251" t="s">
        <v>8092</v>
      </c>
      <c r="F3" s="250" t="s">
        <v>775</v>
      </c>
      <c r="G3" s="251"/>
      <c r="H3" s="251"/>
      <c r="I3" s="252" t="n">
        <v>503.5</v>
      </c>
      <c r="J3" s="251" t="n">
        <f aca="false">I3*L3</f>
        <v>58.3303104575163</v>
      </c>
      <c r="K3" s="253" t="n">
        <v>6</v>
      </c>
      <c r="L3" s="251" t="n">
        <f aca="false">R3/O3</f>
        <v>0.115849673202614</v>
      </c>
      <c r="M3" s="251" t="n">
        <v>108.08</v>
      </c>
      <c r="N3" s="251" t="n">
        <v>2.75</v>
      </c>
      <c r="O3" s="251" t="n">
        <v>122.4</v>
      </c>
      <c r="P3" s="251" t="n">
        <v>13.82</v>
      </c>
      <c r="Q3" s="251" t="n">
        <v>0.36</v>
      </c>
      <c r="R3" s="251" t="n">
        <v>14.18</v>
      </c>
      <c r="S3" s="254" t="n">
        <f aca="false">(R3+J3)/100</f>
        <v>0.725103104575163</v>
      </c>
      <c r="T3" s="254" t="n">
        <f aca="false">MIN(4.63,4.48*S3^(-0.25))</f>
        <v>4.63</v>
      </c>
      <c r="U3" s="255"/>
      <c r="V3" s="255"/>
      <c r="W3" s="256" t="n">
        <f aca="false">(U3*P3)</f>
        <v>0</v>
      </c>
      <c r="X3" s="256" t="n">
        <v>3.71821816007258</v>
      </c>
      <c r="Y3" s="256" t="n">
        <f aca="false">X3/T3</f>
        <v>0.803070876905524</v>
      </c>
    </row>
    <row r="4" s="257" customFormat="true" ht="12.75" hidden="false" customHeight="false" outlineLevel="0" collapsed="false">
      <c r="A4" s="250" t="s">
        <v>8091</v>
      </c>
      <c r="B4" s="258" t="n">
        <v>40518</v>
      </c>
      <c r="C4" s="250"/>
      <c r="D4" s="251"/>
      <c r="E4" s="251" t="s">
        <v>8093</v>
      </c>
      <c r="F4" s="250" t="s">
        <v>775</v>
      </c>
      <c r="G4" s="251"/>
      <c r="H4" s="251"/>
      <c r="I4" s="259" t="n">
        <v>961.9</v>
      </c>
      <c r="J4" s="251" t="n">
        <f aca="false">I4*L4</f>
        <v>107.757151898734</v>
      </c>
      <c r="K4" s="260" t="n">
        <v>8</v>
      </c>
      <c r="L4" s="251" t="n">
        <f aca="false">R4/O4</f>
        <v>0.112025316455696</v>
      </c>
      <c r="M4" s="251" t="n">
        <v>227.52</v>
      </c>
      <c r="N4" s="251" t="n">
        <v>7.75</v>
      </c>
      <c r="O4" s="251" t="n">
        <v>252.8</v>
      </c>
      <c r="P4" s="251" t="n">
        <v>27.39</v>
      </c>
      <c r="Q4" s="251" t="n">
        <v>0.93</v>
      </c>
      <c r="R4" s="251" t="n">
        <v>28.32</v>
      </c>
      <c r="S4" s="254" t="n">
        <f aca="false">(R4+J4)/100</f>
        <v>1.36077151898734</v>
      </c>
      <c r="T4" s="254" t="n">
        <f aca="false">MIN(4.63,4.48*S4^(-0.25))</f>
        <v>4.14793279461473</v>
      </c>
      <c r="U4" s="255"/>
      <c r="V4" s="255"/>
      <c r="W4" s="256" t="n">
        <f aca="false">(U4*P4)</f>
        <v>0</v>
      </c>
      <c r="X4" s="256" t="n">
        <v>3.91315234247731</v>
      </c>
      <c r="Y4" s="256" t="n">
        <f aca="false">X4/T4</f>
        <v>0.943398202487215</v>
      </c>
    </row>
    <row r="5" s="257" customFormat="true" ht="12.75" hidden="false" customHeight="false" outlineLevel="0" collapsed="false">
      <c r="A5" s="250" t="s">
        <v>8091</v>
      </c>
      <c r="B5" s="258" t="n">
        <v>40518</v>
      </c>
      <c r="C5" s="250"/>
      <c r="D5" s="251"/>
      <c r="E5" s="251" t="s">
        <v>8094</v>
      </c>
      <c r="F5" s="250" t="s">
        <v>775</v>
      </c>
      <c r="G5" s="251"/>
      <c r="H5" s="251"/>
      <c r="I5" s="259" t="n">
        <v>989.2</v>
      </c>
      <c r="J5" s="251" t="n">
        <f aca="false">I5*L5</f>
        <v>106.931126760563</v>
      </c>
      <c r="K5" s="260" t="n">
        <v>8</v>
      </c>
      <c r="L5" s="251" t="n">
        <f aca="false">R5/O5</f>
        <v>0.108098591549296</v>
      </c>
      <c r="M5" s="251" t="n">
        <v>252.39</v>
      </c>
      <c r="N5" s="251" t="n">
        <v>8.31</v>
      </c>
      <c r="O5" s="251" t="n">
        <v>284</v>
      </c>
      <c r="P5" s="251" t="n">
        <v>29.49</v>
      </c>
      <c r="Q5" s="251" t="n">
        <v>1.21</v>
      </c>
      <c r="R5" s="251" t="n">
        <v>30.7</v>
      </c>
      <c r="S5" s="254" t="n">
        <f aca="false">(R5+J5)/100</f>
        <v>1.37631126760563</v>
      </c>
      <c r="T5" s="254" t="n">
        <f aca="false">MIN(4.63,4.48*S5^(-0.25))</f>
        <v>4.13617445088528</v>
      </c>
      <c r="U5" s="255"/>
      <c r="V5" s="255"/>
      <c r="W5" s="256" t="n">
        <f aca="false">(U5*P5)</f>
        <v>0</v>
      </c>
      <c r="X5" s="256" t="n">
        <v>3.93972100486269</v>
      </c>
      <c r="Y5" s="256" t="n">
        <f aca="false">X5/T5</f>
        <v>0.952503587951775</v>
      </c>
    </row>
    <row r="6" s="257" customFormat="true" ht="12.75" hidden="false" customHeight="false" outlineLevel="0" collapsed="false">
      <c r="A6" s="250" t="s">
        <v>8091</v>
      </c>
      <c r="B6" s="258" t="n">
        <v>40518</v>
      </c>
      <c r="C6" s="250"/>
      <c r="D6" s="251"/>
      <c r="E6" s="251" t="s">
        <v>8095</v>
      </c>
      <c r="F6" s="250" t="s">
        <v>775</v>
      </c>
      <c r="G6" s="251"/>
      <c r="H6" s="251"/>
      <c r="I6" s="259" t="n">
        <v>939.7</v>
      </c>
      <c r="J6" s="251" t="n">
        <f aca="false">I6*L6</f>
        <v>108.903928153065</v>
      </c>
      <c r="K6" s="260" t="n">
        <v>9</v>
      </c>
      <c r="L6" s="251" t="n">
        <f aca="false">R6/O6</f>
        <v>0.115892229597813</v>
      </c>
      <c r="M6" s="251" t="n">
        <v>227.51</v>
      </c>
      <c r="N6" s="251" t="n">
        <v>6.63</v>
      </c>
      <c r="O6" s="251" t="n">
        <v>256.1</v>
      </c>
      <c r="P6" s="251" t="n">
        <v>28.72</v>
      </c>
      <c r="Q6" s="251" t="n">
        <v>0.96</v>
      </c>
      <c r="R6" s="251" t="n">
        <v>29.68</v>
      </c>
      <c r="S6" s="254" t="n">
        <f aca="false">(R6+J6)/100</f>
        <v>1.38583928153065</v>
      </c>
      <c r="T6" s="254" t="n">
        <f aca="false">MIN(4.63,4.48*S6^(-0.25))</f>
        <v>4.12904672252059</v>
      </c>
      <c r="U6" s="255"/>
      <c r="V6" s="255"/>
      <c r="W6" s="256" t="n">
        <f aca="false">(U6*P6)</f>
        <v>0</v>
      </c>
      <c r="X6" s="256" t="n">
        <v>3.36455670620438</v>
      </c>
      <c r="Y6" s="256" t="n">
        <f aca="false">X6/T6</f>
        <v>0.814850722771787</v>
      </c>
    </row>
    <row r="7" s="257" customFormat="true" ht="12.75" hidden="false" customHeight="false" outlineLevel="0" collapsed="false">
      <c r="A7" s="250" t="s">
        <v>8091</v>
      </c>
      <c r="B7" s="258" t="n">
        <v>40518</v>
      </c>
      <c r="C7" s="250"/>
      <c r="D7" s="251"/>
      <c r="E7" s="251" t="s">
        <v>8092</v>
      </c>
      <c r="F7" s="250" t="s">
        <v>778</v>
      </c>
      <c r="G7" s="251"/>
      <c r="H7" s="251"/>
      <c r="I7" s="259" t="n">
        <v>476.6</v>
      </c>
      <c r="J7" s="251" t="n">
        <f aca="false">I7*L7</f>
        <v>54.8883353884094</v>
      </c>
      <c r="K7" s="260" t="n">
        <v>5</v>
      </c>
      <c r="L7" s="251" t="n">
        <f aca="false">R7/O7</f>
        <v>0.115166461159063</v>
      </c>
      <c r="M7" s="251" t="n">
        <v>144.98</v>
      </c>
      <c r="N7" s="251" t="n">
        <v>6.85</v>
      </c>
      <c r="O7" s="251" t="n">
        <v>162.2</v>
      </c>
      <c r="P7" s="251" t="n">
        <v>17.76</v>
      </c>
      <c r="Q7" s="251" t="n">
        <v>0.92</v>
      </c>
      <c r="R7" s="251" t="n">
        <v>18.68</v>
      </c>
      <c r="S7" s="254" t="n">
        <f aca="false">(R7+J7)/100</f>
        <v>0.735683353884094</v>
      </c>
      <c r="T7" s="254" t="n">
        <f aca="false">MIN(4.63,4.48*S7^(-0.25))</f>
        <v>4.63</v>
      </c>
      <c r="U7" s="255"/>
      <c r="V7" s="255"/>
      <c r="W7" s="256" t="n">
        <f aca="false">(U7*P7)</f>
        <v>0</v>
      </c>
      <c r="X7" s="256" t="n">
        <v>4.87794509333984</v>
      </c>
      <c r="Y7" s="256" t="n">
        <f aca="false">X7/T7</f>
        <v>1.05355185601292</v>
      </c>
    </row>
    <row r="8" s="257" customFormat="true" ht="12.75" hidden="false" customHeight="false" outlineLevel="0" collapsed="false">
      <c r="A8" s="250" t="s">
        <v>8091</v>
      </c>
      <c r="B8" s="258" t="n">
        <v>40518</v>
      </c>
      <c r="C8" s="250"/>
      <c r="D8" s="251"/>
      <c r="E8" s="251" t="s">
        <v>8093</v>
      </c>
      <c r="F8" s="250" t="s">
        <v>778</v>
      </c>
      <c r="G8" s="251"/>
      <c r="H8" s="251"/>
      <c r="I8" s="259" t="n">
        <v>1270.3</v>
      </c>
      <c r="J8" s="251" t="n">
        <f aca="false">I8*L8</f>
        <v>133.887153398058</v>
      </c>
      <c r="K8" s="260" t="n">
        <v>9</v>
      </c>
      <c r="L8" s="251" t="n">
        <f aca="false">R8/O8</f>
        <v>0.105398058252427</v>
      </c>
      <c r="M8" s="251" t="n">
        <v>236.14</v>
      </c>
      <c r="N8" s="251" t="n">
        <v>8.19</v>
      </c>
      <c r="O8" s="251" t="n">
        <v>257.5</v>
      </c>
      <c r="P8" s="251" t="n">
        <v>26.11</v>
      </c>
      <c r="Q8" s="251" t="n">
        <v>1.03</v>
      </c>
      <c r="R8" s="251" t="n">
        <v>27.14</v>
      </c>
      <c r="S8" s="254" t="n">
        <f aca="false">(R8+J8)/100</f>
        <v>1.61027153398058</v>
      </c>
      <c r="T8" s="254" t="n">
        <f aca="false">MIN(4.63,4.48*S8^(-0.25))</f>
        <v>3.97697842620882</v>
      </c>
      <c r="U8" s="255"/>
      <c r="V8" s="255"/>
      <c r="W8" s="256" t="n">
        <f aca="false">(U8*P8)</f>
        <v>0</v>
      </c>
      <c r="X8" s="256" t="n">
        <v>3.39688167811343</v>
      </c>
      <c r="Y8" s="256" t="n">
        <f aca="false">X8/T8</f>
        <v>0.854136310050747</v>
      </c>
    </row>
    <row r="9" s="257" customFormat="true" ht="12.75" hidden="false" customHeight="false" outlineLevel="0" collapsed="false">
      <c r="A9" s="250" t="s">
        <v>8091</v>
      </c>
      <c r="B9" s="258" t="n">
        <v>40518</v>
      </c>
      <c r="C9" s="250"/>
      <c r="D9" s="261"/>
      <c r="E9" s="251" t="s">
        <v>8094</v>
      </c>
      <c r="F9" s="250" t="s">
        <v>778</v>
      </c>
      <c r="G9" s="251"/>
      <c r="H9" s="251"/>
      <c r="I9" s="259" t="n">
        <v>940.7</v>
      </c>
      <c r="J9" s="251" t="n">
        <f aca="false">I9*L9</f>
        <v>110.143423478795</v>
      </c>
      <c r="K9" s="260" t="n">
        <v>9</v>
      </c>
      <c r="L9" s="251" t="n">
        <f aca="false">R9/O9</f>
        <v>0.117086662569146</v>
      </c>
      <c r="M9" s="251" t="n">
        <v>290.06</v>
      </c>
      <c r="N9" s="251" t="n">
        <v>12.61</v>
      </c>
      <c r="O9" s="251" t="n">
        <v>325.4</v>
      </c>
      <c r="P9" s="251" t="n">
        <v>36.3</v>
      </c>
      <c r="Q9" s="251" t="n">
        <v>1.8</v>
      </c>
      <c r="R9" s="251" t="n">
        <v>38.1</v>
      </c>
      <c r="S9" s="254" t="n">
        <f aca="false">(R9+J9)/100</f>
        <v>1.48243423478795</v>
      </c>
      <c r="T9" s="254" t="n">
        <f aca="false">MIN(4.63,4.48*S9^(-0.25))</f>
        <v>4.06007592409759</v>
      </c>
      <c r="U9" s="255"/>
      <c r="V9" s="255"/>
      <c r="W9" s="256" t="n">
        <f aca="false">(U9*P9)</f>
        <v>0</v>
      </c>
      <c r="X9" s="256" t="n">
        <v>4.09746700473218</v>
      </c>
      <c r="Y9" s="256" t="n">
        <f aca="false">X9/T9</f>
        <v>1.00920945355053</v>
      </c>
    </row>
    <row r="10" s="257" customFormat="true" ht="12.75" hidden="false" customHeight="false" outlineLevel="0" collapsed="false">
      <c r="A10" s="250" t="s">
        <v>8091</v>
      </c>
      <c r="B10" s="258" t="n">
        <v>40518</v>
      </c>
      <c r="C10" s="250"/>
      <c r="D10" s="261"/>
      <c r="E10" s="251" t="s">
        <v>8095</v>
      </c>
      <c r="F10" s="250" t="s">
        <v>778</v>
      </c>
      <c r="G10" s="251"/>
      <c r="H10" s="251"/>
      <c r="I10" s="259" t="n">
        <v>1116</v>
      </c>
      <c r="J10" s="251" t="n">
        <f aca="false">I10*L10</f>
        <v>130.721843687375</v>
      </c>
      <c r="K10" s="260" t="n">
        <v>9</v>
      </c>
      <c r="L10" s="251" t="n">
        <f aca="false">R10/O10</f>
        <v>0.117134268537074</v>
      </c>
      <c r="M10" s="251" t="n">
        <v>264.43</v>
      </c>
      <c r="N10" s="251" t="n">
        <v>7.58</v>
      </c>
      <c r="O10" s="251" t="n">
        <v>299.4</v>
      </c>
      <c r="P10" s="251" t="n">
        <v>33.71</v>
      </c>
      <c r="Q10" s="251" t="n">
        <v>1.36</v>
      </c>
      <c r="R10" s="251" t="n">
        <v>35.07</v>
      </c>
      <c r="S10" s="254" t="n">
        <f aca="false">(R10+J10)/100</f>
        <v>1.65791843687375</v>
      </c>
      <c r="T10" s="254" t="n">
        <f aca="false">MIN(4.63,4.48*S10^(-0.25))</f>
        <v>3.94809163177701</v>
      </c>
      <c r="U10" s="255"/>
      <c r="V10" s="255"/>
      <c r="W10" s="256" t="n">
        <f aca="false">(U10*P10)</f>
        <v>0</v>
      </c>
      <c r="X10" s="256" t="n">
        <v>3.76020597251981</v>
      </c>
      <c r="Y10" s="256" t="n">
        <f aca="false">X10/T10</f>
        <v>0.952411018593144</v>
      </c>
    </row>
    <row r="11" s="271" customFormat="true" ht="12.75" hidden="false" customHeight="false" outlineLevel="0" collapsed="false">
      <c r="A11" s="262" t="s">
        <v>8096</v>
      </c>
      <c r="B11" s="263" t="n">
        <v>40577</v>
      </c>
      <c r="C11" s="262"/>
      <c r="D11" s="264"/>
      <c r="E11" s="265" t="s">
        <v>8097</v>
      </c>
      <c r="F11" s="262" t="s">
        <v>775</v>
      </c>
      <c r="G11" s="265"/>
      <c r="H11" s="265"/>
      <c r="I11" s="266" t="n">
        <v>1019</v>
      </c>
      <c r="J11" s="265" t="n">
        <f aca="false">I11*L11</f>
        <v>121.429955187866</v>
      </c>
      <c r="K11" s="267" t="n">
        <v>7</v>
      </c>
      <c r="L11" s="265" t="n">
        <f aca="false">R11/O11</f>
        <v>0.119165804894864</v>
      </c>
      <c r="M11" s="265" t="n">
        <v>235.92</v>
      </c>
      <c r="N11" s="265" t="n">
        <v>14.89</v>
      </c>
      <c r="O11" s="265" t="n">
        <v>290.1</v>
      </c>
      <c r="P11" s="265" t="n">
        <v>31.84</v>
      </c>
      <c r="Q11" s="265" t="n">
        <v>2.73</v>
      </c>
      <c r="R11" s="265" t="n">
        <v>34.57</v>
      </c>
      <c r="S11" s="268" t="n">
        <f aca="false">(R11+J11)/100</f>
        <v>1.55999955187866</v>
      </c>
      <c r="T11" s="269" t="n">
        <f aca="false">MIN(4.63,4.48*S11^(-0.25))</f>
        <v>4.00863852182297</v>
      </c>
      <c r="U11" s="270"/>
      <c r="V11" s="270"/>
      <c r="W11" s="270" t="n">
        <f aca="false">(U11*P11)+(V11*Q11)</f>
        <v>0</v>
      </c>
      <c r="X11" s="270" t="n">
        <v>3.65045569735244</v>
      </c>
      <c r="Y11" s="270" t="n">
        <f aca="false">X11/T11</f>
        <v>0.910647262774982</v>
      </c>
    </row>
    <row r="12" s="271" customFormat="true" ht="12.75" hidden="false" customHeight="false" outlineLevel="0" collapsed="false">
      <c r="A12" s="262" t="s">
        <v>8096</v>
      </c>
      <c r="B12" s="263" t="n">
        <v>40577</v>
      </c>
      <c r="C12" s="262"/>
      <c r="D12" s="264"/>
      <c r="E12" s="265" t="s">
        <v>8098</v>
      </c>
      <c r="F12" s="262" t="s">
        <v>775</v>
      </c>
      <c r="G12" s="265"/>
      <c r="H12" s="265"/>
      <c r="I12" s="266" t="s">
        <v>879</v>
      </c>
      <c r="J12" s="266" t="s">
        <v>879</v>
      </c>
      <c r="K12" s="272" t="s">
        <v>879</v>
      </c>
      <c r="L12" s="272" t="s">
        <v>879</v>
      </c>
      <c r="M12" s="265" t="s">
        <v>879</v>
      </c>
      <c r="N12" s="265" t="s">
        <v>879</v>
      </c>
      <c r="O12" s="265" t="s">
        <v>879</v>
      </c>
      <c r="P12" s="265" t="s">
        <v>879</v>
      </c>
      <c r="Q12" s="265" t="s">
        <v>879</v>
      </c>
      <c r="R12" s="265" t="s">
        <v>879</v>
      </c>
      <c r="S12" s="268" t="s">
        <v>879</v>
      </c>
      <c r="T12" s="265" t="s">
        <v>879</v>
      </c>
      <c r="U12" s="265"/>
      <c r="V12" s="265"/>
      <c r="W12" s="265" t="s">
        <v>879</v>
      </c>
      <c r="X12" s="265" t="s">
        <v>879</v>
      </c>
      <c r="Y12" s="265" t="s">
        <v>879</v>
      </c>
    </row>
    <row r="13" s="271" customFormat="true" ht="12.75" hidden="false" customHeight="false" outlineLevel="0" collapsed="false">
      <c r="A13" s="262" t="s">
        <v>8096</v>
      </c>
      <c r="B13" s="263" t="n">
        <v>40577</v>
      </c>
      <c r="C13" s="262"/>
      <c r="D13" s="264"/>
      <c r="E13" s="265" t="s">
        <v>8099</v>
      </c>
      <c r="F13" s="262" t="s">
        <v>775</v>
      </c>
      <c r="G13" s="265"/>
      <c r="H13" s="265"/>
      <c r="I13" s="266" t="n">
        <v>922.2</v>
      </c>
      <c r="J13" s="265" t="n">
        <f aca="false">I13*L13</f>
        <v>114.391505474453</v>
      </c>
      <c r="K13" s="267" t="n">
        <v>9</v>
      </c>
      <c r="L13" s="265" t="n">
        <f aca="false">R13/O13</f>
        <v>0.12404197080292</v>
      </c>
      <c r="M13" s="265" t="n">
        <v>166.64</v>
      </c>
      <c r="N13" s="265" t="n">
        <v>10.21</v>
      </c>
      <c r="O13" s="265" t="n">
        <v>219.2</v>
      </c>
      <c r="P13" s="265" t="n">
        <v>25.06</v>
      </c>
      <c r="Q13" s="265" t="n">
        <v>2.13</v>
      </c>
      <c r="R13" s="265" t="n">
        <v>27.19</v>
      </c>
      <c r="S13" s="268" t="n">
        <f aca="false">(R13+J13)/100</f>
        <v>1.41581505474453</v>
      </c>
      <c r="T13" s="269" t="n">
        <f aca="false">MIN(4.63,4.48*S13^(-0.25))</f>
        <v>4.10701588398141</v>
      </c>
      <c r="U13" s="270"/>
      <c r="V13" s="270"/>
      <c r="W13" s="270" t="n">
        <f aca="false">(U13*P13)+(V13*Q13)</f>
        <v>0</v>
      </c>
      <c r="X13" s="270" t="n">
        <v>2.79250766060505</v>
      </c>
      <c r="Y13" s="270" t="n">
        <f aca="false">X13/T13</f>
        <v>0.679935929027366</v>
      </c>
    </row>
    <row r="14" s="271" customFormat="true" ht="12.75" hidden="false" customHeight="false" outlineLevel="0" collapsed="false">
      <c r="A14" s="262" t="s">
        <v>8096</v>
      </c>
      <c r="B14" s="263" t="n">
        <v>40577</v>
      </c>
      <c r="C14" s="262"/>
      <c r="D14" s="264"/>
      <c r="E14" s="265" t="s">
        <v>8100</v>
      </c>
      <c r="F14" s="262" t="s">
        <v>775</v>
      </c>
      <c r="G14" s="265"/>
      <c r="H14" s="265"/>
      <c r="I14" s="266" t="n">
        <v>1565.5</v>
      </c>
      <c r="J14" s="265" t="n">
        <f aca="false">I14*L14</f>
        <v>167.198617567898</v>
      </c>
      <c r="K14" s="267" t="n">
        <v>8</v>
      </c>
      <c r="L14" s="265" t="n">
        <f aca="false">R14/O14</f>
        <v>0.106802055297284</v>
      </c>
      <c r="M14" s="265" t="n">
        <v>305.73</v>
      </c>
      <c r="N14" s="265" t="n">
        <v>15.79</v>
      </c>
      <c r="O14" s="265" t="n">
        <v>408.7</v>
      </c>
      <c r="P14" s="265" t="n">
        <v>40.67</v>
      </c>
      <c r="Q14" s="265" t="n">
        <v>2.98</v>
      </c>
      <c r="R14" s="265" t="n">
        <v>43.65</v>
      </c>
      <c r="S14" s="268" t="n">
        <f aca="false">(R14+J14)/100</f>
        <v>2.10848617567898</v>
      </c>
      <c r="T14" s="269" t="n">
        <f aca="false">MIN(4.63,4.48*S14^(-0.25))</f>
        <v>3.71779401995406</v>
      </c>
      <c r="U14" s="270"/>
      <c r="V14" s="270"/>
      <c r="W14" s="270" t="n">
        <f aca="false">(U14*P14)+(V14*Q14)</f>
        <v>0</v>
      </c>
      <c r="X14" s="270" t="n">
        <v>3.20698549025077</v>
      </c>
      <c r="Y14" s="270" t="n">
        <f aca="false">X14/T14</f>
        <v>0.862604402782486</v>
      </c>
    </row>
    <row r="15" s="271" customFormat="true" ht="12.75" hidden="false" customHeight="false" outlineLevel="0" collapsed="false">
      <c r="A15" s="262" t="s">
        <v>8096</v>
      </c>
      <c r="B15" s="263" t="n">
        <v>40577</v>
      </c>
      <c r="C15" s="262"/>
      <c r="D15" s="265"/>
      <c r="E15" s="265" t="s">
        <v>8097</v>
      </c>
      <c r="F15" s="262" t="s">
        <v>778</v>
      </c>
      <c r="G15" s="265"/>
      <c r="H15" s="265"/>
      <c r="I15" s="266" t="n">
        <v>739.1</v>
      </c>
      <c r="J15" s="265" t="n">
        <f aca="false">I15*L15</f>
        <v>87.8901213418987</v>
      </c>
      <c r="K15" s="267" t="n">
        <v>6</v>
      </c>
      <c r="L15" s="265" t="n">
        <f aca="false">R15/O15</f>
        <v>0.118915060670949</v>
      </c>
      <c r="M15" s="265" t="n">
        <v>219.46</v>
      </c>
      <c r="N15" s="265" t="n">
        <v>13.15</v>
      </c>
      <c r="O15" s="265" t="n">
        <v>280.2</v>
      </c>
      <c r="P15" s="273" t="n">
        <v>30.62</v>
      </c>
      <c r="Q15" s="273" t="n">
        <v>2.7</v>
      </c>
      <c r="R15" s="265" t="n">
        <v>33.32</v>
      </c>
      <c r="S15" s="268" t="n">
        <f aca="false">(R15+J15)/100</f>
        <v>1.21210121341899</v>
      </c>
      <c r="T15" s="269" t="n">
        <f aca="false">MIN(4.63,4.48*S15^(-0.25))</f>
        <v>4.26965999681424</v>
      </c>
      <c r="U15" s="265"/>
      <c r="V15" s="265"/>
      <c r="W15" s="270" t="n">
        <f aca="false">(U15*P15)+(V15*Q15)</f>
        <v>0</v>
      </c>
      <c r="X15" s="270" t="n">
        <v>4.42672701203625</v>
      </c>
      <c r="Y15" s="270" t="n">
        <f aca="false">X15/T15</f>
        <v>1.03678677349934</v>
      </c>
    </row>
    <row r="16" s="271" customFormat="true" ht="12.75" hidden="false" customHeight="false" outlineLevel="0" collapsed="false">
      <c r="A16" s="262" t="s">
        <v>8096</v>
      </c>
      <c r="B16" s="263" t="n">
        <v>40577</v>
      </c>
      <c r="C16" s="262"/>
      <c r="D16" s="265"/>
      <c r="E16" s="265" t="s">
        <v>8098</v>
      </c>
      <c r="F16" s="262" t="s">
        <v>778</v>
      </c>
      <c r="G16" s="265"/>
      <c r="H16" s="265"/>
      <c r="I16" s="266" t="n">
        <v>819.7</v>
      </c>
      <c r="J16" s="265" t="n">
        <f aca="false">I16*L16</f>
        <v>101.559626168224</v>
      </c>
      <c r="K16" s="267" t="n">
        <v>5</v>
      </c>
      <c r="L16" s="265" t="n">
        <f aca="false">R16/O16</f>
        <v>0.123898531375167</v>
      </c>
      <c r="M16" s="265" t="n">
        <v>178.32</v>
      </c>
      <c r="N16" s="265" t="n">
        <v>14.68</v>
      </c>
      <c r="O16" s="265" t="n">
        <v>224.7</v>
      </c>
      <c r="P16" s="273" t="n">
        <v>24.76</v>
      </c>
      <c r="Q16" s="273" t="n">
        <v>3.08</v>
      </c>
      <c r="R16" s="265" t="n">
        <v>27.84</v>
      </c>
      <c r="S16" s="268" t="n">
        <f aca="false">(R16+J16)/100</f>
        <v>1.29399626168224</v>
      </c>
      <c r="T16" s="269" t="n">
        <f aca="false">MIN(4.63,4.48*S16^(-0.25))</f>
        <v>4.2004397393291</v>
      </c>
      <c r="U16" s="265"/>
      <c r="V16" s="265"/>
      <c r="W16" s="270" t="n">
        <f aca="false">(U16*P16)+(V16*Q16)</f>
        <v>0</v>
      </c>
      <c r="X16" s="270" t="n">
        <v>3.23392219989014</v>
      </c>
      <c r="Y16" s="270" t="n">
        <f aca="false">X16/T16</f>
        <v>0.769900867666456</v>
      </c>
    </row>
    <row r="17" s="271" customFormat="true" ht="12.75" hidden="false" customHeight="false" outlineLevel="0" collapsed="false">
      <c r="A17" s="262" t="s">
        <v>8096</v>
      </c>
      <c r="B17" s="263" t="n">
        <v>40577</v>
      </c>
      <c r="C17" s="262"/>
      <c r="D17" s="265"/>
      <c r="E17" s="265" t="s">
        <v>8099</v>
      </c>
      <c r="F17" s="262" t="s">
        <v>778</v>
      </c>
      <c r="G17" s="265"/>
      <c r="H17" s="265"/>
      <c r="I17" s="266" t="n">
        <v>1287.1</v>
      </c>
      <c r="J17" s="265" t="n">
        <f aca="false">I17*L17</f>
        <v>168.6101</v>
      </c>
      <c r="K17" s="267" t="n">
        <v>8</v>
      </c>
      <c r="L17" s="265" t="n">
        <f aca="false">R17/O17</f>
        <v>0.131</v>
      </c>
      <c r="M17" s="265" t="n">
        <v>290.45</v>
      </c>
      <c r="N17" s="265" t="n">
        <v>20.14</v>
      </c>
      <c r="O17" s="265" t="n">
        <v>350</v>
      </c>
      <c r="P17" s="273" t="n">
        <v>41.67</v>
      </c>
      <c r="Q17" s="273" t="n">
        <v>4.18</v>
      </c>
      <c r="R17" s="265" t="n">
        <v>45.85</v>
      </c>
      <c r="S17" s="268" t="n">
        <f aca="false">(R17+J17)/100</f>
        <v>2.144601</v>
      </c>
      <c r="T17" s="269" t="n">
        <f aca="false">MIN(4.63,4.48*S17^(-0.25))</f>
        <v>3.70204239555706</v>
      </c>
      <c r="U17" s="265"/>
      <c r="V17" s="265"/>
      <c r="W17" s="270" t="n">
        <f aca="false">(U17*P17)+(V17*Q17)</f>
        <v>0</v>
      </c>
      <c r="X17" s="270" t="n">
        <v>3.04013353923469</v>
      </c>
      <c r="Y17" s="270" t="n">
        <f aca="false">X17/T17</f>
        <v>0.82120440945875</v>
      </c>
    </row>
    <row r="18" s="271" customFormat="true" ht="12.75" hidden="false" customHeight="false" outlineLevel="0" collapsed="false">
      <c r="A18" s="262" t="s">
        <v>8096</v>
      </c>
      <c r="B18" s="263" t="n">
        <v>40577</v>
      </c>
      <c r="C18" s="262"/>
      <c r="D18" s="265"/>
      <c r="E18" s="265" t="s">
        <v>8100</v>
      </c>
      <c r="F18" s="262" t="s">
        <v>778</v>
      </c>
      <c r="G18" s="265"/>
      <c r="H18" s="265"/>
      <c r="I18" s="266" t="n">
        <v>1109.2</v>
      </c>
      <c r="J18" s="265" t="n">
        <f aca="false">I18*L18</f>
        <v>144.546165273909</v>
      </c>
      <c r="K18" s="267" t="n">
        <v>7</v>
      </c>
      <c r="L18" s="265" t="n">
        <f aca="false">R18/O18</f>
        <v>0.130315691736305</v>
      </c>
      <c r="M18" s="265" t="n">
        <v>176.14</v>
      </c>
      <c r="N18" s="265" t="n">
        <v>12.28</v>
      </c>
      <c r="O18" s="265" t="n">
        <v>215.4</v>
      </c>
      <c r="P18" s="265" t="n">
        <v>25.56</v>
      </c>
      <c r="Q18" s="265" t="n">
        <v>2.51</v>
      </c>
      <c r="R18" s="265" t="n">
        <v>28.07</v>
      </c>
      <c r="S18" s="268" t="n">
        <f aca="false">(R18+J18)/100</f>
        <v>1.72616165273909</v>
      </c>
      <c r="T18" s="269" t="n">
        <f aca="false">MIN(4.63,4.48*S18^(-0.25))</f>
        <v>3.90847778540014</v>
      </c>
      <c r="U18" s="265"/>
      <c r="V18" s="265"/>
      <c r="W18" s="270" t="n">
        <f aca="false">(U18*P18)+(V18*Q18)</f>
        <v>0</v>
      </c>
      <c r="X18" s="270" t="n">
        <v>2.51473470325291</v>
      </c>
      <c r="Y18" s="270" t="n">
        <f aca="false">X18/T18</f>
        <v>0.643405141676009</v>
      </c>
    </row>
    <row r="19" s="257" customFormat="true" ht="12.75" hidden="false" customHeight="false" outlineLevel="0" collapsed="false">
      <c r="A19" s="274" t="s">
        <v>8101</v>
      </c>
      <c r="B19" s="258" t="n">
        <v>40631</v>
      </c>
      <c r="C19" s="250"/>
      <c r="D19" s="251"/>
      <c r="E19" s="251" t="s">
        <v>8102</v>
      </c>
      <c r="F19" s="250" t="s">
        <v>775</v>
      </c>
      <c r="G19" s="251"/>
      <c r="H19" s="251"/>
      <c r="I19" s="259" t="n">
        <v>1154.1</v>
      </c>
      <c r="J19" s="251" t="n">
        <f aca="false">I19*L19</f>
        <v>131.408821374046</v>
      </c>
      <c r="K19" s="260" t="n">
        <v>5</v>
      </c>
      <c r="L19" s="251" t="n">
        <f aca="false">R19/O19</f>
        <v>0.113862595419847</v>
      </c>
      <c r="M19" s="251" t="n">
        <v>114.77</v>
      </c>
      <c r="N19" s="251" t="n">
        <v>195.09</v>
      </c>
      <c r="O19" s="251" t="n">
        <v>327.5</v>
      </c>
      <c r="P19" s="251" t="n">
        <v>15.73</v>
      </c>
      <c r="Q19" s="251" t="n">
        <v>21.56</v>
      </c>
      <c r="R19" s="251" t="n">
        <v>37.29</v>
      </c>
      <c r="S19" s="254" t="n">
        <f aca="false">(R19+J19)/100</f>
        <v>1.68698821374046</v>
      </c>
      <c r="T19" s="254" t="n">
        <f aca="false">MIN(4.63,4.48*S19^(-0.25))</f>
        <v>3.93097246632033</v>
      </c>
      <c r="U19" s="251"/>
      <c r="V19" s="251"/>
      <c r="W19" s="256" t="n">
        <f aca="false">(U19*P19)+(V19*Q19)</f>
        <v>0</v>
      </c>
      <c r="X19" s="256" t="n">
        <v>2.7627107198501</v>
      </c>
      <c r="Y19" s="256" t="n">
        <f aca="false">X19/T19</f>
        <v>0.702805919787118</v>
      </c>
    </row>
    <row r="20" s="257" customFormat="true" ht="12.75" hidden="false" customHeight="false" outlineLevel="0" collapsed="false">
      <c r="A20" s="274" t="s">
        <v>8101</v>
      </c>
      <c r="B20" s="258" t="n">
        <v>40631</v>
      </c>
      <c r="C20" s="274"/>
      <c r="D20" s="251"/>
      <c r="E20" s="251" t="s">
        <v>8093</v>
      </c>
      <c r="F20" s="274" t="s">
        <v>775</v>
      </c>
      <c r="G20" s="251"/>
      <c r="H20" s="251"/>
      <c r="I20" s="259" t="n">
        <v>3894</v>
      </c>
      <c r="J20" s="251" t="n">
        <f aca="false">I20*L20</f>
        <v>383.248341232228</v>
      </c>
      <c r="K20" s="260" t="n">
        <v>8</v>
      </c>
      <c r="L20" s="251" t="n">
        <f aca="false">R20/O20</f>
        <v>0.0984202211690363</v>
      </c>
      <c r="M20" s="251" t="n">
        <v>440.42</v>
      </c>
      <c r="N20" s="251" t="n">
        <v>613.28</v>
      </c>
      <c r="O20" s="251" t="n">
        <v>1076.1</v>
      </c>
      <c r="P20" s="251" t="n">
        <v>48.34</v>
      </c>
      <c r="Q20" s="251" t="n">
        <v>57.57</v>
      </c>
      <c r="R20" s="251" t="n">
        <v>105.91</v>
      </c>
      <c r="S20" s="254" t="n">
        <f aca="false">(R20+J20)/100</f>
        <v>4.89158341232228</v>
      </c>
      <c r="T20" s="254" t="n">
        <f aca="false">MIN(4.63,4.48*S20^(-0.25))</f>
        <v>3.01242087258041</v>
      </c>
      <c r="U20" s="251"/>
      <c r="V20" s="251"/>
      <c r="W20" s="256" t="n">
        <f aca="false">(U20*P20)+(V20*Q20)</f>
        <v>0</v>
      </c>
      <c r="X20" s="256" t="n">
        <v>3.33701137551656</v>
      </c>
      <c r="Y20" s="256" t="n">
        <f aca="false">X20/T20</f>
        <v>1.10775071501151</v>
      </c>
    </row>
    <row r="21" s="257" customFormat="true" ht="12.75" hidden="false" customHeight="false" outlineLevel="0" collapsed="false">
      <c r="A21" s="274" t="s">
        <v>8101</v>
      </c>
      <c r="B21" s="258" t="n">
        <v>40631</v>
      </c>
      <c r="C21" s="274"/>
      <c r="D21" s="251"/>
      <c r="E21" s="251" t="s">
        <v>8094</v>
      </c>
      <c r="F21" s="274" t="s">
        <v>775</v>
      </c>
      <c r="G21" s="251"/>
      <c r="H21" s="251"/>
      <c r="I21" s="259" t="n">
        <v>3882</v>
      </c>
      <c r="J21" s="251" t="n">
        <f aca="false">I21*L21</f>
        <v>390.242744383728</v>
      </c>
      <c r="K21" s="260" t="n">
        <v>8</v>
      </c>
      <c r="L21" s="251" t="n">
        <f aca="false">R21/O21</f>
        <v>0.100526209269379</v>
      </c>
      <c r="M21" s="251" t="n">
        <v>370.2</v>
      </c>
      <c r="N21" s="251" t="n">
        <v>582.62</v>
      </c>
      <c r="O21" s="251" t="n">
        <v>988.2</v>
      </c>
      <c r="P21" s="251" t="n">
        <v>41.68</v>
      </c>
      <c r="Q21" s="251" t="n">
        <v>57.66</v>
      </c>
      <c r="R21" s="251" t="n">
        <v>99.34</v>
      </c>
      <c r="S21" s="254" t="n">
        <f aca="false">(R21+J21)/100</f>
        <v>4.89582744383728</v>
      </c>
      <c r="T21" s="254" t="n">
        <f aca="false">MIN(4.63,4.48*S21^(-0.25))</f>
        <v>3.0117678181482</v>
      </c>
      <c r="U21" s="251"/>
      <c r="V21" s="251"/>
      <c r="W21" s="256" t="n">
        <f aca="false">(U21*P21)+(V21*Q21)</f>
        <v>0</v>
      </c>
      <c r="X21" s="256" t="n">
        <v>2.58883379999227</v>
      </c>
      <c r="Y21" s="256" t="n">
        <f aca="false">X21/T21</f>
        <v>0.859572834397316</v>
      </c>
    </row>
    <row r="22" s="257" customFormat="true" ht="12.75" hidden="false" customHeight="false" outlineLevel="0" collapsed="false">
      <c r="A22" s="274" t="s">
        <v>8101</v>
      </c>
      <c r="B22" s="258" t="n">
        <v>40631</v>
      </c>
      <c r="C22" s="274"/>
      <c r="D22" s="251"/>
      <c r="E22" s="251" t="s">
        <v>8095</v>
      </c>
      <c r="F22" s="274" t="s">
        <v>775</v>
      </c>
      <c r="G22" s="251"/>
      <c r="H22" s="251"/>
      <c r="I22" s="259" t="s">
        <v>879</v>
      </c>
      <c r="J22" s="259" t="s">
        <v>879</v>
      </c>
      <c r="K22" s="275" t="s">
        <v>879</v>
      </c>
      <c r="L22" s="259" t="s">
        <v>879</v>
      </c>
      <c r="M22" s="251" t="s">
        <v>879</v>
      </c>
      <c r="N22" s="251" t="s">
        <v>879</v>
      </c>
      <c r="O22" s="251" t="s">
        <v>879</v>
      </c>
      <c r="P22" s="251" t="s">
        <v>879</v>
      </c>
      <c r="Q22" s="251" t="s">
        <v>879</v>
      </c>
      <c r="R22" s="251" t="s">
        <v>879</v>
      </c>
      <c r="S22" s="254" t="s">
        <v>879</v>
      </c>
      <c r="T22" s="251" t="s">
        <v>879</v>
      </c>
      <c r="U22" s="251"/>
      <c r="V22" s="251"/>
      <c r="W22" s="251" t="s">
        <v>879</v>
      </c>
      <c r="X22" s="251" t="s">
        <v>879</v>
      </c>
      <c r="Y22" s="251" t="s">
        <v>879</v>
      </c>
    </row>
    <row r="23" s="257" customFormat="true" ht="12.75" hidden="false" customHeight="false" outlineLevel="0" collapsed="false">
      <c r="A23" s="274" t="s">
        <v>8101</v>
      </c>
      <c r="B23" s="258" t="n">
        <v>40631</v>
      </c>
      <c r="C23" s="274"/>
      <c r="D23" s="251"/>
      <c r="E23" s="251" t="s">
        <v>8099</v>
      </c>
      <c r="F23" s="274" t="s">
        <v>775</v>
      </c>
      <c r="G23" s="251"/>
      <c r="H23" s="251"/>
      <c r="I23" s="259" t="n">
        <v>3630</v>
      </c>
      <c r="J23" s="251" t="n">
        <f aca="false">I23*L23</f>
        <v>327.400321543408</v>
      </c>
      <c r="K23" s="260" t="n">
        <v>8</v>
      </c>
      <c r="L23" s="251" t="n">
        <f aca="false">R23/O23</f>
        <v>0.0901929260450161</v>
      </c>
      <c r="M23" s="251" t="n">
        <v>386.13</v>
      </c>
      <c r="N23" s="251" t="n">
        <v>451.66</v>
      </c>
      <c r="O23" s="251" t="n">
        <v>870.8</v>
      </c>
      <c r="P23" s="251" t="n">
        <v>39.61</v>
      </c>
      <c r="Q23" s="251" t="n">
        <v>38.93</v>
      </c>
      <c r="R23" s="251" t="n">
        <v>78.54</v>
      </c>
      <c r="S23" s="254" t="n">
        <f aca="false">(R23+J23)/100</f>
        <v>4.05940321543408</v>
      </c>
      <c r="T23" s="254" t="n">
        <f aca="false">MIN(4.63,4.48*S23^(-0.25))</f>
        <v>3.15618510659253</v>
      </c>
      <c r="U23" s="251"/>
      <c r="V23" s="251"/>
      <c r="W23" s="256" t="n">
        <f aca="false">(U23*P23)+(V23*Q23)</f>
        <v>0</v>
      </c>
      <c r="X23" s="256" t="n">
        <v>2.79054914768209</v>
      </c>
      <c r="Y23" s="256" t="n">
        <f aca="false">X23/T23</f>
        <v>0.884152561854907</v>
      </c>
    </row>
    <row r="24" s="257" customFormat="true" ht="12.75" hidden="false" customHeight="false" outlineLevel="0" collapsed="false">
      <c r="A24" s="274" t="s">
        <v>8101</v>
      </c>
      <c r="B24" s="258" t="n">
        <v>40631</v>
      </c>
      <c r="C24" s="276"/>
      <c r="D24" s="251"/>
      <c r="E24" s="251" t="s">
        <v>8100</v>
      </c>
      <c r="F24" s="276" t="s">
        <v>775</v>
      </c>
      <c r="G24" s="251"/>
      <c r="H24" s="251"/>
      <c r="I24" s="277" t="s">
        <v>879</v>
      </c>
      <c r="J24" s="259" t="s">
        <v>879</v>
      </c>
      <c r="K24" s="278" t="s">
        <v>879</v>
      </c>
      <c r="L24" s="251" t="s">
        <v>879</v>
      </c>
      <c r="M24" s="251" t="s">
        <v>879</v>
      </c>
      <c r="N24" s="251" t="s">
        <v>879</v>
      </c>
      <c r="O24" s="251" t="s">
        <v>879</v>
      </c>
      <c r="P24" s="251" t="s">
        <v>879</v>
      </c>
      <c r="Q24" s="251" t="s">
        <v>879</v>
      </c>
      <c r="R24" s="251" t="s">
        <v>879</v>
      </c>
      <c r="S24" s="254" t="s">
        <v>879</v>
      </c>
      <c r="T24" s="251" t="s">
        <v>879</v>
      </c>
      <c r="U24" s="251"/>
      <c r="V24" s="251"/>
      <c r="W24" s="251" t="s">
        <v>879</v>
      </c>
      <c r="X24" s="251" t="s">
        <v>879</v>
      </c>
      <c r="Y24" s="251" t="s">
        <v>879</v>
      </c>
    </row>
    <row r="25" s="257" customFormat="true" ht="12.75" hidden="false" customHeight="false" outlineLevel="0" collapsed="false">
      <c r="A25" s="274" t="s">
        <v>8101</v>
      </c>
      <c r="B25" s="258" t="n">
        <v>40631</v>
      </c>
      <c r="C25" s="274"/>
      <c r="D25" s="251"/>
      <c r="E25" s="251" t="s">
        <v>8098</v>
      </c>
      <c r="F25" s="274" t="s">
        <v>775</v>
      </c>
      <c r="G25" s="251"/>
      <c r="H25" s="251"/>
      <c r="I25" s="259" t="n">
        <v>2767.4</v>
      </c>
      <c r="J25" s="251" t="n">
        <f aca="false">I25*L25</f>
        <v>244.445097538319</v>
      </c>
      <c r="K25" s="260" t="n">
        <v>6</v>
      </c>
      <c r="L25" s="251" t="n">
        <f aca="false">R25/O25</f>
        <v>0.0883302368787738</v>
      </c>
      <c r="M25" s="251" t="n">
        <v>392.18</v>
      </c>
      <c r="N25" s="251" t="n">
        <v>428.67</v>
      </c>
      <c r="O25" s="251" t="n">
        <v>861.2</v>
      </c>
      <c r="P25" s="251" t="n">
        <v>41.5</v>
      </c>
      <c r="Q25" s="251" t="n">
        <v>34.57</v>
      </c>
      <c r="R25" s="251" t="n">
        <v>76.07</v>
      </c>
      <c r="S25" s="254" t="n">
        <f aca="false">(R25+J25)/100</f>
        <v>3.20515097538319</v>
      </c>
      <c r="T25" s="254" t="n">
        <f aca="false">MIN(4.63,4.48*S25^(-0.25))</f>
        <v>3.34823468606048</v>
      </c>
      <c r="U25" s="251"/>
      <c r="V25" s="251"/>
      <c r="W25" s="256" t="n">
        <f aca="false">(U25*P25)+(V25*Q25)</f>
        <v>0</v>
      </c>
      <c r="X25" s="256" t="n">
        <v>3.29932966795288</v>
      </c>
      <c r="Y25" s="256" t="n">
        <f aca="false">X25/T25</f>
        <v>0.985393790252755</v>
      </c>
    </row>
    <row r="26" s="257" customFormat="true" ht="12.75" hidden="false" customHeight="false" outlineLevel="0" collapsed="false">
      <c r="A26" s="274" t="s">
        <v>8101</v>
      </c>
      <c r="B26" s="258" t="n">
        <v>40626</v>
      </c>
      <c r="C26" s="274"/>
      <c r="D26" s="251"/>
      <c r="E26" s="251" t="s">
        <v>8102</v>
      </c>
      <c r="F26" s="274" t="s">
        <v>778</v>
      </c>
      <c r="G26" s="251"/>
      <c r="H26" s="251"/>
      <c r="I26" s="259" t="n">
        <v>1319</v>
      </c>
      <c r="J26" s="251" t="n">
        <f aca="false">I26*L26</f>
        <v>185.640731724611</v>
      </c>
      <c r="K26" s="260" t="n">
        <v>6</v>
      </c>
      <c r="L26" s="251" t="n">
        <f aca="false">R26/O26</f>
        <v>0.140743541868545</v>
      </c>
      <c r="M26" s="251" t="n">
        <v>189.06</v>
      </c>
      <c r="N26" s="251" t="n">
        <v>234.05</v>
      </c>
      <c r="O26" s="251" t="n">
        <v>423.11</v>
      </c>
      <c r="P26" s="251" t="n">
        <v>26.9</v>
      </c>
      <c r="Q26" s="251" t="n">
        <v>32.65</v>
      </c>
      <c r="R26" s="251" t="n">
        <v>59.55</v>
      </c>
      <c r="S26" s="254" t="n">
        <f aca="false">(R26+J26)/100</f>
        <v>2.45190731724611</v>
      </c>
      <c r="T26" s="254" t="n">
        <f aca="false">MIN(4.63,4.48*S26^(-0.25))</f>
        <v>3.58015641857252</v>
      </c>
      <c r="U26" s="251"/>
      <c r="V26" s="251"/>
      <c r="W26" s="256" t="n">
        <f aca="false">(U26*P26)+(V26*Q26)</f>
        <v>0</v>
      </c>
      <c r="X26" s="256" t="n">
        <v>2.34279443348585</v>
      </c>
      <c r="Y26" s="256" t="n">
        <f aca="false">X26/T26</f>
        <v>0.654383261393916</v>
      </c>
    </row>
    <row r="27" s="257" customFormat="true" ht="12.75" hidden="false" customHeight="false" outlineLevel="0" collapsed="false">
      <c r="A27" s="274" t="s">
        <v>8101</v>
      </c>
      <c r="B27" s="258" t="n">
        <v>40626</v>
      </c>
      <c r="C27" s="279"/>
      <c r="D27" s="251"/>
      <c r="E27" s="251" t="s">
        <v>8093</v>
      </c>
      <c r="F27" s="279" t="s">
        <v>778</v>
      </c>
      <c r="G27" s="251"/>
      <c r="H27" s="251"/>
      <c r="I27" s="280" t="n">
        <v>2376.3</v>
      </c>
      <c r="J27" s="251" t="n">
        <f aca="false">I27*L27</f>
        <v>301.495088676671</v>
      </c>
      <c r="K27" s="281" t="n">
        <v>8</v>
      </c>
      <c r="L27" s="251" t="n">
        <f aca="false">R27/O27</f>
        <v>0.1268758526603</v>
      </c>
      <c r="M27" s="251" t="n">
        <v>380.18</v>
      </c>
      <c r="N27" s="251" t="n">
        <v>404.13</v>
      </c>
      <c r="O27" s="251" t="n">
        <v>784.31</v>
      </c>
      <c r="P27" s="251" t="n">
        <v>50.3</v>
      </c>
      <c r="Q27" s="251" t="n">
        <v>49.21</v>
      </c>
      <c r="R27" s="251" t="n">
        <v>99.51</v>
      </c>
      <c r="S27" s="254" t="n">
        <f aca="false">(R27+J27)/100</f>
        <v>4.01005088676671</v>
      </c>
      <c r="T27" s="254" t="n">
        <f aca="false">MIN(4.63,4.48*S27^(-0.25))</f>
        <v>3.16585152494199</v>
      </c>
      <c r="U27" s="251"/>
      <c r="V27" s="251"/>
      <c r="W27" s="256" t="n">
        <f aca="false">(U27*P27)+(V27*Q27)</f>
        <v>0</v>
      </c>
      <c r="X27" s="256" t="n">
        <v>2.98974843895272</v>
      </c>
      <c r="Y27" s="256" t="n">
        <f aca="false">X27/T27</f>
        <v>0.944374180342365</v>
      </c>
    </row>
    <row r="28" s="257" customFormat="true" ht="12.75" hidden="false" customHeight="false" outlineLevel="0" collapsed="false">
      <c r="A28" s="274" t="s">
        <v>8101</v>
      </c>
      <c r="B28" s="258" t="n">
        <v>40626</v>
      </c>
      <c r="C28" s="274"/>
      <c r="D28" s="251"/>
      <c r="E28" s="251" t="s">
        <v>8094</v>
      </c>
      <c r="F28" s="274" t="s">
        <v>778</v>
      </c>
      <c r="G28" s="251"/>
      <c r="H28" s="251"/>
      <c r="I28" s="259" t="n">
        <v>2101.4</v>
      </c>
      <c r="J28" s="251" t="n">
        <f aca="false">I28*L28</f>
        <v>303.165751920966</v>
      </c>
      <c r="K28" s="260" t="n">
        <v>8</v>
      </c>
      <c r="L28" s="251" t="n">
        <f aca="false">R28/O28</f>
        <v>0.144268464795358</v>
      </c>
      <c r="M28" s="251" t="n">
        <v>220.58</v>
      </c>
      <c r="N28" s="251" t="n">
        <v>289.58</v>
      </c>
      <c r="O28" s="251" t="n">
        <v>510.16</v>
      </c>
      <c r="P28" s="251" t="n">
        <v>32.1</v>
      </c>
      <c r="Q28" s="251" t="n">
        <v>41.5</v>
      </c>
      <c r="R28" s="251" t="n">
        <v>73.6</v>
      </c>
      <c r="S28" s="254" t="n">
        <f aca="false">(R28+J28)/100</f>
        <v>3.76765751920966</v>
      </c>
      <c r="T28" s="254" t="n">
        <f aca="false">MIN(4.63,4.48*S28^(-0.25))</f>
        <v>3.21558622372962</v>
      </c>
      <c r="U28" s="251"/>
      <c r="V28" s="251"/>
      <c r="W28" s="256" t="n">
        <f aca="false">(U28*P28)+(V28*Q28)</f>
        <v>0</v>
      </c>
      <c r="X28" s="256" t="n">
        <v>2.08673936066533</v>
      </c>
      <c r="Y28" s="256" t="n">
        <f aca="false">X28/T28</f>
        <v>0.648945235946747</v>
      </c>
    </row>
    <row r="29" s="257" customFormat="true" ht="12.75" hidden="false" customHeight="false" outlineLevel="0" collapsed="false">
      <c r="A29" s="274" t="s">
        <v>8101</v>
      </c>
      <c r="B29" s="258" t="n">
        <v>40626</v>
      </c>
      <c r="C29" s="274"/>
      <c r="D29" s="251"/>
      <c r="E29" s="251" t="s">
        <v>8095</v>
      </c>
      <c r="F29" s="274" t="s">
        <v>778</v>
      </c>
      <c r="G29" s="251"/>
      <c r="H29" s="251"/>
      <c r="I29" s="259" t="n">
        <v>2126.3</v>
      </c>
      <c r="J29" s="251" t="n">
        <f aca="false">I29*L29</f>
        <v>299.229380548239</v>
      </c>
      <c r="K29" s="260" t="n">
        <v>6</v>
      </c>
      <c r="L29" s="251" t="n">
        <f aca="false">R29/O29</f>
        <v>0.140727733879622</v>
      </c>
      <c r="M29" s="251" t="n">
        <v>199.16</v>
      </c>
      <c r="N29" s="251" t="n">
        <v>313.39</v>
      </c>
      <c r="O29" s="251" t="n">
        <v>512.55</v>
      </c>
      <c r="P29" s="251" t="n">
        <v>28.1</v>
      </c>
      <c r="Q29" s="251" t="n">
        <v>44.03</v>
      </c>
      <c r="R29" s="251" t="n">
        <v>72.13</v>
      </c>
      <c r="S29" s="254" t="n">
        <f aca="false">(R29+J29)/100</f>
        <v>3.71359380548239</v>
      </c>
      <c r="T29" s="254" t="n">
        <f aca="false">MIN(4.63,4.48*S29^(-0.25))</f>
        <v>3.22722625689838</v>
      </c>
      <c r="U29" s="251"/>
      <c r="V29" s="251"/>
      <c r="W29" s="256" t="n">
        <f aca="false">(U29*P29)+(V29*Q29)</f>
        <v>0</v>
      </c>
      <c r="X29" s="256" t="n">
        <v>2.11085983998091</v>
      </c>
      <c r="Y29" s="256" t="n">
        <f aca="false">X29/T29</f>
        <v>0.654078664447161</v>
      </c>
    </row>
    <row r="30" s="257" customFormat="true" ht="12.75" hidden="false" customHeight="false" outlineLevel="0" collapsed="false">
      <c r="A30" s="274" t="s">
        <v>8101</v>
      </c>
      <c r="B30" s="258" t="n">
        <v>40626</v>
      </c>
      <c r="C30" s="274"/>
      <c r="D30" s="251"/>
      <c r="E30" s="251" t="s">
        <v>8099</v>
      </c>
      <c r="F30" s="274" t="s">
        <v>778</v>
      </c>
      <c r="G30" s="251"/>
      <c r="H30" s="251"/>
      <c r="I30" s="259" t="n">
        <v>3234</v>
      </c>
      <c r="J30" s="251" t="n">
        <f aca="false">I30*L30</f>
        <v>388.254902618082</v>
      </c>
      <c r="K30" s="260" t="n">
        <v>8</v>
      </c>
      <c r="L30" s="251" t="n">
        <f aca="false">R30/O30</f>
        <v>0.120054082442202</v>
      </c>
      <c r="M30" s="251" t="n">
        <v>419.32</v>
      </c>
      <c r="N30" s="251" t="n">
        <v>475.61</v>
      </c>
      <c r="O30" s="251" t="n">
        <v>894.93</v>
      </c>
      <c r="P30" s="251" t="n">
        <v>53.2</v>
      </c>
      <c r="Q30" s="251" t="n">
        <v>54.24</v>
      </c>
      <c r="R30" s="251" t="n">
        <v>107.44</v>
      </c>
      <c r="S30" s="254" t="n">
        <f aca="false">(R30+J30)/100</f>
        <v>4.95694902618082</v>
      </c>
      <c r="T30" s="254" t="n">
        <f aca="false">MIN(4.63,4.48*S30^(-0.25))</f>
        <v>3.00244043852207</v>
      </c>
      <c r="U30" s="251"/>
      <c r="V30" s="251"/>
      <c r="W30" s="256" t="n">
        <f aca="false">(U30*P30)+(V30*Q30)</f>
        <v>0</v>
      </c>
      <c r="X30" s="256" t="n">
        <v>3.08197426272892</v>
      </c>
      <c r="Y30" s="256" t="n">
        <f aca="false">X30/T30</f>
        <v>1.02648972588645</v>
      </c>
    </row>
    <row r="31" s="257" customFormat="true" ht="12.75" hidden="false" customHeight="false" outlineLevel="0" collapsed="false">
      <c r="A31" s="274" t="s">
        <v>8101</v>
      </c>
      <c r="B31" s="258" t="n">
        <v>40626</v>
      </c>
      <c r="C31" s="274"/>
      <c r="D31" s="251"/>
      <c r="E31" s="251" t="s">
        <v>8100</v>
      </c>
      <c r="F31" s="274" t="s">
        <v>778</v>
      </c>
      <c r="G31" s="251"/>
      <c r="H31" s="251"/>
      <c r="I31" s="259" t="n">
        <v>3237</v>
      </c>
      <c r="J31" s="251" t="n">
        <f aca="false">I31*L31</f>
        <v>361.237034186219</v>
      </c>
      <c r="K31" s="260" t="n">
        <v>8</v>
      </c>
      <c r="L31" s="251" t="n">
        <f aca="false">R31/O31</f>
        <v>0.11159624163924</v>
      </c>
      <c r="M31" s="251" t="n">
        <v>379.22</v>
      </c>
      <c r="N31" s="251" t="n">
        <v>374.3</v>
      </c>
      <c r="O31" s="251" t="n">
        <v>753.52</v>
      </c>
      <c r="P31" s="251" t="n">
        <v>46.3</v>
      </c>
      <c r="Q31" s="251" t="n">
        <v>37.79</v>
      </c>
      <c r="R31" s="251" t="n">
        <v>84.09</v>
      </c>
      <c r="S31" s="254" t="n">
        <f aca="false">(R31+J31)/100</f>
        <v>4.45327034186219</v>
      </c>
      <c r="T31" s="254" t="n">
        <f aca="false">MIN(4.63,4.48*S31^(-0.25))</f>
        <v>3.08395653776743</v>
      </c>
      <c r="U31" s="251"/>
      <c r="V31" s="251"/>
      <c r="W31" s="256" t="n">
        <f aca="false">(U31*P31)+(V31*Q31)</f>
        <v>0</v>
      </c>
      <c r="X31" s="256" t="n">
        <v>2.82484284962658</v>
      </c>
      <c r="Y31" s="256" t="n">
        <f aca="false">X31/T31</f>
        <v>0.915980110300635</v>
      </c>
    </row>
    <row r="32" s="257" customFormat="true" ht="12.75" hidden="false" customHeight="false" outlineLevel="0" collapsed="false">
      <c r="A32" s="274" t="s">
        <v>8101</v>
      </c>
      <c r="B32" s="258" t="n">
        <v>40626</v>
      </c>
      <c r="C32" s="274"/>
      <c r="D32" s="251"/>
      <c r="E32" s="251" t="s">
        <v>8098</v>
      </c>
      <c r="F32" s="274" t="s">
        <v>778</v>
      </c>
      <c r="G32" s="251"/>
      <c r="H32" s="251"/>
      <c r="I32" s="259" t="n">
        <v>2235.3</v>
      </c>
      <c r="J32" s="251" t="n">
        <f aca="false">I32*L32</f>
        <v>268.650788454704</v>
      </c>
      <c r="K32" s="260" t="n">
        <v>6</v>
      </c>
      <c r="L32" s="251" t="n">
        <f aca="false">R32/O32</f>
        <v>0.120185562767729</v>
      </c>
      <c r="M32" s="251" t="n">
        <v>231.38</v>
      </c>
      <c r="N32" s="251" t="n">
        <v>303.21</v>
      </c>
      <c r="O32" s="251" t="n">
        <v>534.59</v>
      </c>
      <c r="P32" s="251" t="n">
        <v>29.9</v>
      </c>
      <c r="Q32" s="251" t="n">
        <v>34.35</v>
      </c>
      <c r="R32" s="251" t="n">
        <v>64.25</v>
      </c>
      <c r="S32" s="254" t="n">
        <f aca="false">(R32+J32)/100</f>
        <v>3.32900788454704</v>
      </c>
      <c r="T32" s="254" t="n">
        <f aca="false">MIN(4.63,4.48*S32^(-0.25))</f>
        <v>3.31664743724034</v>
      </c>
      <c r="U32" s="251"/>
      <c r="V32" s="251"/>
      <c r="W32" s="256" t="n">
        <f aca="false">(U32*P32)+(V32*Q32)</f>
        <v>0</v>
      </c>
      <c r="X32" s="256" t="n">
        <v>3.01254097619992</v>
      </c>
      <c r="Y32" s="256" t="n">
        <f aca="false">X32/T32</f>
        <v>0.908309078129374</v>
      </c>
    </row>
    <row r="35" customFormat="false" ht="12.75" hidden="false" customHeight="false" outlineLevel="0" collapsed="false">
      <c r="A35" s="282" t="s">
        <v>8103</v>
      </c>
    </row>
    <row r="36" customFormat="false" ht="12.75" hidden="false" customHeight="false" outlineLevel="0" collapsed="false">
      <c r="A36" s="282" t="s">
        <v>8104</v>
      </c>
    </row>
    <row r="37" customFormat="false" ht="12.75" hidden="false" customHeight="false" outlineLevel="0" collapsed="false">
      <c r="A37" s="282" t="s">
        <v>8105</v>
      </c>
    </row>
    <row r="38" customFormat="false" ht="12.75" hidden="false" customHeight="false" outlineLevel="0" collapsed="false">
      <c r="A38" s="282" t="s">
        <v>8106</v>
      </c>
    </row>
    <row r="39" customFormat="false" ht="12.75" hidden="false" customHeight="false" outlineLevel="0" collapsed="false">
      <c r="A39" s="282" t="s">
        <v>8107</v>
      </c>
    </row>
    <row r="40" customFormat="false" ht="12.75" hidden="false" customHeight="false" outlineLevel="0" collapsed="false">
      <c r="A40" s="282" t="s">
        <v>8108</v>
      </c>
    </row>
    <row r="41" customFormat="false" ht="12.75" hidden="false" customHeight="false" outlineLevel="0" collapsed="false">
      <c r="A41" s="282" t="s">
        <v>8109</v>
      </c>
    </row>
    <row r="42" customFormat="false" ht="12.75" hidden="false" customHeight="false" outlineLevel="0" collapsed="false">
      <c r="A42" s="282" t="s">
        <v>8110</v>
      </c>
    </row>
    <row r="43" customFormat="false" ht="12.75" hidden="false" customHeight="false" outlineLevel="0" collapsed="false">
      <c r="A43" s="282" t="s">
        <v>8111</v>
      </c>
    </row>
    <row r="44" customFormat="false" ht="12.75" hidden="false" customHeight="false" outlineLevel="0" collapsed="false">
      <c r="A44" s="282" t="s">
        <v>8112</v>
      </c>
    </row>
    <row r="45" customFormat="false" ht="12.75" hidden="false" customHeight="false" outlineLevel="0" collapsed="false">
      <c r="A45" s="282" t="s">
        <v>8113</v>
      </c>
    </row>
    <row r="47" customFormat="false" ht="12.75" hidden="false" customHeight="false" outlineLevel="0" collapsed="false">
      <c r="A47" s="282" t="s">
        <v>8114</v>
      </c>
    </row>
    <row r="49" customFormat="false" ht="19.7" hidden="false" customHeight="false" outlineLevel="0" collapsed="false">
      <c r="A49" s="283" t="s">
        <v>8115</v>
      </c>
    </row>
    <row r="50" customFormat="false" ht="19.7" hidden="false" customHeight="false" outlineLevel="0" collapsed="false">
      <c r="A50" s="283" t="s">
        <v>8116</v>
      </c>
    </row>
    <row r="51" customFormat="false" ht="19.7" hidden="false" customHeight="false" outlineLevel="0" collapsed="false">
      <c r="A51" s="283" t="s">
        <v>8117</v>
      </c>
    </row>
    <row r="52" customFormat="false" ht="19.7" hidden="false" customHeight="false" outlineLevel="0" collapsed="false">
      <c r="A52" s="283" t="s">
        <v>8118</v>
      </c>
    </row>
  </sheetData>
  <mergeCells count="12">
    <mergeCell ref="H1:J1"/>
    <mergeCell ref="K1:R1"/>
    <mergeCell ref="S1:T1"/>
    <mergeCell ref="U1:W1"/>
    <mergeCell ref="U3:V3"/>
    <mergeCell ref="U4:V4"/>
    <mergeCell ref="U5:V5"/>
    <mergeCell ref="U6:V6"/>
    <mergeCell ref="U7:V7"/>
    <mergeCell ref="U8:V8"/>
    <mergeCell ref="U9:V9"/>
    <mergeCell ref="U10:V10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S305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AE36" activeCellId="1" sqref="A2:A8 AE36"/>
    </sheetView>
  </sheetViews>
  <sheetFormatPr defaultColWidth="10.6015625" defaultRowHeight="12" customHeight="true" zeroHeight="false" outlineLevelRow="0" outlineLevelCol="0"/>
  <cols>
    <col collapsed="false" customWidth="true" hidden="false" outlineLevel="0" max="1" min="1" style="0" width="0.14"/>
    <col collapsed="false" customWidth="true" hidden="false" outlineLevel="0" max="2" min="2" style="0" width="6.14"/>
    <col collapsed="false" customWidth="true" hidden="false" outlineLevel="0" max="32" min="3" style="0" width="5.57"/>
    <col collapsed="false" customWidth="true" hidden="false" outlineLevel="0" max="34" min="33" style="0" width="7.86"/>
    <col collapsed="false" customWidth="true" hidden="false" outlineLevel="0" max="35" min="35" style="0" width="5.57"/>
    <col collapsed="false" customWidth="true" hidden="false" outlineLevel="0" max="37" min="36" style="0" width="4.57"/>
    <col collapsed="false" customWidth="true" hidden="false" outlineLevel="0" max="48" min="38" style="284" width="4.57"/>
    <col collapsed="false" customWidth="true" hidden="false" outlineLevel="0" max="49" min="49" style="284" width="4.86"/>
    <col collapsed="false" customWidth="true" hidden="false" outlineLevel="0" max="53" min="50" style="284" width="4.57"/>
    <col collapsed="false" customWidth="true" hidden="false" outlineLevel="0" max="54" min="54" style="284" width="5.57"/>
    <col collapsed="false" customWidth="true" hidden="false" outlineLevel="0" max="57" min="55" style="284" width="4.57"/>
    <col collapsed="false" customWidth="true" hidden="false" outlineLevel="0" max="58" min="58" style="284" width="5.14"/>
    <col collapsed="false" customWidth="true" hidden="false" outlineLevel="0" max="62" min="59" style="284" width="4.57"/>
    <col collapsed="false" customWidth="true" hidden="false" outlineLevel="0" max="63" min="63" style="284" width="5.14"/>
    <col collapsed="false" customWidth="true" hidden="false" outlineLevel="0" max="81" min="64" style="284" width="4.57"/>
    <col collapsed="false" customWidth="true" hidden="false" outlineLevel="0" max="82" min="82" style="284" width="6.14"/>
    <col collapsed="false" customWidth="true" hidden="false" outlineLevel="0" max="83" min="83" style="284" width="5.71"/>
    <col collapsed="false" customWidth="true" hidden="false" outlineLevel="0" max="90" min="84" style="284" width="4.57"/>
    <col collapsed="false" customWidth="true" hidden="false" outlineLevel="0" max="91" min="91" style="284" width="5.43"/>
    <col collapsed="false" customWidth="true" hidden="false" outlineLevel="0" max="93" min="92" style="284" width="4.57"/>
    <col collapsed="false" customWidth="true" hidden="false" outlineLevel="0" max="94" min="94" style="284" width="5.71"/>
    <col collapsed="false" customWidth="true" hidden="false" outlineLevel="0" max="98" min="95" style="284" width="4.57"/>
    <col collapsed="false" customWidth="true" hidden="false" outlineLevel="0" max="99" min="99" style="284" width="5.71"/>
    <col collapsed="false" customWidth="true" hidden="false" outlineLevel="0" max="106" min="100" style="284" width="4.57"/>
    <col collapsed="false" customWidth="true" hidden="false" outlineLevel="0" max="107" min="107" style="284" width="5.86"/>
    <col collapsed="false" customWidth="true" hidden="false" outlineLevel="0" max="115" min="108" style="284" width="4.57"/>
    <col collapsed="false" customWidth="true" hidden="false" outlineLevel="0" max="117" min="116" style="284" width="7.86"/>
    <col collapsed="false" customWidth="true" hidden="false" outlineLevel="0" max="128" min="118" style="0" width="2.86"/>
    <col collapsed="false" customWidth="true" hidden="false" outlineLevel="0" max="257" min="257" style="0" width="0.14"/>
    <col collapsed="false" customWidth="true" hidden="false" outlineLevel="0" max="258" min="258" style="0" width="6.14"/>
    <col collapsed="false" customWidth="true" hidden="false" outlineLevel="0" max="288" min="259" style="0" width="5.57"/>
    <col collapsed="false" customWidth="true" hidden="false" outlineLevel="0" max="290" min="289" style="0" width="7.86"/>
    <col collapsed="false" customWidth="true" hidden="false" outlineLevel="0" max="291" min="291" style="0" width="5.57"/>
    <col collapsed="false" customWidth="true" hidden="false" outlineLevel="0" max="304" min="292" style="0" width="4.57"/>
    <col collapsed="false" customWidth="true" hidden="false" outlineLevel="0" max="305" min="305" style="0" width="4.86"/>
    <col collapsed="false" customWidth="true" hidden="false" outlineLevel="0" max="309" min="306" style="0" width="4.57"/>
    <col collapsed="false" customWidth="true" hidden="false" outlineLevel="0" max="310" min="310" style="0" width="5.57"/>
    <col collapsed="false" customWidth="true" hidden="false" outlineLevel="0" max="313" min="311" style="0" width="4.57"/>
    <col collapsed="false" customWidth="true" hidden="false" outlineLevel="0" max="314" min="314" style="0" width="5.14"/>
    <col collapsed="false" customWidth="true" hidden="false" outlineLevel="0" max="318" min="315" style="0" width="4.57"/>
    <col collapsed="false" customWidth="true" hidden="false" outlineLevel="0" max="319" min="319" style="0" width="5.14"/>
    <col collapsed="false" customWidth="true" hidden="false" outlineLevel="0" max="337" min="320" style="0" width="4.57"/>
    <col collapsed="false" customWidth="true" hidden="false" outlineLevel="0" max="338" min="338" style="0" width="6.14"/>
    <col collapsed="false" customWidth="true" hidden="false" outlineLevel="0" max="339" min="339" style="0" width="5.71"/>
    <col collapsed="false" customWidth="true" hidden="false" outlineLevel="0" max="346" min="340" style="0" width="4.57"/>
    <col collapsed="false" customWidth="true" hidden="false" outlineLevel="0" max="347" min="347" style="0" width="5.43"/>
    <col collapsed="false" customWidth="true" hidden="false" outlineLevel="0" max="349" min="348" style="0" width="4.57"/>
    <col collapsed="false" customWidth="true" hidden="false" outlineLevel="0" max="350" min="350" style="0" width="5.71"/>
    <col collapsed="false" customWidth="true" hidden="false" outlineLevel="0" max="354" min="351" style="0" width="4.57"/>
    <col collapsed="false" customWidth="true" hidden="false" outlineLevel="0" max="355" min="355" style="0" width="5.71"/>
    <col collapsed="false" customWidth="true" hidden="false" outlineLevel="0" max="362" min="356" style="0" width="4.57"/>
    <col collapsed="false" customWidth="true" hidden="false" outlineLevel="0" max="363" min="363" style="0" width="5.86"/>
    <col collapsed="false" customWidth="true" hidden="false" outlineLevel="0" max="371" min="364" style="0" width="4.57"/>
    <col collapsed="false" customWidth="true" hidden="false" outlineLevel="0" max="373" min="372" style="0" width="7.86"/>
    <col collapsed="false" customWidth="true" hidden="false" outlineLevel="0" max="384" min="374" style="0" width="2.86"/>
    <col collapsed="false" customWidth="true" hidden="false" outlineLevel="0" max="513" min="513" style="0" width="0.14"/>
    <col collapsed="false" customWidth="true" hidden="false" outlineLevel="0" max="514" min="514" style="0" width="6.14"/>
    <col collapsed="false" customWidth="true" hidden="false" outlineLevel="0" max="544" min="515" style="0" width="5.57"/>
    <col collapsed="false" customWidth="true" hidden="false" outlineLevel="0" max="546" min="545" style="0" width="7.86"/>
    <col collapsed="false" customWidth="true" hidden="false" outlineLevel="0" max="547" min="547" style="0" width="5.57"/>
    <col collapsed="false" customWidth="true" hidden="false" outlineLevel="0" max="560" min="548" style="0" width="4.57"/>
    <col collapsed="false" customWidth="true" hidden="false" outlineLevel="0" max="561" min="561" style="0" width="4.86"/>
    <col collapsed="false" customWidth="true" hidden="false" outlineLevel="0" max="565" min="562" style="0" width="4.57"/>
    <col collapsed="false" customWidth="true" hidden="false" outlineLevel="0" max="566" min="566" style="0" width="5.57"/>
    <col collapsed="false" customWidth="true" hidden="false" outlineLevel="0" max="569" min="567" style="0" width="4.57"/>
    <col collapsed="false" customWidth="true" hidden="false" outlineLevel="0" max="570" min="570" style="0" width="5.14"/>
    <col collapsed="false" customWidth="true" hidden="false" outlineLevel="0" max="574" min="571" style="0" width="4.57"/>
    <col collapsed="false" customWidth="true" hidden="false" outlineLevel="0" max="575" min="575" style="0" width="5.14"/>
    <col collapsed="false" customWidth="true" hidden="false" outlineLevel="0" max="593" min="576" style="0" width="4.57"/>
    <col collapsed="false" customWidth="true" hidden="false" outlineLevel="0" max="594" min="594" style="0" width="6.14"/>
    <col collapsed="false" customWidth="true" hidden="false" outlineLevel="0" max="595" min="595" style="0" width="5.71"/>
    <col collapsed="false" customWidth="true" hidden="false" outlineLevel="0" max="602" min="596" style="0" width="4.57"/>
    <col collapsed="false" customWidth="true" hidden="false" outlineLevel="0" max="603" min="603" style="0" width="5.43"/>
    <col collapsed="false" customWidth="true" hidden="false" outlineLevel="0" max="605" min="604" style="0" width="4.57"/>
    <col collapsed="false" customWidth="true" hidden="false" outlineLevel="0" max="606" min="606" style="0" width="5.71"/>
    <col collapsed="false" customWidth="true" hidden="false" outlineLevel="0" max="610" min="607" style="0" width="4.57"/>
    <col collapsed="false" customWidth="true" hidden="false" outlineLevel="0" max="611" min="611" style="0" width="5.71"/>
    <col collapsed="false" customWidth="true" hidden="false" outlineLevel="0" max="618" min="612" style="0" width="4.57"/>
    <col collapsed="false" customWidth="true" hidden="false" outlineLevel="0" max="619" min="619" style="0" width="5.86"/>
    <col collapsed="false" customWidth="true" hidden="false" outlineLevel="0" max="627" min="620" style="0" width="4.57"/>
    <col collapsed="false" customWidth="true" hidden="false" outlineLevel="0" max="629" min="628" style="0" width="7.86"/>
    <col collapsed="false" customWidth="true" hidden="false" outlineLevel="0" max="640" min="630" style="0" width="2.86"/>
    <col collapsed="false" customWidth="true" hidden="false" outlineLevel="0" max="769" min="769" style="0" width="0.14"/>
    <col collapsed="false" customWidth="true" hidden="false" outlineLevel="0" max="770" min="770" style="0" width="6.14"/>
    <col collapsed="false" customWidth="true" hidden="false" outlineLevel="0" max="800" min="771" style="0" width="5.57"/>
    <col collapsed="false" customWidth="true" hidden="false" outlineLevel="0" max="802" min="801" style="0" width="7.86"/>
    <col collapsed="false" customWidth="true" hidden="false" outlineLevel="0" max="803" min="803" style="0" width="5.57"/>
    <col collapsed="false" customWidth="true" hidden="false" outlineLevel="0" max="816" min="804" style="0" width="4.57"/>
    <col collapsed="false" customWidth="true" hidden="false" outlineLevel="0" max="817" min="817" style="0" width="4.86"/>
    <col collapsed="false" customWidth="true" hidden="false" outlineLevel="0" max="821" min="818" style="0" width="4.57"/>
    <col collapsed="false" customWidth="true" hidden="false" outlineLevel="0" max="822" min="822" style="0" width="5.57"/>
    <col collapsed="false" customWidth="true" hidden="false" outlineLevel="0" max="825" min="823" style="0" width="4.57"/>
    <col collapsed="false" customWidth="true" hidden="false" outlineLevel="0" max="826" min="826" style="0" width="5.14"/>
    <col collapsed="false" customWidth="true" hidden="false" outlineLevel="0" max="830" min="827" style="0" width="4.57"/>
    <col collapsed="false" customWidth="true" hidden="false" outlineLevel="0" max="831" min="831" style="0" width="5.14"/>
    <col collapsed="false" customWidth="true" hidden="false" outlineLevel="0" max="849" min="832" style="0" width="4.57"/>
    <col collapsed="false" customWidth="true" hidden="false" outlineLevel="0" max="850" min="850" style="0" width="6.14"/>
    <col collapsed="false" customWidth="true" hidden="false" outlineLevel="0" max="851" min="851" style="0" width="5.71"/>
    <col collapsed="false" customWidth="true" hidden="false" outlineLevel="0" max="858" min="852" style="0" width="4.57"/>
    <col collapsed="false" customWidth="true" hidden="false" outlineLevel="0" max="859" min="859" style="0" width="5.43"/>
    <col collapsed="false" customWidth="true" hidden="false" outlineLevel="0" max="861" min="860" style="0" width="4.57"/>
    <col collapsed="false" customWidth="true" hidden="false" outlineLevel="0" max="862" min="862" style="0" width="5.71"/>
    <col collapsed="false" customWidth="true" hidden="false" outlineLevel="0" max="866" min="863" style="0" width="4.57"/>
    <col collapsed="false" customWidth="true" hidden="false" outlineLevel="0" max="867" min="867" style="0" width="5.71"/>
    <col collapsed="false" customWidth="true" hidden="false" outlineLevel="0" max="874" min="868" style="0" width="4.57"/>
    <col collapsed="false" customWidth="true" hidden="false" outlineLevel="0" max="875" min="875" style="0" width="5.86"/>
    <col collapsed="false" customWidth="true" hidden="false" outlineLevel="0" max="883" min="876" style="0" width="4.57"/>
    <col collapsed="false" customWidth="true" hidden="false" outlineLevel="0" max="885" min="884" style="0" width="7.86"/>
    <col collapsed="false" customWidth="true" hidden="false" outlineLevel="0" max="896" min="886" style="0" width="2.86"/>
    <col collapsed="false" customWidth="true" hidden="false" outlineLevel="0" max="1025" min="1025" style="0" width="0.14"/>
    <col collapsed="false" customWidth="true" hidden="false" outlineLevel="0" max="1026" min="1026" style="0" width="6.14"/>
    <col collapsed="false" customWidth="true" hidden="false" outlineLevel="0" max="1056" min="1027" style="0" width="5.57"/>
    <col collapsed="false" customWidth="true" hidden="false" outlineLevel="0" max="1058" min="1057" style="0" width="7.86"/>
    <col collapsed="false" customWidth="true" hidden="false" outlineLevel="0" max="1059" min="1059" style="0" width="5.57"/>
    <col collapsed="false" customWidth="true" hidden="false" outlineLevel="0" max="1072" min="1060" style="0" width="4.57"/>
    <col collapsed="false" customWidth="true" hidden="false" outlineLevel="0" max="1073" min="1073" style="0" width="4.86"/>
    <col collapsed="false" customWidth="true" hidden="false" outlineLevel="0" max="1077" min="1074" style="0" width="4.57"/>
    <col collapsed="false" customWidth="true" hidden="false" outlineLevel="0" max="1078" min="1078" style="0" width="5.57"/>
    <col collapsed="false" customWidth="true" hidden="false" outlineLevel="0" max="1081" min="1079" style="0" width="4.57"/>
    <col collapsed="false" customWidth="true" hidden="false" outlineLevel="0" max="1082" min="1082" style="0" width="5.14"/>
    <col collapsed="false" customWidth="true" hidden="false" outlineLevel="0" max="1086" min="1083" style="0" width="4.57"/>
    <col collapsed="false" customWidth="true" hidden="false" outlineLevel="0" max="1087" min="1087" style="0" width="5.14"/>
    <col collapsed="false" customWidth="true" hidden="false" outlineLevel="0" max="1105" min="1088" style="0" width="4.57"/>
    <col collapsed="false" customWidth="true" hidden="false" outlineLevel="0" max="1106" min="1106" style="0" width="6.14"/>
    <col collapsed="false" customWidth="true" hidden="false" outlineLevel="0" max="1107" min="1107" style="0" width="5.71"/>
    <col collapsed="false" customWidth="true" hidden="false" outlineLevel="0" max="1114" min="1108" style="0" width="4.57"/>
    <col collapsed="false" customWidth="true" hidden="false" outlineLevel="0" max="1115" min="1115" style="0" width="5.43"/>
    <col collapsed="false" customWidth="true" hidden="false" outlineLevel="0" max="1117" min="1116" style="0" width="4.57"/>
    <col collapsed="false" customWidth="true" hidden="false" outlineLevel="0" max="1118" min="1118" style="0" width="5.71"/>
    <col collapsed="false" customWidth="true" hidden="false" outlineLevel="0" max="1122" min="1119" style="0" width="4.57"/>
    <col collapsed="false" customWidth="true" hidden="false" outlineLevel="0" max="1123" min="1123" style="0" width="5.71"/>
    <col collapsed="false" customWidth="true" hidden="false" outlineLevel="0" max="1130" min="1124" style="0" width="4.57"/>
    <col collapsed="false" customWidth="true" hidden="false" outlineLevel="0" max="1131" min="1131" style="0" width="5.86"/>
    <col collapsed="false" customWidth="true" hidden="false" outlineLevel="0" max="1139" min="1132" style="0" width="4.57"/>
    <col collapsed="false" customWidth="true" hidden="false" outlineLevel="0" max="1141" min="1140" style="0" width="7.86"/>
    <col collapsed="false" customWidth="true" hidden="false" outlineLevel="0" max="1152" min="1142" style="0" width="2.86"/>
    <col collapsed="false" customWidth="true" hidden="false" outlineLevel="0" max="1281" min="1281" style="0" width="0.14"/>
    <col collapsed="false" customWidth="true" hidden="false" outlineLevel="0" max="1282" min="1282" style="0" width="6.14"/>
    <col collapsed="false" customWidth="true" hidden="false" outlineLevel="0" max="1312" min="1283" style="0" width="5.57"/>
    <col collapsed="false" customWidth="true" hidden="false" outlineLevel="0" max="1314" min="1313" style="0" width="7.86"/>
    <col collapsed="false" customWidth="true" hidden="false" outlineLevel="0" max="1315" min="1315" style="0" width="5.57"/>
    <col collapsed="false" customWidth="true" hidden="false" outlineLevel="0" max="1328" min="1316" style="0" width="4.57"/>
    <col collapsed="false" customWidth="true" hidden="false" outlineLevel="0" max="1329" min="1329" style="0" width="4.86"/>
    <col collapsed="false" customWidth="true" hidden="false" outlineLevel="0" max="1333" min="1330" style="0" width="4.57"/>
    <col collapsed="false" customWidth="true" hidden="false" outlineLevel="0" max="1334" min="1334" style="0" width="5.57"/>
    <col collapsed="false" customWidth="true" hidden="false" outlineLevel="0" max="1337" min="1335" style="0" width="4.57"/>
    <col collapsed="false" customWidth="true" hidden="false" outlineLevel="0" max="1338" min="1338" style="0" width="5.14"/>
    <col collapsed="false" customWidth="true" hidden="false" outlineLevel="0" max="1342" min="1339" style="0" width="4.57"/>
    <col collapsed="false" customWidth="true" hidden="false" outlineLevel="0" max="1343" min="1343" style="0" width="5.14"/>
    <col collapsed="false" customWidth="true" hidden="false" outlineLevel="0" max="1361" min="1344" style="0" width="4.57"/>
    <col collapsed="false" customWidth="true" hidden="false" outlineLevel="0" max="1362" min="1362" style="0" width="6.14"/>
    <col collapsed="false" customWidth="true" hidden="false" outlineLevel="0" max="1363" min="1363" style="0" width="5.71"/>
    <col collapsed="false" customWidth="true" hidden="false" outlineLevel="0" max="1370" min="1364" style="0" width="4.57"/>
    <col collapsed="false" customWidth="true" hidden="false" outlineLevel="0" max="1371" min="1371" style="0" width="5.43"/>
    <col collapsed="false" customWidth="true" hidden="false" outlineLevel="0" max="1373" min="1372" style="0" width="4.57"/>
    <col collapsed="false" customWidth="true" hidden="false" outlineLevel="0" max="1374" min="1374" style="0" width="5.71"/>
    <col collapsed="false" customWidth="true" hidden="false" outlineLevel="0" max="1378" min="1375" style="0" width="4.57"/>
    <col collapsed="false" customWidth="true" hidden="false" outlineLevel="0" max="1379" min="1379" style="0" width="5.71"/>
    <col collapsed="false" customWidth="true" hidden="false" outlineLevel="0" max="1386" min="1380" style="0" width="4.57"/>
    <col collapsed="false" customWidth="true" hidden="false" outlineLevel="0" max="1387" min="1387" style="0" width="5.86"/>
    <col collapsed="false" customWidth="true" hidden="false" outlineLevel="0" max="1395" min="1388" style="0" width="4.57"/>
    <col collapsed="false" customWidth="true" hidden="false" outlineLevel="0" max="1397" min="1396" style="0" width="7.86"/>
    <col collapsed="false" customWidth="true" hidden="false" outlineLevel="0" max="1408" min="1398" style="0" width="2.86"/>
    <col collapsed="false" customWidth="true" hidden="false" outlineLevel="0" max="1537" min="1537" style="0" width="0.14"/>
    <col collapsed="false" customWidth="true" hidden="false" outlineLevel="0" max="1538" min="1538" style="0" width="6.14"/>
    <col collapsed="false" customWidth="true" hidden="false" outlineLevel="0" max="1568" min="1539" style="0" width="5.57"/>
    <col collapsed="false" customWidth="true" hidden="false" outlineLevel="0" max="1570" min="1569" style="0" width="7.86"/>
    <col collapsed="false" customWidth="true" hidden="false" outlineLevel="0" max="1571" min="1571" style="0" width="5.57"/>
    <col collapsed="false" customWidth="true" hidden="false" outlineLevel="0" max="1584" min="1572" style="0" width="4.57"/>
    <col collapsed="false" customWidth="true" hidden="false" outlineLevel="0" max="1585" min="1585" style="0" width="4.86"/>
    <col collapsed="false" customWidth="true" hidden="false" outlineLevel="0" max="1589" min="1586" style="0" width="4.57"/>
    <col collapsed="false" customWidth="true" hidden="false" outlineLevel="0" max="1590" min="1590" style="0" width="5.57"/>
    <col collapsed="false" customWidth="true" hidden="false" outlineLevel="0" max="1593" min="1591" style="0" width="4.57"/>
    <col collapsed="false" customWidth="true" hidden="false" outlineLevel="0" max="1594" min="1594" style="0" width="5.14"/>
    <col collapsed="false" customWidth="true" hidden="false" outlineLevel="0" max="1598" min="1595" style="0" width="4.57"/>
    <col collapsed="false" customWidth="true" hidden="false" outlineLevel="0" max="1599" min="1599" style="0" width="5.14"/>
    <col collapsed="false" customWidth="true" hidden="false" outlineLevel="0" max="1617" min="1600" style="0" width="4.57"/>
    <col collapsed="false" customWidth="true" hidden="false" outlineLevel="0" max="1618" min="1618" style="0" width="6.14"/>
    <col collapsed="false" customWidth="true" hidden="false" outlineLevel="0" max="1619" min="1619" style="0" width="5.71"/>
    <col collapsed="false" customWidth="true" hidden="false" outlineLevel="0" max="1626" min="1620" style="0" width="4.57"/>
    <col collapsed="false" customWidth="true" hidden="false" outlineLevel="0" max="1627" min="1627" style="0" width="5.43"/>
    <col collapsed="false" customWidth="true" hidden="false" outlineLevel="0" max="1629" min="1628" style="0" width="4.57"/>
    <col collapsed="false" customWidth="true" hidden="false" outlineLevel="0" max="1630" min="1630" style="0" width="5.71"/>
    <col collapsed="false" customWidth="true" hidden="false" outlineLevel="0" max="1634" min="1631" style="0" width="4.57"/>
    <col collapsed="false" customWidth="true" hidden="false" outlineLevel="0" max="1635" min="1635" style="0" width="5.71"/>
    <col collapsed="false" customWidth="true" hidden="false" outlineLevel="0" max="1642" min="1636" style="0" width="4.57"/>
    <col collapsed="false" customWidth="true" hidden="false" outlineLevel="0" max="1643" min="1643" style="0" width="5.86"/>
    <col collapsed="false" customWidth="true" hidden="false" outlineLevel="0" max="1651" min="1644" style="0" width="4.57"/>
    <col collapsed="false" customWidth="true" hidden="false" outlineLevel="0" max="1653" min="1652" style="0" width="7.86"/>
    <col collapsed="false" customWidth="true" hidden="false" outlineLevel="0" max="1664" min="1654" style="0" width="2.86"/>
    <col collapsed="false" customWidth="true" hidden="false" outlineLevel="0" max="1793" min="1793" style="0" width="0.14"/>
    <col collapsed="false" customWidth="true" hidden="false" outlineLevel="0" max="1794" min="1794" style="0" width="6.14"/>
    <col collapsed="false" customWidth="true" hidden="false" outlineLevel="0" max="1824" min="1795" style="0" width="5.57"/>
    <col collapsed="false" customWidth="true" hidden="false" outlineLevel="0" max="1826" min="1825" style="0" width="7.86"/>
    <col collapsed="false" customWidth="true" hidden="false" outlineLevel="0" max="1827" min="1827" style="0" width="5.57"/>
    <col collapsed="false" customWidth="true" hidden="false" outlineLevel="0" max="1840" min="1828" style="0" width="4.57"/>
    <col collapsed="false" customWidth="true" hidden="false" outlineLevel="0" max="1841" min="1841" style="0" width="4.86"/>
    <col collapsed="false" customWidth="true" hidden="false" outlineLevel="0" max="1845" min="1842" style="0" width="4.57"/>
    <col collapsed="false" customWidth="true" hidden="false" outlineLevel="0" max="1846" min="1846" style="0" width="5.57"/>
    <col collapsed="false" customWidth="true" hidden="false" outlineLevel="0" max="1849" min="1847" style="0" width="4.57"/>
    <col collapsed="false" customWidth="true" hidden="false" outlineLevel="0" max="1850" min="1850" style="0" width="5.14"/>
    <col collapsed="false" customWidth="true" hidden="false" outlineLevel="0" max="1854" min="1851" style="0" width="4.57"/>
    <col collapsed="false" customWidth="true" hidden="false" outlineLevel="0" max="1855" min="1855" style="0" width="5.14"/>
    <col collapsed="false" customWidth="true" hidden="false" outlineLevel="0" max="1873" min="1856" style="0" width="4.57"/>
    <col collapsed="false" customWidth="true" hidden="false" outlineLevel="0" max="1874" min="1874" style="0" width="6.14"/>
    <col collapsed="false" customWidth="true" hidden="false" outlineLevel="0" max="1875" min="1875" style="0" width="5.71"/>
    <col collapsed="false" customWidth="true" hidden="false" outlineLevel="0" max="1882" min="1876" style="0" width="4.57"/>
    <col collapsed="false" customWidth="true" hidden="false" outlineLevel="0" max="1883" min="1883" style="0" width="5.43"/>
    <col collapsed="false" customWidth="true" hidden="false" outlineLevel="0" max="1885" min="1884" style="0" width="4.57"/>
    <col collapsed="false" customWidth="true" hidden="false" outlineLevel="0" max="1886" min="1886" style="0" width="5.71"/>
    <col collapsed="false" customWidth="true" hidden="false" outlineLevel="0" max="1890" min="1887" style="0" width="4.57"/>
    <col collapsed="false" customWidth="true" hidden="false" outlineLevel="0" max="1891" min="1891" style="0" width="5.71"/>
    <col collapsed="false" customWidth="true" hidden="false" outlineLevel="0" max="1898" min="1892" style="0" width="4.57"/>
    <col collapsed="false" customWidth="true" hidden="false" outlineLevel="0" max="1899" min="1899" style="0" width="5.86"/>
    <col collapsed="false" customWidth="true" hidden="false" outlineLevel="0" max="1907" min="1900" style="0" width="4.57"/>
    <col collapsed="false" customWidth="true" hidden="false" outlineLevel="0" max="1909" min="1908" style="0" width="7.86"/>
    <col collapsed="false" customWidth="true" hidden="false" outlineLevel="0" max="1920" min="1910" style="0" width="2.86"/>
    <col collapsed="false" customWidth="true" hidden="false" outlineLevel="0" max="2049" min="2049" style="0" width="0.14"/>
    <col collapsed="false" customWidth="true" hidden="false" outlineLevel="0" max="2050" min="2050" style="0" width="6.14"/>
    <col collapsed="false" customWidth="true" hidden="false" outlineLevel="0" max="2080" min="2051" style="0" width="5.57"/>
    <col collapsed="false" customWidth="true" hidden="false" outlineLevel="0" max="2082" min="2081" style="0" width="7.86"/>
    <col collapsed="false" customWidth="true" hidden="false" outlineLevel="0" max="2083" min="2083" style="0" width="5.57"/>
    <col collapsed="false" customWidth="true" hidden="false" outlineLevel="0" max="2096" min="2084" style="0" width="4.57"/>
    <col collapsed="false" customWidth="true" hidden="false" outlineLevel="0" max="2097" min="2097" style="0" width="4.86"/>
    <col collapsed="false" customWidth="true" hidden="false" outlineLevel="0" max="2101" min="2098" style="0" width="4.57"/>
    <col collapsed="false" customWidth="true" hidden="false" outlineLevel="0" max="2102" min="2102" style="0" width="5.57"/>
    <col collapsed="false" customWidth="true" hidden="false" outlineLevel="0" max="2105" min="2103" style="0" width="4.57"/>
    <col collapsed="false" customWidth="true" hidden="false" outlineLevel="0" max="2106" min="2106" style="0" width="5.14"/>
    <col collapsed="false" customWidth="true" hidden="false" outlineLevel="0" max="2110" min="2107" style="0" width="4.57"/>
    <col collapsed="false" customWidth="true" hidden="false" outlineLevel="0" max="2111" min="2111" style="0" width="5.14"/>
    <col collapsed="false" customWidth="true" hidden="false" outlineLevel="0" max="2129" min="2112" style="0" width="4.57"/>
    <col collapsed="false" customWidth="true" hidden="false" outlineLevel="0" max="2130" min="2130" style="0" width="6.14"/>
    <col collapsed="false" customWidth="true" hidden="false" outlineLevel="0" max="2131" min="2131" style="0" width="5.71"/>
    <col collapsed="false" customWidth="true" hidden="false" outlineLevel="0" max="2138" min="2132" style="0" width="4.57"/>
    <col collapsed="false" customWidth="true" hidden="false" outlineLevel="0" max="2139" min="2139" style="0" width="5.43"/>
    <col collapsed="false" customWidth="true" hidden="false" outlineLevel="0" max="2141" min="2140" style="0" width="4.57"/>
    <col collapsed="false" customWidth="true" hidden="false" outlineLevel="0" max="2142" min="2142" style="0" width="5.71"/>
    <col collapsed="false" customWidth="true" hidden="false" outlineLevel="0" max="2146" min="2143" style="0" width="4.57"/>
    <col collapsed="false" customWidth="true" hidden="false" outlineLevel="0" max="2147" min="2147" style="0" width="5.71"/>
    <col collapsed="false" customWidth="true" hidden="false" outlineLevel="0" max="2154" min="2148" style="0" width="4.57"/>
    <col collapsed="false" customWidth="true" hidden="false" outlineLevel="0" max="2155" min="2155" style="0" width="5.86"/>
    <col collapsed="false" customWidth="true" hidden="false" outlineLevel="0" max="2163" min="2156" style="0" width="4.57"/>
    <col collapsed="false" customWidth="true" hidden="false" outlineLevel="0" max="2165" min="2164" style="0" width="7.86"/>
    <col collapsed="false" customWidth="true" hidden="false" outlineLevel="0" max="2176" min="2166" style="0" width="2.86"/>
    <col collapsed="false" customWidth="true" hidden="false" outlineLevel="0" max="2305" min="2305" style="0" width="0.14"/>
    <col collapsed="false" customWidth="true" hidden="false" outlineLevel="0" max="2306" min="2306" style="0" width="6.14"/>
    <col collapsed="false" customWidth="true" hidden="false" outlineLevel="0" max="2336" min="2307" style="0" width="5.57"/>
    <col collapsed="false" customWidth="true" hidden="false" outlineLevel="0" max="2338" min="2337" style="0" width="7.86"/>
    <col collapsed="false" customWidth="true" hidden="false" outlineLevel="0" max="2339" min="2339" style="0" width="5.57"/>
    <col collapsed="false" customWidth="true" hidden="false" outlineLevel="0" max="2352" min="2340" style="0" width="4.57"/>
    <col collapsed="false" customWidth="true" hidden="false" outlineLevel="0" max="2353" min="2353" style="0" width="4.86"/>
    <col collapsed="false" customWidth="true" hidden="false" outlineLevel="0" max="2357" min="2354" style="0" width="4.57"/>
    <col collapsed="false" customWidth="true" hidden="false" outlineLevel="0" max="2358" min="2358" style="0" width="5.57"/>
    <col collapsed="false" customWidth="true" hidden="false" outlineLevel="0" max="2361" min="2359" style="0" width="4.57"/>
    <col collapsed="false" customWidth="true" hidden="false" outlineLevel="0" max="2362" min="2362" style="0" width="5.14"/>
    <col collapsed="false" customWidth="true" hidden="false" outlineLevel="0" max="2366" min="2363" style="0" width="4.57"/>
    <col collapsed="false" customWidth="true" hidden="false" outlineLevel="0" max="2367" min="2367" style="0" width="5.14"/>
    <col collapsed="false" customWidth="true" hidden="false" outlineLevel="0" max="2385" min="2368" style="0" width="4.57"/>
    <col collapsed="false" customWidth="true" hidden="false" outlineLevel="0" max="2386" min="2386" style="0" width="6.14"/>
    <col collapsed="false" customWidth="true" hidden="false" outlineLevel="0" max="2387" min="2387" style="0" width="5.71"/>
    <col collapsed="false" customWidth="true" hidden="false" outlineLevel="0" max="2394" min="2388" style="0" width="4.57"/>
    <col collapsed="false" customWidth="true" hidden="false" outlineLevel="0" max="2395" min="2395" style="0" width="5.43"/>
    <col collapsed="false" customWidth="true" hidden="false" outlineLevel="0" max="2397" min="2396" style="0" width="4.57"/>
    <col collapsed="false" customWidth="true" hidden="false" outlineLevel="0" max="2398" min="2398" style="0" width="5.71"/>
    <col collapsed="false" customWidth="true" hidden="false" outlineLevel="0" max="2402" min="2399" style="0" width="4.57"/>
    <col collapsed="false" customWidth="true" hidden="false" outlineLevel="0" max="2403" min="2403" style="0" width="5.71"/>
    <col collapsed="false" customWidth="true" hidden="false" outlineLevel="0" max="2410" min="2404" style="0" width="4.57"/>
    <col collapsed="false" customWidth="true" hidden="false" outlineLevel="0" max="2411" min="2411" style="0" width="5.86"/>
    <col collapsed="false" customWidth="true" hidden="false" outlineLevel="0" max="2419" min="2412" style="0" width="4.57"/>
    <col collapsed="false" customWidth="true" hidden="false" outlineLevel="0" max="2421" min="2420" style="0" width="7.86"/>
    <col collapsed="false" customWidth="true" hidden="false" outlineLevel="0" max="2432" min="2422" style="0" width="2.86"/>
    <col collapsed="false" customWidth="true" hidden="false" outlineLevel="0" max="2561" min="2561" style="0" width="0.14"/>
    <col collapsed="false" customWidth="true" hidden="false" outlineLevel="0" max="2562" min="2562" style="0" width="6.14"/>
    <col collapsed="false" customWidth="true" hidden="false" outlineLevel="0" max="2592" min="2563" style="0" width="5.57"/>
    <col collapsed="false" customWidth="true" hidden="false" outlineLevel="0" max="2594" min="2593" style="0" width="7.86"/>
    <col collapsed="false" customWidth="true" hidden="false" outlineLevel="0" max="2595" min="2595" style="0" width="5.57"/>
    <col collapsed="false" customWidth="true" hidden="false" outlineLevel="0" max="2608" min="2596" style="0" width="4.57"/>
    <col collapsed="false" customWidth="true" hidden="false" outlineLevel="0" max="2609" min="2609" style="0" width="4.86"/>
    <col collapsed="false" customWidth="true" hidden="false" outlineLevel="0" max="2613" min="2610" style="0" width="4.57"/>
    <col collapsed="false" customWidth="true" hidden="false" outlineLevel="0" max="2614" min="2614" style="0" width="5.57"/>
    <col collapsed="false" customWidth="true" hidden="false" outlineLevel="0" max="2617" min="2615" style="0" width="4.57"/>
    <col collapsed="false" customWidth="true" hidden="false" outlineLevel="0" max="2618" min="2618" style="0" width="5.14"/>
    <col collapsed="false" customWidth="true" hidden="false" outlineLevel="0" max="2622" min="2619" style="0" width="4.57"/>
    <col collapsed="false" customWidth="true" hidden="false" outlineLevel="0" max="2623" min="2623" style="0" width="5.14"/>
    <col collapsed="false" customWidth="true" hidden="false" outlineLevel="0" max="2641" min="2624" style="0" width="4.57"/>
    <col collapsed="false" customWidth="true" hidden="false" outlineLevel="0" max="2642" min="2642" style="0" width="6.14"/>
    <col collapsed="false" customWidth="true" hidden="false" outlineLevel="0" max="2643" min="2643" style="0" width="5.71"/>
    <col collapsed="false" customWidth="true" hidden="false" outlineLevel="0" max="2650" min="2644" style="0" width="4.57"/>
    <col collapsed="false" customWidth="true" hidden="false" outlineLevel="0" max="2651" min="2651" style="0" width="5.43"/>
    <col collapsed="false" customWidth="true" hidden="false" outlineLevel="0" max="2653" min="2652" style="0" width="4.57"/>
    <col collapsed="false" customWidth="true" hidden="false" outlineLevel="0" max="2654" min="2654" style="0" width="5.71"/>
    <col collapsed="false" customWidth="true" hidden="false" outlineLevel="0" max="2658" min="2655" style="0" width="4.57"/>
    <col collapsed="false" customWidth="true" hidden="false" outlineLevel="0" max="2659" min="2659" style="0" width="5.71"/>
    <col collapsed="false" customWidth="true" hidden="false" outlineLevel="0" max="2666" min="2660" style="0" width="4.57"/>
    <col collapsed="false" customWidth="true" hidden="false" outlineLevel="0" max="2667" min="2667" style="0" width="5.86"/>
    <col collapsed="false" customWidth="true" hidden="false" outlineLevel="0" max="2675" min="2668" style="0" width="4.57"/>
    <col collapsed="false" customWidth="true" hidden="false" outlineLevel="0" max="2677" min="2676" style="0" width="7.86"/>
    <col collapsed="false" customWidth="true" hidden="false" outlineLevel="0" max="2688" min="2678" style="0" width="2.86"/>
    <col collapsed="false" customWidth="true" hidden="false" outlineLevel="0" max="2817" min="2817" style="0" width="0.14"/>
    <col collapsed="false" customWidth="true" hidden="false" outlineLevel="0" max="2818" min="2818" style="0" width="6.14"/>
    <col collapsed="false" customWidth="true" hidden="false" outlineLevel="0" max="2848" min="2819" style="0" width="5.57"/>
    <col collapsed="false" customWidth="true" hidden="false" outlineLevel="0" max="2850" min="2849" style="0" width="7.86"/>
    <col collapsed="false" customWidth="true" hidden="false" outlineLevel="0" max="2851" min="2851" style="0" width="5.57"/>
    <col collapsed="false" customWidth="true" hidden="false" outlineLevel="0" max="2864" min="2852" style="0" width="4.57"/>
    <col collapsed="false" customWidth="true" hidden="false" outlineLevel="0" max="2865" min="2865" style="0" width="4.86"/>
    <col collapsed="false" customWidth="true" hidden="false" outlineLevel="0" max="2869" min="2866" style="0" width="4.57"/>
    <col collapsed="false" customWidth="true" hidden="false" outlineLevel="0" max="2870" min="2870" style="0" width="5.57"/>
    <col collapsed="false" customWidth="true" hidden="false" outlineLevel="0" max="2873" min="2871" style="0" width="4.57"/>
    <col collapsed="false" customWidth="true" hidden="false" outlineLevel="0" max="2874" min="2874" style="0" width="5.14"/>
    <col collapsed="false" customWidth="true" hidden="false" outlineLevel="0" max="2878" min="2875" style="0" width="4.57"/>
    <col collapsed="false" customWidth="true" hidden="false" outlineLevel="0" max="2879" min="2879" style="0" width="5.14"/>
    <col collapsed="false" customWidth="true" hidden="false" outlineLevel="0" max="2897" min="2880" style="0" width="4.57"/>
    <col collapsed="false" customWidth="true" hidden="false" outlineLevel="0" max="2898" min="2898" style="0" width="6.14"/>
    <col collapsed="false" customWidth="true" hidden="false" outlineLevel="0" max="2899" min="2899" style="0" width="5.71"/>
    <col collapsed="false" customWidth="true" hidden="false" outlineLevel="0" max="2906" min="2900" style="0" width="4.57"/>
    <col collapsed="false" customWidth="true" hidden="false" outlineLevel="0" max="2907" min="2907" style="0" width="5.43"/>
    <col collapsed="false" customWidth="true" hidden="false" outlineLevel="0" max="2909" min="2908" style="0" width="4.57"/>
    <col collapsed="false" customWidth="true" hidden="false" outlineLevel="0" max="2910" min="2910" style="0" width="5.71"/>
    <col collapsed="false" customWidth="true" hidden="false" outlineLevel="0" max="2914" min="2911" style="0" width="4.57"/>
    <col collapsed="false" customWidth="true" hidden="false" outlineLevel="0" max="2915" min="2915" style="0" width="5.71"/>
    <col collapsed="false" customWidth="true" hidden="false" outlineLevel="0" max="2922" min="2916" style="0" width="4.57"/>
    <col collapsed="false" customWidth="true" hidden="false" outlineLevel="0" max="2923" min="2923" style="0" width="5.86"/>
    <col collapsed="false" customWidth="true" hidden="false" outlineLevel="0" max="2931" min="2924" style="0" width="4.57"/>
    <col collapsed="false" customWidth="true" hidden="false" outlineLevel="0" max="2933" min="2932" style="0" width="7.86"/>
    <col collapsed="false" customWidth="true" hidden="false" outlineLevel="0" max="2944" min="2934" style="0" width="2.86"/>
    <col collapsed="false" customWidth="true" hidden="false" outlineLevel="0" max="3073" min="3073" style="0" width="0.14"/>
    <col collapsed="false" customWidth="true" hidden="false" outlineLevel="0" max="3074" min="3074" style="0" width="6.14"/>
    <col collapsed="false" customWidth="true" hidden="false" outlineLevel="0" max="3104" min="3075" style="0" width="5.57"/>
    <col collapsed="false" customWidth="true" hidden="false" outlineLevel="0" max="3106" min="3105" style="0" width="7.86"/>
    <col collapsed="false" customWidth="true" hidden="false" outlineLevel="0" max="3107" min="3107" style="0" width="5.57"/>
    <col collapsed="false" customWidth="true" hidden="false" outlineLevel="0" max="3120" min="3108" style="0" width="4.57"/>
    <col collapsed="false" customWidth="true" hidden="false" outlineLevel="0" max="3121" min="3121" style="0" width="4.86"/>
    <col collapsed="false" customWidth="true" hidden="false" outlineLevel="0" max="3125" min="3122" style="0" width="4.57"/>
    <col collapsed="false" customWidth="true" hidden="false" outlineLevel="0" max="3126" min="3126" style="0" width="5.57"/>
    <col collapsed="false" customWidth="true" hidden="false" outlineLevel="0" max="3129" min="3127" style="0" width="4.57"/>
    <col collapsed="false" customWidth="true" hidden="false" outlineLevel="0" max="3130" min="3130" style="0" width="5.14"/>
    <col collapsed="false" customWidth="true" hidden="false" outlineLevel="0" max="3134" min="3131" style="0" width="4.57"/>
    <col collapsed="false" customWidth="true" hidden="false" outlineLevel="0" max="3135" min="3135" style="0" width="5.14"/>
    <col collapsed="false" customWidth="true" hidden="false" outlineLevel="0" max="3153" min="3136" style="0" width="4.57"/>
    <col collapsed="false" customWidth="true" hidden="false" outlineLevel="0" max="3154" min="3154" style="0" width="6.14"/>
    <col collapsed="false" customWidth="true" hidden="false" outlineLevel="0" max="3155" min="3155" style="0" width="5.71"/>
    <col collapsed="false" customWidth="true" hidden="false" outlineLevel="0" max="3162" min="3156" style="0" width="4.57"/>
    <col collapsed="false" customWidth="true" hidden="false" outlineLevel="0" max="3163" min="3163" style="0" width="5.43"/>
    <col collapsed="false" customWidth="true" hidden="false" outlineLevel="0" max="3165" min="3164" style="0" width="4.57"/>
    <col collapsed="false" customWidth="true" hidden="false" outlineLevel="0" max="3166" min="3166" style="0" width="5.71"/>
    <col collapsed="false" customWidth="true" hidden="false" outlineLevel="0" max="3170" min="3167" style="0" width="4.57"/>
    <col collapsed="false" customWidth="true" hidden="false" outlineLevel="0" max="3171" min="3171" style="0" width="5.71"/>
    <col collapsed="false" customWidth="true" hidden="false" outlineLevel="0" max="3178" min="3172" style="0" width="4.57"/>
    <col collapsed="false" customWidth="true" hidden="false" outlineLevel="0" max="3179" min="3179" style="0" width="5.86"/>
    <col collapsed="false" customWidth="true" hidden="false" outlineLevel="0" max="3187" min="3180" style="0" width="4.57"/>
    <col collapsed="false" customWidth="true" hidden="false" outlineLevel="0" max="3189" min="3188" style="0" width="7.86"/>
    <col collapsed="false" customWidth="true" hidden="false" outlineLevel="0" max="3200" min="3190" style="0" width="2.86"/>
    <col collapsed="false" customWidth="true" hidden="false" outlineLevel="0" max="3329" min="3329" style="0" width="0.14"/>
    <col collapsed="false" customWidth="true" hidden="false" outlineLevel="0" max="3330" min="3330" style="0" width="6.14"/>
    <col collapsed="false" customWidth="true" hidden="false" outlineLevel="0" max="3360" min="3331" style="0" width="5.57"/>
    <col collapsed="false" customWidth="true" hidden="false" outlineLevel="0" max="3362" min="3361" style="0" width="7.86"/>
    <col collapsed="false" customWidth="true" hidden="false" outlineLevel="0" max="3363" min="3363" style="0" width="5.57"/>
    <col collapsed="false" customWidth="true" hidden="false" outlineLevel="0" max="3376" min="3364" style="0" width="4.57"/>
    <col collapsed="false" customWidth="true" hidden="false" outlineLevel="0" max="3377" min="3377" style="0" width="4.86"/>
    <col collapsed="false" customWidth="true" hidden="false" outlineLevel="0" max="3381" min="3378" style="0" width="4.57"/>
    <col collapsed="false" customWidth="true" hidden="false" outlineLevel="0" max="3382" min="3382" style="0" width="5.57"/>
    <col collapsed="false" customWidth="true" hidden="false" outlineLevel="0" max="3385" min="3383" style="0" width="4.57"/>
    <col collapsed="false" customWidth="true" hidden="false" outlineLevel="0" max="3386" min="3386" style="0" width="5.14"/>
    <col collapsed="false" customWidth="true" hidden="false" outlineLevel="0" max="3390" min="3387" style="0" width="4.57"/>
    <col collapsed="false" customWidth="true" hidden="false" outlineLevel="0" max="3391" min="3391" style="0" width="5.14"/>
    <col collapsed="false" customWidth="true" hidden="false" outlineLevel="0" max="3409" min="3392" style="0" width="4.57"/>
    <col collapsed="false" customWidth="true" hidden="false" outlineLevel="0" max="3410" min="3410" style="0" width="6.14"/>
    <col collapsed="false" customWidth="true" hidden="false" outlineLevel="0" max="3411" min="3411" style="0" width="5.71"/>
    <col collapsed="false" customWidth="true" hidden="false" outlineLevel="0" max="3418" min="3412" style="0" width="4.57"/>
    <col collapsed="false" customWidth="true" hidden="false" outlineLevel="0" max="3419" min="3419" style="0" width="5.43"/>
    <col collapsed="false" customWidth="true" hidden="false" outlineLevel="0" max="3421" min="3420" style="0" width="4.57"/>
    <col collapsed="false" customWidth="true" hidden="false" outlineLevel="0" max="3422" min="3422" style="0" width="5.71"/>
    <col collapsed="false" customWidth="true" hidden="false" outlineLevel="0" max="3426" min="3423" style="0" width="4.57"/>
    <col collapsed="false" customWidth="true" hidden="false" outlineLevel="0" max="3427" min="3427" style="0" width="5.71"/>
    <col collapsed="false" customWidth="true" hidden="false" outlineLevel="0" max="3434" min="3428" style="0" width="4.57"/>
    <col collapsed="false" customWidth="true" hidden="false" outlineLevel="0" max="3435" min="3435" style="0" width="5.86"/>
    <col collapsed="false" customWidth="true" hidden="false" outlineLevel="0" max="3443" min="3436" style="0" width="4.57"/>
    <col collapsed="false" customWidth="true" hidden="false" outlineLevel="0" max="3445" min="3444" style="0" width="7.86"/>
    <col collapsed="false" customWidth="true" hidden="false" outlineLevel="0" max="3456" min="3446" style="0" width="2.86"/>
    <col collapsed="false" customWidth="true" hidden="false" outlineLevel="0" max="3585" min="3585" style="0" width="0.14"/>
    <col collapsed="false" customWidth="true" hidden="false" outlineLevel="0" max="3586" min="3586" style="0" width="6.14"/>
    <col collapsed="false" customWidth="true" hidden="false" outlineLevel="0" max="3616" min="3587" style="0" width="5.57"/>
    <col collapsed="false" customWidth="true" hidden="false" outlineLevel="0" max="3618" min="3617" style="0" width="7.86"/>
    <col collapsed="false" customWidth="true" hidden="false" outlineLevel="0" max="3619" min="3619" style="0" width="5.57"/>
    <col collapsed="false" customWidth="true" hidden="false" outlineLevel="0" max="3632" min="3620" style="0" width="4.57"/>
    <col collapsed="false" customWidth="true" hidden="false" outlineLevel="0" max="3633" min="3633" style="0" width="4.86"/>
    <col collapsed="false" customWidth="true" hidden="false" outlineLevel="0" max="3637" min="3634" style="0" width="4.57"/>
    <col collapsed="false" customWidth="true" hidden="false" outlineLevel="0" max="3638" min="3638" style="0" width="5.57"/>
    <col collapsed="false" customWidth="true" hidden="false" outlineLevel="0" max="3641" min="3639" style="0" width="4.57"/>
    <col collapsed="false" customWidth="true" hidden="false" outlineLevel="0" max="3642" min="3642" style="0" width="5.14"/>
    <col collapsed="false" customWidth="true" hidden="false" outlineLevel="0" max="3646" min="3643" style="0" width="4.57"/>
    <col collapsed="false" customWidth="true" hidden="false" outlineLevel="0" max="3647" min="3647" style="0" width="5.14"/>
    <col collapsed="false" customWidth="true" hidden="false" outlineLevel="0" max="3665" min="3648" style="0" width="4.57"/>
    <col collapsed="false" customWidth="true" hidden="false" outlineLevel="0" max="3666" min="3666" style="0" width="6.14"/>
    <col collapsed="false" customWidth="true" hidden="false" outlineLevel="0" max="3667" min="3667" style="0" width="5.71"/>
    <col collapsed="false" customWidth="true" hidden="false" outlineLevel="0" max="3674" min="3668" style="0" width="4.57"/>
    <col collapsed="false" customWidth="true" hidden="false" outlineLevel="0" max="3675" min="3675" style="0" width="5.43"/>
    <col collapsed="false" customWidth="true" hidden="false" outlineLevel="0" max="3677" min="3676" style="0" width="4.57"/>
    <col collapsed="false" customWidth="true" hidden="false" outlineLevel="0" max="3678" min="3678" style="0" width="5.71"/>
    <col collapsed="false" customWidth="true" hidden="false" outlineLevel="0" max="3682" min="3679" style="0" width="4.57"/>
    <col collapsed="false" customWidth="true" hidden="false" outlineLevel="0" max="3683" min="3683" style="0" width="5.71"/>
    <col collapsed="false" customWidth="true" hidden="false" outlineLevel="0" max="3690" min="3684" style="0" width="4.57"/>
    <col collapsed="false" customWidth="true" hidden="false" outlineLevel="0" max="3691" min="3691" style="0" width="5.86"/>
    <col collapsed="false" customWidth="true" hidden="false" outlineLevel="0" max="3699" min="3692" style="0" width="4.57"/>
    <col collapsed="false" customWidth="true" hidden="false" outlineLevel="0" max="3701" min="3700" style="0" width="7.86"/>
    <col collapsed="false" customWidth="true" hidden="false" outlineLevel="0" max="3712" min="3702" style="0" width="2.86"/>
    <col collapsed="false" customWidth="true" hidden="false" outlineLevel="0" max="3841" min="3841" style="0" width="0.14"/>
    <col collapsed="false" customWidth="true" hidden="false" outlineLevel="0" max="3842" min="3842" style="0" width="6.14"/>
    <col collapsed="false" customWidth="true" hidden="false" outlineLevel="0" max="3872" min="3843" style="0" width="5.57"/>
    <col collapsed="false" customWidth="true" hidden="false" outlineLevel="0" max="3874" min="3873" style="0" width="7.86"/>
    <col collapsed="false" customWidth="true" hidden="false" outlineLevel="0" max="3875" min="3875" style="0" width="5.57"/>
    <col collapsed="false" customWidth="true" hidden="false" outlineLevel="0" max="3888" min="3876" style="0" width="4.57"/>
    <col collapsed="false" customWidth="true" hidden="false" outlineLevel="0" max="3889" min="3889" style="0" width="4.86"/>
    <col collapsed="false" customWidth="true" hidden="false" outlineLevel="0" max="3893" min="3890" style="0" width="4.57"/>
    <col collapsed="false" customWidth="true" hidden="false" outlineLevel="0" max="3894" min="3894" style="0" width="5.57"/>
    <col collapsed="false" customWidth="true" hidden="false" outlineLevel="0" max="3897" min="3895" style="0" width="4.57"/>
    <col collapsed="false" customWidth="true" hidden="false" outlineLevel="0" max="3898" min="3898" style="0" width="5.14"/>
    <col collapsed="false" customWidth="true" hidden="false" outlineLevel="0" max="3902" min="3899" style="0" width="4.57"/>
    <col collapsed="false" customWidth="true" hidden="false" outlineLevel="0" max="3903" min="3903" style="0" width="5.14"/>
    <col collapsed="false" customWidth="true" hidden="false" outlineLevel="0" max="3921" min="3904" style="0" width="4.57"/>
    <col collapsed="false" customWidth="true" hidden="false" outlineLevel="0" max="3922" min="3922" style="0" width="6.14"/>
    <col collapsed="false" customWidth="true" hidden="false" outlineLevel="0" max="3923" min="3923" style="0" width="5.71"/>
    <col collapsed="false" customWidth="true" hidden="false" outlineLevel="0" max="3930" min="3924" style="0" width="4.57"/>
    <col collapsed="false" customWidth="true" hidden="false" outlineLevel="0" max="3931" min="3931" style="0" width="5.43"/>
    <col collapsed="false" customWidth="true" hidden="false" outlineLevel="0" max="3933" min="3932" style="0" width="4.57"/>
    <col collapsed="false" customWidth="true" hidden="false" outlineLevel="0" max="3934" min="3934" style="0" width="5.71"/>
    <col collapsed="false" customWidth="true" hidden="false" outlineLevel="0" max="3938" min="3935" style="0" width="4.57"/>
    <col collapsed="false" customWidth="true" hidden="false" outlineLevel="0" max="3939" min="3939" style="0" width="5.71"/>
    <col collapsed="false" customWidth="true" hidden="false" outlineLevel="0" max="3946" min="3940" style="0" width="4.57"/>
    <col collapsed="false" customWidth="true" hidden="false" outlineLevel="0" max="3947" min="3947" style="0" width="5.86"/>
    <col collapsed="false" customWidth="true" hidden="false" outlineLevel="0" max="3955" min="3948" style="0" width="4.57"/>
    <col collapsed="false" customWidth="true" hidden="false" outlineLevel="0" max="3957" min="3956" style="0" width="7.86"/>
    <col collapsed="false" customWidth="true" hidden="false" outlineLevel="0" max="3968" min="3958" style="0" width="2.86"/>
    <col collapsed="false" customWidth="true" hidden="false" outlineLevel="0" max="4097" min="4097" style="0" width="0.14"/>
    <col collapsed="false" customWidth="true" hidden="false" outlineLevel="0" max="4098" min="4098" style="0" width="6.14"/>
    <col collapsed="false" customWidth="true" hidden="false" outlineLevel="0" max="4128" min="4099" style="0" width="5.57"/>
    <col collapsed="false" customWidth="true" hidden="false" outlineLevel="0" max="4130" min="4129" style="0" width="7.86"/>
    <col collapsed="false" customWidth="true" hidden="false" outlineLevel="0" max="4131" min="4131" style="0" width="5.57"/>
    <col collapsed="false" customWidth="true" hidden="false" outlineLevel="0" max="4144" min="4132" style="0" width="4.57"/>
    <col collapsed="false" customWidth="true" hidden="false" outlineLevel="0" max="4145" min="4145" style="0" width="4.86"/>
    <col collapsed="false" customWidth="true" hidden="false" outlineLevel="0" max="4149" min="4146" style="0" width="4.57"/>
    <col collapsed="false" customWidth="true" hidden="false" outlineLevel="0" max="4150" min="4150" style="0" width="5.57"/>
    <col collapsed="false" customWidth="true" hidden="false" outlineLevel="0" max="4153" min="4151" style="0" width="4.57"/>
    <col collapsed="false" customWidth="true" hidden="false" outlineLevel="0" max="4154" min="4154" style="0" width="5.14"/>
    <col collapsed="false" customWidth="true" hidden="false" outlineLevel="0" max="4158" min="4155" style="0" width="4.57"/>
    <col collapsed="false" customWidth="true" hidden="false" outlineLevel="0" max="4159" min="4159" style="0" width="5.14"/>
    <col collapsed="false" customWidth="true" hidden="false" outlineLevel="0" max="4177" min="4160" style="0" width="4.57"/>
    <col collapsed="false" customWidth="true" hidden="false" outlineLevel="0" max="4178" min="4178" style="0" width="6.14"/>
    <col collapsed="false" customWidth="true" hidden="false" outlineLevel="0" max="4179" min="4179" style="0" width="5.71"/>
    <col collapsed="false" customWidth="true" hidden="false" outlineLevel="0" max="4186" min="4180" style="0" width="4.57"/>
    <col collapsed="false" customWidth="true" hidden="false" outlineLevel="0" max="4187" min="4187" style="0" width="5.43"/>
    <col collapsed="false" customWidth="true" hidden="false" outlineLevel="0" max="4189" min="4188" style="0" width="4.57"/>
    <col collapsed="false" customWidth="true" hidden="false" outlineLevel="0" max="4190" min="4190" style="0" width="5.71"/>
    <col collapsed="false" customWidth="true" hidden="false" outlineLevel="0" max="4194" min="4191" style="0" width="4.57"/>
    <col collapsed="false" customWidth="true" hidden="false" outlineLevel="0" max="4195" min="4195" style="0" width="5.71"/>
    <col collapsed="false" customWidth="true" hidden="false" outlineLevel="0" max="4202" min="4196" style="0" width="4.57"/>
    <col collapsed="false" customWidth="true" hidden="false" outlineLevel="0" max="4203" min="4203" style="0" width="5.86"/>
    <col collapsed="false" customWidth="true" hidden="false" outlineLevel="0" max="4211" min="4204" style="0" width="4.57"/>
    <col collapsed="false" customWidth="true" hidden="false" outlineLevel="0" max="4213" min="4212" style="0" width="7.86"/>
    <col collapsed="false" customWidth="true" hidden="false" outlineLevel="0" max="4224" min="4214" style="0" width="2.86"/>
    <col collapsed="false" customWidth="true" hidden="false" outlineLevel="0" max="4353" min="4353" style="0" width="0.14"/>
    <col collapsed="false" customWidth="true" hidden="false" outlineLevel="0" max="4354" min="4354" style="0" width="6.14"/>
    <col collapsed="false" customWidth="true" hidden="false" outlineLevel="0" max="4384" min="4355" style="0" width="5.57"/>
    <col collapsed="false" customWidth="true" hidden="false" outlineLevel="0" max="4386" min="4385" style="0" width="7.86"/>
    <col collapsed="false" customWidth="true" hidden="false" outlineLevel="0" max="4387" min="4387" style="0" width="5.57"/>
    <col collapsed="false" customWidth="true" hidden="false" outlineLevel="0" max="4400" min="4388" style="0" width="4.57"/>
    <col collapsed="false" customWidth="true" hidden="false" outlineLevel="0" max="4401" min="4401" style="0" width="4.86"/>
    <col collapsed="false" customWidth="true" hidden="false" outlineLevel="0" max="4405" min="4402" style="0" width="4.57"/>
    <col collapsed="false" customWidth="true" hidden="false" outlineLevel="0" max="4406" min="4406" style="0" width="5.57"/>
    <col collapsed="false" customWidth="true" hidden="false" outlineLevel="0" max="4409" min="4407" style="0" width="4.57"/>
    <col collapsed="false" customWidth="true" hidden="false" outlineLevel="0" max="4410" min="4410" style="0" width="5.14"/>
    <col collapsed="false" customWidth="true" hidden="false" outlineLevel="0" max="4414" min="4411" style="0" width="4.57"/>
    <col collapsed="false" customWidth="true" hidden="false" outlineLevel="0" max="4415" min="4415" style="0" width="5.14"/>
    <col collapsed="false" customWidth="true" hidden="false" outlineLevel="0" max="4433" min="4416" style="0" width="4.57"/>
    <col collapsed="false" customWidth="true" hidden="false" outlineLevel="0" max="4434" min="4434" style="0" width="6.14"/>
    <col collapsed="false" customWidth="true" hidden="false" outlineLevel="0" max="4435" min="4435" style="0" width="5.71"/>
    <col collapsed="false" customWidth="true" hidden="false" outlineLevel="0" max="4442" min="4436" style="0" width="4.57"/>
    <col collapsed="false" customWidth="true" hidden="false" outlineLevel="0" max="4443" min="4443" style="0" width="5.43"/>
    <col collapsed="false" customWidth="true" hidden="false" outlineLevel="0" max="4445" min="4444" style="0" width="4.57"/>
    <col collapsed="false" customWidth="true" hidden="false" outlineLevel="0" max="4446" min="4446" style="0" width="5.71"/>
    <col collapsed="false" customWidth="true" hidden="false" outlineLevel="0" max="4450" min="4447" style="0" width="4.57"/>
    <col collapsed="false" customWidth="true" hidden="false" outlineLevel="0" max="4451" min="4451" style="0" width="5.71"/>
    <col collapsed="false" customWidth="true" hidden="false" outlineLevel="0" max="4458" min="4452" style="0" width="4.57"/>
    <col collapsed="false" customWidth="true" hidden="false" outlineLevel="0" max="4459" min="4459" style="0" width="5.86"/>
    <col collapsed="false" customWidth="true" hidden="false" outlineLevel="0" max="4467" min="4460" style="0" width="4.57"/>
    <col collapsed="false" customWidth="true" hidden="false" outlineLevel="0" max="4469" min="4468" style="0" width="7.86"/>
    <col collapsed="false" customWidth="true" hidden="false" outlineLevel="0" max="4480" min="4470" style="0" width="2.86"/>
    <col collapsed="false" customWidth="true" hidden="false" outlineLevel="0" max="4609" min="4609" style="0" width="0.14"/>
    <col collapsed="false" customWidth="true" hidden="false" outlineLevel="0" max="4610" min="4610" style="0" width="6.14"/>
    <col collapsed="false" customWidth="true" hidden="false" outlineLevel="0" max="4640" min="4611" style="0" width="5.57"/>
    <col collapsed="false" customWidth="true" hidden="false" outlineLevel="0" max="4642" min="4641" style="0" width="7.86"/>
    <col collapsed="false" customWidth="true" hidden="false" outlineLevel="0" max="4643" min="4643" style="0" width="5.57"/>
    <col collapsed="false" customWidth="true" hidden="false" outlineLevel="0" max="4656" min="4644" style="0" width="4.57"/>
    <col collapsed="false" customWidth="true" hidden="false" outlineLevel="0" max="4657" min="4657" style="0" width="4.86"/>
    <col collapsed="false" customWidth="true" hidden="false" outlineLevel="0" max="4661" min="4658" style="0" width="4.57"/>
    <col collapsed="false" customWidth="true" hidden="false" outlineLevel="0" max="4662" min="4662" style="0" width="5.57"/>
    <col collapsed="false" customWidth="true" hidden="false" outlineLevel="0" max="4665" min="4663" style="0" width="4.57"/>
    <col collapsed="false" customWidth="true" hidden="false" outlineLevel="0" max="4666" min="4666" style="0" width="5.14"/>
    <col collapsed="false" customWidth="true" hidden="false" outlineLevel="0" max="4670" min="4667" style="0" width="4.57"/>
    <col collapsed="false" customWidth="true" hidden="false" outlineLevel="0" max="4671" min="4671" style="0" width="5.14"/>
    <col collapsed="false" customWidth="true" hidden="false" outlineLevel="0" max="4689" min="4672" style="0" width="4.57"/>
    <col collapsed="false" customWidth="true" hidden="false" outlineLevel="0" max="4690" min="4690" style="0" width="6.14"/>
    <col collapsed="false" customWidth="true" hidden="false" outlineLevel="0" max="4691" min="4691" style="0" width="5.71"/>
    <col collapsed="false" customWidth="true" hidden="false" outlineLevel="0" max="4698" min="4692" style="0" width="4.57"/>
    <col collapsed="false" customWidth="true" hidden="false" outlineLevel="0" max="4699" min="4699" style="0" width="5.43"/>
    <col collapsed="false" customWidth="true" hidden="false" outlineLevel="0" max="4701" min="4700" style="0" width="4.57"/>
    <col collapsed="false" customWidth="true" hidden="false" outlineLevel="0" max="4702" min="4702" style="0" width="5.71"/>
    <col collapsed="false" customWidth="true" hidden="false" outlineLevel="0" max="4706" min="4703" style="0" width="4.57"/>
    <col collapsed="false" customWidth="true" hidden="false" outlineLevel="0" max="4707" min="4707" style="0" width="5.71"/>
    <col collapsed="false" customWidth="true" hidden="false" outlineLevel="0" max="4714" min="4708" style="0" width="4.57"/>
    <col collapsed="false" customWidth="true" hidden="false" outlineLevel="0" max="4715" min="4715" style="0" width="5.86"/>
    <col collapsed="false" customWidth="true" hidden="false" outlineLevel="0" max="4723" min="4716" style="0" width="4.57"/>
    <col collapsed="false" customWidth="true" hidden="false" outlineLevel="0" max="4725" min="4724" style="0" width="7.86"/>
    <col collapsed="false" customWidth="true" hidden="false" outlineLevel="0" max="4736" min="4726" style="0" width="2.86"/>
    <col collapsed="false" customWidth="true" hidden="false" outlineLevel="0" max="4865" min="4865" style="0" width="0.14"/>
    <col collapsed="false" customWidth="true" hidden="false" outlineLevel="0" max="4866" min="4866" style="0" width="6.14"/>
    <col collapsed="false" customWidth="true" hidden="false" outlineLevel="0" max="4896" min="4867" style="0" width="5.57"/>
    <col collapsed="false" customWidth="true" hidden="false" outlineLevel="0" max="4898" min="4897" style="0" width="7.86"/>
    <col collapsed="false" customWidth="true" hidden="false" outlineLevel="0" max="4899" min="4899" style="0" width="5.57"/>
    <col collapsed="false" customWidth="true" hidden="false" outlineLevel="0" max="4912" min="4900" style="0" width="4.57"/>
    <col collapsed="false" customWidth="true" hidden="false" outlineLevel="0" max="4913" min="4913" style="0" width="4.86"/>
    <col collapsed="false" customWidth="true" hidden="false" outlineLevel="0" max="4917" min="4914" style="0" width="4.57"/>
    <col collapsed="false" customWidth="true" hidden="false" outlineLevel="0" max="4918" min="4918" style="0" width="5.57"/>
    <col collapsed="false" customWidth="true" hidden="false" outlineLevel="0" max="4921" min="4919" style="0" width="4.57"/>
    <col collapsed="false" customWidth="true" hidden="false" outlineLevel="0" max="4922" min="4922" style="0" width="5.14"/>
    <col collapsed="false" customWidth="true" hidden="false" outlineLevel="0" max="4926" min="4923" style="0" width="4.57"/>
    <col collapsed="false" customWidth="true" hidden="false" outlineLevel="0" max="4927" min="4927" style="0" width="5.14"/>
    <col collapsed="false" customWidth="true" hidden="false" outlineLevel="0" max="4945" min="4928" style="0" width="4.57"/>
    <col collapsed="false" customWidth="true" hidden="false" outlineLevel="0" max="4946" min="4946" style="0" width="6.14"/>
    <col collapsed="false" customWidth="true" hidden="false" outlineLevel="0" max="4947" min="4947" style="0" width="5.71"/>
    <col collapsed="false" customWidth="true" hidden="false" outlineLevel="0" max="4954" min="4948" style="0" width="4.57"/>
    <col collapsed="false" customWidth="true" hidden="false" outlineLevel="0" max="4955" min="4955" style="0" width="5.43"/>
    <col collapsed="false" customWidth="true" hidden="false" outlineLevel="0" max="4957" min="4956" style="0" width="4.57"/>
    <col collapsed="false" customWidth="true" hidden="false" outlineLevel="0" max="4958" min="4958" style="0" width="5.71"/>
    <col collapsed="false" customWidth="true" hidden="false" outlineLevel="0" max="4962" min="4959" style="0" width="4.57"/>
    <col collapsed="false" customWidth="true" hidden="false" outlineLevel="0" max="4963" min="4963" style="0" width="5.71"/>
    <col collapsed="false" customWidth="true" hidden="false" outlineLevel="0" max="4970" min="4964" style="0" width="4.57"/>
    <col collapsed="false" customWidth="true" hidden="false" outlineLevel="0" max="4971" min="4971" style="0" width="5.86"/>
    <col collapsed="false" customWidth="true" hidden="false" outlineLevel="0" max="4979" min="4972" style="0" width="4.57"/>
    <col collapsed="false" customWidth="true" hidden="false" outlineLevel="0" max="4981" min="4980" style="0" width="7.86"/>
    <col collapsed="false" customWidth="true" hidden="false" outlineLevel="0" max="4992" min="4982" style="0" width="2.86"/>
    <col collapsed="false" customWidth="true" hidden="false" outlineLevel="0" max="5121" min="5121" style="0" width="0.14"/>
    <col collapsed="false" customWidth="true" hidden="false" outlineLevel="0" max="5122" min="5122" style="0" width="6.14"/>
    <col collapsed="false" customWidth="true" hidden="false" outlineLevel="0" max="5152" min="5123" style="0" width="5.57"/>
    <col collapsed="false" customWidth="true" hidden="false" outlineLevel="0" max="5154" min="5153" style="0" width="7.86"/>
    <col collapsed="false" customWidth="true" hidden="false" outlineLevel="0" max="5155" min="5155" style="0" width="5.57"/>
    <col collapsed="false" customWidth="true" hidden="false" outlineLevel="0" max="5168" min="5156" style="0" width="4.57"/>
    <col collapsed="false" customWidth="true" hidden="false" outlineLevel="0" max="5169" min="5169" style="0" width="4.86"/>
    <col collapsed="false" customWidth="true" hidden="false" outlineLevel="0" max="5173" min="5170" style="0" width="4.57"/>
    <col collapsed="false" customWidth="true" hidden="false" outlineLevel="0" max="5174" min="5174" style="0" width="5.57"/>
    <col collapsed="false" customWidth="true" hidden="false" outlineLevel="0" max="5177" min="5175" style="0" width="4.57"/>
    <col collapsed="false" customWidth="true" hidden="false" outlineLevel="0" max="5178" min="5178" style="0" width="5.14"/>
    <col collapsed="false" customWidth="true" hidden="false" outlineLevel="0" max="5182" min="5179" style="0" width="4.57"/>
    <col collapsed="false" customWidth="true" hidden="false" outlineLevel="0" max="5183" min="5183" style="0" width="5.14"/>
    <col collapsed="false" customWidth="true" hidden="false" outlineLevel="0" max="5201" min="5184" style="0" width="4.57"/>
    <col collapsed="false" customWidth="true" hidden="false" outlineLevel="0" max="5202" min="5202" style="0" width="6.14"/>
    <col collapsed="false" customWidth="true" hidden="false" outlineLevel="0" max="5203" min="5203" style="0" width="5.71"/>
    <col collapsed="false" customWidth="true" hidden="false" outlineLevel="0" max="5210" min="5204" style="0" width="4.57"/>
    <col collapsed="false" customWidth="true" hidden="false" outlineLevel="0" max="5211" min="5211" style="0" width="5.43"/>
    <col collapsed="false" customWidth="true" hidden="false" outlineLevel="0" max="5213" min="5212" style="0" width="4.57"/>
    <col collapsed="false" customWidth="true" hidden="false" outlineLevel="0" max="5214" min="5214" style="0" width="5.71"/>
    <col collapsed="false" customWidth="true" hidden="false" outlineLevel="0" max="5218" min="5215" style="0" width="4.57"/>
    <col collapsed="false" customWidth="true" hidden="false" outlineLevel="0" max="5219" min="5219" style="0" width="5.71"/>
    <col collapsed="false" customWidth="true" hidden="false" outlineLevel="0" max="5226" min="5220" style="0" width="4.57"/>
    <col collapsed="false" customWidth="true" hidden="false" outlineLevel="0" max="5227" min="5227" style="0" width="5.86"/>
    <col collapsed="false" customWidth="true" hidden="false" outlineLevel="0" max="5235" min="5228" style="0" width="4.57"/>
    <col collapsed="false" customWidth="true" hidden="false" outlineLevel="0" max="5237" min="5236" style="0" width="7.86"/>
    <col collapsed="false" customWidth="true" hidden="false" outlineLevel="0" max="5248" min="5238" style="0" width="2.86"/>
    <col collapsed="false" customWidth="true" hidden="false" outlineLevel="0" max="5377" min="5377" style="0" width="0.14"/>
    <col collapsed="false" customWidth="true" hidden="false" outlineLevel="0" max="5378" min="5378" style="0" width="6.14"/>
    <col collapsed="false" customWidth="true" hidden="false" outlineLevel="0" max="5408" min="5379" style="0" width="5.57"/>
    <col collapsed="false" customWidth="true" hidden="false" outlineLevel="0" max="5410" min="5409" style="0" width="7.86"/>
    <col collapsed="false" customWidth="true" hidden="false" outlineLevel="0" max="5411" min="5411" style="0" width="5.57"/>
    <col collapsed="false" customWidth="true" hidden="false" outlineLevel="0" max="5424" min="5412" style="0" width="4.57"/>
    <col collapsed="false" customWidth="true" hidden="false" outlineLevel="0" max="5425" min="5425" style="0" width="4.86"/>
    <col collapsed="false" customWidth="true" hidden="false" outlineLevel="0" max="5429" min="5426" style="0" width="4.57"/>
    <col collapsed="false" customWidth="true" hidden="false" outlineLevel="0" max="5430" min="5430" style="0" width="5.57"/>
    <col collapsed="false" customWidth="true" hidden="false" outlineLevel="0" max="5433" min="5431" style="0" width="4.57"/>
    <col collapsed="false" customWidth="true" hidden="false" outlineLevel="0" max="5434" min="5434" style="0" width="5.14"/>
    <col collapsed="false" customWidth="true" hidden="false" outlineLevel="0" max="5438" min="5435" style="0" width="4.57"/>
    <col collapsed="false" customWidth="true" hidden="false" outlineLevel="0" max="5439" min="5439" style="0" width="5.14"/>
    <col collapsed="false" customWidth="true" hidden="false" outlineLevel="0" max="5457" min="5440" style="0" width="4.57"/>
    <col collapsed="false" customWidth="true" hidden="false" outlineLevel="0" max="5458" min="5458" style="0" width="6.14"/>
    <col collapsed="false" customWidth="true" hidden="false" outlineLevel="0" max="5459" min="5459" style="0" width="5.71"/>
    <col collapsed="false" customWidth="true" hidden="false" outlineLevel="0" max="5466" min="5460" style="0" width="4.57"/>
    <col collapsed="false" customWidth="true" hidden="false" outlineLevel="0" max="5467" min="5467" style="0" width="5.43"/>
    <col collapsed="false" customWidth="true" hidden="false" outlineLevel="0" max="5469" min="5468" style="0" width="4.57"/>
    <col collapsed="false" customWidth="true" hidden="false" outlineLevel="0" max="5470" min="5470" style="0" width="5.71"/>
    <col collapsed="false" customWidth="true" hidden="false" outlineLevel="0" max="5474" min="5471" style="0" width="4.57"/>
    <col collapsed="false" customWidth="true" hidden="false" outlineLevel="0" max="5475" min="5475" style="0" width="5.71"/>
    <col collapsed="false" customWidth="true" hidden="false" outlineLevel="0" max="5482" min="5476" style="0" width="4.57"/>
    <col collapsed="false" customWidth="true" hidden="false" outlineLevel="0" max="5483" min="5483" style="0" width="5.86"/>
    <col collapsed="false" customWidth="true" hidden="false" outlineLevel="0" max="5491" min="5484" style="0" width="4.57"/>
    <col collapsed="false" customWidth="true" hidden="false" outlineLevel="0" max="5493" min="5492" style="0" width="7.86"/>
    <col collapsed="false" customWidth="true" hidden="false" outlineLevel="0" max="5504" min="5494" style="0" width="2.86"/>
    <col collapsed="false" customWidth="true" hidden="false" outlineLevel="0" max="5633" min="5633" style="0" width="0.14"/>
    <col collapsed="false" customWidth="true" hidden="false" outlineLevel="0" max="5634" min="5634" style="0" width="6.14"/>
    <col collapsed="false" customWidth="true" hidden="false" outlineLevel="0" max="5664" min="5635" style="0" width="5.57"/>
    <col collapsed="false" customWidth="true" hidden="false" outlineLevel="0" max="5666" min="5665" style="0" width="7.86"/>
    <col collapsed="false" customWidth="true" hidden="false" outlineLevel="0" max="5667" min="5667" style="0" width="5.57"/>
    <col collapsed="false" customWidth="true" hidden="false" outlineLevel="0" max="5680" min="5668" style="0" width="4.57"/>
    <col collapsed="false" customWidth="true" hidden="false" outlineLevel="0" max="5681" min="5681" style="0" width="4.86"/>
    <col collapsed="false" customWidth="true" hidden="false" outlineLevel="0" max="5685" min="5682" style="0" width="4.57"/>
    <col collapsed="false" customWidth="true" hidden="false" outlineLevel="0" max="5686" min="5686" style="0" width="5.57"/>
    <col collapsed="false" customWidth="true" hidden="false" outlineLevel="0" max="5689" min="5687" style="0" width="4.57"/>
    <col collapsed="false" customWidth="true" hidden="false" outlineLevel="0" max="5690" min="5690" style="0" width="5.14"/>
    <col collapsed="false" customWidth="true" hidden="false" outlineLevel="0" max="5694" min="5691" style="0" width="4.57"/>
    <col collapsed="false" customWidth="true" hidden="false" outlineLevel="0" max="5695" min="5695" style="0" width="5.14"/>
    <col collapsed="false" customWidth="true" hidden="false" outlineLevel="0" max="5713" min="5696" style="0" width="4.57"/>
    <col collapsed="false" customWidth="true" hidden="false" outlineLevel="0" max="5714" min="5714" style="0" width="6.14"/>
    <col collapsed="false" customWidth="true" hidden="false" outlineLevel="0" max="5715" min="5715" style="0" width="5.71"/>
    <col collapsed="false" customWidth="true" hidden="false" outlineLevel="0" max="5722" min="5716" style="0" width="4.57"/>
    <col collapsed="false" customWidth="true" hidden="false" outlineLevel="0" max="5723" min="5723" style="0" width="5.43"/>
    <col collapsed="false" customWidth="true" hidden="false" outlineLevel="0" max="5725" min="5724" style="0" width="4.57"/>
    <col collapsed="false" customWidth="true" hidden="false" outlineLevel="0" max="5726" min="5726" style="0" width="5.71"/>
    <col collapsed="false" customWidth="true" hidden="false" outlineLevel="0" max="5730" min="5727" style="0" width="4.57"/>
    <col collapsed="false" customWidth="true" hidden="false" outlineLevel="0" max="5731" min="5731" style="0" width="5.71"/>
    <col collapsed="false" customWidth="true" hidden="false" outlineLevel="0" max="5738" min="5732" style="0" width="4.57"/>
    <col collapsed="false" customWidth="true" hidden="false" outlineLevel="0" max="5739" min="5739" style="0" width="5.86"/>
    <col collapsed="false" customWidth="true" hidden="false" outlineLevel="0" max="5747" min="5740" style="0" width="4.57"/>
    <col collapsed="false" customWidth="true" hidden="false" outlineLevel="0" max="5749" min="5748" style="0" width="7.86"/>
    <col collapsed="false" customWidth="true" hidden="false" outlineLevel="0" max="5760" min="5750" style="0" width="2.86"/>
    <col collapsed="false" customWidth="true" hidden="false" outlineLevel="0" max="5889" min="5889" style="0" width="0.14"/>
    <col collapsed="false" customWidth="true" hidden="false" outlineLevel="0" max="5890" min="5890" style="0" width="6.14"/>
    <col collapsed="false" customWidth="true" hidden="false" outlineLevel="0" max="5920" min="5891" style="0" width="5.57"/>
    <col collapsed="false" customWidth="true" hidden="false" outlineLevel="0" max="5922" min="5921" style="0" width="7.86"/>
    <col collapsed="false" customWidth="true" hidden="false" outlineLevel="0" max="5923" min="5923" style="0" width="5.57"/>
    <col collapsed="false" customWidth="true" hidden="false" outlineLevel="0" max="5936" min="5924" style="0" width="4.57"/>
    <col collapsed="false" customWidth="true" hidden="false" outlineLevel="0" max="5937" min="5937" style="0" width="4.86"/>
    <col collapsed="false" customWidth="true" hidden="false" outlineLevel="0" max="5941" min="5938" style="0" width="4.57"/>
    <col collapsed="false" customWidth="true" hidden="false" outlineLevel="0" max="5942" min="5942" style="0" width="5.57"/>
    <col collapsed="false" customWidth="true" hidden="false" outlineLevel="0" max="5945" min="5943" style="0" width="4.57"/>
    <col collapsed="false" customWidth="true" hidden="false" outlineLevel="0" max="5946" min="5946" style="0" width="5.14"/>
    <col collapsed="false" customWidth="true" hidden="false" outlineLevel="0" max="5950" min="5947" style="0" width="4.57"/>
    <col collapsed="false" customWidth="true" hidden="false" outlineLevel="0" max="5951" min="5951" style="0" width="5.14"/>
    <col collapsed="false" customWidth="true" hidden="false" outlineLevel="0" max="5969" min="5952" style="0" width="4.57"/>
    <col collapsed="false" customWidth="true" hidden="false" outlineLevel="0" max="5970" min="5970" style="0" width="6.14"/>
    <col collapsed="false" customWidth="true" hidden="false" outlineLevel="0" max="5971" min="5971" style="0" width="5.71"/>
    <col collapsed="false" customWidth="true" hidden="false" outlineLevel="0" max="5978" min="5972" style="0" width="4.57"/>
    <col collapsed="false" customWidth="true" hidden="false" outlineLevel="0" max="5979" min="5979" style="0" width="5.43"/>
    <col collapsed="false" customWidth="true" hidden="false" outlineLevel="0" max="5981" min="5980" style="0" width="4.57"/>
    <col collapsed="false" customWidth="true" hidden="false" outlineLevel="0" max="5982" min="5982" style="0" width="5.71"/>
    <col collapsed="false" customWidth="true" hidden="false" outlineLevel="0" max="5986" min="5983" style="0" width="4.57"/>
    <col collapsed="false" customWidth="true" hidden="false" outlineLevel="0" max="5987" min="5987" style="0" width="5.71"/>
    <col collapsed="false" customWidth="true" hidden="false" outlineLevel="0" max="5994" min="5988" style="0" width="4.57"/>
    <col collapsed="false" customWidth="true" hidden="false" outlineLevel="0" max="5995" min="5995" style="0" width="5.86"/>
    <col collapsed="false" customWidth="true" hidden="false" outlineLevel="0" max="6003" min="5996" style="0" width="4.57"/>
    <col collapsed="false" customWidth="true" hidden="false" outlineLevel="0" max="6005" min="6004" style="0" width="7.86"/>
    <col collapsed="false" customWidth="true" hidden="false" outlineLevel="0" max="6016" min="6006" style="0" width="2.86"/>
    <col collapsed="false" customWidth="true" hidden="false" outlineLevel="0" max="6145" min="6145" style="0" width="0.14"/>
    <col collapsed="false" customWidth="true" hidden="false" outlineLevel="0" max="6146" min="6146" style="0" width="6.14"/>
    <col collapsed="false" customWidth="true" hidden="false" outlineLevel="0" max="6176" min="6147" style="0" width="5.57"/>
    <col collapsed="false" customWidth="true" hidden="false" outlineLevel="0" max="6178" min="6177" style="0" width="7.86"/>
    <col collapsed="false" customWidth="true" hidden="false" outlineLevel="0" max="6179" min="6179" style="0" width="5.57"/>
    <col collapsed="false" customWidth="true" hidden="false" outlineLevel="0" max="6192" min="6180" style="0" width="4.57"/>
    <col collapsed="false" customWidth="true" hidden="false" outlineLevel="0" max="6193" min="6193" style="0" width="4.86"/>
    <col collapsed="false" customWidth="true" hidden="false" outlineLevel="0" max="6197" min="6194" style="0" width="4.57"/>
    <col collapsed="false" customWidth="true" hidden="false" outlineLevel="0" max="6198" min="6198" style="0" width="5.57"/>
    <col collapsed="false" customWidth="true" hidden="false" outlineLevel="0" max="6201" min="6199" style="0" width="4.57"/>
    <col collapsed="false" customWidth="true" hidden="false" outlineLevel="0" max="6202" min="6202" style="0" width="5.14"/>
    <col collapsed="false" customWidth="true" hidden="false" outlineLevel="0" max="6206" min="6203" style="0" width="4.57"/>
    <col collapsed="false" customWidth="true" hidden="false" outlineLevel="0" max="6207" min="6207" style="0" width="5.14"/>
    <col collapsed="false" customWidth="true" hidden="false" outlineLevel="0" max="6225" min="6208" style="0" width="4.57"/>
    <col collapsed="false" customWidth="true" hidden="false" outlineLevel="0" max="6226" min="6226" style="0" width="6.14"/>
    <col collapsed="false" customWidth="true" hidden="false" outlineLevel="0" max="6227" min="6227" style="0" width="5.71"/>
    <col collapsed="false" customWidth="true" hidden="false" outlineLevel="0" max="6234" min="6228" style="0" width="4.57"/>
    <col collapsed="false" customWidth="true" hidden="false" outlineLevel="0" max="6235" min="6235" style="0" width="5.43"/>
    <col collapsed="false" customWidth="true" hidden="false" outlineLevel="0" max="6237" min="6236" style="0" width="4.57"/>
    <col collapsed="false" customWidth="true" hidden="false" outlineLevel="0" max="6238" min="6238" style="0" width="5.71"/>
    <col collapsed="false" customWidth="true" hidden="false" outlineLevel="0" max="6242" min="6239" style="0" width="4.57"/>
    <col collapsed="false" customWidth="true" hidden="false" outlineLevel="0" max="6243" min="6243" style="0" width="5.71"/>
    <col collapsed="false" customWidth="true" hidden="false" outlineLevel="0" max="6250" min="6244" style="0" width="4.57"/>
    <col collapsed="false" customWidth="true" hidden="false" outlineLevel="0" max="6251" min="6251" style="0" width="5.86"/>
    <col collapsed="false" customWidth="true" hidden="false" outlineLevel="0" max="6259" min="6252" style="0" width="4.57"/>
    <col collapsed="false" customWidth="true" hidden="false" outlineLevel="0" max="6261" min="6260" style="0" width="7.86"/>
    <col collapsed="false" customWidth="true" hidden="false" outlineLevel="0" max="6272" min="6262" style="0" width="2.86"/>
    <col collapsed="false" customWidth="true" hidden="false" outlineLevel="0" max="6401" min="6401" style="0" width="0.14"/>
    <col collapsed="false" customWidth="true" hidden="false" outlineLevel="0" max="6402" min="6402" style="0" width="6.14"/>
    <col collapsed="false" customWidth="true" hidden="false" outlineLevel="0" max="6432" min="6403" style="0" width="5.57"/>
    <col collapsed="false" customWidth="true" hidden="false" outlineLevel="0" max="6434" min="6433" style="0" width="7.86"/>
    <col collapsed="false" customWidth="true" hidden="false" outlineLevel="0" max="6435" min="6435" style="0" width="5.57"/>
    <col collapsed="false" customWidth="true" hidden="false" outlineLevel="0" max="6448" min="6436" style="0" width="4.57"/>
    <col collapsed="false" customWidth="true" hidden="false" outlineLevel="0" max="6449" min="6449" style="0" width="4.86"/>
    <col collapsed="false" customWidth="true" hidden="false" outlineLevel="0" max="6453" min="6450" style="0" width="4.57"/>
    <col collapsed="false" customWidth="true" hidden="false" outlineLevel="0" max="6454" min="6454" style="0" width="5.57"/>
    <col collapsed="false" customWidth="true" hidden="false" outlineLevel="0" max="6457" min="6455" style="0" width="4.57"/>
    <col collapsed="false" customWidth="true" hidden="false" outlineLevel="0" max="6458" min="6458" style="0" width="5.14"/>
    <col collapsed="false" customWidth="true" hidden="false" outlineLevel="0" max="6462" min="6459" style="0" width="4.57"/>
    <col collapsed="false" customWidth="true" hidden="false" outlineLevel="0" max="6463" min="6463" style="0" width="5.14"/>
    <col collapsed="false" customWidth="true" hidden="false" outlineLevel="0" max="6481" min="6464" style="0" width="4.57"/>
    <col collapsed="false" customWidth="true" hidden="false" outlineLevel="0" max="6482" min="6482" style="0" width="6.14"/>
    <col collapsed="false" customWidth="true" hidden="false" outlineLevel="0" max="6483" min="6483" style="0" width="5.71"/>
    <col collapsed="false" customWidth="true" hidden="false" outlineLevel="0" max="6490" min="6484" style="0" width="4.57"/>
    <col collapsed="false" customWidth="true" hidden="false" outlineLevel="0" max="6491" min="6491" style="0" width="5.43"/>
    <col collapsed="false" customWidth="true" hidden="false" outlineLevel="0" max="6493" min="6492" style="0" width="4.57"/>
    <col collapsed="false" customWidth="true" hidden="false" outlineLevel="0" max="6494" min="6494" style="0" width="5.71"/>
    <col collapsed="false" customWidth="true" hidden="false" outlineLevel="0" max="6498" min="6495" style="0" width="4.57"/>
    <col collapsed="false" customWidth="true" hidden="false" outlineLevel="0" max="6499" min="6499" style="0" width="5.71"/>
    <col collapsed="false" customWidth="true" hidden="false" outlineLevel="0" max="6506" min="6500" style="0" width="4.57"/>
    <col collapsed="false" customWidth="true" hidden="false" outlineLevel="0" max="6507" min="6507" style="0" width="5.86"/>
    <col collapsed="false" customWidth="true" hidden="false" outlineLevel="0" max="6515" min="6508" style="0" width="4.57"/>
    <col collapsed="false" customWidth="true" hidden="false" outlineLevel="0" max="6517" min="6516" style="0" width="7.86"/>
    <col collapsed="false" customWidth="true" hidden="false" outlineLevel="0" max="6528" min="6518" style="0" width="2.86"/>
    <col collapsed="false" customWidth="true" hidden="false" outlineLevel="0" max="6657" min="6657" style="0" width="0.14"/>
    <col collapsed="false" customWidth="true" hidden="false" outlineLevel="0" max="6658" min="6658" style="0" width="6.14"/>
    <col collapsed="false" customWidth="true" hidden="false" outlineLevel="0" max="6688" min="6659" style="0" width="5.57"/>
    <col collapsed="false" customWidth="true" hidden="false" outlineLevel="0" max="6690" min="6689" style="0" width="7.86"/>
    <col collapsed="false" customWidth="true" hidden="false" outlineLevel="0" max="6691" min="6691" style="0" width="5.57"/>
    <col collapsed="false" customWidth="true" hidden="false" outlineLevel="0" max="6704" min="6692" style="0" width="4.57"/>
    <col collapsed="false" customWidth="true" hidden="false" outlineLevel="0" max="6705" min="6705" style="0" width="4.86"/>
    <col collapsed="false" customWidth="true" hidden="false" outlineLevel="0" max="6709" min="6706" style="0" width="4.57"/>
    <col collapsed="false" customWidth="true" hidden="false" outlineLevel="0" max="6710" min="6710" style="0" width="5.57"/>
    <col collapsed="false" customWidth="true" hidden="false" outlineLevel="0" max="6713" min="6711" style="0" width="4.57"/>
    <col collapsed="false" customWidth="true" hidden="false" outlineLevel="0" max="6714" min="6714" style="0" width="5.14"/>
    <col collapsed="false" customWidth="true" hidden="false" outlineLevel="0" max="6718" min="6715" style="0" width="4.57"/>
    <col collapsed="false" customWidth="true" hidden="false" outlineLevel="0" max="6719" min="6719" style="0" width="5.14"/>
    <col collapsed="false" customWidth="true" hidden="false" outlineLevel="0" max="6737" min="6720" style="0" width="4.57"/>
    <col collapsed="false" customWidth="true" hidden="false" outlineLevel="0" max="6738" min="6738" style="0" width="6.14"/>
    <col collapsed="false" customWidth="true" hidden="false" outlineLevel="0" max="6739" min="6739" style="0" width="5.71"/>
    <col collapsed="false" customWidth="true" hidden="false" outlineLevel="0" max="6746" min="6740" style="0" width="4.57"/>
    <col collapsed="false" customWidth="true" hidden="false" outlineLevel="0" max="6747" min="6747" style="0" width="5.43"/>
    <col collapsed="false" customWidth="true" hidden="false" outlineLevel="0" max="6749" min="6748" style="0" width="4.57"/>
    <col collapsed="false" customWidth="true" hidden="false" outlineLevel="0" max="6750" min="6750" style="0" width="5.71"/>
    <col collapsed="false" customWidth="true" hidden="false" outlineLevel="0" max="6754" min="6751" style="0" width="4.57"/>
    <col collapsed="false" customWidth="true" hidden="false" outlineLevel="0" max="6755" min="6755" style="0" width="5.71"/>
    <col collapsed="false" customWidth="true" hidden="false" outlineLevel="0" max="6762" min="6756" style="0" width="4.57"/>
    <col collapsed="false" customWidth="true" hidden="false" outlineLevel="0" max="6763" min="6763" style="0" width="5.86"/>
    <col collapsed="false" customWidth="true" hidden="false" outlineLevel="0" max="6771" min="6764" style="0" width="4.57"/>
    <col collapsed="false" customWidth="true" hidden="false" outlineLevel="0" max="6773" min="6772" style="0" width="7.86"/>
    <col collapsed="false" customWidth="true" hidden="false" outlineLevel="0" max="6784" min="6774" style="0" width="2.86"/>
    <col collapsed="false" customWidth="true" hidden="false" outlineLevel="0" max="6913" min="6913" style="0" width="0.14"/>
    <col collapsed="false" customWidth="true" hidden="false" outlineLevel="0" max="6914" min="6914" style="0" width="6.14"/>
    <col collapsed="false" customWidth="true" hidden="false" outlineLevel="0" max="6944" min="6915" style="0" width="5.57"/>
    <col collapsed="false" customWidth="true" hidden="false" outlineLevel="0" max="6946" min="6945" style="0" width="7.86"/>
    <col collapsed="false" customWidth="true" hidden="false" outlineLevel="0" max="6947" min="6947" style="0" width="5.57"/>
    <col collapsed="false" customWidth="true" hidden="false" outlineLevel="0" max="6960" min="6948" style="0" width="4.57"/>
    <col collapsed="false" customWidth="true" hidden="false" outlineLevel="0" max="6961" min="6961" style="0" width="4.86"/>
    <col collapsed="false" customWidth="true" hidden="false" outlineLevel="0" max="6965" min="6962" style="0" width="4.57"/>
    <col collapsed="false" customWidth="true" hidden="false" outlineLevel="0" max="6966" min="6966" style="0" width="5.57"/>
    <col collapsed="false" customWidth="true" hidden="false" outlineLevel="0" max="6969" min="6967" style="0" width="4.57"/>
    <col collapsed="false" customWidth="true" hidden="false" outlineLevel="0" max="6970" min="6970" style="0" width="5.14"/>
    <col collapsed="false" customWidth="true" hidden="false" outlineLevel="0" max="6974" min="6971" style="0" width="4.57"/>
    <col collapsed="false" customWidth="true" hidden="false" outlineLevel="0" max="6975" min="6975" style="0" width="5.14"/>
    <col collapsed="false" customWidth="true" hidden="false" outlineLevel="0" max="6993" min="6976" style="0" width="4.57"/>
    <col collapsed="false" customWidth="true" hidden="false" outlineLevel="0" max="6994" min="6994" style="0" width="6.14"/>
    <col collapsed="false" customWidth="true" hidden="false" outlineLevel="0" max="6995" min="6995" style="0" width="5.71"/>
    <col collapsed="false" customWidth="true" hidden="false" outlineLevel="0" max="7002" min="6996" style="0" width="4.57"/>
    <col collapsed="false" customWidth="true" hidden="false" outlineLevel="0" max="7003" min="7003" style="0" width="5.43"/>
    <col collapsed="false" customWidth="true" hidden="false" outlineLevel="0" max="7005" min="7004" style="0" width="4.57"/>
    <col collapsed="false" customWidth="true" hidden="false" outlineLevel="0" max="7006" min="7006" style="0" width="5.71"/>
    <col collapsed="false" customWidth="true" hidden="false" outlineLevel="0" max="7010" min="7007" style="0" width="4.57"/>
    <col collapsed="false" customWidth="true" hidden="false" outlineLevel="0" max="7011" min="7011" style="0" width="5.71"/>
    <col collapsed="false" customWidth="true" hidden="false" outlineLevel="0" max="7018" min="7012" style="0" width="4.57"/>
    <col collapsed="false" customWidth="true" hidden="false" outlineLevel="0" max="7019" min="7019" style="0" width="5.86"/>
    <col collapsed="false" customWidth="true" hidden="false" outlineLevel="0" max="7027" min="7020" style="0" width="4.57"/>
    <col collapsed="false" customWidth="true" hidden="false" outlineLevel="0" max="7029" min="7028" style="0" width="7.86"/>
    <col collapsed="false" customWidth="true" hidden="false" outlineLevel="0" max="7040" min="7030" style="0" width="2.86"/>
    <col collapsed="false" customWidth="true" hidden="false" outlineLevel="0" max="7169" min="7169" style="0" width="0.14"/>
    <col collapsed="false" customWidth="true" hidden="false" outlineLevel="0" max="7170" min="7170" style="0" width="6.14"/>
    <col collapsed="false" customWidth="true" hidden="false" outlineLevel="0" max="7200" min="7171" style="0" width="5.57"/>
    <col collapsed="false" customWidth="true" hidden="false" outlineLevel="0" max="7202" min="7201" style="0" width="7.86"/>
    <col collapsed="false" customWidth="true" hidden="false" outlineLevel="0" max="7203" min="7203" style="0" width="5.57"/>
    <col collapsed="false" customWidth="true" hidden="false" outlineLevel="0" max="7216" min="7204" style="0" width="4.57"/>
    <col collapsed="false" customWidth="true" hidden="false" outlineLevel="0" max="7217" min="7217" style="0" width="4.86"/>
    <col collapsed="false" customWidth="true" hidden="false" outlineLevel="0" max="7221" min="7218" style="0" width="4.57"/>
    <col collapsed="false" customWidth="true" hidden="false" outlineLevel="0" max="7222" min="7222" style="0" width="5.57"/>
    <col collapsed="false" customWidth="true" hidden="false" outlineLevel="0" max="7225" min="7223" style="0" width="4.57"/>
    <col collapsed="false" customWidth="true" hidden="false" outlineLevel="0" max="7226" min="7226" style="0" width="5.14"/>
    <col collapsed="false" customWidth="true" hidden="false" outlineLevel="0" max="7230" min="7227" style="0" width="4.57"/>
    <col collapsed="false" customWidth="true" hidden="false" outlineLevel="0" max="7231" min="7231" style="0" width="5.14"/>
    <col collapsed="false" customWidth="true" hidden="false" outlineLevel="0" max="7249" min="7232" style="0" width="4.57"/>
    <col collapsed="false" customWidth="true" hidden="false" outlineLevel="0" max="7250" min="7250" style="0" width="6.14"/>
    <col collapsed="false" customWidth="true" hidden="false" outlineLevel="0" max="7251" min="7251" style="0" width="5.71"/>
    <col collapsed="false" customWidth="true" hidden="false" outlineLevel="0" max="7258" min="7252" style="0" width="4.57"/>
    <col collapsed="false" customWidth="true" hidden="false" outlineLevel="0" max="7259" min="7259" style="0" width="5.43"/>
    <col collapsed="false" customWidth="true" hidden="false" outlineLevel="0" max="7261" min="7260" style="0" width="4.57"/>
    <col collapsed="false" customWidth="true" hidden="false" outlineLevel="0" max="7262" min="7262" style="0" width="5.71"/>
    <col collapsed="false" customWidth="true" hidden="false" outlineLevel="0" max="7266" min="7263" style="0" width="4.57"/>
    <col collapsed="false" customWidth="true" hidden="false" outlineLevel="0" max="7267" min="7267" style="0" width="5.71"/>
    <col collapsed="false" customWidth="true" hidden="false" outlineLevel="0" max="7274" min="7268" style="0" width="4.57"/>
    <col collapsed="false" customWidth="true" hidden="false" outlineLevel="0" max="7275" min="7275" style="0" width="5.86"/>
    <col collapsed="false" customWidth="true" hidden="false" outlineLevel="0" max="7283" min="7276" style="0" width="4.57"/>
    <col collapsed="false" customWidth="true" hidden="false" outlineLevel="0" max="7285" min="7284" style="0" width="7.86"/>
    <col collapsed="false" customWidth="true" hidden="false" outlineLevel="0" max="7296" min="7286" style="0" width="2.86"/>
    <col collapsed="false" customWidth="true" hidden="false" outlineLevel="0" max="7425" min="7425" style="0" width="0.14"/>
    <col collapsed="false" customWidth="true" hidden="false" outlineLevel="0" max="7426" min="7426" style="0" width="6.14"/>
    <col collapsed="false" customWidth="true" hidden="false" outlineLevel="0" max="7456" min="7427" style="0" width="5.57"/>
    <col collapsed="false" customWidth="true" hidden="false" outlineLevel="0" max="7458" min="7457" style="0" width="7.86"/>
    <col collapsed="false" customWidth="true" hidden="false" outlineLevel="0" max="7459" min="7459" style="0" width="5.57"/>
    <col collapsed="false" customWidth="true" hidden="false" outlineLevel="0" max="7472" min="7460" style="0" width="4.57"/>
    <col collapsed="false" customWidth="true" hidden="false" outlineLevel="0" max="7473" min="7473" style="0" width="4.86"/>
    <col collapsed="false" customWidth="true" hidden="false" outlineLevel="0" max="7477" min="7474" style="0" width="4.57"/>
    <col collapsed="false" customWidth="true" hidden="false" outlineLevel="0" max="7478" min="7478" style="0" width="5.57"/>
    <col collapsed="false" customWidth="true" hidden="false" outlineLevel="0" max="7481" min="7479" style="0" width="4.57"/>
    <col collapsed="false" customWidth="true" hidden="false" outlineLevel="0" max="7482" min="7482" style="0" width="5.14"/>
    <col collapsed="false" customWidth="true" hidden="false" outlineLevel="0" max="7486" min="7483" style="0" width="4.57"/>
    <col collapsed="false" customWidth="true" hidden="false" outlineLevel="0" max="7487" min="7487" style="0" width="5.14"/>
    <col collapsed="false" customWidth="true" hidden="false" outlineLevel="0" max="7505" min="7488" style="0" width="4.57"/>
    <col collapsed="false" customWidth="true" hidden="false" outlineLevel="0" max="7506" min="7506" style="0" width="6.14"/>
    <col collapsed="false" customWidth="true" hidden="false" outlineLevel="0" max="7507" min="7507" style="0" width="5.71"/>
    <col collapsed="false" customWidth="true" hidden="false" outlineLevel="0" max="7514" min="7508" style="0" width="4.57"/>
    <col collapsed="false" customWidth="true" hidden="false" outlineLevel="0" max="7515" min="7515" style="0" width="5.43"/>
    <col collapsed="false" customWidth="true" hidden="false" outlineLevel="0" max="7517" min="7516" style="0" width="4.57"/>
    <col collapsed="false" customWidth="true" hidden="false" outlineLevel="0" max="7518" min="7518" style="0" width="5.71"/>
    <col collapsed="false" customWidth="true" hidden="false" outlineLevel="0" max="7522" min="7519" style="0" width="4.57"/>
    <col collapsed="false" customWidth="true" hidden="false" outlineLevel="0" max="7523" min="7523" style="0" width="5.71"/>
    <col collapsed="false" customWidth="true" hidden="false" outlineLevel="0" max="7530" min="7524" style="0" width="4.57"/>
    <col collapsed="false" customWidth="true" hidden="false" outlineLevel="0" max="7531" min="7531" style="0" width="5.86"/>
    <col collapsed="false" customWidth="true" hidden="false" outlineLevel="0" max="7539" min="7532" style="0" width="4.57"/>
    <col collapsed="false" customWidth="true" hidden="false" outlineLevel="0" max="7541" min="7540" style="0" width="7.86"/>
    <col collapsed="false" customWidth="true" hidden="false" outlineLevel="0" max="7552" min="7542" style="0" width="2.86"/>
    <col collapsed="false" customWidth="true" hidden="false" outlineLevel="0" max="7681" min="7681" style="0" width="0.14"/>
    <col collapsed="false" customWidth="true" hidden="false" outlineLevel="0" max="7682" min="7682" style="0" width="6.14"/>
    <col collapsed="false" customWidth="true" hidden="false" outlineLevel="0" max="7712" min="7683" style="0" width="5.57"/>
    <col collapsed="false" customWidth="true" hidden="false" outlineLevel="0" max="7714" min="7713" style="0" width="7.86"/>
    <col collapsed="false" customWidth="true" hidden="false" outlineLevel="0" max="7715" min="7715" style="0" width="5.57"/>
    <col collapsed="false" customWidth="true" hidden="false" outlineLevel="0" max="7728" min="7716" style="0" width="4.57"/>
    <col collapsed="false" customWidth="true" hidden="false" outlineLevel="0" max="7729" min="7729" style="0" width="4.86"/>
    <col collapsed="false" customWidth="true" hidden="false" outlineLevel="0" max="7733" min="7730" style="0" width="4.57"/>
    <col collapsed="false" customWidth="true" hidden="false" outlineLevel="0" max="7734" min="7734" style="0" width="5.57"/>
    <col collapsed="false" customWidth="true" hidden="false" outlineLevel="0" max="7737" min="7735" style="0" width="4.57"/>
    <col collapsed="false" customWidth="true" hidden="false" outlineLevel="0" max="7738" min="7738" style="0" width="5.14"/>
    <col collapsed="false" customWidth="true" hidden="false" outlineLevel="0" max="7742" min="7739" style="0" width="4.57"/>
    <col collapsed="false" customWidth="true" hidden="false" outlineLevel="0" max="7743" min="7743" style="0" width="5.14"/>
    <col collapsed="false" customWidth="true" hidden="false" outlineLevel="0" max="7761" min="7744" style="0" width="4.57"/>
    <col collapsed="false" customWidth="true" hidden="false" outlineLevel="0" max="7762" min="7762" style="0" width="6.14"/>
    <col collapsed="false" customWidth="true" hidden="false" outlineLevel="0" max="7763" min="7763" style="0" width="5.71"/>
    <col collapsed="false" customWidth="true" hidden="false" outlineLevel="0" max="7770" min="7764" style="0" width="4.57"/>
    <col collapsed="false" customWidth="true" hidden="false" outlineLevel="0" max="7771" min="7771" style="0" width="5.43"/>
    <col collapsed="false" customWidth="true" hidden="false" outlineLevel="0" max="7773" min="7772" style="0" width="4.57"/>
    <col collapsed="false" customWidth="true" hidden="false" outlineLevel="0" max="7774" min="7774" style="0" width="5.71"/>
    <col collapsed="false" customWidth="true" hidden="false" outlineLevel="0" max="7778" min="7775" style="0" width="4.57"/>
    <col collapsed="false" customWidth="true" hidden="false" outlineLevel="0" max="7779" min="7779" style="0" width="5.71"/>
    <col collapsed="false" customWidth="true" hidden="false" outlineLevel="0" max="7786" min="7780" style="0" width="4.57"/>
    <col collapsed="false" customWidth="true" hidden="false" outlineLevel="0" max="7787" min="7787" style="0" width="5.86"/>
    <col collapsed="false" customWidth="true" hidden="false" outlineLevel="0" max="7795" min="7788" style="0" width="4.57"/>
    <col collapsed="false" customWidth="true" hidden="false" outlineLevel="0" max="7797" min="7796" style="0" width="7.86"/>
    <col collapsed="false" customWidth="true" hidden="false" outlineLevel="0" max="7808" min="7798" style="0" width="2.86"/>
    <col collapsed="false" customWidth="true" hidden="false" outlineLevel="0" max="7937" min="7937" style="0" width="0.14"/>
    <col collapsed="false" customWidth="true" hidden="false" outlineLevel="0" max="7938" min="7938" style="0" width="6.14"/>
    <col collapsed="false" customWidth="true" hidden="false" outlineLevel="0" max="7968" min="7939" style="0" width="5.57"/>
    <col collapsed="false" customWidth="true" hidden="false" outlineLevel="0" max="7970" min="7969" style="0" width="7.86"/>
    <col collapsed="false" customWidth="true" hidden="false" outlineLevel="0" max="7971" min="7971" style="0" width="5.57"/>
    <col collapsed="false" customWidth="true" hidden="false" outlineLevel="0" max="7984" min="7972" style="0" width="4.57"/>
    <col collapsed="false" customWidth="true" hidden="false" outlineLevel="0" max="7985" min="7985" style="0" width="4.86"/>
    <col collapsed="false" customWidth="true" hidden="false" outlineLevel="0" max="7989" min="7986" style="0" width="4.57"/>
    <col collapsed="false" customWidth="true" hidden="false" outlineLevel="0" max="7990" min="7990" style="0" width="5.57"/>
    <col collapsed="false" customWidth="true" hidden="false" outlineLevel="0" max="7993" min="7991" style="0" width="4.57"/>
    <col collapsed="false" customWidth="true" hidden="false" outlineLevel="0" max="7994" min="7994" style="0" width="5.14"/>
    <col collapsed="false" customWidth="true" hidden="false" outlineLevel="0" max="7998" min="7995" style="0" width="4.57"/>
    <col collapsed="false" customWidth="true" hidden="false" outlineLevel="0" max="7999" min="7999" style="0" width="5.14"/>
    <col collapsed="false" customWidth="true" hidden="false" outlineLevel="0" max="8017" min="8000" style="0" width="4.57"/>
    <col collapsed="false" customWidth="true" hidden="false" outlineLevel="0" max="8018" min="8018" style="0" width="6.14"/>
    <col collapsed="false" customWidth="true" hidden="false" outlineLevel="0" max="8019" min="8019" style="0" width="5.71"/>
    <col collapsed="false" customWidth="true" hidden="false" outlineLevel="0" max="8026" min="8020" style="0" width="4.57"/>
    <col collapsed="false" customWidth="true" hidden="false" outlineLevel="0" max="8027" min="8027" style="0" width="5.43"/>
    <col collapsed="false" customWidth="true" hidden="false" outlineLevel="0" max="8029" min="8028" style="0" width="4.57"/>
    <col collapsed="false" customWidth="true" hidden="false" outlineLevel="0" max="8030" min="8030" style="0" width="5.71"/>
    <col collapsed="false" customWidth="true" hidden="false" outlineLevel="0" max="8034" min="8031" style="0" width="4.57"/>
    <col collapsed="false" customWidth="true" hidden="false" outlineLevel="0" max="8035" min="8035" style="0" width="5.71"/>
    <col collapsed="false" customWidth="true" hidden="false" outlineLevel="0" max="8042" min="8036" style="0" width="4.57"/>
    <col collapsed="false" customWidth="true" hidden="false" outlineLevel="0" max="8043" min="8043" style="0" width="5.86"/>
    <col collapsed="false" customWidth="true" hidden="false" outlineLevel="0" max="8051" min="8044" style="0" width="4.57"/>
    <col collapsed="false" customWidth="true" hidden="false" outlineLevel="0" max="8053" min="8052" style="0" width="7.86"/>
    <col collapsed="false" customWidth="true" hidden="false" outlineLevel="0" max="8064" min="8054" style="0" width="2.86"/>
    <col collapsed="false" customWidth="true" hidden="false" outlineLevel="0" max="8193" min="8193" style="0" width="0.14"/>
    <col collapsed="false" customWidth="true" hidden="false" outlineLevel="0" max="8194" min="8194" style="0" width="6.14"/>
    <col collapsed="false" customWidth="true" hidden="false" outlineLevel="0" max="8224" min="8195" style="0" width="5.57"/>
    <col collapsed="false" customWidth="true" hidden="false" outlineLevel="0" max="8226" min="8225" style="0" width="7.86"/>
    <col collapsed="false" customWidth="true" hidden="false" outlineLevel="0" max="8227" min="8227" style="0" width="5.57"/>
    <col collapsed="false" customWidth="true" hidden="false" outlineLevel="0" max="8240" min="8228" style="0" width="4.57"/>
    <col collapsed="false" customWidth="true" hidden="false" outlineLevel="0" max="8241" min="8241" style="0" width="4.86"/>
    <col collapsed="false" customWidth="true" hidden="false" outlineLevel="0" max="8245" min="8242" style="0" width="4.57"/>
    <col collapsed="false" customWidth="true" hidden="false" outlineLevel="0" max="8246" min="8246" style="0" width="5.57"/>
    <col collapsed="false" customWidth="true" hidden="false" outlineLevel="0" max="8249" min="8247" style="0" width="4.57"/>
    <col collapsed="false" customWidth="true" hidden="false" outlineLevel="0" max="8250" min="8250" style="0" width="5.14"/>
    <col collapsed="false" customWidth="true" hidden="false" outlineLevel="0" max="8254" min="8251" style="0" width="4.57"/>
    <col collapsed="false" customWidth="true" hidden="false" outlineLevel="0" max="8255" min="8255" style="0" width="5.14"/>
    <col collapsed="false" customWidth="true" hidden="false" outlineLevel="0" max="8273" min="8256" style="0" width="4.57"/>
    <col collapsed="false" customWidth="true" hidden="false" outlineLevel="0" max="8274" min="8274" style="0" width="6.14"/>
    <col collapsed="false" customWidth="true" hidden="false" outlineLevel="0" max="8275" min="8275" style="0" width="5.71"/>
    <col collapsed="false" customWidth="true" hidden="false" outlineLevel="0" max="8282" min="8276" style="0" width="4.57"/>
    <col collapsed="false" customWidth="true" hidden="false" outlineLevel="0" max="8283" min="8283" style="0" width="5.43"/>
    <col collapsed="false" customWidth="true" hidden="false" outlineLevel="0" max="8285" min="8284" style="0" width="4.57"/>
    <col collapsed="false" customWidth="true" hidden="false" outlineLevel="0" max="8286" min="8286" style="0" width="5.71"/>
    <col collapsed="false" customWidth="true" hidden="false" outlineLevel="0" max="8290" min="8287" style="0" width="4.57"/>
    <col collapsed="false" customWidth="true" hidden="false" outlineLevel="0" max="8291" min="8291" style="0" width="5.71"/>
    <col collapsed="false" customWidth="true" hidden="false" outlineLevel="0" max="8298" min="8292" style="0" width="4.57"/>
    <col collapsed="false" customWidth="true" hidden="false" outlineLevel="0" max="8299" min="8299" style="0" width="5.86"/>
    <col collapsed="false" customWidth="true" hidden="false" outlineLevel="0" max="8307" min="8300" style="0" width="4.57"/>
    <col collapsed="false" customWidth="true" hidden="false" outlineLevel="0" max="8309" min="8308" style="0" width="7.86"/>
    <col collapsed="false" customWidth="true" hidden="false" outlineLevel="0" max="8320" min="8310" style="0" width="2.86"/>
    <col collapsed="false" customWidth="true" hidden="false" outlineLevel="0" max="8449" min="8449" style="0" width="0.14"/>
    <col collapsed="false" customWidth="true" hidden="false" outlineLevel="0" max="8450" min="8450" style="0" width="6.14"/>
    <col collapsed="false" customWidth="true" hidden="false" outlineLevel="0" max="8480" min="8451" style="0" width="5.57"/>
    <col collapsed="false" customWidth="true" hidden="false" outlineLevel="0" max="8482" min="8481" style="0" width="7.86"/>
    <col collapsed="false" customWidth="true" hidden="false" outlineLevel="0" max="8483" min="8483" style="0" width="5.57"/>
    <col collapsed="false" customWidth="true" hidden="false" outlineLevel="0" max="8496" min="8484" style="0" width="4.57"/>
    <col collapsed="false" customWidth="true" hidden="false" outlineLevel="0" max="8497" min="8497" style="0" width="4.86"/>
    <col collapsed="false" customWidth="true" hidden="false" outlineLevel="0" max="8501" min="8498" style="0" width="4.57"/>
    <col collapsed="false" customWidth="true" hidden="false" outlineLevel="0" max="8502" min="8502" style="0" width="5.57"/>
    <col collapsed="false" customWidth="true" hidden="false" outlineLevel="0" max="8505" min="8503" style="0" width="4.57"/>
    <col collapsed="false" customWidth="true" hidden="false" outlineLevel="0" max="8506" min="8506" style="0" width="5.14"/>
    <col collapsed="false" customWidth="true" hidden="false" outlineLevel="0" max="8510" min="8507" style="0" width="4.57"/>
    <col collapsed="false" customWidth="true" hidden="false" outlineLevel="0" max="8511" min="8511" style="0" width="5.14"/>
    <col collapsed="false" customWidth="true" hidden="false" outlineLevel="0" max="8529" min="8512" style="0" width="4.57"/>
    <col collapsed="false" customWidth="true" hidden="false" outlineLevel="0" max="8530" min="8530" style="0" width="6.14"/>
    <col collapsed="false" customWidth="true" hidden="false" outlineLevel="0" max="8531" min="8531" style="0" width="5.71"/>
    <col collapsed="false" customWidth="true" hidden="false" outlineLevel="0" max="8538" min="8532" style="0" width="4.57"/>
    <col collapsed="false" customWidth="true" hidden="false" outlineLevel="0" max="8539" min="8539" style="0" width="5.43"/>
    <col collapsed="false" customWidth="true" hidden="false" outlineLevel="0" max="8541" min="8540" style="0" width="4.57"/>
    <col collapsed="false" customWidth="true" hidden="false" outlineLevel="0" max="8542" min="8542" style="0" width="5.71"/>
    <col collapsed="false" customWidth="true" hidden="false" outlineLevel="0" max="8546" min="8543" style="0" width="4.57"/>
    <col collapsed="false" customWidth="true" hidden="false" outlineLevel="0" max="8547" min="8547" style="0" width="5.71"/>
    <col collapsed="false" customWidth="true" hidden="false" outlineLevel="0" max="8554" min="8548" style="0" width="4.57"/>
    <col collapsed="false" customWidth="true" hidden="false" outlineLevel="0" max="8555" min="8555" style="0" width="5.86"/>
    <col collapsed="false" customWidth="true" hidden="false" outlineLevel="0" max="8563" min="8556" style="0" width="4.57"/>
    <col collapsed="false" customWidth="true" hidden="false" outlineLevel="0" max="8565" min="8564" style="0" width="7.86"/>
    <col collapsed="false" customWidth="true" hidden="false" outlineLevel="0" max="8576" min="8566" style="0" width="2.86"/>
    <col collapsed="false" customWidth="true" hidden="false" outlineLevel="0" max="8705" min="8705" style="0" width="0.14"/>
    <col collapsed="false" customWidth="true" hidden="false" outlineLevel="0" max="8706" min="8706" style="0" width="6.14"/>
    <col collapsed="false" customWidth="true" hidden="false" outlineLevel="0" max="8736" min="8707" style="0" width="5.57"/>
    <col collapsed="false" customWidth="true" hidden="false" outlineLevel="0" max="8738" min="8737" style="0" width="7.86"/>
    <col collapsed="false" customWidth="true" hidden="false" outlineLevel="0" max="8739" min="8739" style="0" width="5.57"/>
    <col collapsed="false" customWidth="true" hidden="false" outlineLevel="0" max="8752" min="8740" style="0" width="4.57"/>
    <col collapsed="false" customWidth="true" hidden="false" outlineLevel="0" max="8753" min="8753" style="0" width="4.86"/>
    <col collapsed="false" customWidth="true" hidden="false" outlineLevel="0" max="8757" min="8754" style="0" width="4.57"/>
    <col collapsed="false" customWidth="true" hidden="false" outlineLevel="0" max="8758" min="8758" style="0" width="5.57"/>
    <col collapsed="false" customWidth="true" hidden="false" outlineLevel="0" max="8761" min="8759" style="0" width="4.57"/>
    <col collapsed="false" customWidth="true" hidden="false" outlineLevel="0" max="8762" min="8762" style="0" width="5.14"/>
    <col collapsed="false" customWidth="true" hidden="false" outlineLevel="0" max="8766" min="8763" style="0" width="4.57"/>
    <col collapsed="false" customWidth="true" hidden="false" outlineLevel="0" max="8767" min="8767" style="0" width="5.14"/>
    <col collapsed="false" customWidth="true" hidden="false" outlineLevel="0" max="8785" min="8768" style="0" width="4.57"/>
    <col collapsed="false" customWidth="true" hidden="false" outlineLevel="0" max="8786" min="8786" style="0" width="6.14"/>
    <col collapsed="false" customWidth="true" hidden="false" outlineLevel="0" max="8787" min="8787" style="0" width="5.71"/>
    <col collapsed="false" customWidth="true" hidden="false" outlineLevel="0" max="8794" min="8788" style="0" width="4.57"/>
    <col collapsed="false" customWidth="true" hidden="false" outlineLevel="0" max="8795" min="8795" style="0" width="5.43"/>
    <col collapsed="false" customWidth="true" hidden="false" outlineLevel="0" max="8797" min="8796" style="0" width="4.57"/>
    <col collapsed="false" customWidth="true" hidden="false" outlineLevel="0" max="8798" min="8798" style="0" width="5.71"/>
    <col collapsed="false" customWidth="true" hidden="false" outlineLevel="0" max="8802" min="8799" style="0" width="4.57"/>
    <col collapsed="false" customWidth="true" hidden="false" outlineLevel="0" max="8803" min="8803" style="0" width="5.71"/>
    <col collapsed="false" customWidth="true" hidden="false" outlineLevel="0" max="8810" min="8804" style="0" width="4.57"/>
    <col collapsed="false" customWidth="true" hidden="false" outlineLevel="0" max="8811" min="8811" style="0" width="5.86"/>
    <col collapsed="false" customWidth="true" hidden="false" outlineLevel="0" max="8819" min="8812" style="0" width="4.57"/>
    <col collapsed="false" customWidth="true" hidden="false" outlineLevel="0" max="8821" min="8820" style="0" width="7.86"/>
    <col collapsed="false" customWidth="true" hidden="false" outlineLevel="0" max="8832" min="8822" style="0" width="2.86"/>
    <col collapsed="false" customWidth="true" hidden="false" outlineLevel="0" max="8961" min="8961" style="0" width="0.14"/>
    <col collapsed="false" customWidth="true" hidden="false" outlineLevel="0" max="8962" min="8962" style="0" width="6.14"/>
    <col collapsed="false" customWidth="true" hidden="false" outlineLevel="0" max="8992" min="8963" style="0" width="5.57"/>
    <col collapsed="false" customWidth="true" hidden="false" outlineLevel="0" max="8994" min="8993" style="0" width="7.86"/>
    <col collapsed="false" customWidth="true" hidden="false" outlineLevel="0" max="8995" min="8995" style="0" width="5.57"/>
    <col collapsed="false" customWidth="true" hidden="false" outlineLevel="0" max="9008" min="8996" style="0" width="4.57"/>
    <col collapsed="false" customWidth="true" hidden="false" outlineLevel="0" max="9009" min="9009" style="0" width="4.86"/>
    <col collapsed="false" customWidth="true" hidden="false" outlineLevel="0" max="9013" min="9010" style="0" width="4.57"/>
    <col collapsed="false" customWidth="true" hidden="false" outlineLevel="0" max="9014" min="9014" style="0" width="5.57"/>
    <col collapsed="false" customWidth="true" hidden="false" outlineLevel="0" max="9017" min="9015" style="0" width="4.57"/>
    <col collapsed="false" customWidth="true" hidden="false" outlineLevel="0" max="9018" min="9018" style="0" width="5.14"/>
    <col collapsed="false" customWidth="true" hidden="false" outlineLevel="0" max="9022" min="9019" style="0" width="4.57"/>
    <col collapsed="false" customWidth="true" hidden="false" outlineLevel="0" max="9023" min="9023" style="0" width="5.14"/>
    <col collapsed="false" customWidth="true" hidden="false" outlineLevel="0" max="9041" min="9024" style="0" width="4.57"/>
    <col collapsed="false" customWidth="true" hidden="false" outlineLevel="0" max="9042" min="9042" style="0" width="6.14"/>
    <col collapsed="false" customWidth="true" hidden="false" outlineLevel="0" max="9043" min="9043" style="0" width="5.71"/>
    <col collapsed="false" customWidth="true" hidden="false" outlineLevel="0" max="9050" min="9044" style="0" width="4.57"/>
    <col collapsed="false" customWidth="true" hidden="false" outlineLevel="0" max="9051" min="9051" style="0" width="5.43"/>
    <col collapsed="false" customWidth="true" hidden="false" outlineLevel="0" max="9053" min="9052" style="0" width="4.57"/>
    <col collapsed="false" customWidth="true" hidden="false" outlineLevel="0" max="9054" min="9054" style="0" width="5.71"/>
    <col collapsed="false" customWidth="true" hidden="false" outlineLevel="0" max="9058" min="9055" style="0" width="4.57"/>
    <col collapsed="false" customWidth="true" hidden="false" outlineLevel="0" max="9059" min="9059" style="0" width="5.71"/>
    <col collapsed="false" customWidth="true" hidden="false" outlineLevel="0" max="9066" min="9060" style="0" width="4.57"/>
    <col collapsed="false" customWidth="true" hidden="false" outlineLevel="0" max="9067" min="9067" style="0" width="5.86"/>
    <col collapsed="false" customWidth="true" hidden="false" outlineLevel="0" max="9075" min="9068" style="0" width="4.57"/>
    <col collapsed="false" customWidth="true" hidden="false" outlineLevel="0" max="9077" min="9076" style="0" width="7.86"/>
    <col collapsed="false" customWidth="true" hidden="false" outlineLevel="0" max="9088" min="9078" style="0" width="2.86"/>
    <col collapsed="false" customWidth="true" hidden="false" outlineLevel="0" max="9217" min="9217" style="0" width="0.14"/>
    <col collapsed="false" customWidth="true" hidden="false" outlineLevel="0" max="9218" min="9218" style="0" width="6.14"/>
    <col collapsed="false" customWidth="true" hidden="false" outlineLevel="0" max="9248" min="9219" style="0" width="5.57"/>
    <col collapsed="false" customWidth="true" hidden="false" outlineLevel="0" max="9250" min="9249" style="0" width="7.86"/>
    <col collapsed="false" customWidth="true" hidden="false" outlineLevel="0" max="9251" min="9251" style="0" width="5.57"/>
    <col collapsed="false" customWidth="true" hidden="false" outlineLevel="0" max="9264" min="9252" style="0" width="4.57"/>
    <col collapsed="false" customWidth="true" hidden="false" outlineLevel="0" max="9265" min="9265" style="0" width="4.86"/>
    <col collapsed="false" customWidth="true" hidden="false" outlineLevel="0" max="9269" min="9266" style="0" width="4.57"/>
    <col collapsed="false" customWidth="true" hidden="false" outlineLevel="0" max="9270" min="9270" style="0" width="5.57"/>
    <col collapsed="false" customWidth="true" hidden="false" outlineLevel="0" max="9273" min="9271" style="0" width="4.57"/>
    <col collapsed="false" customWidth="true" hidden="false" outlineLevel="0" max="9274" min="9274" style="0" width="5.14"/>
    <col collapsed="false" customWidth="true" hidden="false" outlineLevel="0" max="9278" min="9275" style="0" width="4.57"/>
    <col collapsed="false" customWidth="true" hidden="false" outlineLevel="0" max="9279" min="9279" style="0" width="5.14"/>
    <col collapsed="false" customWidth="true" hidden="false" outlineLevel="0" max="9297" min="9280" style="0" width="4.57"/>
    <col collapsed="false" customWidth="true" hidden="false" outlineLevel="0" max="9298" min="9298" style="0" width="6.14"/>
    <col collapsed="false" customWidth="true" hidden="false" outlineLevel="0" max="9299" min="9299" style="0" width="5.71"/>
    <col collapsed="false" customWidth="true" hidden="false" outlineLevel="0" max="9306" min="9300" style="0" width="4.57"/>
    <col collapsed="false" customWidth="true" hidden="false" outlineLevel="0" max="9307" min="9307" style="0" width="5.43"/>
    <col collapsed="false" customWidth="true" hidden="false" outlineLevel="0" max="9309" min="9308" style="0" width="4.57"/>
    <col collapsed="false" customWidth="true" hidden="false" outlineLevel="0" max="9310" min="9310" style="0" width="5.71"/>
    <col collapsed="false" customWidth="true" hidden="false" outlineLevel="0" max="9314" min="9311" style="0" width="4.57"/>
    <col collapsed="false" customWidth="true" hidden="false" outlineLevel="0" max="9315" min="9315" style="0" width="5.71"/>
    <col collapsed="false" customWidth="true" hidden="false" outlineLevel="0" max="9322" min="9316" style="0" width="4.57"/>
    <col collapsed="false" customWidth="true" hidden="false" outlineLevel="0" max="9323" min="9323" style="0" width="5.86"/>
    <col collapsed="false" customWidth="true" hidden="false" outlineLevel="0" max="9331" min="9324" style="0" width="4.57"/>
    <col collapsed="false" customWidth="true" hidden="false" outlineLevel="0" max="9333" min="9332" style="0" width="7.86"/>
    <col collapsed="false" customWidth="true" hidden="false" outlineLevel="0" max="9344" min="9334" style="0" width="2.86"/>
    <col collapsed="false" customWidth="true" hidden="false" outlineLevel="0" max="9473" min="9473" style="0" width="0.14"/>
    <col collapsed="false" customWidth="true" hidden="false" outlineLevel="0" max="9474" min="9474" style="0" width="6.14"/>
    <col collapsed="false" customWidth="true" hidden="false" outlineLevel="0" max="9504" min="9475" style="0" width="5.57"/>
    <col collapsed="false" customWidth="true" hidden="false" outlineLevel="0" max="9506" min="9505" style="0" width="7.86"/>
    <col collapsed="false" customWidth="true" hidden="false" outlineLevel="0" max="9507" min="9507" style="0" width="5.57"/>
    <col collapsed="false" customWidth="true" hidden="false" outlineLevel="0" max="9520" min="9508" style="0" width="4.57"/>
    <col collapsed="false" customWidth="true" hidden="false" outlineLevel="0" max="9521" min="9521" style="0" width="4.86"/>
    <col collapsed="false" customWidth="true" hidden="false" outlineLevel="0" max="9525" min="9522" style="0" width="4.57"/>
    <col collapsed="false" customWidth="true" hidden="false" outlineLevel="0" max="9526" min="9526" style="0" width="5.57"/>
    <col collapsed="false" customWidth="true" hidden="false" outlineLevel="0" max="9529" min="9527" style="0" width="4.57"/>
    <col collapsed="false" customWidth="true" hidden="false" outlineLevel="0" max="9530" min="9530" style="0" width="5.14"/>
    <col collapsed="false" customWidth="true" hidden="false" outlineLevel="0" max="9534" min="9531" style="0" width="4.57"/>
    <col collapsed="false" customWidth="true" hidden="false" outlineLevel="0" max="9535" min="9535" style="0" width="5.14"/>
    <col collapsed="false" customWidth="true" hidden="false" outlineLevel="0" max="9553" min="9536" style="0" width="4.57"/>
    <col collapsed="false" customWidth="true" hidden="false" outlineLevel="0" max="9554" min="9554" style="0" width="6.14"/>
    <col collapsed="false" customWidth="true" hidden="false" outlineLevel="0" max="9555" min="9555" style="0" width="5.71"/>
    <col collapsed="false" customWidth="true" hidden="false" outlineLevel="0" max="9562" min="9556" style="0" width="4.57"/>
    <col collapsed="false" customWidth="true" hidden="false" outlineLevel="0" max="9563" min="9563" style="0" width="5.43"/>
    <col collapsed="false" customWidth="true" hidden="false" outlineLevel="0" max="9565" min="9564" style="0" width="4.57"/>
    <col collapsed="false" customWidth="true" hidden="false" outlineLevel="0" max="9566" min="9566" style="0" width="5.71"/>
    <col collapsed="false" customWidth="true" hidden="false" outlineLevel="0" max="9570" min="9567" style="0" width="4.57"/>
    <col collapsed="false" customWidth="true" hidden="false" outlineLevel="0" max="9571" min="9571" style="0" width="5.71"/>
    <col collapsed="false" customWidth="true" hidden="false" outlineLevel="0" max="9578" min="9572" style="0" width="4.57"/>
    <col collapsed="false" customWidth="true" hidden="false" outlineLevel="0" max="9579" min="9579" style="0" width="5.86"/>
    <col collapsed="false" customWidth="true" hidden="false" outlineLevel="0" max="9587" min="9580" style="0" width="4.57"/>
    <col collapsed="false" customWidth="true" hidden="false" outlineLevel="0" max="9589" min="9588" style="0" width="7.86"/>
    <col collapsed="false" customWidth="true" hidden="false" outlineLevel="0" max="9600" min="9590" style="0" width="2.86"/>
    <col collapsed="false" customWidth="true" hidden="false" outlineLevel="0" max="9729" min="9729" style="0" width="0.14"/>
    <col collapsed="false" customWidth="true" hidden="false" outlineLevel="0" max="9730" min="9730" style="0" width="6.14"/>
    <col collapsed="false" customWidth="true" hidden="false" outlineLevel="0" max="9760" min="9731" style="0" width="5.57"/>
    <col collapsed="false" customWidth="true" hidden="false" outlineLevel="0" max="9762" min="9761" style="0" width="7.86"/>
    <col collapsed="false" customWidth="true" hidden="false" outlineLevel="0" max="9763" min="9763" style="0" width="5.57"/>
    <col collapsed="false" customWidth="true" hidden="false" outlineLevel="0" max="9776" min="9764" style="0" width="4.57"/>
    <col collapsed="false" customWidth="true" hidden="false" outlineLevel="0" max="9777" min="9777" style="0" width="4.86"/>
    <col collapsed="false" customWidth="true" hidden="false" outlineLevel="0" max="9781" min="9778" style="0" width="4.57"/>
    <col collapsed="false" customWidth="true" hidden="false" outlineLevel="0" max="9782" min="9782" style="0" width="5.57"/>
    <col collapsed="false" customWidth="true" hidden="false" outlineLevel="0" max="9785" min="9783" style="0" width="4.57"/>
    <col collapsed="false" customWidth="true" hidden="false" outlineLevel="0" max="9786" min="9786" style="0" width="5.14"/>
    <col collapsed="false" customWidth="true" hidden="false" outlineLevel="0" max="9790" min="9787" style="0" width="4.57"/>
    <col collapsed="false" customWidth="true" hidden="false" outlineLevel="0" max="9791" min="9791" style="0" width="5.14"/>
    <col collapsed="false" customWidth="true" hidden="false" outlineLevel="0" max="9809" min="9792" style="0" width="4.57"/>
    <col collapsed="false" customWidth="true" hidden="false" outlineLevel="0" max="9810" min="9810" style="0" width="6.14"/>
    <col collapsed="false" customWidth="true" hidden="false" outlineLevel="0" max="9811" min="9811" style="0" width="5.71"/>
    <col collapsed="false" customWidth="true" hidden="false" outlineLevel="0" max="9818" min="9812" style="0" width="4.57"/>
    <col collapsed="false" customWidth="true" hidden="false" outlineLevel="0" max="9819" min="9819" style="0" width="5.43"/>
    <col collapsed="false" customWidth="true" hidden="false" outlineLevel="0" max="9821" min="9820" style="0" width="4.57"/>
    <col collapsed="false" customWidth="true" hidden="false" outlineLevel="0" max="9822" min="9822" style="0" width="5.71"/>
    <col collapsed="false" customWidth="true" hidden="false" outlineLevel="0" max="9826" min="9823" style="0" width="4.57"/>
    <col collapsed="false" customWidth="true" hidden="false" outlineLevel="0" max="9827" min="9827" style="0" width="5.71"/>
    <col collapsed="false" customWidth="true" hidden="false" outlineLevel="0" max="9834" min="9828" style="0" width="4.57"/>
    <col collapsed="false" customWidth="true" hidden="false" outlineLevel="0" max="9835" min="9835" style="0" width="5.86"/>
    <col collapsed="false" customWidth="true" hidden="false" outlineLevel="0" max="9843" min="9836" style="0" width="4.57"/>
    <col collapsed="false" customWidth="true" hidden="false" outlineLevel="0" max="9845" min="9844" style="0" width="7.86"/>
    <col collapsed="false" customWidth="true" hidden="false" outlineLevel="0" max="9856" min="9846" style="0" width="2.86"/>
    <col collapsed="false" customWidth="true" hidden="false" outlineLevel="0" max="9985" min="9985" style="0" width="0.14"/>
    <col collapsed="false" customWidth="true" hidden="false" outlineLevel="0" max="9986" min="9986" style="0" width="6.14"/>
    <col collapsed="false" customWidth="true" hidden="false" outlineLevel="0" max="10016" min="9987" style="0" width="5.57"/>
    <col collapsed="false" customWidth="true" hidden="false" outlineLevel="0" max="10018" min="10017" style="0" width="7.86"/>
    <col collapsed="false" customWidth="true" hidden="false" outlineLevel="0" max="10019" min="10019" style="0" width="5.57"/>
    <col collapsed="false" customWidth="true" hidden="false" outlineLevel="0" max="10032" min="10020" style="0" width="4.57"/>
    <col collapsed="false" customWidth="true" hidden="false" outlineLevel="0" max="10033" min="10033" style="0" width="4.86"/>
    <col collapsed="false" customWidth="true" hidden="false" outlineLevel="0" max="10037" min="10034" style="0" width="4.57"/>
    <col collapsed="false" customWidth="true" hidden="false" outlineLevel="0" max="10038" min="10038" style="0" width="5.57"/>
    <col collapsed="false" customWidth="true" hidden="false" outlineLevel="0" max="10041" min="10039" style="0" width="4.57"/>
    <col collapsed="false" customWidth="true" hidden="false" outlineLevel="0" max="10042" min="10042" style="0" width="5.14"/>
    <col collapsed="false" customWidth="true" hidden="false" outlineLevel="0" max="10046" min="10043" style="0" width="4.57"/>
    <col collapsed="false" customWidth="true" hidden="false" outlineLevel="0" max="10047" min="10047" style="0" width="5.14"/>
    <col collapsed="false" customWidth="true" hidden="false" outlineLevel="0" max="10065" min="10048" style="0" width="4.57"/>
    <col collapsed="false" customWidth="true" hidden="false" outlineLevel="0" max="10066" min="10066" style="0" width="6.14"/>
    <col collapsed="false" customWidth="true" hidden="false" outlineLevel="0" max="10067" min="10067" style="0" width="5.71"/>
    <col collapsed="false" customWidth="true" hidden="false" outlineLevel="0" max="10074" min="10068" style="0" width="4.57"/>
    <col collapsed="false" customWidth="true" hidden="false" outlineLevel="0" max="10075" min="10075" style="0" width="5.43"/>
    <col collapsed="false" customWidth="true" hidden="false" outlineLevel="0" max="10077" min="10076" style="0" width="4.57"/>
    <col collapsed="false" customWidth="true" hidden="false" outlineLevel="0" max="10078" min="10078" style="0" width="5.71"/>
    <col collapsed="false" customWidth="true" hidden="false" outlineLevel="0" max="10082" min="10079" style="0" width="4.57"/>
    <col collapsed="false" customWidth="true" hidden="false" outlineLevel="0" max="10083" min="10083" style="0" width="5.71"/>
    <col collapsed="false" customWidth="true" hidden="false" outlineLevel="0" max="10090" min="10084" style="0" width="4.57"/>
    <col collapsed="false" customWidth="true" hidden="false" outlineLevel="0" max="10091" min="10091" style="0" width="5.86"/>
    <col collapsed="false" customWidth="true" hidden="false" outlineLevel="0" max="10099" min="10092" style="0" width="4.57"/>
    <col collapsed="false" customWidth="true" hidden="false" outlineLevel="0" max="10101" min="10100" style="0" width="7.86"/>
    <col collapsed="false" customWidth="true" hidden="false" outlineLevel="0" max="10112" min="10102" style="0" width="2.86"/>
    <col collapsed="false" customWidth="true" hidden="false" outlineLevel="0" max="10241" min="10241" style="0" width="0.14"/>
    <col collapsed="false" customWidth="true" hidden="false" outlineLevel="0" max="10242" min="10242" style="0" width="6.14"/>
    <col collapsed="false" customWidth="true" hidden="false" outlineLevel="0" max="10272" min="10243" style="0" width="5.57"/>
    <col collapsed="false" customWidth="true" hidden="false" outlineLevel="0" max="10274" min="10273" style="0" width="7.86"/>
    <col collapsed="false" customWidth="true" hidden="false" outlineLevel="0" max="10275" min="10275" style="0" width="5.57"/>
    <col collapsed="false" customWidth="true" hidden="false" outlineLevel="0" max="10288" min="10276" style="0" width="4.57"/>
    <col collapsed="false" customWidth="true" hidden="false" outlineLevel="0" max="10289" min="10289" style="0" width="4.86"/>
    <col collapsed="false" customWidth="true" hidden="false" outlineLevel="0" max="10293" min="10290" style="0" width="4.57"/>
    <col collapsed="false" customWidth="true" hidden="false" outlineLevel="0" max="10294" min="10294" style="0" width="5.57"/>
    <col collapsed="false" customWidth="true" hidden="false" outlineLevel="0" max="10297" min="10295" style="0" width="4.57"/>
    <col collapsed="false" customWidth="true" hidden="false" outlineLevel="0" max="10298" min="10298" style="0" width="5.14"/>
    <col collapsed="false" customWidth="true" hidden="false" outlineLevel="0" max="10302" min="10299" style="0" width="4.57"/>
    <col collapsed="false" customWidth="true" hidden="false" outlineLevel="0" max="10303" min="10303" style="0" width="5.14"/>
    <col collapsed="false" customWidth="true" hidden="false" outlineLevel="0" max="10321" min="10304" style="0" width="4.57"/>
    <col collapsed="false" customWidth="true" hidden="false" outlineLevel="0" max="10322" min="10322" style="0" width="6.14"/>
    <col collapsed="false" customWidth="true" hidden="false" outlineLevel="0" max="10323" min="10323" style="0" width="5.71"/>
    <col collapsed="false" customWidth="true" hidden="false" outlineLevel="0" max="10330" min="10324" style="0" width="4.57"/>
    <col collapsed="false" customWidth="true" hidden="false" outlineLevel="0" max="10331" min="10331" style="0" width="5.43"/>
    <col collapsed="false" customWidth="true" hidden="false" outlineLevel="0" max="10333" min="10332" style="0" width="4.57"/>
    <col collapsed="false" customWidth="true" hidden="false" outlineLevel="0" max="10334" min="10334" style="0" width="5.71"/>
    <col collapsed="false" customWidth="true" hidden="false" outlineLevel="0" max="10338" min="10335" style="0" width="4.57"/>
    <col collapsed="false" customWidth="true" hidden="false" outlineLevel="0" max="10339" min="10339" style="0" width="5.71"/>
    <col collapsed="false" customWidth="true" hidden="false" outlineLevel="0" max="10346" min="10340" style="0" width="4.57"/>
    <col collapsed="false" customWidth="true" hidden="false" outlineLevel="0" max="10347" min="10347" style="0" width="5.86"/>
    <col collapsed="false" customWidth="true" hidden="false" outlineLevel="0" max="10355" min="10348" style="0" width="4.57"/>
    <col collapsed="false" customWidth="true" hidden="false" outlineLevel="0" max="10357" min="10356" style="0" width="7.86"/>
    <col collapsed="false" customWidth="true" hidden="false" outlineLevel="0" max="10368" min="10358" style="0" width="2.86"/>
    <col collapsed="false" customWidth="true" hidden="false" outlineLevel="0" max="10497" min="10497" style="0" width="0.14"/>
    <col collapsed="false" customWidth="true" hidden="false" outlineLevel="0" max="10498" min="10498" style="0" width="6.14"/>
    <col collapsed="false" customWidth="true" hidden="false" outlineLevel="0" max="10528" min="10499" style="0" width="5.57"/>
    <col collapsed="false" customWidth="true" hidden="false" outlineLevel="0" max="10530" min="10529" style="0" width="7.86"/>
    <col collapsed="false" customWidth="true" hidden="false" outlineLevel="0" max="10531" min="10531" style="0" width="5.57"/>
    <col collapsed="false" customWidth="true" hidden="false" outlineLevel="0" max="10544" min="10532" style="0" width="4.57"/>
    <col collapsed="false" customWidth="true" hidden="false" outlineLevel="0" max="10545" min="10545" style="0" width="4.86"/>
    <col collapsed="false" customWidth="true" hidden="false" outlineLevel="0" max="10549" min="10546" style="0" width="4.57"/>
    <col collapsed="false" customWidth="true" hidden="false" outlineLevel="0" max="10550" min="10550" style="0" width="5.57"/>
    <col collapsed="false" customWidth="true" hidden="false" outlineLevel="0" max="10553" min="10551" style="0" width="4.57"/>
    <col collapsed="false" customWidth="true" hidden="false" outlineLevel="0" max="10554" min="10554" style="0" width="5.14"/>
    <col collapsed="false" customWidth="true" hidden="false" outlineLevel="0" max="10558" min="10555" style="0" width="4.57"/>
    <col collapsed="false" customWidth="true" hidden="false" outlineLevel="0" max="10559" min="10559" style="0" width="5.14"/>
    <col collapsed="false" customWidth="true" hidden="false" outlineLevel="0" max="10577" min="10560" style="0" width="4.57"/>
    <col collapsed="false" customWidth="true" hidden="false" outlineLevel="0" max="10578" min="10578" style="0" width="6.14"/>
    <col collapsed="false" customWidth="true" hidden="false" outlineLevel="0" max="10579" min="10579" style="0" width="5.71"/>
    <col collapsed="false" customWidth="true" hidden="false" outlineLevel="0" max="10586" min="10580" style="0" width="4.57"/>
    <col collapsed="false" customWidth="true" hidden="false" outlineLevel="0" max="10587" min="10587" style="0" width="5.43"/>
    <col collapsed="false" customWidth="true" hidden="false" outlineLevel="0" max="10589" min="10588" style="0" width="4.57"/>
    <col collapsed="false" customWidth="true" hidden="false" outlineLevel="0" max="10590" min="10590" style="0" width="5.71"/>
    <col collapsed="false" customWidth="true" hidden="false" outlineLevel="0" max="10594" min="10591" style="0" width="4.57"/>
    <col collapsed="false" customWidth="true" hidden="false" outlineLevel="0" max="10595" min="10595" style="0" width="5.71"/>
    <col collapsed="false" customWidth="true" hidden="false" outlineLevel="0" max="10602" min="10596" style="0" width="4.57"/>
    <col collapsed="false" customWidth="true" hidden="false" outlineLevel="0" max="10603" min="10603" style="0" width="5.86"/>
    <col collapsed="false" customWidth="true" hidden="false" outlineLevel="0" max="10611" min="10604" style="0" width="4.57"/>
    <col collapsed="false" customWidth="true" hidden="false" outlineLevel="0" max="10613" min="10612" style="0" width="7.86"/>
    <col collapsed="false" customWidth="true" hidden="false" outlineLevel="0" max="10624" min="10614" style="0" width="2.86"/>
    <col collapsed="false" customWidth="true" hidden="false" outlineLevel="0" max="10753" min="10753" style="0" width="0.14"/>
    <col collapsed="false" customWidth="true" hidden="false" outlineLevel="0" max="10754" min="10754" style="0" width="6.14"/>
    <col collapsed="false" customWidth="true" hidden="false" outlineLevel="0" max="10784" min="10755" style="0" width="5.57"/>
    <col collapsed="false" customWidth="true" hidden="false" outlineLevel="0" max="10786" min="10785" style="0" width="7.86"/>
    <col collapsed="false" customWidth="true" hidden="false" outlineLevel="0" max="10787" min="10787" style="0" width="5.57"/>
    <col collapsed="false" customWidth="true" hidden="false" outlineLevel="0" max="10800" min="10788" style="0" width="4.57"/>
    <col collapsed="false" customWidth="true" hidden="false" outlineLevel="0" max="10801" min="10801" style="0" width="4.86"/>
    <col collapsed="false" customWidth="true" hidden="false" outlineLevel="0" max="10805" min="10802" style="0" width="4.57"/>
    <col collapsed="false" customWidth="true" hidden="false" outlineLevel="0" max="10806" min="10806" style="0" width="5.57"/>
    <col collapsed="false" customWidth="true" hidden="false" outlineLevel="0" max="10809" min="10807" style="0" width="4.57"/>
    <col collapsed="false" customWidth="true" hidden="false" outlineLevel="0" max="10810" min="10810" style="0" width="5.14"/>
    <col collapsed="false" customWidth="true" hidden="false" outlineLevel="0" max="10814" min="10811" style="0" width="4.57"/>
    <col collapsed="false" customWidth="true" hidden="false" outlineLevel="0" max="10815" min="10815" style="0" width="5.14"/>
    <col collapsed="false" customWidth="true" hidden="false" outlineLevel="0" max="10833" min="10816" style="0" width="4.57"/>
    <col collapsed="false" customWidth="true" hidden="false" outlineLevel="0" max="10834" min="10834" style="0" width="6.14"/>
    <col collapsed="false" customWidth="true" hidden="false" outlineLevel="0" max="10835" min="10835" style="0" width="5.71"/>
    <col collapsed="false" customWidth="true" hidden="false" outlineLevel="0" max="10842" min="10836" style="0" width="4.57"/>
    <col collapsed="false" customWidth="true" hidden="false" outlineLevel="0" max="10843" min="10843" style="0" width="5.43"/>
    <col collapsed="false" customWidth="true" hidden="false" outlineLevel="0" max="10845" min="10844" style="0" width="4.57"/>
    <col collapsed="false" customWidth="true" hidden="false" outlineLevel="0" max="10846" min="10846" style="0" width="5.71"/>
    <col collapsed="false" customWidth="true" hidden="false" outlineLevel="0" max="10850" min="10847" style="0" width="4.57"/>
    <col collapsed="false" customWidth="true" hidden="false" outlineLevel="0" max="10851" min="10851" style="0" width="5.71"/>
    <col collapsed="false" customWidth="true" hidden="false" outlineLevel="0" max="10858" min="10852" style="0" width="4.57"/>
    <col collapsed="false" customWidth="true" hidden="false" outlineLevel="0" max="10859" min="10859" style="0" width="5.86"/>
    <col collapsed="false" customWidth="true" hidden="false" outlineLevel="0" max="10867" min="10860" style="0" width="4.57"/>
    <col collapsed="false" customWidth="true" hidden="false" outlineLevel="0" max="10869" min="10868" style="0" width="7.86"/>
    <col collapsed="false" customWidth="true" hidden="false" outlineLevel="0" max="10880" min="10870" style="0" width="2.86"/>
    <col collapsed="false" customWidth="true" hidden="false" outlineLevel="0" max="11009" min="11009" style="0" width="0.14"/>
    <col collapsed="false" customWidth="true" hidden="false" outlineLevel="0" max="11010" min="11010" style="0" width="6.14"/>
    <col collapsed="false" customWidth="true" hidden="false" outlineLevel="0" max="11040" min="11011" style="0" width="5.57"/>
    <col collapsed="false" customWidth="true" hidden="false" outlineLevel="0" max="11042" min="11041" style="0" width="7.86"/>
    <col collapsed="false" customWidth="true" hidden="false" outlineLevel="0" max="11043" min="11043" style="0" width="5.57"/>
    <col collapsed="false" customWidth="true" hidden="false" outlineLevel="0" max="11056" min="11044" style="0" width="4.57"/>
    <col collapsed="false" customWidth="true" hidden="false" outlineLevel="0" max="11057" min="11057" style="0" width="4.86"/>
    <col collapsed="false" customWidth="true" hidden="false" outlineLevel="0" max="11061" min="11058" style="0" width="4.57"/>
    <col collapsed="false" customWidth="true" hidden="false" outlineLevel="0" max="11062" min="11062" style="0" width="5.57"/>
    <col collapsed="false" customWidth="true" hidden="false" outlineLevel="0" max="11065" min="11063" style="0" width="4.57"/>
    <col collapsed="false" customWidth="true" hidden="false" outlineLevel="0" max="11066" min="11066" style="0" width="5.14"/>
    <col collapsed="false" customWidth="true" hidden="false" outlineLevel="0" max="11070" min="11067" style="0" width="4.57"/>
    <col collapsed="false" customWidth="true" hidden="false" outlineLevel="0" max="11071" min="11071" style="0" width="5.14"/>
    <col collapsed="false" customWidth="true" hidden="false" outlineLevel="0" max="11089" min="11072" style="0" width="4.57"/>
    <col collapsed="false" customWidth="true" hidden="false" outlineLevel="0" max="11090" min="11090" style="0" width="6.14"/>
    <col collapsed="false" customWidth="true" hidden="false" outlineLevel="0" max="11091" min="11091" style="0" width="5.71"/>
    <col collapsed="false" customWidth="true" hidden="false" outlineLevel="0" max="11098" min="11092" style="0" width="4.57"/>
    <col collapsed="false" customWidth="true" hidden="false" outlineLevel="0" max="11099" min="11099" style="0" width="5.43"/>
    <col collapsed="false" customWidth="true" hidden="false" outlineLevel="0" max="11101" min="11100" style="0" width="4.57"/>
    <col collapsed="false" customWidth="true" hidden="false" outlineLevel="0" max="11102" min="11102" style="0" width="5.71"/>
    <col collapsed="false" customWidth="true" hidden="false" outlineLevel="0" max="11106" min="11103" style="0" width="4.57"/>
    <col collapsed="false" customWidth="true" hidden="false" outlineLevel="0" max="11107" min="11107" style="0" width="5.71"/>
    <col collapsed="false" customWidth="true" hidden="false" outlineLevel="0" max="11114" min="11108" style="0" width="4.57"/>
    <col collapsed="false" customWidth="true" hidden="false" outlineLevel="0" max="11115" min="11115" style="0" width="5.86"/>
    <col collapsed="false" customWidth="true" hidden="false" outlineLevel="0" max="11123" min="11116" style="0" width="4.57"/>
    <col collapsed="false" customWidth="true" hidden="false" outlineLevel="0" max="11125" min="11124" style="0" width="7.86"/>
    <col collapsed="false" customWidth="true" hidden="false" outlineLevel="0" max="11136" min="11126" style="0" width="2.86"/>
    <col collapsed="false" customWidth="true" hidden="false" outlineLevel="0" max="11265" min="11265" style="0" width="0.14"/>
    <col collapsed="false" customWidth="true" hidden="false" outlineLevel="0" max="11266" min="11266" style="0" width="6.14"/>
    <col collapsed="false" customWidth="true" hidden="false" outlineLevel="0" max="11296" min="11267" style="0" width="5.57"/>
    <col collapsed="false" customWidth="true" hidden="false" outlineLevel="0" max="11298" min="11297" style="0" width="7.86"/>
    <col collapsed="false" customWidth="true" hidden="false" outlineLevel="0" max="11299" min="11299" style="0" width="5.57"/>
    <col collapsed="false" customWidth="true" hidden="false" outlineLevel="0" max="11312" min="11300" style="0" width="4.57"/>
    <col collapsed="false" customWidth="true" hidden="false" outlineLevel="0" max="11313" min="11313" style="0" width="4.86"/>
    <col collapsed="false" customWidth="true" hidden="false" outlineLevel="0" max="11317" min="11314" style="0" width="4.57"/>
    <col collapsed="false" customWidth="true" hidden="false" outlineLevel="0" max="11318" min="11318" style="0" width="5.57"/>
    <col collapsed="false" customWidth="true" hidden="false" outlineLevel="0" max="11321" min="11319" style="0" width="4.57"/>
    <col collapsed="false" customWidth="true" hidden="false" outlineLevel="0" max="11322" min="11322" style="0" width="5.14"/>
    <col collapsed="false" customWidth="true" hidden="false" outlineLevel="0" max="11326" min="11323" style="0" width="4.57"/>
    <col collapsed="false" customWidth="true" hidden="false" outlineLevel="0" max="11327" min="11327" style="0" width="5.14"/>
    <col collapsed="false" customWidth="true" hidden="false" outlineLevel="0" max="11345" min="11328" style="0" width="4.57"/>
    <col collapsed="false" customWidth="true" hidden="false" outlineLevel="0" max="11346" min="11346" style="0" width="6.14"/>
    <col collapsed="false" customWidth="true" hidden="false" outlineLevel="0" max="11347" min="11347" style="0" width="5.71"/>
    <col collapsed="false" customWidth="true" hidden="false" outlineLevel="0" max="11354" min="11348" style="0" width="4.57"/>
    <col collapsed="false" customWidth="true" hidden="false" outlineLevel="0" max="11355" min="11355" style="0" width="5.43"/>
    <col collapsed="false" customWidth="true" hidden="false" outlineLevel="0" max="11357" min="11356" style="0" width="4.57"/>
    <col collapsed="false" customWidth="true" hidden="false" outlineLevel="0" max="11358" min="11358" style="0" width="5.71"/>
    <col collapsed="false" customWidth="true" hidden="false" outlineLevel="0" max="11362" min="11359" style="0" width="4.57"/>
    <col collapsed="false" customWidth="true" hidden="false" outlineLevel="0" max="11363" min="11363" style="0" width="5.71"/>
    <col collapsed="false" customWidth="true" hidden="false" outlineLevel="0" max="11370" min="11364" style="0" width="4.57"/>
    <col collapsed="false" customWidth="true" hidden="false" outlineLevel="0" max="11371" min="11371" style="0" width="5.86"/>
    <col collapsed="false" customWidth="true" hidden="false" outlineLevel="0" max="11379" min="11372" style="0" width="4.57"/>
    <col collapsed="false" customWidth="true" hidden="false" outlineLevel="0" max="11381" min="11380" style="0" width="7.86"/>
    <col collapsed="false" customWidth="true" hidden="false" outlineLevel="0" max="11392" min="11382" style="0" width="2.86"/>
    <col collapsed="false" customWidth="true" hidden="false" outlineLevel="0" max="11521" min="11521" style="0" width="0.14"/>
    <col collapsed="false" customWidth="true" hidden="false" outlineLevel="0" max="11522" min="11522" style="0" width="6.14"/>
    <col collapsed="false" customWidth="true" hidden="false" outlineLevel="0" max="11552" min="11523" style="0" width="5.57"/>
    <col collapsed="false" customWidth="true" hidden="false" outlineLevel="0" max="11554" min="11553" style="0" width="7.86"/>
    <col collapsed="false" customWidth="true" hidden="false" outlineLevel="0" max="11555" min="11555" style="0" width="5.57"/>
    <col collapsed="false" customWidth="true" hidden="false" outlineLevel="0" max="11568" min="11556" style="0" width="4.57"/>
    <col collapsed="false" customWidth="true" hidden="false" outlineLevel="0" max="11569" min="11569" style="0" width="4.86"/>
    <col collapsed="false" customWidth="true" hidden="false" outlineLevel="0" max="11573" min="11570" style="0" width="4.57"/>
    <col collapsed="false" customWidth="true" hidden="false" outlineLevel="0" max="11574" min="11574" style="0" width="5.57"/>
    <col collapsed="false" customWidth="true" hidden="false" outlineLevel="0" max="11577" min="11575" style="0" width="4.57"/>
    <col collapsed="false" customWidth="true" hidden="false" outlineLevel="0" max="11578" min="11578" style="0" width="5.14"/>
    <col collapsed="false" customWidth="true" hidden="false" outlineLevel="0" max="11582" min="11579" style="0" width="4.57"/>
    <col collapsed="false" customWidth="true" hidden="false" outlineLevel="0" max="11583" min="11583" style="0" width="5.14"/>
    <col collapsed="false" customWidth="true" hidden="false" outlineLevel="0" max="11601" min="11584" style="0" width="4.57"/>
    <col collapsed="false" customWidth="true" hidden="false" outlineLevel="0" max="11602" min="11602" style="0" width="6.14"/>
    <col collapsed="false" customWidth="true" hidden="false" outlineLevel="0" max="11603" min="11603" style="0" width="5.71"/>
    <col collapsed="false" customWidth="true" hidden="false" outlineLevel="0" max="11610" min="11604" style="0" width="4.57"/>
    <col collapsed="false" customWidth="true" hidden="false" outlineLevel="0" max="11611" min="11611" style="0" width="5.43"/>
    <col collapsed="false" customWidth="true" hidden="false" outlineLevel="0" max="11613" min="11612" style="0" width="4.57"/>
    <col collapsed="false" customWidth="true" hidden="false" outlineLevel="0" max="11614" min="11614" style="0" width="5.71"/>
    <col collapsed="false" customWidth="true" hidden="false" outlineLevel="0" max="11618" min="11615" style="0" width="4.57"/>
    <col collapsed="false" customWidth="true" hidden="false" outlineLevel="0" max="11619" min="11619" style="0" width="5.71"/>
    <col collapsed="false" customWidth="true" hidden="false" outlineLevel="0" max="11626" min="11620" style="0" width="4.57"/>
    <col collapsed="false" customWidth="true" hidden="false" outlineLevel="0" max="11627" min="11627" style="0" width="5.86"/>
    <col collapsed="false" customWidth="true" hidden="false" outlineLevel="0" max="11635" min="11628" style="0" width="4.57"/>
    <col collapsed="false" customWidth="true" hidden="false" outlineLevel="0" max="11637" min="11636" style="0" width="7.86"/>
    <col collapsed="false" customWidth="true" hidden="false" outlineLevel="0" max="11648" min="11638" style="0" width="2.86"/>
    <col collapsed="false" customWidth="true" hidden="false" outlineLevel="0" max="11777" min="11777" style="0" width="0.14"/>
    <col collapsed="false" customWidth="true" hidden="false" outlineLevel="0" max="11778" min="11778" style="0" width="6.14"/>
    <col collapsed="false" customWidth="true" hidden="false" outlineLevel="0" max="11808" min="11779" style="0" width="5.57"/>
    <col collapsed="false" customWidth="true" hidden="false" outlineLevel="0" max="11810" min="11809" style="0" width="7.86"/>
    <col collapsed="false" customWidth="true" hidden="false" outlineLevel="0" max="11811" min="11811" style="0" width="5.57"/>
    <col collapsed="false" customWidth="true" hidden="false" outlineLevel="0" max="11824" min="11812" style="0" width="4.57"/>
    <col collapsed="false" customWidth="true" hidden="false" outlineLevel="0" max="11825" min="11825" style="0" width="4.86"/>
    <col collapsed="false" customWidth="true" hidden="false" outlineLevel="0" max="11829" min="11826" style="0" width="4.57"/>
    <col collapsed="false" customWidth="true" hidden="false" outlineLevel="0" max="11830" min="11830" style="0" width="5.57"/>
    <col collapsed="false" customWidth="true" hidden="false" outlineLevel="0" max="11833" min="11831" style="0" width="4.57"/>
    <col collapsed="false" customWidth="true" hidden="false" outlineLevel="0" max="11834" min="11834" style="0" width="5.14"/>
    <col collapsed="false" customWidth="true" hidden="false" outlineLevel="0" max="11838" min="11835" style="0" width="4.57"/>
    <col collapsed="false" customWidth="true" hidden="false" outlineLevel="0" max="11839" min="11839" style="0" width="5.14"/>
    <col collapsed="false" customWidth="true" hidden="false" outlineLevel="0" max="11857" min="11840" style="0" width="4.57"/>
    <col collapsed="false" customWidth="true" hidden="false" outlineLevel="0" max="11858" min="11858" style="0" width="6.14"/>
    <col collapsed="false" customWidth="true" hidden="false" outlineLevel="0" max="11859" min="11859" style="0" width="5.71"/>
    <col collapsed="false" customWidth="true" hidden="false" outlineLevel="0" max="11866" min="11860" style="0" width="4.57"/>
    <col collapsed="false" customWidth="true" hidden="false" outlineLevel="0" max="11867" min="11867" style="0" width="5.43"/>
    <col collapsed="false" customWidth="true" hidden="false" outlineLevel="0" max="11869" min="11868" style="0" width="4.57"/>
    <col collapsed="false" customWidth="true" hidden="false" outlineLevel="0" max="11870" min="11870" style="0" width="5.71"/>
    <col collapsed="false" customWidth="true" hidden="false" outlineLevel="0" max="11874" min="11871" style="0" width="4.57"/>
    <col collapsed="false" customWidth="true" hidden="false" outlineLevel="0" max="11875" min="11875" style="0" width="5.71"/>
    <col collapsed="false" customWidth="true" hidden="false" outlineLevel="0" max="11882" min="11876" style="0" width="4.57"/>
    <col collapsed="false" customWidth="true" hidden="false" outlineLevel="0" max="11883" min="11883" style="0" width="5.86"/>
    <col collapsed="false" customWidth="true" hidden="false" outlineLevel="0" max="11891" min="11884" style="0" width="4.57"/>
    <col collapsed="false" customWidth="true" hidden="false" outlineLevel="0" max="11893" min="11892" style="0" width="7.86"/>
    <col collapsed="false" customWidth="true" hidden="false" outlineLevel="0" max="11904" min="11894" style="0" width="2.86"/>
    <col collapsed="false" customWidth="true" hidden="false" outlineLevel="0" max="12033" min="12033" style="0" width="0.14"/>
    <col collapsed="false" customWidth="true" hidden="false" outlineLevel="0" max="12034" min="12034" style="0" width="6.14"/>
    <col collapsed="false" customWidth="true" hidden="false" outlineLevel="0" max="12064" min="12035" style="0" width="5.57"/>
    <col collapsed="false" customWidth="true" hidden="false" outlineLevel="0" max="12066" min="12065" style="0" width="7.86"/>
    <col collapsed="false" customWidth="true" hidden="false" outlineLevel="0" max="12067" min="12067" style="0" width="5.57"/>
    <col collapsed="false" customWidth="true" hidden="false" outlineLevel="0" max="12080" min="12068" style="0" width="4.57"/>
    <col collapsed="false" customWidth="true" hidden="false" outlineLevel="0" max="12081" min="12081" style="0" width="4.86"/>
    <col collapsed="false" customWidth="true" hidden="false" outlineLevel="0" max="12085" min="12082" style="0" width="4.57"/>
    <col collapsed="false" customWidth="true" hidden="false" outlineLevel="0" max="12086" min="12086" style="0" width="5.57"/>
    <col collapsed="false" customWidth="true" hidden="false" outlineLevel="0" max="12089" min="12087" style="0" width="4.57"/>
    <col collapsed="false" customWidth="true" hidden="false" outlineLevel="0" max="12090" min="12090" style="0" width="5.14"/>
    <col collapsed="false" customWidth="true" hidden="false" outlineLevel="0" max="12094" min="12091" style="0" width="4.57"/>
    <col collapsed="false" customWidth="true" hidden="false" outlineLevel="0" max="12095" min="12095" style="0" width="5.14"/>
    <col collapsed="false" customWidth="true" hidden="false" outlineLevel="0" max="12113" min="12096" style="0" width="4.57"/>
    <col collapsed="false" customWidth="true" hidden="false" outlineLevel="0" max="12114" min="12114" style="0" width="6.14"/>
    <col collapsed="false" customWidth="true" hidden="false" outlineLevel="0" max="12115" min="12115" style="0" width="5.71"/>
    <col collapsed="false" customWidth="true" hidden="false" outlineLevel="0" max="12122" min="12116" style="0" width="4.57"/>
    <col collapsed="false" customWidth="true" hidden="false" outlineLevel="0" max="12123" min="12123" style="0" width="5.43"/>
    <col collapsed="false" customWidth="true" hidden="false" outlineLevel="0" max="12125" min="12124" style="0" width="4.57"/>
    <col collapsed="false" customWidth="true" hidden="false" outlineLevel="0" max="12126" min="12126" style="0" width="5.71"/>
    <col collapsed="false" customWidth="true" hidden="false" outlineLevel="0" max="12130" min="12127" style="0" width="4.57"/>
    <col collapsed="false" customWidth="true" hidden="false" outlineLevel="0" max="12131" min="12131" style="0" width="5.71"/>
    <col collapsed="false" customWidth="true" hidden="false" outlineLevel="0" max="12138" min="12132" style="0" width="4.57"/>
    <col collapsed="false" customWidth="true" hidden="false" outlineLevel="0" max="12139" min="12139" style="0" width="5.86"/>
    <col collapsed="false" customWidth="true" hidden="false" outlineLevel="0" max="12147" min="12140" style="0" width="4.57"/>
    <col collapsed="false" customWidth="true" hidden="false" outlineLevel="0" max="12149" min="12148" style="0" width="7.86"/>
    <col collapsed="false" customWidth="true" hidden="false" outlineLevel="0" max="12160" min="12150" style="0" width="2.86"/>
    <col collapsed="false" customWidth="true" hidden="false" outlineLevel="0" max="12289" min="12289" style="0" width="0.14"/>
    <col collapsed="false" customWidth="true" hidden="false" outlineLevel="0" max="12290" min="12290" style="0" width="6.14"/>
    <col collapsed="false" customWidth="true" hidden="false" outlineLevel="0" max="12320" min="12291" style="0" width="5.57"/>
    <col collapsed="false" customWidth="true" hidden="false" outlineLevel="0" max="12322" min="12321" style="0" width="7.86"/>
    <col collapsed="false" customWidth="true" hidden="false" outlineLevel="0" max="12323" min="12323" style="0" width="5.57"/>
    <col collapsed="false" customWidth="true" hidden="false" outlineLevel="0" max="12336" min="12324" style="0" width="4.57"/>
    <col collapsed="false" customWidth="true" hidden="false" outlineLevel="0" max="12337" min="12337" style="0" width="4.86"/>
    <col collapsed="false" customWidth="true" hidden="false" outlineLevel="0" max="12341" min="12338" style="0" width="4.57"/>
    <col collapsed="false" customWidth="true" hidden="false" outlineLevel="0" max="12342" min="12342" style="0" width="5.57"/>
    <col collapsed="false" customWidth="true" hidden="false" outlineLevel="0" max="12345" min="12343" style="0" width="4.57"/>
    <col collapsed="false" customWidth="true" hidden="false" outlineLevel="0" max="12346" min="12346" style="0" width="5.14"/>
    <col collapsed="false" customWidth="true" hidden="false" outlineLevel="0" max="12350" min="12347" style="0" width="4.57"/>
    <col collapsed="false" customWidth="true" hidden="false" outlineLevel="0" max="12351" min="12351" style="0" width="5.14"/>
    <col collapsed="false" customWidth="true" hidden="false" outlineLevel="0" max="12369" min="12352" style="0" width="4.57"/>
    <col collapsed="false" customWidth="true" hidden="false" outlineLevel="0" max="12370" min="12370" style="0" width="6.14"/>
    <col collapsed="false" customWidth="true" hidden="false" outlineLevel="0" max="12371" min="12371" style="0" width="5.71"/>
    <col collapsed="false" customWidth="true" hidden="false" outlineLevel="0" max="12378" min="12372" style="0" width="4.57"/>
    <col collapsed="false" customWidth="true" hidden="false" outlineLevel="0" max="12379" min="12379" style="0" width="5.43"/>
    <col collapsed="false" customWidth="true" hidden="false" outlineLevel="0" max="12381" min="12380" style="0" width="4.57"/>
    <col collapsed="false" customWidth="true" hidden="false" outlineLevel="0" max="12382" min="12382" style="0" width="5.71"/>
    <col collapsed="false" customWidth="true" hidden="false" outlineLevel="0" max="12386" min="12383" style="0" width="4.57"/>
    <col collapsed="false" customWidth="true" hidden="false" outlineLevel="0" max="12387" min="12387" style="0" width="5.71"/>
    <col collapsed="false" customWidth="true" hidden="false" outlineLevel="0" max="12394" min="12388" style="0" width="4.57"/>
    <col collapsed="false" customWidth="true" hidden="false" outlineLevel="0" max="12395" min="12395" style="0" width="5.86"/>
    <col collapsed="false" customWidth="true" hidden="false" outlineLevel="0" max="12403" min="12396" style="0" width="4.57"/>
    <col collapsed="false" customWidth="true" hidden="false" outlineLevel="0" max="12405" min="12404" style="0" width="7.86"/>
    <col collapsed="false" customWidth="true" hidden="false" outlineLevel="0" max="12416" min="12406" style="0" width="2.86"/>
    <col collapsed="false" customWidth="true" hidden="false" outlineLevel="0" max="12545" min="12545" style="0" width="0.14"/>
    <col collapsed="false" customWidth="true" hidden="false" outlineLevel="0" max="12546" min="12546" style="0" width="6.14"/>
    <col collapsed="false" customWidth="true" hidden="false" outlineLevel="0" max="12576" min="12547" style="0" width="5.57"/>
    <col collapsed="false" customWidth="true" hidden="false" outlineLevel="0" max="12578" min="12577" style="0" width="7.86"/>
    <col collapsed="false" customWidth="true" hidden="false" outlineLevel="0" max="12579" min="12579" style="0" width="5.57"/>
    <col collapsed="false" customWidth="true" hidden="false" outlineLevel="0" max="12592" min="12580" style="0" width="4.57"/>
    <col collapsed="false" customWidth="true" hidden="false" outlineLevel="0" max="12593" min="12593" style="0" width="4.86"/>
    <col collapsed="false" customWidth="true" hidden="false" outlineLevel="0" max="12597" min="12594" style="0" width="4.57"/>
    <col collapsed="false" customWidth="true" hidden="false" outlineLevel="0" max="12598" min="12598" style="0" width="5.57"/>
    <col collapsed="false" customWidth="true" hidden="false" outlineLevel="0" max="12601" min="12599" style="0" width="4.57"/>
    <col collapsed="false" customWidth="true" hidden="false" outlineLevel="0" max="12602" min="12602" style="0" width="5.14"/>
    <col collapsed="false" customWidth="true" hidden="false" outlineLevel="0" max="12606" min="12603" style="0" width="4.57"/>
    <col collapsed="false" customWidth="true" hidden="false" outlineLevel="0" max="12607" min="12607" style="0" width="5.14"/>
    <col collapsed="false" customWidth="true" hidden="false" outlineLevel="0" max="12625" min="12608" style="0" width="4.57"/>
    <col collapsed="false" customWidth="true" hidden="false" outlineLevel="0" max="12626" min="12626" style="0" width="6.14"/>
    <col collapsed="false" customWidth="true" hidden="false" outlineLevel="0" max="12627" min="12627" style="0" width="5.71"/>
    <col collapsed="false" customWidth="true" hidden="false" outlineLevel="0" max="12634" min="12628" style="0" width="4.57"/>
    <col collapsed="false" customWidth="true" hidden="false" outlineLevel="0" max="12635" min="12635" style="0" width="5.43"/>
    <col collapsed="false" customWidth="true" hidden="false" outlineLevel="0" max="12637" min="12636" style="0" width="4.57"/>
    <col collapsed="false" customWidth="true" hidden="false" outlineLevel="0" max="12638" min="12638" style="0" width="5.71"/>
    <col collapsed="false" customWidth="true" hidden="false" outlineLevel="0" max="12642" min="12639" style="0" width="4.57"/>
    <col collapsed="false" customWidth="true" hidden="false" outlineLevel="0" max="12643" min="12643" style="0" width="5.71"/>
    <col collapsed="false" customWidth="true" hidden="false" outlineLevel="0" max="12650" min="12644" style="0" width="4.57"/>
    <col collapsed="false" customWidth="true" hidden="false" outlineLevel="0" max="12651" min="12651" style="0" width="5.86"/>
    <col collapsed="false" customWidth="true" hidden="false" outlineLevel="0" max="12659" min="12652" style="0" width="4.57"/>
    <col collapsed="false" customWidth="true" hidden="false" outlineLevel="0" max="12661" min="12660" style="0" width="7.86"/>
    <col collapsed="false" customWidth="true" hidden="false" outlineLevel="0" max="12672" min="12662" style="0" width="2.86"/>
    <col collapsed="false" customWidth="true" hidden="false" outlineLevel="0" max="12801" min="12801" style="0" width="0.14"/>
    <col collapsed="false" customWidth="true" hidden="false" outlineLevel="0" max="12802" min="12802" style="0" width="6.14"/>
    <col collapsed="false" customWidth="true" hidden="false" outlineLevel="0" max="12832" min="12803" style="0" width="5.57"/>
    <col collapsed="false" customWidth="true" hidden="false" outlineLevel="0" max="12834" min="12833" style="0" width="7.86"/>
    <col collapsed="false" customWidth="true" hidden="false" outlineLevel="0" max="12835" min="12835" style="0" width="5.57"/>
    <col collapsed="false" customWidth="true" hidden="false" outlineLevel="0" max="12848" min="12836" style="0" width="4.57"/>
    <col collapsed="false" customWidth="true" hidden="false" outlineLevel="0" max="12849" min="12849" style="0" width="4.86"/>
    <col collapsed="false" customWidth="true" hidden="false" outlineLevel="0" max="12853" min="12850" style="0" width="4.57"/>
    <col collapsed="false" customWidth="true" hidden="false" outlineLevel="0" max="12854" min="12854" style="0" width="5.57"/>
    <col collapsed="false" customWidth="true" hidden="false" outlineLevel="0" max="12857" min="12855" style="0" width="4.57"/>
    <col collapsed="false" customWidth="true" hidden="false" outlineLevel="0" max="12858" min="12858" style="0" width="5.14"/>
    <col collapsed="false" customWidth="true" hidden="false" outlineLevel="0" max="12862" min="12859" style="0" width="4.57"/>
    <col collapsed="false" customWidth="true" hidden="false" outlineLevel="0" max="12863" min="12863" style="0" width="5.14"/>
    <col collapsed="false" customWidth="true" hidden="false" outlineLevel="0" max="12881" min="12864" style="0" width="4.57"/>
    <col collapsed="false" customWidth="true" hidden="false" outlineLevel="0" max="12882" min="12882" style="0" width="6.14"/>
    <col collapsed="false" customWidth="true" hidden="false" outlineLevel="0" max="12883" min="12883" style="0" width="5.71"/>
    <col collapsed="false" customWidth="true" hidden="false" outlineLevel="0" max="12890" min="12884" style="0" width="4.57"/>
    <col collapsed="false" customWidth="true" hidden="false" outlineLevel="0" max="12891" min="12891" style="0" width="5.43"/>
    <col collapsed="false" customWidth="true" hidden="false" outlineLevel="0" max="12893" min="12892" style="0" width="4.57"/>
    <col collapsed="false" customWidth="true" hidden="false" outlineLevel="0" max="12894" min="12894" style="0" width="5.71"/>
    <col collapsed="false" customWidth="true" hidden="false" outlineLevel="0" max="12898" min="12895" style="0" width="4.57"/>
    <col collapsed="false" customWidth="true" hidden="false" outlineLevel="0" max="12899" min="12899" style="0" width="5.71"/>
    <col collapsed="false" customWidth="true" hidden="false" outlineLevel="0" max="12906" min="12900" style="0" width="4.57"/>
    <col collapsed="false" customWidth="true" hidden="false" outlineLevel="0" max="12907" min="12907" style="0" width="5.86"/>
    <col collapsed="false" customWidth="true" hidden="false" outlineLevel="0" max="12915" min="12908" style="0" width="4.57"/>
    <col collapsed="false" customWidth="true" hidden="false" outlineLevel="0" max="12917" min="12916" style="0" width="7.86"/>
    <col collapsed="false" customWidth="true" hidden="false" outlineLevel="0" max="12928" min="12918" style="0" width="2.86"/>
    <col collapsed="false" customWidth="true" hidden="false" outlineLevel="0" max="13057" min="13057" style="0" width="0.14"/>
    <col collapsed="false" customWidth="true" hidden="false" outlineLevel="0" max="13058" min="13058" style="0" width="6.14"/>
    <col collapsed="false" customWidth="true" hidden="false" outlineLevel="0" max="13088" min="13059" style="0" width="5.57"/>
    <col collapsed="false" customWidth="true" hidden="false" outlineLevel="0" max="13090" min="13089" style="0" width="7.86"/>
    <col collapsed="false" customWidth="true" hidden="false" outlineLevel="0" max="13091" min="13091" style="0" width="5.57"/>
    <col collapsed="false" customWidth="true" hidden="false" outlineLevel="0" max="13104" min="13092" style="0" width="4.57"/>
    <col collapsed="false" customWidth="true" hidden="false" outlineLevel="0" max="13105" min="13105" style="0" width="4.86"/>
    <col collapsed="false" customWidth="true" hidden="false" outlineLevel="0" max="13109" min="13106" style="0" width="4.57"/>
    <col collapsed="false" customWidth="true" hidden="false" outlineLevel="0" max="13110" min="13110" style="0" width="5.57"/>
    <col collapsed="false" customWidth="true" hidden="false" outlineLevel="0" max="13113" min="13111" style="0" width="4.57"/>
    <col collapsed="false" customWidth="true" hidden="false" outlineLevel="0" max="13114" min="13114" style="0" width="5.14"/>
    <col collapsed="false" customWidth="true" hidden="false" outlineLevel="0" max="13118" min="13115" style="0" width="4.57"/>
    <col collapsed="false" customWidth="true" hidden="false" outlineLevel="0" max="13119" min="13119" style="0" width="5.14"/>
    <col collapsed="false" customWidth="true" hidden="false" outlineLevel="0" max="13137" min="13120" style="0" width="4.57"/>
    <col collapsed="false" customWidth="true" hidden="false" outlineLevel="0" max="13138" min="13138" style="0" width="6.14"/>
    <col collapsed="false" customWidth="true" hidden="false" outlineLevel="0" max="13139" min="13139" style="0" width="5.71"/>
    <col collapsed="false" customWidth="true" hidden="false" outlineLevel="0" max="13146" min="13140" style="0" width="4.57"/>
    <col collapsed="false" customWidth="true" hidden="false" outlineLevel="0" max="13147" min="13147" style="0" width="5.43"/>
    <col collapsed="false" customWidth="true" hidden="false" outlineLevel="0" max="13149" min="13148" style="0" width="4.57"/>
    <col collapsed="false" customWidth="true" hidden="false" outlineLevel="0" max="13150" min="13150" style="0" width="5.71"/>
    <col collapsed="false" customWidth="true" hidden="false" outlineLevel="0" max="13154" min="13151" style="0" width="4.57"/>
    <col collapsed="false" customWidth="true" hidden="false" outlineLevel="0" max="13155" min="13155" style="0" width="5.71"/>
    <col collapsed="false" customWidth="true" hidden="false" outlineLevel="0" max="13162" min="13156" style="0" width="4.57"/>
    <col collapsed="false" customWidth="true" hidden="false" outlineLevel="0" max="13163" min="13163" style="0" width="5.86"/>
    <col collapsed="false" customWidth="true" hidden="false" outlineLevel="0" max="13171" min="13164" style="0" width="4.57"/>
    <col collapsed="false" customWidth="true" hidden="false" outlineLevel="0" max="13173" min="13172" style="0" width="7.86"/>
    <col collapsed="false" customWidth="true" hidden="false" outlineLevel="0" max="13184" min="13174" style="0" width="2.86"/>
    <col collapsed="false" customWidth="true" hidden="false" outlineLevel="0" max="13313" min="13313" style="0" width="0.14"/>
    <col collapsed="false" customWidth="true" hidden="false" outlineLevel="0" max="13314" min="13314" style="0" width="6.14"/>
    <col collapsed="false" customWidth="true" hidden="false" outlineLevel="0" max="13344" min="13315" style="0" width="5.57"/>
    <col collapsed="false" customWidth="true" hidden="false" outlineLevel="0" max="13346" min="13345" style="0" width="7.86"/>
    <col collapsed="false" customWidth="true" hidden="false" outlineLevel="0" max="13347" min="13347" style="0" width="5.57"/>
    <col collapsed="false" customWidth="true" hidden="false" outlineLevel="0" max="13360" min="13348" style="0" width="4.57"/>
    <col collapsed="false" customWidth="true" hidden="false" outlineLevel="0" max="13361" min="13361" style="0" width="4.86"/>
    <col collapsed="false" customWidth="true" hidden="false" outlineLevel="0" max="13365" min="13362" style="0" width="4.57"/>
    <col collapsed="false" customWidth="true" hidden="false" outlineLevel="0" max="13366" min="13366" style="0" width="5.57"/>
    <col collapsed="false" customWidth="true" hidden="false" outlineLevel="0" max="13369" min="13367" style="0" width="4.57"/>
    <col collapsed="false" customWidth="true" hidden="false" outlineLevel="0" max="13370" min="13370" style="0" width="5.14"/>
    <col collapsed="false" customWidth="true" hidden="false" outlineLevel="0" max="13374" min="13371" style="0" width="4.57"/>
    <col collapsed="false" customWidth="true" hidden="false" outlineLevel="0" max="13375" min="13375" style="0" width="5.14"/>
    <col collapsed="false" customWidth="true" hidden="false" outlineLevel="0" max="13393" min="13376" style="0" width="4.57"/>
    <col collapsed="false" customWidth="true" hidden="false" outlineLevel="0" max="13394" min="13394" style="0" width="6.14"/>
    <col collapsed="false" customWidth="true" hidden="false" outlineLevel="0" max="13395" min="13395" style="0" width="5.71"/>
    <col collapsed="false" customWidth="true" hidden="false" outlineLevel="0" max="13402" min="13396" style="0" width="4.57"/>
    <col collapsed="false" customWidth="true" hidden="false" outlineLevel="0" max="13403" min="13403" style="0" width="5.43"/>
    <col collapsed="false" customWidth="true" hidden="false" outlineLevel="0" max="13405" min="13404" style="0" width="4.57"/>
    <col collapsed="false" customWidth="true" hidden="false" outlineLevel="0" max="13406" min="13406" style="0" width="5.71"/>
    <col collapsed="false" customWidth="true" hidden="false" outlineLevel="0" max="13410" min="13407" style="0" width="4.57"/>
    <col collapsed="false" customWidth="true" hidden="false" outlineLevel="0" max="13411" min="13411" style="0" width="5.71"/>
    <col collapsed="false" customWidth="true" hidden="false" outlineLevel="0" max="13418" min="13412" style="0" width="4.57"/>
    <col collapsed="false" customWidth="true" hidden="false" outlineLevel="0" max="13419" min="13419" style="0" width="5.86"/>
    <col collapsed="false" customWidth="true" hidden="false" outlineLevel="0" max="13427" min="13420" style="0" width="4.57"/>
    <col collapsed="false" customWidth="true" hidden="false" outlineLevel="0" max="13429" min="13428" style="0" width="7.86"/>
    <col collapsed="false" customWidth="true" hidden="false" outlineLevel="0" max="13440" min="13430" style="0" width="2.86"/>
    <col collapsed="false" customWidth="true" hidden="false" outlineLevel="0" max="13569" min="13569" style="0" width="0.14"/>
    <col collapsed="false" customWidth="true" hidden="false" outlineLevel="0" max="13570" min="13570" style="0" width="6.14"/>
    <col collapsed="false" customWidth="true" hidden="false" outlineLevel="0" max="13600" min="13571" style="0" width="5.57"/>
    <col collapsed="false" customWidth="true" hidden="false" outlineLevel="0" max="13602" min="13601" style="0" width="7.86"/>
    <col collapsed="false" customWidth="true" hidden="false" outlineLevel="0" max="13603" min="13603" style="0" width="5.57"/>
    <col collapsed="false" customWidth="true" hidden="false" outlineLevel="0" max="13616" min="13604" style="0" width="4.57"/>
    <col collapsed="false" customWidth="true" hidden="false" outlineLevel="0" max="13617" min="13617" style="0" width="4.86"/>
    <col collapsed="false" customWidth="true" hidden="false" outlineLevel="0" max="13621" min="13618" style="0" width="4.57"/>
    <col collapsed="false" customWidth="true" hidden="false" outlineLevel="0" max="13622" min="13622" style="0" width="5.57"/>
    <col collapsed="false" customWidth="true" hidden="false" outlineLevel="0" max="13625" min="13623" style="0" width="4.57"/>
    <col collapsed="false" customWidth="true" hidden="false" outlineLevel="0" max="13626" min="13626" style="0" width="5.14"/>
    <col collapsed="false" customWidth="true" hidden="false" outlineLevel="0" max="13630" min="13627" style="0" width="4.57"/>
    <col collapsed="false" customWidth="true" hidden="false" outlineLevel="0" max="13631" min="13631" style="0" width="5.14"/>
    <col collapsed="false" customWidth="true" hidden="false" outlineLevel="0" max="13649" min="13632" style="0" width="4.57"/>
    <col collapsed="false" customWidth="true" hidden="false" outlineLevel="0" max="13650" min="13650" style="0" width="6.14"/>
    <col collapsed="false" customWidth="true" hidden="false" outlineLevel="0" max="13651" min="13651" style="0" width="5.71"/>
    <col collapsed="false" customWidth="true" hidden="false" outlineLevel="0" max="13658" min="13652" style="0" width="4.57"/>
    <col collapsed="false" customWidth="true" hidden="false" outlineLevel="0" max="13659" min="13659" style="0" width="5.43"/>
    <col collapsed="false" customWidth="true" hidden="false" outlineLevel="0" max="13661" min="13660" style="0" width="4.57"/>
    <col collapsed="false" customWidth="true" hidden="false" outlineLevel="0" max="13662" min="13662" style="0" width="5.71"/>
    <col collapsed="false" customWidth="true" hidden="false" outlineLevel="0" max="13666" min="13663" style="0" width="4.57"/>
    <col collapsed="false" customWidth="true" hidden="false" outlineLevel="0" max="13667" min="13667" style="0" width="5.71"/>
    <col collapsed="false" customWidth="true" hidden="false" outlineLevel="0" max="13674" min="13668" style="0" width="4.57"/>
    <col collapsed="false" customWidth="true" hidden="false" outlineLevel="0" max="13675" min="13675" style="0" width="5.86"/>
    <col collapsed="false" customWidth="true" hidden="false" outlineLevel="0" max="13683" min="13676" style="0" width="4.57"/>
    <col collapsed="false" customWidth="true" hidden="false" outlineLevel="0" max="13685" min="13684" style="0" width="7.86"/>
    <col collapsed="false" customWidth="true" hidden="false" outlineLevel="0" max="13696" min="13686" style="0" width="2.86"/>
    <col collapsed="false" customWidth="true" hidden="false" outlineLevel="0" max="13825" min="13825" style="0" width="0.14"/>
    <col collapsed="false" customWidth="true" hidden="false" outlineLevel="0" max="13826" min="13826" style="0" width="6.14"/>
    <col collapsed="false" customWidth="true" hidden="false" outlineLevel="0" max="13856" min="13827" style="0" width="5.57"/>
    <col collapsed="false" customWidth="true" hidden="false" outlineLevel="0" max="13858" min="13857" style="0" width="7.86"/>
    <col collapsed="false" customWidth="true" hidden="false" outlineLevel="0" max="13859" min="13859" style="0" width="5.57"/>
    <col collapsed="false" customWidth="true" hidden="false" outlineLevel="0" max="13872" min="13860" style="0" width="4.57"/>
    <col collapsed="false" customWidth="true" hidden="false" outlineLevel="0" max="13873" min="13873" style="0" width="4.86"/>
    <col collapsed="false" customWidth="true" hidden="false" outlineLevel="0" max="13877" min="13874" style="0" width="4.57"/>
    <col collapsed="false" customWidth="true" hidden="false" outlineLevel="0" max="13878" min="13878" style="0" width="5.57"/>
    <col collapsed="false" customWidth="true" hidden="false" outlineLevel="0" max="13881" min="13879" style="0" width="4.57"/>
    <col collapsed="false" customWidth="true" hidden="false" outlineLevel="0" max="13882" min="13882" style="0" width="5.14"/>
    <col collapsed="false" customWidth="true" hidden="false" outlineLevel="0" max="13886" min="13883" style="0" width="4.57"/>
    <col collapsed="false" customWidth="true" hidden="false" outlineLevel="0" max="13887" min="13887" style="0" width="5.14"/>
    <col collapsed="false" customWidth="true" hidden="false" outlineLevel="0" max="13905" min="13888" style="0" width="4.57"/>
    <col collapsed="false" customWidth="true" hidden="false" outlineLevel="0" max="13906" min="13906" style="0" width="6.14"/>
    <col collapsed="false" customWidth="true" hidden="false" outlineLevel="0" max="13907" min="13907" style="0" width="5.71"/>
    <col collapsed="false" customWidth="true" hidden="false" outlineLevel="0" max="13914" min="13908" style="0" width="4.57"/>
    <col collapsed="false" customWidth="true" hidden="false" outlineLevel="0" max="13915" min="13915" style="0" width="5.43"/>
    <col collapsed="false" customWidth="true" hidden="false" outlineLevel="0" max="13917" min="13916" style="0" width="4.57"/>
    <col collapsed="false" customWidth="true" hidden="false" outlineLevel="0" max="13918" min="13918" style="0" width="5.71"/>
    <col collapsed="false" customWidth="true" hidden="false" outlineLevel="0" max="13922" min="13919" style="0" width="4.57"/>
    <col collapsed="false" customWidth="true" hidden="false" outlineLevel="0" max="13923" min="13923" style="0" width="5.71"/>
    <col collapsed="false" customWidth="true" hidden="false" outlineLevel="0" max="13930" min="13924" style="0" width="4.57"/>
    <col collapsed="false" customWidth="true" hidden="false" outlineLevel="0" max="13931" min="13931" style="0" width="5.86"/>
    <col collapsed="false" customWidth="true" hidden="false" outlineLevel="0" max="13939" min="13932" style="0" width="4.57"/>
    <col collapsed="false" customWidth="true" hidden="false" outlineLevel="0" max="13941" min="13940" style="0" width="7.86"/>
    <col collapsed="false" customWidth="true" hidden="false" outlineLevel="0" max="13952" min="13942" style="0" width="2.86"/>
    <col collapsed="false" customWidth="true" hidden="false" outlineLevel="0" max="14081" min="14081" style="0" width="0.14"/>
    <col collapsed="false" customWidth="true" hidden="false" outlineLevel="0" max="14082" min="14082" style="0" width="6.14"/>
    <col collapsed="false" customWidth="true" hidden="false" outlineLevel="0" max="14112" min="14083" style="0" width="5.57"/>
    <col collapsed="false" customWidth="true" hidden="false" outlineLevel="0" max="14114" min="14113" style="0" width="7.86"/>
    <col collapsed="false" customWidth="true" hidden="false" outlineLevel="0" max="14115" min="14115" style="0" width="5.57"/>
    <col collapsed="false" customWidth="true" hidden="false" outlineLevel="0" max="14128" min="14116" style="0" width="4.57"/>
    <col collapsed="false" customWidth="true" hidden="false" outlineLevel="0" max="14129" min="14129" style="0" width="4.86"/>
    <col collapsed="false" customWidth="true" hidden="false" outlineLevel="0" max="14133" min="14130" style="0" width="4.57"/>
    <col collapsed="false" customWidth="true" hidden="false" outlineLevel="0" max="14134" min="14134" style="0" width="5.57"/>
    <col collapsed="false" customWidth="true" hidden="false" outlineLevel="0" max="14137" min="14135" style="0" width="4.57"/>
    <col collapsed="false" customWidth="true" hidden="false" outlineLevel="0" max="14138" min="14138" style="0" width="5.14"/>
    <col collapsed="false" customWidth="true" hidden="false" outlineLevel="0" max="14142" min="14139" style="0" width="4.57"/>
    <col collapsed="false" customWidth="true" hidden="false" outlineLevel="0" max="14143" min="14143" style="0" width="5.14"/>
    <col collapsed="false" customWidth="true" hidden="false" outlineLevel="0" max="14161" min="14144" style="0" width="4.57"/>
    <col collapsed="false" customWidth="true" hidden="false" outlineLevel="0" max="14162" min="14162" style="0" width="6.14"/>
    <col collapsed="false" customWidth="true" hidden="false" outlineLevel="0" max="14163" min="14163" style="0" width="5.71"/>
    <col collapsed="false" customWidth="true" hidden="false" outlineLevel="0" max="14170" min="14164" style="0" width="4.57"/>
    <col collapsed="false" customWidth="true" hidden="false" outlineLevel="0" max="14171" min="14171" style="0" width="5.43"/>
    <col collapsed="false" customWidth="true" hidden="false" outlineLevel="0" max="14173" min="14172" style="0" width="4.57"/>
    <col collapsed="false" customWidth="true" hidden="false" outlineLevel="0" max="14174" min="14174" style="0" width="5.71"/>
    <col collapsed="false" customWidth="true" hidden="false" outlineLevel="0" max="14178" min="14175" style="0" width="4.57"/>
    <col collapsed="false" customWidth="true" hidden="false" outlineLevel="0" max="14179" min="14179" style="0" width="5.71"/>
    <col collapsed="false" customWidth="true" hidden="false" outlineLevel="0" max="14186" min="14180" style="0" width="4.57"/>
    <col collapsed="false" customWidth="true" hidden="false" outlineLevel="0" max="14187" min="14187" style="0" width="5.86"/>
    <col collapsed="false" customWidth="true" hidden="false" outlineLevel="0" max="14195" min="14188" style="0" width="4.57"/>
    <col collapsed="false" customWidth="true" hidden="false" outlineLevel="0" max="14197" min="14196" style="0" width="7.86"/>
    <col collapsed="false" customWidth="true" hidden="false" outlineLevel="0" max="14208" min="14198" style="0" width="2.86"/>
    <col collapsed="false" customWidth="true" hidden="false" outlineLevel="0" max="14337" min="14337" style="0" width="0.14"/>
    <col collapsed="false" customWidth="true" hidden="false" outlineLevel="0" max="14338" min="14338" style="0" width="6.14"/>
    <col collapsed="false" customWidth="true" hidden="false" outlineLevel="0" max="14368" min="14339" style="0" width="5.57"/>
    <col collapsed="false" customWidth="true" hidden="false" outlineLevel="0" max="14370" min="14369" style="0" width="7.86"/>
    <col collapsed="false" customWidth="true" hidden="false" outlineLevel="0" max="14371" min="14371" style="0" width="5.57"/>
    <col collapsed="false" customWidth="true" hidden="false" outlineLevel="0" max="14384" min="14372" style="0" width="4.57"/>
    <col collapsed="false" customWidth="true" hidden="false" outlineLevel="0" max="14385" min="14385" style="0" width="4.86"/>
    <col collapsed="false" customWidth="true" hidden="false" outlineLevel="0" max="14389" min="14386" style="0" width="4.57"/>
    <col collapsed="false" customWidth="true" hidden="false" outlineLevel="0" max="14390" min="14390" style="0" width="5.57"/>
    <col collapsed="false" customWidth="true" hidden="false" outlineLevel="0" max="14393" min="14391" style="0" width="4.57"/>
    <col collapsed="false" customWidth="true" hidden="false" outlineLevel="0" max="14394" min="14394" style="0" width="5.14"/>
    <col collapsed="false" customWidth="true" hidden="false" outlineLevel="0" max="14398" min="14395" style="0" width="4.57"/>
    <col collapsed="false" customWidth="true" hidden="false" outlineLevel="0" max="14399" min="14399" style="0" width="5.14"/>
    <col collapsed="false" customWidth="true" hidden="false" outlineLevel="0" max="14417" min="14400" style="0" width="4.57"/>
    <col collapsed="false" customWidth="true" hidden="false" outlineLevel="0" max="14418" min="14418" style="0" width="6.14"/>
    <col collapsed="false" customWidth="true" hidden="false" outlineLevel="0" max="14419" min="14419" style="0" width="5.71"/>
    <col collapsed="false" customWidth="true" hidden="false" outlineLevel="0" max="14426" min="14420" style="0" width="4.57"/>
    <col collapsed="false" customWidth="true" hidden="false" outlineLevel="0" max="14427" min="14427" style="0" width="5.43"/>
    <col collapsed="false" customWidth="true" hidden="false" outlineLevel="0" max="14429" min="14428" style="0" width="4.57"/>
    <col collapsed="false" customWidth="true" hidden="false" outlineLevel="0" max="14430" min="14430" style="0" width="5.71"/>
    <col collapsed="false" customWidth="true" hidden="false" outlineLevel="0" max="14434" min="14431" style="0" width="4.57"/>
    <col collapsed="false" customWidth="true" hidden="false" outlineLevel="0" max="14435" min="14435" style="0" width="5.71"/>
    <col collapsed="false" customWidth="true" hidden="false" outlineLevel="0" max="14442" min="14436" style="0" width="4.57"/>
    <col collapsed="false" customWidth="true" hidden="false" outlineLevel="0" max="14443" min="14443" style="0" width="5.86"/>
    <col collapsed="false" customWidth="true" hidden="false" outlineLevel="0" max="14451" min="14444" style="0" width="4.57"/>
    <col collapsed="false" customWidth="true" hidden="false" outlineLevel="0" max="14453" min="14452" style="0" width="7.86"/>
    <col collapsed="false" customWidth="true" hidden="false" outlineLevel="0" max="14464" min="14454" style="0" width="2.86"/>
    <col collapsed="false" customWidth="true" hidden="false" outlineLevel="0" max="14593" min="14593" style="0" width="0.14"/>
    <col collapsed="false" customWidth="true" hidden="false" outlineLevel="0" max="14594" min="14594" style="0" width="6.14"/>
    <col collapsed="false" customWidth="true" hidden="false" outlineLevel="0" max="14624" min="14595" style="0" width="5.57"/>
    <col collapsed="false" customWidth="true" hidden="false" outlineLevel="0" max="14626" min="14625" style="0" width="7.86"/>
    <col collapsed="false" customWidth="true" hidden="false" outlineLevel="0" max="14627" min="14627" style="0" width="5.57"/>
    <col collapsed="false" customWidth="true" hidden="false" outlineLevel="0" max="14640" min="14628" style="0" width="4.57"/>
    <col collapsed="false" customWidth="true" hidden="false" outlineLevel="0" max="14641" min="14641" style="0" width="4.86"/>
    <col collapsed="false" customWidth="true" hidden="false" outlineLevel="0" max="14645" min="14642" style="0" width="4.57"/>
    <col collapsed="false" customWidth="true" hidden="false" outlineLevel="0" max="14646" min="14646" style="0" width="5.57"/>
    <col collapsed="false" customWidth="true" hidden="false" outlineLevel="0" max="14649" min="14647" style="0" width="4.57"/>
    <col collapsed="false" customWidth="true" hidden="false" outlineLevel="0" max="14650" min="14650" style="0" width="5.14"/>
    <col collapsed="false" customWidth="true" hidden="false" outlineLevel="0" max="14654" min="14651" style="0" width="4.57"/>
    <col collapsed="false" customWidth="true" hidden="false" outlineLevel="0" max="14655" min="14655" style="0" width="5.14"/>
    <col collapsed="false" customWidth="true" hidden="false" outlineLevel="0" max="14673" min="14656" style="0" width="4.57"/>
    <col collapsed="false" customWidth="true" hidden="false" outlineLevel="0" max="14674" min="14674" style="0" width="6.14"/>
    <col collapsed="false" customWidth="true" hidden="false" outlineLevel="0" max="14675" min="14675" style="0" width="5.71"/>
    <col collapsed="false" customWidth="true" hidden="false" outlineLevel="0" max="14682" min="14676" style="0" width="4.57"/>
    <col collapsed="false" customWidth="true" hidden="false" outlineLevel="0" max="14683" min="14683" style="0" width="5.43"/>
    <col collapsed="false" customWidth="true" hidden="false" outlineLevel="0" max="14685" min="14684" style="0" width="4.57"/>
    <col collapsed="false" customWidth="true" hidden="false" outlineLevel="0" max="14686" min="14686" style="0" width="5.71"/>
    <col collapsed="false" customWidth="true" hidden="false" outlineLevel="0" max="14690" min="14687" style="0" width="4.57"/>
    <col collapsed="false" customWidth="true" hidden="false" outlineLevel="0" max="14691" min="14691" style="0" width="5.71"/>
    <col collapsed="false" customWidth="true" hidden="false" outlineLevel="0" max="14698" min="14692" style="0" width="4.57"/>
    <col collapsed="false" customWidth="true" hidden="false" outlineLevel="0" max="14699" min="14699" style="0" width="5.86"/>
    <col collapsed="false" customWidth="true" hidden="false" outlineLevel="0" max="14707" min="14700" style="0" width="4.57"/>
    <col collapsed="false" customWidth="true" hidden="false" outlineLevel="0" max="14709" min="14708" style="0" width="7.86"/>
    <col collapsed="false" customWidth="true" hidden="false" outlineLevel="0" max="14720" min="14710" style="0" width="2.86"/>
    <col collapsed="false" customWidth="true" hidden="false" outlineLevel="0" max="14849" min="14849" style="0" width="0.14"/>
    <col collapsed="false" customWidth="true" hidden="false" outlineLevel="0" max="14850" min="14850" style="0" width="6.14"/>
    <col collapsed="false" customWidth="true" hidden="false" outlineLevel="0" max="14880" min="14851" style="0" width="5.57"/>
    <col collapsed="false" customWidth="true" hidden="false" outlineLevel="0" max="14882" min="14881" style="0" width="7.86"/>
    <col collapsed="false" customWidth="true" hidden="false" outlineLevel="0" max="14883" min="14883" style="0" width="5.57"/>
    <col collapsed="false" customWidth="true" hidden="false" outlineLevel="0" max="14896" min="14884" style="0" width="4.57"/>
    <col collapsed="false" customWidth="true" hidden="false" outlineLevel="0" max="14897" min="14897" style="0" width="4.86"/>
    <col collapsed="false" customWidth="true" hidden="false" outlineLevel="0" max="14901" min="14898" style="0" width="4.57"/>
    <col collapsed="false" customWidth="true" hidden="false" outlineLevel="0" max="14902" min="14902" style="0" width="5.57"/>
    <col collapsed="false" customWidth="true" hidden="false" outlineLevel="0" max="14905" min="14903" style="0" width="4.57"/>
    <col collapsed="false" customWidth="true" hidden="false" outlineLevel="0" max="14906" min="14906" style="0" width="5.14"/>
    <col collapsed="false" customWidth="true" hidden="false" outlineLevel="0" max="14910" min="14907" style="0" width="4.57"/>
    <col collapsed="false" customWidth="true" hidden="false" outlineLevel="0" max="14911" min="14911" style="0" width="5.14"/>
    <col collapsed="false" customWidth="true" hidden="false" outlineLevel="0" max="14929" min="14912" style="0" width="4.57"/>
    <col collapsed="false" customWidth="true" hidden="false" outlineLevel="0" max="14930" min="14930" style="0" width="6.14"/>
    <col collapsed="false" customWidth="true" hidden="false" outlineLevel="0" max="14931" min="14931" style="0" width="5.71"/>
    <col collapsed="false" customWidth="true" hidden="false" outlineLevel="0" max="14938" min="14932" style="0" width="4.57"/>
    <col collapsed="false" customWidth="true" hidden="false" outlineLevel="0" max="14939" min="14939" style="0" width="5.43"/>
    <col collapsed="false" customWidth="true" hidden="false" outlineLevel="0" max="14941" min="14940" style="0" width="4.57"/>
    <col collapsed="false" customWidth="true" hidden="false" outlineLevel="0" max="14942" min="14942" style="0" width="5.71"/>
    <col collapsed="false" customWidth="true" hidden="false" outlineLevel="0" max="14946" min="14943" style="0" width="4.57"/>
    <col collapsed="false" customWidth="true" hidden="false" outlineLevel="0" max="14947" min="14947" style="0" width="5.71"/>
    <col collapsed="false" customWidth="true" hidden="false" outlineLevel="0" max="14954" min="14948" style="0" width="4.57"/>
    <col collapsed="false" customWidth="true" hidden="false" outlineLevel="0" max="14955" min="14955" style="0" width="5.86"/>
    <col collapsed="false" customWidth="true" hidden="false" outlineLevel="0" max="14963" min="14956" style="0" width="4.57"/>
    <col collapsed="false" customWidth="true" hidden="false" outlineLevel="0" max="14965" min="14964" style="0" width="7.86"/>
    <col collapsed="false" customWidth="true" hidden="false" outlineLevel="0" max="14976" min="14966" style="0" width="2.86"/>
    <col collapsed="false" customWidth="true" hidden="false" outlineLevel="0" max="15105" min="15105" style="0" width="0.14"/>
    <col collapsed="false" customWidth="true" hidden="false" outlineLevel="0" max="15106" min="15106" style="0" width="6.14"/>
    <col collapsed="false" customWidth="true" hidden="false" outlineLevel="0" max="15136" min="15107" style="0" width="5.57"/>
    <col collapsed="false" customWidth="true" hidden="false" outlineLevel="0" max="15138" min="15137" style="0" width="7.86"/>
    <col collapsed="false" customWidth="true" hidden="false" outlineLevel="0" max="15139" min="15139" style="0" width="5.57"/>
    <col collapsed="false" customWidth="true" hidden="false" outlineLevel="0" max="15152" min="15140" style="0" width="4.57"/>
    <col collapsed="false" customWidth="true" hidden="false" outlineLevel="0" max="15153" min="15153" style="0" width="4.86"/>
    <col collapsed="false" customWidth="true" hidden="false" outlineLevel="0" max="15157" min="15154" style="0" width="4.57"/>
    <col collapsed="false" customWidth="true" hidden="false" outlineLevel="0" max="15158" min="15158" style="0" width="5.57"/>
    <col collapsed="false" customWidth="true" hidden="false" outlineLevel="0" max="15161" min="15159" style="0" width="4.57"/>
    <col collapsed="false" customWidth="true" hidden="false" outlineLevel="0" max="15162" min="15162" style="0" width="5.14"/>
    <col collapsed="false" customWidth="true" hidden="false" outlineLevel="0" max="15166" min="15163" style="0" width="4.57"/>
    <col collapsed="false" customWidth="true" hidden="false" outlineLevel="0" max="15167" min="15167" style="0" width="5.14"/>
    <col collapsed="false" customWidth="true" hidden="false" outlineLevel="0" max="15185" min="15168" style="0" width="4.57"/>
    <col collapsed="false" customWidth="true" hidden="false" outlineLevel="0" max="15186" min="15186" style="0" width="6.14"/>
    <col collapsed="false" customWidth="true" hidden="false" outlineLevel="0" max="15187" min="15187" style="0" width="5.71"/>
    <col collapsed="false" customWidth="true" hidden="false" outlineLevel="0" max="15194" min="15188" style="0" width="4.57"/>
    <col collapsed="false" customWidth="true" hidden="false" outlineLevel="0" max="15195" min="15195" style="0" width="5.43"/>
    <col collapsed="false" customWidth="true" hidden="false" outlineLevel="0" max="15197" min="15196" style="0" width="4.57"/>
    <col collapsed="false" customWidth="true" hidden="false" outlineLevel="0" max="15198" min="15198" style="0" width="5.71"/>
    <col collapsed="false" customWidth="true" hidden="false" outlineLevel="0" max="15202" min="15199" style="0" width="4.57"/>
    <col collapsed="false" customWidth="true" hidden="false" outlineLevel="0" max="15203" min="15203" style="0" width="5.71"/>
    <col collapsed="false" customWidth="true" hidden="false" outlineLevel="0" max="15210" min="15204" style="0" width="4.57"/>
    <col collapsed="false" customWidth="true" hidden="false" outlineLevel="0" max="15211" min="15211" style="0" width="5.86"/>
    <col collapsed="false" customWidth="true" hidden="false" outlineLevel="0" max="15219" min="15212" style="0" width="4.57"/>
    <col collapsed="false" customWidth="true" hidden="false" outlineLevel="0" max="15221" min="15220" style="0" width="7.86"/>
    <col collapsed="false" customWidth="true" hidden="false" outlineLevel="0" max="15232" min="15222" style="0" width="2.86"/>
    <col collapsed="false" customWidth="true" hidden="false" outlineLevel="0" max="15361" min="15361" style="0" width="0.14"/>
    <col collapsed="false" customWidth="true" hidden="false" outlineLevel="0" max="15362" min="15362" style="0" width="6.14"/>
    <col collapsed="false" customWidth="true" hidden="false" outlineLevel="0" max="15392" min="15363" style="0" width="5.57"/>
    <col collapsed="false" customWidth="true" hidden="false" outlineLevel="0" max="15394" min="15393" style="0" width="7.86"/>
    <col collapsed="false" customWidth="true" hidden="false" outlineLevel="0" max="15395" min="15395" style="0" width="5.57"/>
    <col collapsed="false" customWidth="true" hidden="false" outlineLevel="0" max="15408" min="15396" style="0" width="4.57"/>
    <col collapsed="false" customWidth="true" hidden="false" outlineLevel="0" max="15409" min="15409" style="0" width="4.86"/>
    <col collapsed="false" customWidth="true" hidden="false" outlineLevel="0" max="15413" min="15410" style="0" width="4.57"/>
    <col collapsed="false" customWidth="true" hidden="false" outlineLevel="0" max="15414" min="15414" style="0" width="5.57"/>
    <col collapsed="false" customWidth="true" hidden="false" outlineLevel="0" max="15417" min="15415" style="0" width="4.57"/>
    <col collapsed="false" customWidth="true" hidden="false" outlineLevel="0" max="15418" min="15418" style="0" width="5.14"/>
    <col collapsed="false" customWidth="true" hidden="false" outlineLevel="0" max="15422" min="15419" style="0" width="4.57"/>
    <col collapsed="false" customWidth="true" hidden="false" outlineLevel="0" max="15423" min="15423" style="0" width="5.14"/>
    <col collapsed="false" customWidth="true" hidden="false" outlineLevel="0" max="15441" min="15424" style="0" width="4.57"/>
    <col collapsed="false" customWidth="true" hidden="false" outlineLevel="0" max="15442" min="15442" style="0" width="6.14"/>
    <col collapsed="false" customWidth="true" hidden="false" outlineLevel="0" max="15443" min="15443" style="0" width="5.71"/>
    <col collapsed="false" customWidth="true" hidden="false" outlineLevel="0" max="15450" min="15444" style="0" width="4.57"/>
    <col collapsed="false" customWidth="true" hidden="false" outlineLevel="0" max="15451" min="15451" style="0" width="5.43"/>
    <col collapsed="false" customWidth="true" hidden="false" outlineLevel="0" max="15453" min="15452" style="0" width="4.57"/>
    <col collapsed="false" customWidth="true" hidden="false" outlineLevel="0" max="15454" min="15454" style="0" width="5.71"/>
    <col collapsed="false" customWidth="true" hidden="false" outlineLevel="0" max="15458" min="15455" style="0" width="4.57"/>
    <col collapsed="false" customWidth="true" hidden="false" outlineLevel="0" max="15459" min="15459" style="0" width="5.71"/>
    <col collapsed="false" customWidth="true" hidden="false" outlineLevel="0" max="15466" min="15460" style="0" width="4.57"/>
    <col collapsed="false" customWidth="true" hidden="false" outlineLevel="0" max="15467" min="15467" style="0" width="5.86"/>
    <col collapsed="false" customWidth="true" hidden="false" outlineLevel="0" max="15475" min="15468" style="0" width="4.57"/>
    <col collapsed="false" customWidth="true" hidden="false" outlineLevel="0" max="15477" min="15476" style="0" width="7.86"/>
    <col collapsed="false" customWidth="true" hidden="false" outlineLevel="0" max="15488" min="15478" style="0" width="2.86"/>
    <col collapsed="false" customWidth="true" hidden="false" outlineLevel="0" max="15617" min="15617" style="0" width="0.14"/>
    <col collapsed="false" customWidth="true" hidden="false" outlineLevel="0" max="15618" min="15618" style="0" width="6.14"/>
    <col collapsed="false" customWidth="true" hidden="false" outlineLevel="0" max="15648" min="15619" style="0" width="5.57"/>
    <col collapsed="false" customWidth="true" hidden="false" outlineLevel="0" max="15650" min="15649" style="0" width="7.86"/>
    <col collapsed="false" customWidth="true" hidden="false" outlineLevel="0" max="15651" min="15651" style="0" width="5.57"/>
    <col collapsed="false" customWidth="true" hidden="false" outlineLevel="0" max="15664" min="15652" style="0" width="4.57"/>
    <col collapsed="false" customWidth="true" hidden="false" outlineLevel="0" max="15665" min="15665" style="0" width="4.86"/>
    <col collapsed="false" customWidth="true" hidden="false" outlineLevel="0" max="15669" min="15666" style="0" width="4.57"/>
    <col collapsed="false" customWidth="true" hidden="false" outlineLevel="0" max="15670" min="15670" style="0" width="5.57"/>
    <col collapsed="false" customWidth="true" hidden="false" outlineLevel="0" max="15673" min="15671" style="0" width="4.57"/>
    <col collapsed="false" customWidth="true" hidden="false" outlineLevel="0" max="15674" min="15674" style="0" width="5.14"/>
    <col collapsed="false" customWidth="true" hidden="false" outlineLevel="0" max="15678" min="15675" style="0" width="4.57"/>
    <col collapsed="false" customWidth="true" hidden="false" outlineLevel="0" max="15679" min="15679" style="0" width="5.14"/>
    <col collapsed="false" customWidth="true" hidden="false" outlineLevel="0" max="15697" min="15680" style="0" width="4.57"/>
    <col collapsed="false" customWidth="true" hidden="false" outlineLevel="0" max="15698" min="15698" style="0" width="6.14"/>
    <col collapsed="false" customWidth="true" hidden="false" outlineLevel="0" max="15699" min="15699" style="0" width="5.71"/>
    <col collapsed="false" customWidth="true" hidden="false" outlineLevel="0" max="15706" min="15700" style="0" width="4.57"/>
    <col collapsed="false" customWidth="true" hidden="false" outlineLevel="0" max="15707" min="15707" style="0" width="5.43"/>
    <col collapsed="false" customWidth="true" hidden="false" outlineLevel="0" max="15709" min="15708" style="0" width="4.57"/>
    <col collapsed="false" customWidth="true" hidden="false" outlineLevel="0" max="15710" min="15710" style="0" width="5.71"/>
    <col collapsed="false" customWidth="true" hidden="false" outlineLevel="0" max="15714" min="15711" style="0" width="4.57"/>
    <col collapsed="false" customWidth="true" hidden="false" outlineLevel="0" max="15715" min="15715" style="0" width="5.71"/>
    <col collapsed="false" customWidth="true" hidden="false" outlineLevel="0" max="15722" min="15716" style="0" width="4.57"/>
    <col collapsed="false" customWidth="true" hidden="false" outlineLevel="0" max="15723" min="15723" style="0" width="5.86"/>
    <col collapsed="false" customWidth="true" hidden="false" outlineLevel="0" max="15731" min="15724" style="0" width="4.57"/>
    <col collapsed="false" customWidth="true" hidden="false" outlineLevel="0" max="15733" min="15732" style="0" width="7.86"/>
    <col collapsed="false" customWidth="true" hidden="false" outlineLevel="0" max="15744" min="15734" style="0" width="2.86"/>
    <col collapsed="false" customWidth="true" hidden="false" outlineLevel="0" max="15873" min="15873" style="0" width="0.14"/>
    <col collapsed="false" customWidth="true" hidden="false" outlineLevel="0" max="15874" min="15874" style="0" width="6.14"/>
    <col collapsed="false" customWidth="true" hidden="false" outlineLevel="0" max="15904" min="15875" style="0" width="5.57"/>
    <col collapsed="false" customWidth="true" hidden="false" outlineLevel="0" max="15906" min="15905" style="0" width="7.86"/>
    <col collapsed="false" customWidth="true" hidden="false" outlineLevel="0" max="15907" min="15907" style="0" width="5.57"/>
    <col collapsed="false" customWidth="true" hidden="false" outlineLevel="0" max="15920" min="15908" style="0" width="4.57"/>
    <col collapsed="false" customWidth="true" hidden="false" outlineLevel="0" max="15921" min="15921" style="0" width="4.86"/>
    <col collapsed="false" customWidth="true" hidden="false" outlineLevel="0" max="15925" min="15922" style="0" width="4.57"/>
    <col collapsed="false" customWidth="true" hidden="false" outlineLevel="0" max="15926" min="15926" style="0" width="5.57"/>
    <col collapsed="false" customWidth="true" hidden="false" outlineLevel="0" max="15929" min="15927" style="0" width="4.57"/>
    <col collapsed="false" customWidth="true" hidden="false" outlineLevel="0" max="15930" min="15930" style="0" width="5.14"/>
    <col collapsed="false" customWidth="true" hidden="false" outlineLevel="0" max="15934" min="15931" style="0" width="4.57"/>
    <col collapsed="false" customWidth="true" hidden="false" outlineLevel="0" max="15935" min="15935" style="0" width="5.14"/>
    <col collapsed="false" customWidth="true" hidden="false" outlineLevel="0" max="15953" min="15936" style="0" width="4.57"/>
    <col collapsed="false" customWidth="true" hidden="false" outlineLevel="0" max="15954" min="15954" style="0" width="6.14"/>
    <col collapsed="false" customWidth="true" hidden="false" outlineLevel="0" max="15955" min="15955" style="0" width="5.71"/>
    <col collapsed="false" customWidth="true" hidden="false" outlineLevel="0" max="15962" min="15956" style="0" width="4.57"/>
    <col collapsed="false" customWidth="true" hidden="false" outlineLevel="0" max="15963" min="15963" style="0" width="5.43"/>
    <col collapsed="false" customWidth="true" hidden="false" outlineLevel="0" max="15965" min="15964" style="0" width="4.57"/>
    <col collapsed="false" customWidth="true" hidden="false" outlineLevel="0" max="15966" min="15966" style="0" width="5.71"/>
    <col collapsed="false" customWidth="true" hidden="false" outlineLevel="0" max="15970" min="15967" style="0" width="4.57"/>
    <col collapsed="false" customWidth="true" hidden="false" outlineLevel="0" max="15971" min="15971" style="0" width="5.71"/>
    <col collapsed="false" customWidth="true" hidden="false" outlineLevel="0" max="15978" min="15972" style="0" width="4.57"/>
    <col collapsed="false" customWidth="true" hidden="false" outlineLevel="0" max="15979" min="15979" style="0" width="5.86"/>
    <col collapsed="false" customWidth="true" hidden="false" outlineLevel="0" max="15987" min="15980" style="0" width="4.57"/>
    <col collapsed="false" customWidth="true" hidden="false" outlineLevel="0" max="15989" min="15988" style="0" width="7.86"/>
    <col collapsed="false" customWidth="true" hidden="false" outlineLevel="0" max="16000" min="15990" style="0" width="2.86"/>
    <col collapsed="false" customWidth="true" hidden="false" outlineLevel="0" max="16129" min="16129" style="0" width="0.14"/>
    <col collapsed="false" customWidth="true" hidden="false" outlineLevel="0" max="16130" min="16130" style="0" width="6.14"/>
    <col collapsed="false" customWidth="true" hidden="false" outlineLevel="0" max="16160" min="16131" style="0" width="5.57"/>
    <col collapsed="false" customWidth="true" hidden="false" outlineLevel="0" max="16162" min="16161" style="0" width="7.86"/>
    <col collapsed="false" customWidth="true" hidden="false" outlineLevel="0" max="16163" min="16163" style="0" width="5.57"/>
    <col collapsed="false" customWidth="true" hidden="false" outlineLevel="0" max="16176" min="16164" style="0" width="4.57"/>
    <col collapsed="false" customWidth="true" hidden="false" outlineLevel="0" max="16177" min="16177" style="0" width="4.86"/>
    <col collapsed="false" customWidth="true" hidden="false" outlineLevel="0" max="16181" min="16178" style="0" width="4.57"/>
    <col collapsed="false" customWidth="true" hidden="false" outlineLevel="0" max="16182" min="16182" style="0" width="5.57"/>
    <col collapsed="false" customWidth="true" hidden="false" outlineLevel="0" max="16185" min="16183" style="0" width="4.57"/>
    <col collapsed="false" customWidth="true" hidden="false" outlineLevel="0" max="16186" min="16186" style="0" width="5.14"/>
    <col collapsed="false" customWidth="true" hidden="false" outlineLevel="0" max="16190" min="16187" style="0" width="4.57"/>
    <col collapsed="false" customWidth="true" hidden="false" outlineLevel="0" max="16191" min="16191" style="0" width="5.14"/>
    <col collapsed="false" customWidth="true" hidden="false" outlineLevel="0" max="16209" min="16192" style="0" width="4.57"/>
    <col collapsed="false" customWidth="true" hidden="false" outlineLevel="0" max="16210" min="16210" style="0" width="6.14"/>
    <col collapsed="false" customWidth="true" hidden="false" outlineLevel="0" max="16211" min="16211" style="0" width="5.71"/>
    <col collapsed="false" customWidth="true" hidden="false" outlineLevel="0" max="16218" min="16212" style="0" width="4.57"/>
    <col collapsed="false" customWidth="true" hidden="false" outlineLevel="0" max="16219" min="16219" style="0" width="5.43"/>
    <col collapsed="false" customWidth="true" hidden="false" outlineLevel="0" max="16221" min="16220" style="0" width="4.57"/>
    <col collapsed="false" customWidth="true" hidden="false" outlineLevel="0" max="16222" min="16222" style="0" width="5.71"/>
    <col collapsed="false" customWidth="true" hidden="false" outlineLevel="0" max="16226" min="16223" style="0" width="4.57"/>
    <col collapsed="false" customWidth="true" hidden="false" outlineLevel="0" max="16227" min="16227" style="0" width="5.71"/>
    <col collapsed="false" customWidth="true" hidden="false" outlineLevel="0" max="16234" min="16228" style="0" width="4.57"/>
    <col collapsed="false" customWidth="true" hidden="false" outlineLevel="0" max="16235" min="16235" style="0" width="5.86"/>
    <col collapsed="false" customWidth="true" hidden="false" outlineLevel="0" max="16243" min="16236" style="0" width="4.57"/>
    <col collapsed="false" customWidth="true" hidden="false" outlineLevel="0" max="16245" min="16244" style="0" width="7.86"/>
    <col collapsed="false" customWidth="true" hidden="false" outlineLevel="0" max="16256" min="16246" style="0" width="2.86"/>
  </cols>
  <sheetData>
    <row r="1" customFormat="false" ht="12" hidden="false" customHeight="false" outlineLevel="0" collapsed="false">
      <c r="A1" s="285"/>
      <c r="CE1" s="286"/>
      <c r="CF1" s="286"/>
      <c r="CG1" s="287"/>
      <c r="CH1" s="287"/>
      <c r="CI1" s="287"/>
      <c r="CJ1" s="286"/>
      <c r="CK1" s="286"/>
      <c r="CL1" s="286"/>
    </row>
    <row r="3" customFormat="false" ht="12" hidden="false" customHeight="false" outlineLevel="0" collapsed="false">
      <c r="C3" s="0" t="s">
        <v>8119</v>
      </c>
      <c r="AK3" s="284"/>
    </row>
    <row r="4" customFormat="false" ht="12" hidden="false" customHeight="false" outlineLevel="0" collapsed="false">
      <c r="E4" s="0" t="s">
        <v>8120</v>
      </c>
      <c r="AK4" s="284"/>
    </row>
    <row r="5" customFormat="false" ht="12" hidden="false" customHeight="false" outlineLevel="0" collapsed="false">
      <c r="AK5" s="284"/>
    </row>
    <row r="6" customFormat="false" ht="12" hidden="false" customHeight="false" outlineLevel="0" collapsed="false">
      <c r="AJ6" s="284"/>
      <c r="AK6" s="284"/>
    </row>
    <row r="7" customFormat="false" ht="12" hidden="false" customHeight="false" outlineLevel="0" collapsed="false">
      <c r="AJ7" s="284"/>
      <c r="AK7" s="284"/>
    </row>
    <row r="8" s="288" customFormat="true" ht="22.05" hidden="false" customHeight="false" outlineLevel="0" collapsed="false">
      <c r="B8" s="289" t="s">
        <v>8121</v>
      </c>
      <c r="F8" s="288" t="n">
        <v>65</v>
      </c>
      <c r="G8" s="288" t="n">
        <v>66</v>
      </c>
      <c r="H8" s="288" t="n">
        <v>67</v>
      </c>
      <c r="I8" s="288" t="n">
        <v>68</v>
      </c>
      <c r="J8" s="288" t="n">
        <v>69</v>
      </c>
      <c r="K8" s="288" t="n">
        <v>70</v>
      </c>
      <c r="L8" s="288" t="n">
        <v>71</v>
      </c>
      <c r="M8" s="288" t="n">
        <v>72</v>
      </c>
      <c r="N8" s="288" t="n">
        <v>73</v>
      </c>
      <c r="O8" s="288" t="n">
        <v>74</v>
      </c>
      <c r="P8" s="288" t="n">
        <v>75</v>
      </c>
      <c r="Q8" s="288" t="n">
        <v>76</v>
      </c>
      <c r="R8" s="288" t="n">
        <v>77</v>
      </c>
      <c r="S8" s="288" t="n">
        <v>78</v>
      </c>
      <c r="T8" s="288" t="n">
        <v>79</v>
      </c>
      <c r="U8" s="288" t="n">
        <v>80</v>
      </c>
      <c r="V8" s="288" t="n">
        <v>81</v>
      </c>
      <c r="W8" s="288" t="n">
        <v>82</v>
      </c>
      <c r="X8" s="288" t="n">
        <v>83</v>
      </c>
      <c r="Y8" s="288" t="n">
        <v>84</v>
      </c>
      <c r="Z8" s="288" t="n">
        <v>85</v>
      </c>
      <c r="AA8" s="288" t="n">
        <v>86</v>
      </c>
      <c r="AB8" s="288" t="n">
        <v>87</v>
      </c>
      <c r="AC8" s="288" t="n">
        <v>88</v>
      </c>
      <c r="AD8" s="288" t="n">
        <v>89</v>
      </c>
      <c r="AE8" s="288" t="n">
        <v>90</v>
      </c>
      <c r="AI8" s="290" t="s">
        <v>1016</v>
      </c>
      <c r="AJ8" s="291" t="s">
        <v>8122</v>
      </c>
      <c r="AK8" s="291" t="s">
        <v>8123</v>
      </c>
      <c r="AL8" s="291" t="s">
        <v>8122</v>
      </c>
      <c r="AM8" s="292" t="s">
        <v>8124</v>
      </c>
      <c r="AN8" s="292" t="s">
        <v>8125</v>
      </c>
      <c r="AO8" s="292" t="s">
        <v>8126</v>
      </c>
      <c r="AP8" s="292" t="s">
        <v>8127</v>
      </c>
      <c r="AQ8" s="292" t="s">
        <v>8128</v>
      </c>
      <c r="AR8" s="292" t="s">
        <v>8129</v>
      </c>
      <c r="AS8" s="292" t="s">
        <v>8130</v>
      </c>
      <c r="AT8" s="292" t="s">
        <v>8131</v>
      </c>
      <c r="AU8" s="292" t="s">
        <v>8132</v>
      </c>
      <c r="AV8" s="292" t="s">
        <v>8133</v>
      </c>
      <c r="AW8" s="292" t="n">
        <v>11</v>
      </c>
      <c r="AX8" s="292" t="n">
        <v>12</v>
      </c>
      <c r="AY8" s="292" t="n">
        <v>13</v>
      </c>
      <c r="AZ8" s="292" t="n">
        <v>14</v>
      </c>
      <c r="BA8" s="292" t="n">
        <v>15</v>
      </c>
      <c r="BB8" s="292" t="n">
        <v>16</v>
      </c>
      <c r="BC8" s="292" t="n">
        <v>17</v>
      </c>
      <c r="BD8" s="292" t="n">
        <v>18</v>
      </c>
      <c r="BE8" s="292" t="n">
        <v>19</v>
      </c>
      <c r="BF8" s="292" t="n">
        <v>20</v>
      </c>
      <c r="BG8" s="292" t="n">
        <v>21</v>
      </c>
      <c r="BH8" s="292" t="n">
        <v>22</v>
      </c>
      <c r="BI8" s="292" t="n">
        <v>23</v>
      </c>
      <c r="BJ8" s="292" t="n">
        <v>24</v>
      </c>
      <c r="BK8" s="292" t="n">
        <v>25</v>
      </c>
      <c r="BL8" s="292" t="n">
        <v>26</v>
      </c>
      <c r="BM8" s="292" t="n">
        <v>27</v>
      </c>
      <c r="BN8" s="292" t="n">
        <v>28</v>
      </c>
      <c r="BO8" s="292" t="n">
        <v>29</v>
      </c>
      <c r="BP8" s="292" t="n">
        <v>30</v>
      </c>
      <c r="BQ8" s="292" t="n">
        <v>31</v>
      </c>
      <c r="BR8" s="292" t="n">
        <v>32</v>
      </c>
      <c r="BS8" s="292"/>
      <c r="BT8" s="292"/>
      <c r="BU8" s="292"/>
      <c r="BV8" s="292"/>
      <c r="BW8" s="292"/>
      <c r="BX8" s="292"/>
      <c r="BY8" s="292"/>
      <c r="BZ8" s="292"/>
      <c r="CA8" s="292"/>
      <c r="CB8" s="292"/>
      <c r="CC8" s="292" t="n">
        <v>33</v>
      </c>
      <c r="CD8" s="292" t="n">
        <v>34</v>
      </c>
      <c r="CE8" s="292" t="n">
        <v>35</v>
      </c>
      <c r="CF8" s="292" t="n">
        <v>36</v>
      </c>
      <c r="CG8" s="292" t="n">
        <v>37</v>
      </c>
      <c r="CH8" s="292" t="n">
        <v>38</v>
      </c>
      <c r="CI8" s="292" t="n">
        <v>39</v>
      </c>
      <c r="CJ8" s="292" t="n">
        <v>40</v>
      </c>
      <c r="CK8" s="292" t="n">
        <v>41</v>
      </c>
      <c r="CL8" s="292" t="n">
        <v>42</v>
      </c>
      <c r="CM8" s="292" t="n">
        <v>43</v>
      </c>
      <c r="CN8" s="292" t="n">
        <v>44</v>
      </c>
      <c r="CO8" s="292" t="n">
        <v>45</v>
      </c>
      <c r="CP8" s="292" t="n">
        <v>46</v>
      </c>
      <c r="CQ8" s="292" t="n">
        <v>47</v>
      </c>
      <c r="CR8" s="292" t="n">
        <v>48</v>
      </c>
      <c r="CS8" s="292" t="n">
        <v>49</v>
      </c>
      <c r="CT8" s="292" t="n">
        <v>50</v>
      </c>
      <c r="CU8" s="292" t="n">
        <v>51</v>
      </c>
      <c r="CV8" s="292" t="n">
        <v>52</v>
      </c>
      <c r="CW8" s="292" t="n">
        <v>53</v>
      </c>
      <c r="CX8" s="292" t="n">
        <v>54</v>
      </c>
      <c r="CY8" s="292" t="n">
        <v>55</v>
      </c>
      <c r="CZ8" s="292" t="n">
        <v>56</v>
      </c>
      <c r="DA8" s="292" t="n">
        <v>57</v>
      </c>
      <c r="DB8" s="292" t="n">
        <v>58</v>
      </c>
      <c r="DC8" s="292" t="n">
        <v>59</v>
      </c>
      <c r="DD8" s="292" t="n">
        <v>60</v>
      </c>
      <c r="DE8" s="292" t="n">
        <v>61</v>
      </c>
      <c r="DF8" s="292" t="n">
        <v>62</v>
      </c>
      <c r="DG8" s="292" t="n">
        <v>63</v>
      </c>
      <c r="DH8" s="292" t="n">
        <v>64</v>
      </c>
      <c r="DI8" s="291" t="s">
        <v>8122</v>
      </c>
      <c r="DJ8" s="291" t="s">
        <v>8123</v>
      </c>
      <c r="DK8" s="291" t="s">
        <v>8122</v>
      </c>
      <c r="DL8" s="290" t="s">
        <v>8134</v>
      </c>
      <c r="DM8" s="291"/>
    </row>
    <row r="9" customFormat="false" ht="12" hidden="false" customHeight="false" outlineLevel="0" collapsed="false">
      <c r="B9" s="293" t="n">
        <v>15</v>
      </c>
      <c r="C9" s="294" t="s">
        <v>8122</v>
      </c>
      <c r="D9" s="295"/>
      <c r="E9" s="296" t="s">
        <v>8122</v>
      </c>
      <c r="F9" s="297" t="str">
        <f aca="false">VLOOKUP(CONCATENATE($B9,"-",F$8),'[1]liste complet essai'!$A$4:$K$1367,4,)</f>
        <v>AM</v>
      </c>
      <c r="G9" s="298" t="str">
        <f aca="false">VLOOKUP(CONCATENATE($B9,"-",G$8),'[1]liste complet essai'!$A$4:$K$1367,4,)</f>
        <v>AM</v>
      </c>
      <c r="H9" s="297" t="str">
        <f aca="false">VLOOKUP(CONCATENATE($B9,"-",H$8),'[1]liste complet essai'!$A$4:$K$1367,4,)</f>
        <v>AM</v>
      </c>
      <c r="I9" s="297" t="str">
        <f aca="false">VLOOKUP(CONCATENATE($B9,"-",I$8),'[1]liste complet essai'!$A$4:$K$1367,4,)</f>
        <v>AM</v>
      </c>
      <c r="J9" s="297" t="str">
        <f aca="false">VLOOKUP(CONCATENATE($B9,"-",J$8),'[1]liste complet essai'!$A$4:$K$1367,4,)</f>
        <v>AM</v>
      </c>
      <c r="K9" s="297" t="str">
        <f aca="false">VLOOKUP(CONCATENATE($B9,"-",K$8),'[1]liste complet essai'!$A$4:$K$1367,4,)</f>
        <v>AM</v>
      </c>
      <c r="L9" s="297" t="str">
        <f aca="false">VLOOKUP(CONCATENATE($B9,"-",L$8),'[1]liste complet essai'!$A$4:$K$1367,4,)</f>
        <v>AM</v>
      </c>
      <c r="M9" s="297" t="str">
        <f aca="false">VLOOKUP(CONCATENATE($B9,"-",M$8),'[1]liste complet essai'!$A$4:$K$1367,4,)</f>
        <v>AM</v>
      </c>
      <c r="N9" s="297" t="str">
        <f aca="false">VLOOKUP(CONCATENATE($B9,"-",N$8),'[1]liste complet essai'!$A$4:$K$1367,4,)</f>
        <v>AM</v>
      </c>
      <c r="O9" s="297" t="str">
        <f aca="false">VLOOKUP(CONCATENATE($B9,"-",O$8),'[1]liste complet essai'!$A$4:$K$1367,4,)</f>
        <v>AM</v>
      </c>
      <c r="P9" s="297" t="str">
        <f aca="false">VLOOKUP(CONCATENATE($B9,"-",P$8),'[1]liste complet essai'!$A$4:$K$1367,4,)</f>
        <v>AM</v>
      </c>
      <c r="Q9" s="297" t="str">
        <f aca="false">VLOOKUP(CONCATENATE($B9,"-",Q$8),'[1]liste complet essai'!$A$4:$K$1367,4,)</f>
        <v>AM</v>
      </c>
      <c r="R9" s="297" t="str">
        <f aca="false">VLOOKUP(CONCATENATE($B9,"-",R$8),'[1]liste complet essai'!$A$4:$K$1367,4,)</f>
        <v>AM</v>
      </c>
      <c r="S9" s="297" t="str">
        <f aca="false">VLOOKUP(CONCATENATE($B9,"-",S$8),'[1]liste complet essai'!$A$4:$K$1367,4,)</f>
        <v>AM</v>
      </c>
      <c r="T9" s="297" t="str">
        <f aca="false">VLOOKUP(CONCATENATE($B9,"-",T$8),'[1]liste complet essai'!$A$4:$K$1367,4,)</f>
        <v>AM</v>
      </c>
      <c r="U9" s="299" t="str">
        <f aca="false">VLOOKUP(CONCATENATE($B9,"-",U$8),'[1]liste complet essai'!$A$4:$K$1367,4,)</f>
        <v>AM</v>
      </c>
      <c r="V9" s="297" t="str">
        <f aca="false">VLOOKUP(CONCATENATE($B9,"-",V$8),'[1]liste complet essai'!$A$4:$K$1367,4,)</f>
        <v>AM</v>
      </c>
      <c r="W9" s="297" t="str">
        <f aca="false">VLOOKUP(CONCATENATE($B9,"-",W$8),'[1]liste complet essai'!$A$4:$K$1367,4,)</f>
        <v>AM</v>
      </c>
      <c r="X9" s="300" t="str">
        <f aca="false">VLOOKUP(CONCATENATE($B9,"-",X$8),'[1]liste complet essai'!$A$4:$K$1367,4,)</f>
        <v>AM</v>
      </c>
      <c r="Y9" s="297" t="str">
        <f aca="false">VLOOKUP(CONCATENATE($B9,"-",Y$8),'[1]liste complet essai'!$A$4:$K$1367,4,)</f>
        <v>AM</v>
      </c>
      <c r="Z9" s="297" t="str">
        <f aca="false">VLOOKUP(CONCATENATE($B9,"-",Z$8),'[1]liste complet essai'!$A$4:$K$1367,4,)</f>
        <v>AM</v>
      </c>
      <c r="AA9" s="297" t="str">
        <f aca="false">VLOOKUP(CONCATENATE($B9,"-",AA$8),'[1]liste complet essai'!$A$4:$K$1367,4,)</f>
        <v>AM</v>
      </c>
      <c r="AB9" s="297" t="str">
        <f aca="false">VLOOKUP(CONCATENATE($B9,"-",AB$8),'[1]liste complet essai'!$A$4:$K$1367,4,)</f>
        <v>AM</v>
      </c>
      <c r="AC9" s="297" t="str">
        <f aca="false">VLOOKUP(CONCATENATE($B9,"-",AC$8),'[1]liste complet essai'!$A$4:$K$1367,4,)</f>
        <v>AM</v>
      </c>
      <c r="AD9" s="297" t="str">
        <f aca="false">VLOOKUP(CONCATENATE($B9,"-",AD$8),'[1]liste complet essai'!$A$4:$K$1367,4,)</f>
        <v>AM</v>
      </c>
      <c r="AE9" s="297" t="str">
        <f aca="false">VLOOKUP(CONCATENATE($B9,"-",AE$8),'[1]liste complet essai'!$A$4:$K$1367,4,)</f>
        <v>AM</v>
      </c>
      <c r="AF9" s="301" t="s">
        <v>8122</v>
      </c>
      <c r="AI9" s="302" t="s">
        <v>8124</v>
      </c>
      <c r="AJ9" s="294" t="s">
        <v>8122</v>
      </c>
      <c r="AK9" s="303"/>
      <c r="AL9" s="296" t="s">
        <v>8122</v>
      </c>
      <c r="AM9" s="297" t="str">
        <f aca="false">VLOOKUP(CONCATENATE($AI9,"-",AM$8),'[1]liste complet essai'!$A$4:$K$1367,4,)</f>
        <v>AM</v>
      </c>
      <c r="AN9" s="297" t="str">
        <f aca="false">VLOOKUP(CONCATENATE($AI9,"-",AN$8),'[1]liste complet essai'!$A$4:$K$1367,4,)</f>
        <v>AM</v>
      </c>
      <c r="AO9" s="297" t="str">
        <f aca="false">VLOOKUP(CONCATENATE($AI9,"-",AO$8),'[1]liste complet essai'!$A$4:$K$1367,4,)</f>
        <v>AM</v>
      </c>
      <c r="AP9" s="297" t="str">
        <f aca="false">VLOOKUP(CONCATENATE($AI9,"-",AP$8),'[1]liste complet essai'!$A$4:$K$1367,4,)</f>
        <v>AM</v>
      </c>
      <c r="AQ9" s="297" t="str">
        <f aca="false">VLOOKUP(CONCATENATE($AI9,"-",AQ$8),'[1]liste complet essai'!$A$4:$K$1367,4,)</f>
        <v>AM</v>
      </c>
      <c r="AR9" s="297" t="str">
        <f aca="false">VLOOKUP(CONCATENATE($AI9,"-",AR$8),'[1]liste complet essai'!$A$4:$K$1367,4,)</f>
        <v>AM</v>
      </c>
      <c r="AS9" s="297" t="str">
        <f aca="false">VLOOKUP(CONCATENATE($AI9,"-",AS$8),'[1]liste complet essai'!$A$4:$K$1367,4,)</f>
        <v>AM</v>
      </c>
      <c r="AT9" s="297" t="str">
        <f aca="false">VLOOKUP(CONCATENATE($AI9,"-",AT$8),'[1]liste complet essai'!$A$4:$K$1367,4,)</f>
        <v>AM</v>
      </c>
      <c r="AU9" s="297" t="str">
        <f aca="false">VLOOKUP(CONCATENATE($AI9,"-",AU$8),'[1]liste complet essai'!$A$4:$K$1367,4,)</f>
        <v>AM</v>
      </c>
      <c r="AV9" s="297" t="str">
        <f aca="false">VLOOKUP(CONCATENATE($AI9,"-",AV$8),'[1]liste complet essai'!$A$4:$K$1367,4,)</f>
        <v>AM</v>
      </c>
      <c r="AW9" s="297" t="str">
        <f aca="false">VLOOKUP(CONCATENATE($AI9,"-",AW$8),'[1]liste complet essai'!$A$4:$K$1367,4,)</f>
        <v>AM</v>
      </c>
      <c r="AX9" s="297" t="str">
        <f aca="false">VLOOKUP(CONCATENATE($AI9,"-",AX$8),'[1]liste complet essai'!$A$4:$K$1367,4,)</f>
        <v>AM</v>
      </c>
      <c r="AY9" s="297" t="str">
        <f aca="false">VLOOKUP(CONCATENATE($AI9,"-",AY$8),'[1]liste complet essai'!$A$4:$K$1367,4,)</f>
        <v>AM</v>
      </c>
      <c r="AZ9" s="297" t="str">
        <f aca="false">VLOOKUP(CONCATENATE($AI9,"-",AZ$8),'[1]liste complet essai'!$A$4:$K$1367,4,)</f>
        <v>AM</v>
      </c>
      <c r="BA9" s="297" t="str">
        <f aca="false">VLOOKUP(CONCATENATE($AI9,"-",BA$8),'[1]liste complet essai'!$A$4:$K$1367,4,)</f>
        <v>AM</v>
      </c>
      <c r="BB9" s="297" t="str">
        <f aca="false">VLOOKUP(CONCATENATE($AI9,"-",BB$8),'[1]liste complet essai'!$A$4:$K$1367,4,)</f>
        <v>AM</v>
      </c>
      <c r="BC9" s="297" t="str">
        <f aca="false">VLOOKUP(CONCATENATE($AI9,"-",BC$8),'[1]liste complet essai'!$A$4:$K$1367,4,)</f>
        <v>AM</v>
      </c>
      <c r="BD9" s="297" t="str">
        <f aca="false">VLOOKUP(CONCATENATE($AI9,"-",BD$8),'[1]liste complet essai'!$A$4:$K$1367,4,)</f>
        <v>AM</v>
      </c>
      <c r="BE9" s="297" t="str">
        <f aca="false">VLOOKUP(CONCATENATE($AI9,"-",BE$8),'[1]liste complet essai'!$A$4:$K$1367,4,)</f>
        <v>AM</v>
      </c>
      <c r="BF9" s="297" t="str">
        <f aca="false">VLOOKUP(CONCATENATE($AI9,"-",BF$8),'[1]liste complet essai'!$A$4:$K$1367,4,)</f>
        <v>AM</v>
      </c>
      <c r="BG9" s="297" t="str">
        <f aca="false">VLOOKUP(CONCATENATE($AI9,"-",BG$8),'[1]liste complet essai'!$A$4:$K$1367,4,)</f>
        <v>AM</v>
      </c>
      <c r="BH9" s="297" t="str">
        <f aca="false">VLOOKUP(CONCATENATE($AI9,"-",BH$8),'[1]liste complet essai'!$A$4:$K$1367,4,)</f>
        <v>AM</v>
      </c>
      <c r="BI9" s="297" t="str">
        <f aca="false">VLOOKUP(CONCATENATE($AI9,"-",BI$8),'[1]liste complet essai'!$A$4:$K$1367,4,)</f>
        <v>AM</v>
      </c>
      <c r="BJ9" s="297" t="str">
        <f aca="false">VLOOKUP(CONCATENATE($AI9,"-",BJ$8),'[1]liste complet essai'!$A$4:$K$1367,4,)</f>
        <v>AM</v>
      </c>
      <c r="BK9" s="297" t="str">
        <f aca="false">VLOOKUP(CONCATENATE($AI9,"-",BK$8),'[1]liste complet essai'!$A$4:$K$1367,4,)</f>
        <v>AM</v>
      </c>
      <c r="BL9" s="297" t="str">
        <f aca="false">VLOOKUP(CONCATENATE($AI9,"-",BL$8),'[1]liste complet essai'!$A$4:$K$1367,4,)</f>
        <v>AM</v>
      </c>
      <c r="BM9" s="297" t="str">
        <f aca="false">VLOOKUP(CONCATENATE($AI9,"-",BM$8),'[1]liste complet essai'!$A$4:$K$1367,4,)</f>
        <v>AM</v>
      </c>
      <c r="BN9" s="297" t="str">
        <f aca="false">VLOOKUP(CONCATENATE($AI9,"-",BN$8),'[1]liste complet essai'!$A$4:$K$1367,4,)</f>
        <v>AM</v>
      </c>
      <c r="BO9" s="297" t="str">
        <f aca="false">VLOOKUP(CONCATENATE($AI9,"-",BO$8),'[1]liste complet essai'!$A$4:$K$1367,4,)</f>
        <v>AM</v>
      </c>
      <c r="BP9" s="297" t="str">
        <f aca="false">VLOOKUP(CONCATENATE($AI9,"-",BP$8),'[1]liste complet essai'!$A$4:$K$1367,4,)</f>
        <v>AM</v>
      </c>
      <c r="BQ9" s="297" t="str">
        <f aca="false">VLOOKUP(CONCATENATE($AI9,"-",BQ$8),'[1]liste complet essai'!$A$4:$K$1367,4,)</f>
        <v>AM</v>
      </c>
      <c r="BR9" s="297" t="str">
        <f aca="false">VLOOKUP(CONCATENATE($AI9,"-",BR$8),'[1]liste complet essai'!$A$4:$K$1367,4,)</f>
        <v>AM</v>
      </c>
      <c r="BS9" s="304"/>
      <c r="BT9" s="304"/>
      <c r="BU9" s="304"/>
      <c r="BV9" s="304"/>
      <c r="BW9" s="304"/>
      <c r="BX9" s="304"/>
      <c r="BY9" s="304"/>
      <c r="BZ9" s="304"/>
      <c r="CA9" s="304"/>
      <c r="CB9" s="304"/>
      <c r="CC9" s="305" t="str">
        <f aca="false">VLOOKUP(CONCATENATE($AI9,"-",CC$8),'[1]liste complet essai'!$A$4:$K$1367,4,)</f>
        <v>AM</v>
      </c>
      <c r="CD9" s="305" t="str">
        <f aca="false">VLOOKUP(CONCATENATE($AI9,"-",CD$8),'[1]liste complet essai'!$A$4:$K$1367,4,)</f>
        <v>AM</v>
      </c>
      <c r="CE9" s="305" t="str">
        <f aca="false">VLOOKUP(CONCATENATE($AI9,"-",CE$8),'[1]liste complet essai'!$A$4:$K$1367,4,)</f>
        <v>AM</v>
      </c>
      <c r="CF9" s="305" t="str">
        <f aca="false">VLOOKUP(CONCATENATE($AI9,"-",CF$8),'[1]liste complet essai'!$A$4:$K$1367,4,)</f>
        <v>AM</v>
      </c>
      <c r="CG9" s="305" t="str">
        <f aca="false">VLOOKUP(CONCATENATE($AI9,"-",CG$8),'[1]liste complet essai'!$A$4:$K$1367,4,)</f>
        <v>AM</v>
      </c>
      <c r="CH9" s="305" t="str">
        <f aca="false">VLOOKUP(CONCATENATE($AI9,"-",CH$8),'[1]liste complet essai'!$A$4:$K$1367,4,)</f>
        <v>AM</v>
      </c>
      <c r="CI9" s="305" t="str">
        <f aca="false">VLOOKUP(CONCATENATE($AI9,"-",CI$8),'[1]liste complet essai'!$A$4:$K$1367,4,)</f>
        <v>AM</v>
      </c>
      <c r="CJ9" s="305" t="str">
        <f aca="false">VLOOKUP(CONCATENATE($AI9,"-",CJ$8),'[1]liste complet essai'!$A$4:$K$1367,4,)</f>
        <v>AM</v>
      </c>
      <c r="CK9" s="305" t="str">
        <f aca="false">VLOOKUP(CONCATENATE($AI9,"-",CK$8),'[1]liste complet essai'!$A$4:$K$1367,4,)</f>
        <v>AM</v>
      </c>
      <c r="CL9" s="305" t="str">
        <f aca="false">VLOOKUP(CONCATENATE($AI9,"-",CL$8),'[1]liste complet essai'!$A$4:$K$1367,4,)</f>
        <v>AM</v>
      </c>
      <c r="CM9" s="300" t="str">
        <f aca="false">VLOOKUP(CONCATENATE($AI9,"-",CM$8),'[1]liste complet essai'!$A$4:$K$1367,4,)</f>
        <v>AM</v>
      </c>
      <c r="CN9" s="305" t="str">
        <f aca="false">VLOOKUP(CONCATENATE($AI9,"-",CN$8),'[1]liste complet essai'!$A$4:$K$1367,4,)</f>
        <v>AM</v>
      </c>
      <c r="CO9" s="305" t="str">
        <f aca="false">VLOOKUP(CONCATENATE($AI9,"-",CO$8),'[1]liste complet essai'!$A$4:$K$1367,4,)</f>
        <v>AM</v>
      </c>
      <c r="CP9" s="305" t="str">
        <f aca="false">VLOOKUP(CONCATENATE($AI9,"-",CP$8),'[1]liste complet essai'!$A$4:$K$1367,4,)</f>
        <v>AM</v>
      </c>
      <c r="CQ9" s="305" t="str">
        <f aca="false">VLOOKUP(CONCATENATE($AI9,"-",CQ$8),'[1]liste complet essai'!$A$4:$K$1367,4,)</f>
        <v>AM</v>
      </c>
      <c r="CR9" s="305" t="str">
        <f aca="false">VLOOKUP(CONCATENATE($AI9,"-",CR$8),'[1]liste complet essai'!$A$4:$K$1367,4,)</f>
        <v>AM</v>
      </c>
      <c r="CS9" s="305" t="str">
        <f aca="false">VLOOKUP(CONCATENATE($AI9,"-",CS$8),'[1]liste complet essai'!$A$4:$K$1367,4,)</f>
        <v>AM</v>
      </c>
      <c r="CT9" s="305" t="str">
        <f aca="false">VLOOKUP(CONCATENATE($AI9,"-",CT$8),'[1]liste complet essai'!$A$4:$K$1367,4,)</f>
        <v>AM</v>
      </c>
      <c r="CU9" s="305" t="str">
        <f aca="false">VLOOKUP(CONCATENATE($AI9,"-",CU$8),'[1]liste complet essai'!$A$4:$K$1367,4,)</f>
        <v>AM</v>
      </c>
      <c r="CV9" s="305" t="str">
        <f aca="false">VLOOKUP(CONCATENATE($AI9,"-",CV$8),'[1]liste complet essai'!$A$4:$K$1367,4,)</f>
        <v>AM</v>
      </c>
      <c r="CW9" s="305" t="str">
        <f aca="false">VLOOKUP(CONCATENATE($AI9,"-",CW$8),'[1]liste complet essai'!$A$4:$K$1367,4,)</f>
        <v>AM</v>
      </c>
      <c r="CX9" s="305" t="str">
        <f aca="false">VLOOKUP(CONCATENATE($AI9,"-",CX$8),'[1]liste complet essai'!$A$4:$K$1367,4,)</f>
        <v>AM</v>
      </c>
      <c r="CY9" s="305" t="str">
        <f aca="false">VLOOKUP(CONCATENATE($AI9,"-",CY$8),'[1]liste complet essai'!$A$4:$K$1367,4,)</f>
        <v>AM</v>
      </c>
      <c r="CZ9" s="305" t="str">
        <f aca="false">VLOOKUP(CONCATENATE($AI9,"-",CZ$8),'[1]liste complet essai'!$A$4:$K$1367,4,)</f>
        <v>AM</v>
      </c>
      <c r="DA9" s="305" t="str">
        <f aca="false">VLOOKUP(CONCATENATE($AI9,"-",DA$8),'[1]liste complet essai'!$A$4:$K$1367,4,)</f>
        <v>AM</v>
      </c>
      <c r="DB9" s="305" t="str">
        <f aca="false">VLOOKUP(CONCATENATE($AI9,"-",DB$8),'[1]liste complet essai'!$A$4:$K$1367,4,)</f>
        <v>AM</v>
      </c>
      <c r="DC9" s="305" t="str">
        <f aca="false">VLOOKUP(CONCATENATE($AI9,"-",DC$8),'[1]liste complet essai'!$A$4:$K$1367,4,)</f>
        <v>AM</v>
      </c>
      <c r="DD9" s="305" t="str">
        <f aca="false">VLOOKUP(CONCATENATE($AI9,"-",DD$8),'[1]liste complet essai'!$A$4:$K$1367,4,)</f>
        <v>AM</v>
      </c>
      <c r="DE9" s="305" t="str">
        <f aca="false">VLOOKUP(CONCATENATE($AI9,"-",DE$8),'[1]liste complet essai'!$A$4:$K$1367,4,)</f>
        <v>AM</v>
      </c>
      <c r="DF9" s="305" t="str">
        <f aca="false">VLOOKUP(CONCATENATE($AI9,"-",DF$8),'[1]liste complet essai'!$A$4:$K$1367,4,)</f>
        <v>AM</v>
      </c>
      <c r="DG9" s="305" t="str">
        <f aca="false">VLOOKUP(CONCATENATE($AI9,"-",DG$8),'[1]liste complet essai'!$A$4:$K$1367,4,)</f>
        <v>AM</v>
      </c>
      <c r="DH9" s="305" t="str">
        <f aca="false">VLOOKUP(CONCATENATE($AI9,"-",DH$8),'[1]liste complet essai'!$A$4:$K$1367,4,)</f>
        <v>AM</v>
      </c>
      <c r="DI9" s="306" t="s">
        <v>8122</v>
      </c>
      <c r="DJ9" s="303"/>
      <c r="DK9" s="301" t="s">
        <v>8122</v>
      </c>
    </row>
    <row r="10" customFormat="false" ht="12" hidden="false" customHeight="false" outlineLevel="0" collapsed="false">
      <c r="B10" s="293"/>
      <c r="C10" s="294"/>
      <c r="D10" s="307"/>
      <c r="E10" s="296"/>
      <c r="F10" s="308" t="str">
        <f aca="false">VLOOKUP(CONCATENATE($B9,"-",F$8),'[1]liste complet essai'!$A$4:$K$1367,9,)</f>
        <v>N1-b3</v>
      </c>
      <c r="G10" s="298" t="str">
        <f aca="false">VLOOKUP(CONCATENATE($B9,"-",G$8),'[1]liste complet essai'!$A$4:$K$1367,9,)</f>
        <v>N1-b3</v>
      </c>
      <c r="H10" s="308" t="str">
        <f aca="false">VLOOKUP(CONCATENATE($B9,"-",H$8),'[1]liste complet essai'!$A$4:$K$1367,9,)</f>
        <v>N1-b3</v>
      </c>
      <c r="I10" s="308" t="str">
        <f aca="false">VLOOKUP(CONCATENATE($B9,"-",I$8),'[1]liste complet essai'!$A$4:$K$1367,9,)</f>
        <v>N1-b3</v>
      </c>
      <c r="J10" s="308" t="str">
        <f aca="false">VLOOKUP(CONCATENATE($B9,"-",J$8),'[1]liste complet essai'!$A$4:$K$1367,9,)</f>
        <v>N1-b3</v>
      </c>
      <c r="K10" s="308" t="str">
        <f aca="false">VLOOKUP(CONCATENATE($B9,"-",K$8),'[1]liste complet essai'!$A$4:$K$1367,9,)</f>
        <v>N1-b3</v>
      </c>
      <c r="L10" s="308" t="str">
        <f aca="false">VLOOKUP(CONCATENATE($B9,"-",L$8),'[1]liste complet essai'!$A$4:$K$1367,9,)</f>
        <v>N1-b3</v>
      </c>
      <c r="M10" s="308" t="str">
        <f aca="false">VLOOKUP(CONCATENATE($B9,"-",M$8),'[1]liste complet essai'!$A$4:$K$1367,9,)</f>
        <v>N1-b3</v>
      </c>
      <c r="N10" s="308" t="str">
        <f aca="false">VLOOKUP(CONCATENATE($B9,"-",N$8),'[1]liste complet essai'!$A$4:$K$1367,9,)</f>
        <v>N1-b3</v>
      </c>
      <c r="O10" s="308" t="str">
        <f aca="false">VLOOKUP(CONCATENATE($B9,"-",O$8),'[1]liste complet essai'!$A$4:$K$1367,9,)</f>
        <v>N1-b3</v>
      </c>
      <c r="P10" s="308" t="str">
        <f aca="false">VLOOKUP(CONCATENATE($B9,"-",P$8),'[1]liste complet essai'!$A$4:$K$1367,9,)</f>
        <v>N1-b3</v>
      </c>
      <c r="Q10" s="308" t="str">
        <f aca="false">VLOOKUP(CONCATENATE($B9,"-",Q$8),'[1]liste complet essai'!$A$4:$K$1367,9,)</f>
        <v>N1-b3</v>
      </c>
      <c r="R10" s="308" t="str">
        <f aca="false">VLOOKUP(CONCATENATE($B9,"-",R$8),'[1]liste complet essai'!$A$4:$K$1367,9,)</f>
        <v>N1-b3</v>
      </c>
      <c r="S10" s="308" t="str">
        <f aca="false">VLOOKUP(CONCATENATE($B9,"-",S$8),'[1]liste complet essai'!$A$4:$K$1367,9,)</f>
        <v>N1-b3</v>
      </c>
      <c r="T10" s="308" t="str">
        <f aca="false">VLOOKUP(CONCATENATE($B9,"-",T$8),'[1]liste complet essai'!$A$4:$K$1367,9,)</f>
        <v>N1-b3</v>
      </c>
      <c r="U10" s="308" t="str">
        <f aca="false">VLOOKUP(CONCATENATE($B9,"-",U$8),'[1]liste complet essai'!$A$4:$K$1367,9,)</f>
        <v>N1-b3</v>
      </c>
      <c r="V10" s="308" t="str">
        <f aca="false">VLOOKUP(CONCATENATE($B9,"-",V$8),'[1]liste complet essai'!$A$4:$K$1367,9,)</f>
        <v>N1-b3</v>
      </c>
      <c r="W10" s="308" t="str">
        <f aca="false">VLOOKUP(CONCATENATE($B9,"-",W$8),'[1]liste complet essai'!$A$4:$K$1367,9,)</f>
        <v>N1-b3</v>
      </c>
      <c r="X10" s="285" t="str">
        <f aca="false">VLOOKUP(CONCATENATE($B9,"-",X$8),'[1]liste complet essai'!$A$4:$K$1367,9,)</f>
        <v>N1-b3</v>
      </c>
      <c r="Y10" s="308" t="str">
        <f aca="false">VLOOKUP(CONCATENATE($B9,"-",Y$8),'[1]liste complet essai'!$A$4:$K$1367,9,)</f>
        <v>N1-b3</v>
      </c>
      <c r="Z10" s="308" t="str">
        <f aca="false">VLOOKUP(CONCATENATE($B9,"-",Z$8),'[1]liste complet essai'!$A$4:$K$1367,9,)</f>
        <v>N1-b3</v>
      </c>
      <c r="AA10" s="308" t="str">
        <f aca="false">VLOOKUP(CONCATENATE($B9,"-",AA$8),'[1]liste complet essai'!$A$4:$K$1367,9,)</f>
        <v>N1-b3</v>
      </c>
      <c r="AB10" s="308" t="str">
        <f aca="false">VLOOKUP(CONCATENATE($B9,"-",AB$8),'[1]liste complet essai'!$A$4:$K$1367,9,)</f>
        <v>N1-b3</v>
      </c>
      <c r="AC10" s="308" t="str">
        <f aca="false">VLOOKUP(CONCATENATE($B9,"-",AC$8),'[1]liste complet essai'!$A$4:$K$1367,9,)</f>
        <v>N1-b3</v>
      </c>
      <c r="AD10" s="308" t="str">
        <f aca="false">VLOOKUP(CONCATENATE($B9,"-",AD$8),'[1]liste complet essai'!$A$4:$K$1367,9,)</f>
        <v>N1-b3</v>
      </c>
      <c r="AE10" s="308" t="str">
        <f aca="false">VLOOKUP(CONCATENATE($B9,"-",AE$8),'[1]liste complet essai'!$A$4:$K$1367,9,)</f>
        <v>N1-b3</v>
      </c>
      <c r="AF10" s="301"/>
      <c r="AI10" s="302"/>
      <c r="AJ10" s="294"/>
      <c r="AK10" s="309"/>
      <c r="AL10" s="296"/>
      <c r="AM10" s="308" t="str">
        <f aca="false">VLOOKUP(CONCATENATE($AI9,"-",AM$8),'[1]liste complet essai'!$A$4:$K$1367,9,)</f>
        <v>N1-b1</v>
      </c>
      <c r="AN10" s="308" t="str">
        <f aca="false">VLOOKUP(CONCATENATE($AI9,"-",AN$8),'[1]liste complet essai'!$A$4:$K$1367,9,)</f>
        <v>N1-b1</v>
      </c>
      <c r="AO10" s="308" t="str">
        <f aca="false">VLOOKUP(CONCATENATE($AI9,"-",AO$8),'[1]liste complet essai'!$A$4:$K$1367,9,)</f>
        <v>N1-b1</v>
      </c>
      <c r="AP10" s="308" t="str">
        <f aca="false">VLOOKUP(CONCATENATE($AI9,"-",AP$8),'[1]liste complet essai'!$A$4:$K$1367,9,)</f>
        <v>N1-b1</v>
      </c>
      <c r="AQ10" s="308" t="str">
        <f aca="false">VLOOKUP(CONCATENATE($AI9,"-",AQ$8),'[1]liste complet essai'!$A$4:$K$1367,9,)</f>
        <v>N1-b1</v>
      </c>
      <c r="AR10" s="308" t="str">
        <f aca="false">VLOOKUP(CONCATENATE($AI9,"-",AR$8),'[1]liste complet essai'!$A$4:$K$1367,9,)</f>
        <v>N1-b1</v>
      </c>
      <c r="AS10" s="308" t="str">
        <f aca="false">VLOOKUP(CONCATENATE($AI9,"-",AS$8),'[1]liste complet essai'!$A$4:$K$1367,9,)</f>
        <v>N1-b1</v>
      </c>
      <c r="AT10" s="308" t="str">
        <f aca="false">VLOOKUP(CONCATENATE($AI9,"-",AT$8),'[1]liste complet essai'!$A$4:$K$1367,9,)</f>
        <v>N1-b1</v>
      </c>
      <c r="AU10" s="308" t="str">
        <f aca="false">VLOOKUP(CONCATENATE($AI9,"-",AU$8),'[1]liste complet essai'!$A$4:$K$1367,9,)</f>
        <v>N1-b1</v>
      </c>
      <c r="AV10" s="308" t="str">
        <f aca="false">VLOOKUP(CONCATENATE($AI9,"-",AV$8),'[1]liste complet essai'!$A$4:$K$1367,9,)</f>
        <v>N1-b1</v>
      </c>
      <c r="AW10" s="308" t="str">
        <f aca="false">VLOOKUP(CONCATENATE($AI9,"-",AW$8),'[1]liste complet essai'!$A$4:$K$1367,9,)</f>
        <v>N1-b1</v>
      </c>
      <c r="AX10" s="308" t="str">
        <f aca="false">VLOOKUP(CONCATENATE($AI9,"-",AX$8),'[1]liste complet essai'!$A$4:$K$1367,9,)</f>
        <v>N1-b1</v>
      </c>
      <c r="AY10" s="308" t="str">
        <f aca="false">VLOOKUP(CONCATENATE($AI9,"-",AY$8),'[1]liste complet essai'!$A$4:$K$1367,9,)</f>
        <v>N1-b1</v>
      </c>
      <c r="AZ10" s="308" t="str">
        <f aca="false">VLOOKUP(CONCATENATE($AI9,"-",AZ$8),'[1]liste complet essai'!$A$4:$K$1367,9,)</f>
        <v>N1-b1</v>
      </c>
      <c r="BA10" s="308" t="str">
        <f aca="false">VLOOKUP(CONCATENATE($AI9,"-",BA$8),'[1]liste complet essai'!$A$4:$K$1367,9,)</f>
        <v>N1-b1</v>
      </c>
      <c r="BB10" s="308" t="str">
        <f aca="false">VLOOKUP(CONCATENATE($AI9,"-",BB$8),'[1]liste complet essai'!$A$4:$K$1367,9,)</f>
        <v>N1-b1</v>
      </c>
      <c r="BC10" s="308" t="str">
        <f aca="false">VLOOKUP(CONCATENATE($AI9,"-",BC$8),'[1]liste complet essai'!$A$4:$K$1367,9,)</f>
        <v>N1-b1</v>
      </c>
      <c r="BD10" s="308" t="str">
        <f aca="false">VLOOKUP(CONCATENATE($AI9,"-",BD$8),'[1]liste complet essai'!$A$4:$K$1367,9,)</f>
        <v>N1-b1</v>
      </c>
      <c r="BE10" s="308" t="str">
        <f aca="false">VLOOKUP(CONCATENATE($AI9,"-",BE$8),'[1]liste complet essai'!$A$4:$K$1367,9,)</f>
        <v>N1-b1</v>
      </c>
      <c r="BF10" s="308" t="str">
        <f aca="false">VLOOKUP(CONCATENATE($AI9,"-",BF$8),'[1]liste complet essai'!$A$4:$K$1367,9,)</f>
        <v>N1-b1</v>
      </c>
      <c r="BG10" s="308" t="str">
        <f aca="false">VLOOKUP(CONCATENATE($AI9,"-",BG$8),'[1]liste complet essai'!$A$4:$K$1367,9,)</f>
        <v>N1-b1</v>
      </c>
      <c r="BH10" s="308" t="str">
        <f aca="false">VLOOKUP(CONCATENATE($AI9,"-",BH$8),'[1]liste complet essai'!$A$4:$K$1367,9,)</f>
        <v>N1-b1</v>
      </c>
      <c r="BI10" s="308" t="str">
        <f aca="false">VLOOKUP(CONCATENATE($AI9,"-",BI$8),'[1]liste complet essai'!$A$4:$K$1367,9,)</f>
        <v>N1-b1</v>
      </c>
      <c r="BJ10" s="308" t="str">
        <f aca="false">VLOOKUP(CONCATENATE($AI9,"-",BJ$8),'[1]liste complet essai'!$A$4:$K$1367,9,)</f>
        <v>N1-b1</v>
      </c>
      <c r="BK10" s="308" t="str">
        <f aca="false">VLOOKUP(CONCATENATE($AI9,"-",BK$8),'[1]liste complet essai'!$A$4:$K$1367,9,)</f>
        <v>N1-b1</v>
      </c>
      <c r="BL10" s="308" t="str">
        <f aca="false">VLOOKUP(CONCATENATE($AI9,"-",BL$8),'[1]liste complet essai'!$A$4:$K$1367,9,)</f>
        <v>N1-b1</v>
      </c>
      <c r="BM10" s="308" t="str">
        <f aca="false">VLOOKUP(CONCATENATE($AI9,"-",BM$8),'[1]liste complet essai'!$A$4:$K$1367,9,)</f>
        <v>N1-b1</v>
      </c>
      <c r="BN10" s="308" t="str">
        <f aca="false">VLOOKUP(CONCATENATE($AI9,"-",BN$8),'[1]liste complet essai'!$A$4:$K$1367,9,)</f>
        <v>N1-b1</v>
      </c>
      <c r="BO10" s="308" t="str">
        <f aca="false">VLOOKUP(CONCATENATE($AI9,"-",BO$8),'[1]liste complet essai'!$A$4:$K$1367,9,)</f>
        <v>N1-b1</v>
      </c>
      <c r="BP10" s="308" t="str">
        <f aca="false">VLOOKUP(CONCATENATE($AI9,"-",BP$8),'[1]liste complet essai'!$A$4:$K$1367,9,)</f>
        <v>N1-b1</v>
      </c>
      <c r="BQ10" s="308" t="str">
        <f aca="false">VLOOKUP(CONCATENATE($AI9,"-",BQ$8),'[1]liste complet essai'!$A$4:$K$1367,9,)</f>
        <v>N1-b1</v>
      </c>
      <c r="BR10" s="308" t="str">
        <f aca="false">VLOOKUP(CONCATENATE($AI9,"-",BR$8),'[1]liste complet essai'!$A$4:$K$1367,9,)</f>
        <v>N1-b1</v>
      </c>
      <c r="BS10" s="310"/>
      <c r="BT10" s="310"/>
      <c r="BU10" s="310"/>
      <c r="BV10" s="310"/>
      <c r="BW10" s="310"/>
      <c r="BX10" s="310"/>
      <c r="BY10" s="310"/>
      <c r="BZ10" s="310"/>
      <c r="CA10" s="310"/>
      <c r="CB10" s="310"/>
      <c r="CC10" s="311" t="str">
        <f aca="false">VLOOKUP(CONCATENATE($AI9,"-",CC$8),'[1]liste complet essai'!$A$4:$K$1367,9,)</f>
        <v>N2-b2</v>
      </c>
      <c r="CD10" s="311" t="str">
        <f aca="false">VLOOKUP(CONCATENATE($AI9,"-",CD$8),'[1]liste complet essai'!$A$4:$K$1367,9,)</f>
        <v>N2-b2</v>
      </c>
      <c r="CE10" s="311" t="str">
        <f aca="false">VLOOKUP(CONCATENATE($AI9,"-",CE$8),'[1]liste complet essai'!$A$4:$K$1367,9,)</f>
        <v>N2-b2</v>
      </c>
      <c r="CF10" s="311" t="str">
        <f aca="false">VLOOKUP(CONCATENATE($AI9,"-",CF$8),'[1]liste complet essai'!$A$4:$K$1367,9,)</f>
        <v>N2-b2</v>
      </c>
      <c r="CG10" s="311" t="str">
        <f aca="false">VLOOKUP(CONCATENATE($AI9,"-",CG$8),'[1]liste complet essai'!$A$4:$K$1367,9,)</f>
        <v>N2-b2</v>
      </c>
      <c r="CH10" s="311" t="str">
        <f aca="false">VLOOKUP(CONCATENATE($AI9,"-",CH$8),'[1]liste complet essai'!$A$4:$K$1367,9,)</f>
        <v>N2-b2</v>
      </c>
      <c r="CI10" s="311" t="str">
        <f aca="false">VLOOKUP(CONCATENATE($AI9,"-",CI$8),'[1]liste complet essai'!$A$4:$K$1367,9,)</f>
        <v>N2-b2</v>
      </c>
      <c r="CJ10" s="311" t="str">
        <f aca="false">VLOOKUP(CONCATENATE($AI9,"-",CJ$8),'[1]liste complet essai'!$A$4:$K$1367,9,)</f>
        <v>N2-b2</v>
      </c>
      <c r="CK10" s="311" t="str">
        <f aca="false">VLOOKUP(CONCATENATE($AI9,"-",CK$8),'[1]liste complet essai'!$A$4:$K$1367,9,)</f>
        <v>N2-b2</v>
      </c>
      <c r="CL10" s="311" t="str">
        <f aca="false">VLOOKUP(CONCATENATE($AI9,"-",CL$8),'[1]liste complet essai'!$A$4:$K$1367,9,)</f>
        <v>N2-b2</v>
      </c>
      <c r="CM10" s="285" t="str">
        <f aca="false">VLOOKUP(CONCATENATE($AI9,"-",CM$8),'[1]liste complet essai'!$A$4:$K$1367,9,)</f>
        <v>N2-b2</v>
      </c>
      <c r="CN10" s="311" t="str">
        <f aca="false">VLOOKUP(CONCATENATE($AI9,"-",CN$8),'[1]liste complet essai'!$A$4:$K$1367,9,)</f>
        <v>N2-b2</v>
      </c>
      <c r="CO10" s="311" t="str">
        <f aca="false">VLOOKUP(CONCATENATE($AI9,"-",CO$8),'[1]liste complet essai'!$A$4:$K$1367,9,)</f>
        <v>N2-b2</v>
      </c>
      <c r="CP10" s="311" t="str">
        <f aca="false">VLOOKUP(CONCATENATE($AI9,"-",CP$8),'[1]liste complet essai'!$A$4:$K$1367,9,)</f>
        <v>N2-b2</v>
      </c>
      <c r="CQ10" s="311" t="str">
        <f aca="false">VLOOKUP(CONCATENATE($AI9,"-",CQ$8),'[1]liste complet essai'!$A$4:$K$1367,9,)</f>
        <v>N2-b2</v>
      </c>
      <c r="CR10" s="311" t="str">
        <f aca="false">VLOOKUP(CONCATENATE($AI9,"-",CR$8),'[1]liste complet essai'!$A$4:$K$1367,9,)</f>
        <v>N2-b2</v>
      </c>
      <c r="CS10" s="311" t="str">
        <f aca="false">VLOOKUP(CONCATENATE($AI9,"-",CS$8),'[1]liste complet essai'!$A$4:$K$1367,9,)</f>
        <v>N2-b2</v>
      </c>
      <c r="CT10" s="311" t="str">
        <f aca="false">VLOOKUP(CONCATENATE($AI9,"-",CT$8),'[1]liste complet essai'!$A$4:$K$1367,9,)</f>
        <v>N2-b2</v>
      </c>
      <c r="CU10" s="311" t="str">
        <f aca="false">VLOOKUP(CONCATENATE($AI9,"-",CU$8),'[1]liste complet essai'!$A$4:$K$1367,9,)</f>
        <v>N2-b2</v>
      </c>
      <c r="CV10" s="311" t="str">
        <f aca="false">VLOOKUP(CONCATENATE($AI9,"-",CV$8),'[1]liste complet essai'!$A$4:$K$1367,9,)</f>
        <v>N2-b2</v>
      </c>
      <c r="CW10" s="311" t="str">
        <f aca="false">VLOOKUP(CONCATENATE($AI9,"-",CW$8),'[1]liste complet essai'!$A$4:$K$1367,9,)</f>
        <v>N2-b2</v>
      </c>
      <c r="CX10" s="311" t="str">
        <f aca="false">VLOOKUP(CONCATENATE($AI9,"-",CX$8),'[1]liste complet essai'!$A$4:$K$1367,9,)</f>
        <v>N2-b2</v>
      </c>
      <c r="CY10" s="311" t="str">
        <f aca="false">VLOOKUP(CONCATENATE($AI9,"-",CY$8),'[1]liste complet essai'!$A$4:$K$1367,9,)</f>
        <v>N2-b2</v>
      </c>
      <c r="CZ10" s="311" t="str">
        <f aca="false">VLOOKUP(CONCATENATE($AI9,"-",CZ$8),'[1]liste complet essai'!$A$4:$K$1367,9,)</f>
        <v>N2-b2</v>
      </c>
      <c r="DA10" s="311" t="str">
        <f aca="false">VLOOKUP(CONCATENATE($AI9,"-",DA$8),'[1]liste complet essai'!$A$4:$K$1367,9,)</f>
        <v>N2-b2</v>
      </c>
      <c r="DB10" s="311" t="str">
        <f aca="false">VLOOKUP(CONCATENATE($AI9,"-",DB$8),'[1]liste complet essai'!$A$4:$K$1367,9,)</f>
        <v>N2-b2</v>
      </c>
      <c r="DC10" s="311" t="str">
        <f aca="false">VLOOKUP(CONCATENATE($AI9,"-",DC$8),'[1]liste complet essai'!$A$4:$K$1367,9,)</f>
        <v>N2-b2</v>
      </c>
      <c r="DD10" s="311" t="str">
        <f aca="false">VLOOKUP(CONCATENATE($AI9,"-",DD$8),'[1]liste complet essai'!$A$4:$K$1367,9,)</f>
        <v>N2-b2</v>
      </c>
      <c r="DE10" s="311" t="str">
        <f aca="false">VLOOKUP(CONCATENATE($AI9,"-",DE$8),'[1]liste complet essai'!$A$4:$K$1367,9,)</f>
        <v>N2-b2</v>
      </c>
      <c r="DF10" s="311" t="str">
        <f aca="false">VLOOKUP(CONCATENATE($AI9,"-",DF$8),'[1]liste complet essai'!$A$4:$K$1367,9,)</f>
        <v>N2-b2</v>
      </c>
      <c r="DG10" s="311" t="str">
        <f aca="false">VLOOKUP(CONCATENATE($AI9,"-",DG$8),'[1]liste complet essai'!$A$4:$K$1367,9,)</f>
        <v>N2-b2</v>
      </c>
      <c r="DH10" s="311" t="str">
        <f aca="false">VLOOKUP(CONCATENATE($AI9,"-",DH$8),'[1]liste complet essai'!$A$4:$K$1367,9,)</f>
        <v>N2-b2</v>
      </c>
      <c r="DI10" s="306"/>
      <c r="DJ10" s="309"/>
      <c r="DK10" s="301"/>
    </row>
    <row r="11" customFormat="false" ht="12" hidden="false" customHeight="false" outlineLevel="0" collapsed="false">
      <c r="B11" s="293"/>
      <c r="C11" s="294"/>
      <c r="D11" s="307"/>
      <c r="E11" s="296"/>
      <c r="F11" s="308" t="str">
        <f aca="false">VLOOKUP(CONCATENATE($B9,"-",F$8),'[1]liste complet essai'!$A$4:$K$1367,5,)</f>
        <v>G-009</v>
      </c>
      <c r="G11" s="312" t="str">
        <f aca="false">VLOOKUP(CONCATENATE($B9,"-",G$8),'[1]liste complet essai'!$A$4:$K$1367,5,)</f>
        <v>G-002</v>
      </c>
      <c r="H11" s="308" t="str">
        <f aca="false">VLOOKUP(CONCATENATE($B9,"-",H$8),'[1]liste complet essai'!$A$4:$K$1367,5,)</f>
        <v>G-042</v>
      </c>
      <c r="I11" s="308" t="str">
        <f aca="false">VLOOKUP(CONCATENATE($B9,"-",I$8),'[1]liste complet essai'!$A$4:$K$1367,5,)</f>
        <v>G-051</v>
      </c>
      <c r="J11" s="308" t="str">
        <f aca="false">VLOOKUP(CONCATENATE($B9,"-",J$8),'[1]liste complet essai'!$A$4:$K$1367,5,)</f>
        <v>G-088</v>
      </c>
      <c r="K11" s="308" t="str">
        <f aca="false">VLOOKUP(CONCATENATE($B9,"-",K$8),'[1]liste complet essai'!$A$4:$K$1367,5,)</f>
        <v>G-043</v>
      </c>
      <c r="L11" s="308" t="str">
        <f aca="false">VLOOKUP(CONCATENATE($B9,"-",L$8),'[1]liste complet essai'!$A$4:$K$1367,5,)</f>
        <v>G-006</v>
      </c>
      <c r="M11" s="308" t="str">
        <f aca="false">VLOOKUP(CONCATENATE($B9,"-",M$8),'[1]liste complet essai'!$A$4:$K$1367,5,)</f>
        <v>G-115</v>
      </c>
      <c r="N11" s="308" t="str">
        <f aca="false">VLOOKUP(CONCATENATE($B9,"-",N$8),'[1]liste complet essai'!$A$4:$K$1367,5,)</f>
        <v>G-111</v>
      </c>
      <c r="O11" s="308" t="str">
        <f aca="false">VLOOKUP(CONCATENATE($B9,"-",O$8),'[1]liste complet essai'!$A$4:$K$1367,5,)</f>
        <v>G-019</v>
      </c>
      <c r="P11" s="308" t="str">
        <f aca="false">VLOOKUP(CONCATENATE($B9,"-",P$8),'[1]liste complet essai'!$A$4:$K$1367,5,)</f>
        <v>G-014</v>
      </c>
      <c r="Q11" s="308" t="str">
        <f aca="false">VLOOKUP(CONCATENATE($B9,"-",Q$8),'[1]liste complet essai'!$A$4:$K$1367,5,)</f>
        <v>G-060</v>
      </c>
      <c r="R11" s="308" t="str">
        <f aca="false">VLOOKUP(CONCATENATE($B9,"-",R$8),'[1]liste complet essai'!$A$4:$K$1367,5,)</f>
        <v>G-083</v>
      </c>
      <c r="S11" s="308" t="str">
        <f aca="false">VLOOKUP(CONCATENATE($B9,"-",S$8),'[1]liste complet essai'!$A$4:$K$1367,5,)</f>
        <v>G-077</v>
      </c>
      <c r="T11" s="308" t="str">
        <f aca="false">VLOOKUP(CONCATENATE($B9,"-",T$8),'[1]liste complet essai'!$A$4:$K$1367,5,)</f>
        <v>G-095</v>
      </c>
      <c r="U11" s="312" t="str">
        <f aca="false">VLOOKUP(CONCATENATE($B9,"-",U$8),'[1]liste complet essai'!$A$4:$K$1367,5,)</f>
        <v>G-002</v>
      </c>
      <c r="V11" s="308" t="str">
        <f aca="false">VLOOKUP(CONCATENATE($B9,"-",V$8),'[1]liste complet essai'!$A$4:$K$1367,5,)</f>
        <v>G-029</v>
      </c>
      <c r="W11" s="308" t="str">
        <f aca="false">VLOOKUP(CONCATENATE($B9,"-",W$8),'[1]liste complet essai'!$A$4:$K$1367,5,)</f>
        <v>G-092</v>
      </c>
      <c r="X11" s="312" t="str">
        <f aca="false">VLOOKUP(CONCATENATE($B9,"-",X$8),'[1]liste complet essai'!$A$4:$K$1367,5,)</f>
        <v>G-002</v>
      </c>
      <c r="Y11" s="308" t="str">
        <f aca="false">VLOOKUP(CONCATENATE($B9,"-",Y$8),'[1]liste complet essai'!$A$4:$K$1367,5,)</f>
        <v>G-069</v>
      </c>
      <c r="Z11" s="308" t="str">
        <f aca="false">VLOOKUP(CONCATENATE($B9,"-",Z$8),'[1]liste complet essai'!$A$4:$K$1367,5,)</f>
        <v>G-082</v>
      </c>
      <c r="AA11" s="308" t="str">
        <f aca="false">VLOOKUP(CONCATENATE($B9,"-",AA$8),'[1]liste complet essai'!$A$4:$K$1367,5,)</f>
        <v>G-070</v>
      </c>
      <c r="AB11" s="308" t="str">
        <f aca="false">VLOOKUP(CONCATENATE($B9,"-",AB$8),'[1]liste complet essai'!$A$4:$K$1367,5,)</f>
        <v>G-079</v>
      </c>
      <c r="AC11" s="308" t="str">
        <f aca="false">VLOOKUP(CONCATENATE($B9,"-",AC$8),'[1]liste complet essai'!$A$4:$K$1367,5,)</f>
        <v>G-091</v>
      </c>
      <c r="AD11" s="308" t="str">
        <f aca="false">VLOOKUP(CONCATENATE($B9,"-",AD$8),'[1]liste complet essai'!$A$4:$K$1367,5,)</f>
        <v>G-056</v>
      </c>
      <c r="AE11" s="308" t="str">
        <f aca="false">VLOOKUP(CONCATENATE($B9,"-",AE$8),'[1]liste complet essai'!$A$4:$K$1367,5,)</f>
        <v>G-039</v>
      </c>
      <c r="AF11" s="301"/>
      <c r="AI11" s="302"/>
      <c r="AJ11" s="294"/>
      <c r="AK11" s="309"/>
      <c r="AL11" s="296"/>
      <c r="AM11" s="308" t="str">
        <f aca="false">VLOOKUP(CONCATENATE($AI9,"-",AM$8),'[1]liste complet essai'!$A$4:$K$1367,5,)</f>
        <v>G-102</v>
      </c>
      <c r="AN11" s="308" t="str">
        <f aca="false">VLOOKUP(CONCATENATE($AI9,"-",AN$8),'[1]liste complet essai'!$A$4:$K$1367,5,)</f>
        <v>G-122</v>
      </c>
      <c r="AO11" s="308" t="str">
        <f aca="false">VLOOKUP(CONCATENATE($AI9,"-",AO$8),'[1]liste complet essai'!$A$4:$K$1367,5,)</f>
        <v>G-034</v>
      </c>
      <c r="AP11" s="308" t="str">
        <f aca="false">VLOOKUP(CONCATENATE($AI9,"-",AP$8),'[1]liste complet essai'!$A$4:$K$1367,5,)</f>
        <v>G-089</v>
      </c>
      <c r="AQ11" s="308" t="str">
        <f aca="false">VLOOKUP(CONCATENATE($AI9,"-",AQ$8),'[1]liste complet essai'!$A$4:$K$1367,5,)</f>
        <v>G-037</v>
      </c>
      <c r="AR11" s="308" t="str">
        <f aca="false">VLOOKUP(CONCATENATE($AI9,"-",AR$8),'[1]liste complet essai'!$A$4:$K$1367,5,)</f>
        <v>G-123</v>
      </c>
      <c r="AS11" s="308" t="str">
        <f aca="false">VLOOKUP(CONCATENATE($AI9,"-",AS$8),'[1]liste complet essai'!$A$4:$K$1367,5,)</f>
        <v>G-046</v>
      </c>
      <c r="AT11" s="308" t="str">
        <f aca="false">VLOOKUP(CONCATENATE($AI9,"-",AT$8),'[1]liste complet essai'!$A$4:$K$1367,5,)</f>
        <v>G-023</v>
      </c>
      <c r="AU11" s="308" t="str">
        <f aca="false">VLOOKUP(CONCATENATE($AI9,"-",AU$8),'[1]liste complet essai'!$A$4:$K$1367,5,)</f>
        <v>G-110</v>
      </c>
      <c r="AV11" s="308" t="str">
        <f aca="false">VLOOKUP(CONCATENATE($AI9,"-",AV$8),'[1]liste complet essai'!$A$4:$K$1367,5,)</f>
        <v>G-042</v>
      </c>
      <c r="AW11" s="308" t="str">
        <f aca="false">VLOOKUP(CONCATENATE($AI9,"-",AW$8),'[1]liste complet essai'!$A$4:$K$1367,5,)</f>
        <v>G-088</v>
      </c>
      <c r="AX11" s="308" t="str">
        <f aca="false">VLOOKUP(CONCATENATE($AI9,"-",AX$8),'[1]liste complet essai'!$A$4:$K$1367,5,)</f>
        <v>G-053</v>
      </c>
      <c r="AY11" s="308" t="str">
        <f aca="false">VLOOKUP(CONCATENATE($AI9,"-",AY$8),'[1]liste complet essai'!$A$4:$K$1367,5,)</f>
        <v>G-072</v>
      </c>
      <c r="AZ11" s="308" t="str">
        <f aca="false">VLOOKUP(CONCATENATE($AI9,"-",AZ$8),'[1]liste complet essai'!$A$4:$K$1367,5,)</f>
        <v>G-075</v>
      </c>
      <c r="BA11" s="308" t="str">
        <f aca="false">VLOOKUP(CONCATENATE($AI9,"-",BA$8),'[1]liste complet essai'!$A$4:$K$1367,5,)</f>
        <v>G-009</v>
      </c>
      <c r="BB11" s="308" t="str">
        <f aca="false">VLOOKUP(CONCATENATE($AI9,"-",BB$8),'[1]liste complet essai'!$A$4:$K$1367,5,)</f>
        <v>G-026</v>
      </c>
      <c r="BC11" s="308" t="str">
        <f aca="false">VLOOKUP(CONCATENATE($AI9,"-",BC$8),'[1]liste complet essai'!$A$4:$K$1367,5,)</f>
        <v>G-062</v>
      </c>
      <c r="BD11" s="308" t="str">
        <f aca="false">VLOOKUP(CONCATENATE($AI9,"-",BD$8),'[1]liste complet essai'!$A$4:$K$1367,5,)</f>
        <v>G-040</v>
      </c>
      <c r="BE11" s="308" t="str">
        <f aca="false">VLOOKUP(CONCATENATE($AI9,"-",BE$8),'[1]liste complet essai'!$A$4:$K$1367,5,)</f>
        <v>G-067</v>
      </c>
      <c r="BF11" s="308" t="str">
        <f aca="false">VLOOKUP(CONCATENATE($AI9,"-",BF$8),'[1]liste complet essai'!$A$4:$K$1367,5,)</f>
        <v>G-101</v>
      </c>
      <c r="BG11" s="308" t="str">
        <f aca="false">VLOOKUP(CONCATENATE($AI9,"-",BG$8),'[1]liste complet essai'!$A$4:$K$1367,5,)</f>
        <v>G-083</v>
      </c>
      <c r="BH11" s="308" t="str">
        <f aca="false">VLOOKUP(CONCATENATE($AI9,"-",BH$8),'[1]liste complet essai'!$A$4:$K$1367,5,)</f>
        <v>G-032</v>
      </c>
      <c r="BI11" s="308" t="str">
        <f aca="false">VLOOKUP(CONCATENATE($AI9,"-",BI$8),'[1]liste complet essai'!$A$4:$K$1367,5,)</f>
        <v>G-093</v>
      </c>
      <c r="BJ11" s="308" t="str">
        <f aca="false">VLOOKUP(CONCATENATE($AI9,"-",BJ$8),'[1]liste complet essai'!$A$4:$K$1367,5,)</f>
        <v>G-036</v>
      </c>
      <c r="BK11" s="308" t="str">
        <f aca="false">VLOOKUP(CONCATENATE($AI9,"-",BK$8),'[1]liste complet essai'!$A$4:$K$1367,5,)</f>
        <v>G-119</v>
      </c>
      <c r="BL11" s="308" t="str">
        <f aca="false">VLOOKUP(CONCATENATE($AI9,"-",BL$8),'[1]liste complet essai'!$A$4:$K$1367,5,)</f>
        <v>G-006</v>
      </c>
      <c r="BM11" s="308" t="str">
        <f aca="false">VLOOKUP(CONCATENATE($AI9,"-",BM$8),'[1]liste complet essai'!$A$4:$K$1367,5,)</f>
        <v>G-063</v>
      </c>
      <c r="BN11" s="308" t="str">
        <f aca="false">VLOOKUP(CONCATENATE($AI9,"-",BN$8),'[1]liste complet essai'!$A$4:$K$1367,5,)</f>
        <v>G-081</v>
      </c>
      <c r="BO11" s="308" t="str">
        <f aca="false">VLOOKUP(CONCATENATE($AI9,"-",BO$8),'[1]liste complet essai'!$A$4:$K$1367,5,)</f>
        <v>G-082</v>
      </c>
      <c r="BP11" s="308" t="str">
        <f aca="false">VLOOKUP(CONCATENATE($AI9,"-",BP$8),'[1]liste complet essai'!$A$4:$K$1367,5,)</f>
        <v>G-070</v>
      </c>
      <c r="BQ11" s="308" t="str">
        <f aca="false">VLOOKUP(CONCATENATE($AI9,"-",BQ$8),'[1]liste complet essai'!$A$4:$K$1367,5,)</f>
        <v>G-065</v>
      </c>
      <c r="BR11" s="308" t="str">
        <f aca="false">VLOOKUP(CONCATENATE($AI9,"-",BR$8),'[1]liste complet essai'!$A$4:$K$1367,5,)</f>
        <v>G-033</v>
      </c>
      <c r="BS11" s="310"/>
      <c r="BT11" s="310"/>
      <c r="BU11" s="310"/>
      <c r="BV11" s="310"/>
      <c r="BW11" s="310"/>
      <c r="BX11" s="310"/>
      <c r="BY11" s="310"/>
      <c r="BZ11" s="310"/>
      <c r="CA11" s="310"/>
      <c r="CB11" s="310"/>
      <c r="CC11" s="311" t="str">
        <f aca="false">VLOOKUP(CONCATENATE($AI9,"-",CC$8),'[1]liste complet essai'!$A$4:$K$1367,5,)</f>
        <v>G-122</v>
      </c>
      <c r="CD11" s="311" t="str">
        <f aca="false">VLOOKUP(CONCATENATE($AI9,"-",CD$8),'[1]liste complet essai'!$A$4:$K$1367,5,)</f>
        <v>G-090</v>
      </c>
      <c r="CE11" s="311" t="str">
        <f aca="false">VLOOKUP(CONCATENATE($AI9,"-",CE$8),'[1]liste complet essai'!$A$4:$K$1367,5,)</f>
        <v>G-057</v>
      </c>
      <c r="CF11" s="311" t="str">
        <f aca="false">VLOOKUP(CONCATENATE($AI9,"-",CF$8),'[1]liste complet essai'!$A$4:$K$1367,5,)</f>
        <v>G-100</v>
      </c>
      <c r="CG11" s="311" t="str">
        <f aca="false">VLOOKUP(CONCATENATE($AI9,"-",CG$8),'[1]liste complet essai'!$A$4:$K$1367,5,)</f>
        <v>G-093</v>
      </c>
      <c r="CH11" s="311" t="str">
        <f aca="false">VLOOKUP(CONCATENATE($AI9,"-",CH$8),'[1]liste complet essai'!$A$4:$K$1367,5,)</f>
        <v>G-114</v>
      </c>
      <c r="CI11" s="311" t="str">
        <f aca="false">VLOOKUP(CONCATENATE($AI9,"-",CI$8),'[1]liste complet essai'!$A$4:$K$1367,5,)</f>
        <v>G-079</v>
      </c>
      <c r="CJ11" s="311" t="str">
        <f aca="false">VLOOKUP(CONCATENATE($AI9,"-",CJ$8),'[1]liste complet essai'!$A$4:$K$1367,5,)</f>
        <v>G-124</v>
      </c>
      <c r="CK11" s="311" t="str">
        <f aca="false">VLOOKUP(CONCATENATE($AI9,"-",CK$8),'[1]liste complet essai'!$A$4:$K$1367,5,)</f>
        <v>G-105</v>
      </c>
      <c r="CL11" s="311" t="str">
        <f aca="false">VLOOKUP(CONCATENATE($AI9,"-",CL$8),'[1]liste complet essai'!$A$4:$K$1367,5,)</f>
        <v>G-094</v>
      </c>
      <c r="CM11" s="313" t="str">
        <f aca="false">VLOOKUP(CONCATENATE($AI9,"-",CM$8),'[1]liste complet essai'!$A$4:$K$1367,5,)</f>
        <v>G-002</v>
      </c>
      <c r="CN11" s="311" t="str">
        <f aca="false">VLOOKUP(CONCATENATE($AI9,"-",CN$8),'[1]liste complet essai'!$A$4:$K$1367,5,)</f>
        <v>G-097</v>
      </c>
      <c r="CO11" s="311" t="str">
        <f aca="false">VLOOKUP(CONCATENATE($AI9,"-",CO$8),'[1]liste complet essai'!$A$4:$K$1367,5,)</f>
        <v>G-077</v>
      </c>
      <c r="CP11" s="311" t="str">
        <f aca="false">VLOOKUP(CONCATENATE($AI9,"-",CP$8),'[1]liste complet essai'!$A$4:$K$1367,5,)</f>
        <v>G-061</v>
      </c>
      <c r="CQ11" s="311" t="str">
        <f aca="false">VLOOKUP(CONCATENATE($AI9,"-",CQ$8),'[1]liste complet essai'!$A$4:$K$1367,5,)</f>
        <v>G-104</v>
      </c>
      <c r="CR11" s="311" t="str">
        <f aca="false">VLOOKUP(CONCATENATE($AI9,"-",CR$8),'[1]liste complet essai'!$A$4:$K$1367,5,)</f>
        <v>G-041</v>
      </c>
      <c r="CS11" s="311" t="str">
        <f aca="false">VLOOKUP(CONCATENATE($AI9,"-",CS$8),'[1]liste complet essai'!$A$4:$K$1367,5,)</f>
        <v>G-113</v>
      </c>
      <c r="CT11" s="311" t="str">
        <f aca="false">VLOOKUP(CONCATENATE($AI9,"-",CT$8),'[1]liste complet essai'!$A$4:$K$1367,5,)</f>
        <v>G-118</v>
      </c>
      <c r="CU11" s="311" t="str">
        <f aca="false">VLOOKUP(CONCATENATE($AI9,"-",CU$8),'[1]liste complet essai'!$A$4:$K$1367,5,)</f>
        <v>G-095</v>
      </c>
      <c r="CV11" s="311" t="str">
        <f aca="false">VLOOKUP(CONCATENATE($AI9,"-",CV$8),'[1]liste complet essai'!$A$4:$K$1367,5,)</f>
        <v>G-117</v>
      </c>
      <c r="CW11" s="311" t="str">
        <f aca="false">VLOOKUP(CONCATENATE($AI9,"-",CW$8),'[1]liste complet essai'!$A$4:$K$1367,5,)</f>
        <v>G-026</v>
      </c>
      <c r="CX11" s="311" t="str">
        <f aca="false">VLOOKUP(CONCATENATE($AI9,"-",CX$8),'[1]liste complet essai'!$A$4:$K$1367,5,)</f>
        <v>G-112</v>
      </c>
      <c r="CY11" s="311" t="str">
        <f aca="false">VLOOKUP(CONCATENATE($AI9,"-",CY$8),'[1]liste complet essai'!$A$4:$K$1367,5,)</f>
        <v>G-023</v>
      </c>
      <c r="CZ11" s="311" t="str">
        <f aca="false">VLOOKUP(CONCATENATE($AI9,"-",CZ$8),'[1]liste complet essai'!$A$4:$K$1367,5,)</f>
        <v>G-091</v>
      </c>
      <c r="DA11" s="311" t="str">
        <f aca="false">VLOOKUP(CONCATENATE($AI9,"-",DA$8),'[1]liste complet essai'!$A$4:$K$1367,5,)</f>
        <v>G-119</v>
      </c>
      <c r="DB11" s="311" t="str">
        <f aca="false">VLOOKUP(CONCATENATE($AI9,"-",DB$8),'[1]liste complet essai'!$A$4:$K$1367,5,)</f>
        <v>G-025</v>
      </c>
      <c r="DC11" s="311" t="str">
        <f aca="false">VLOOKUP(CONCATENATE($AI9,"-",DC$8),'[1]liste complet essai'!$A$4:$K$1367,5,)</f>
        <v>G-039</v>
      </c>
      <c r="DD11" s="311" t="str">
        <f aca="false">VLOOKUP(CONCATENATE($AI9,"-",DD$8),'[1]liste complet essai'!$A$4:$K$1367,5,)</f>
        <v>G-037</v>
      </c>
      <c r="DE11" s="311" t="str">
        <f aca="false">VLOOKUP(CONCATENATE($AI9,"-",DE$8),'[1]liste complet essai'!$A$4:$K$1367,5,)</f>
        <v>G-108</v>
      </c>
      <c r="DF11" s="311" t="str">
        <f aca="false">VLOOKUP(CONCATENATE($AI9,"-",DF$8),'[1]liste complet essai'!$A$4:$K$1367,5,)</f>
        <v>G-013</v>
      </c>
      <c r="DG11" s="311" t="str">
        <f aca="false">VLOOKUP(CONCATENATE($AI9,"-",DG$8),'[1]liste complet essai'!$A$4:$K$1367,5,)</f>
        <v>G-004</v>
      </c>
      <c r="DH11" s="311" t="str">
        <f aca="false">VLOOKUP(CONCATENATE($AI9,"-",DH$8),'[1]liste complet essai'!$A$4:$K$1367,5,)</f>
        <v>G-088</v>
      </c>
      <c r="DI11" s="306"/>
      <c r="DJ11" s="309"/>
      <c r="DK11" s="301"/>
    </row>
    <row r="12" customFormat="false" ht="13.5" hidden="false" customHeight="true" outlineLevel="0" collapsed="false">
      <c r="B12" s="293"/>
      <c r="C12" s="294"/>
      <c r="D12" s="314"/>
      <c r="E12" s="296"/>
      <c r="F12" s="308" t="str">
        <f aca="false">VLOOKUP(CONCATENATE($B9,"-",F$8),'[1]liste complet essai'!$A$4:$K$1367,1,)</f>
        <v>15-65</v>
      </c>
      <c r="G12" s="298" t="str">
        <f aca="false">VLOOKUP(CONCATENATE($B9,"-",G$8),'[1]liste complet essai'!$A$4:$K$1367,1,)</f>
        <v>15-66</v>
      </c>
      <c r="H12" s="308" t="str">
        <f aca="false">VLOOKUP(CONCATENATE($B9,"-",H$8),'[1]liste complet essai'!$A$4:$K$1367,1,)</f>
        <v>15-67</v>
      </c>
      <c r="I12" s="308" t="str">
        <f aca="false">VLOOKUP(CONCATENATE($B9,"-",I$8),'[1]liste complet essai'!$A$4:$K$1367,1,)</f>
        <v>15-68</v>
      </c>
      <c r="J12" s="308" t="str">
        <f aca="false">VLOOKUP(CONCATENATE($B9,"-",J$8),'[1]liste complet essai'!$A$4:$K$1367,1,)</f>
        <v>15-69</v>
      </c>
      <c r="K12" s="308" t="str">
        <f aca="false">VLOOKUP(CONCATENATE($B9,"-",K$8),'[1]liste complet essai'!$A$4:$K$1367,1,)</f>
        <v>15-70</v>
      </c>
      <c r="L12" s="308" t="str">
        <f aca="false">VLOOKUP(CONCATENATE($B9,"-",L$8),'[1]liste complet essai'!$A$4:$K$1367,1,)</f>
        <v>15-71</v>
      </c>
      <c r="M12" s="308" t="str">
        <f aca="false">VLOOKUP(CONCATENATE($B9,"-",M$8),'[1]liste complet essai'!$A$4:$K$1367,1,)</f>
        <v>15-72</v>
      </c>
      <c r="N12" s="308" t="str">
        <f aca="false">VLOOKUP(CONCATENATE($B9,"-",N$8),'[1]liste complet essai'!$A$4:$K$1367,1,)</f>
        <v>15-73</v>
      </c>
      <c r="O12" s="308" t="str">
        <f aca="false">VLOOKUP(CONCATENATE($B9,"-",O$8),'[1]liste complet essai'!$A$4:$K$1367,1,)</f>
        <v>15-74</v>
      </c>
      <c r="P12" s="308" t="str">
        <f aca="false">VLOOKUP(CONCATENATE($B9,"-",P$8),'[1]liste complet essai'!$A$4:$K$1367,1,)</f>
        <v>15-75</v>
      </c>
      <c r="Q12" s="308" t="str">
        <f aca="false">VLOOKUP(CONCATENATE($B9,"-",Q$8),'[1]liste complet essai'!$A$4:$K$1367,1,)</f>
        <v>15-76</v>
      </c>
      <c r="R12" s="308" t="str">
        <f aca="false">VLOOKUP(CONCATENATE($B9,"-",R$8),'[1]liste complet essai'!$A$4:$K$1367,1,)</f>
        <v>15-77</v>
      </c>
      <c r="S12" s="308" t="str">
        <f aca="false">VLOOKUP(CONCATENATE($B9,"-",S$8),'[1]liste complet essai'!$A$4:$K$1367,1,)</f>
        <v>15-78</v>
      </c>
      <c r="T12" s="308" t="str">
        <f aca="false">VLOOKUP(CONCATENATE($B9,"-",T$8),'[1]liste complet essai'!$A$4:$K$1367,1,)</f>
        <v>15-79</v>
      </c>
      <c r="U12" s="315" t="str">
        <f aca="false">VLOOKUP(CONCATENATE($B9,"-",U$8),'[1]liste complet essai'!$A$4:$K$1367,1,)</f>
        <v>15-80</v>
      </c>
      <c r="V12" s="308" t="str">
        <f aca="false">VLOOKUP(CONCATENATE($B9,"-",V$8),'[1]liste complet essai'!$A$4:$K$1367,1,)</f>
        <v>15-81</v>
      </c>
      <c r="W12" s="308" t="str">
        <f aca="false">VLOOKUP(CONCATENATE($B9,"-",W$8),'[1]liste complet essai'!$A$4:$K$1367,1,)</f>
        <v>15-82</v>
      </c>
      <c r="X12" s="316" t="str">
        <f aca="false">VLOOKUP(CONCATENATE($B9,"-",X$8),'[1]liste complet essai'!$A$4:$K$1367,1,)</f>
        <v>15-83</v>
      </c>
      <c r="Y12" s="308" t="str">
        <f aca="false">VLOOKUP(CONCATENATE($B9,"-",Y$8),'[1]liste complet essai'!$A$4:$K$1367,1,)</f>
        <v>15-84</v>
      </c>
      <c r="Z12" s="308" t="str">
        <f aca="false">VLOOKUP(CONCATENATE($B9,"-",Z$8),'[1]liste complet essai'!$A$4:$K$1367,1,)</f>
        <v>15-85</v>
      </c>
      <c r="AA12" s="308" t="str">
        <f aca="false">VLOOKUP(CONCATENATE($B9,"-",AA$8),'[1]liste complet essai'!$A$4:$K$1367,1,)</f>
        <v>15-86</v>
      </c>
      <c r="AB12" s="308" t="str">
        <f aca="false">VLOOKUP(CONCATENATE($B9,"-",AB$8),'[1]liste complet essai'!$A$4:$K$1367,1,)</f>
        <v>15-87</v>
      </c>
      <c r="AC12" s="308" t="str">
        <f aca="false">VLOOKUP(CONCATENATE($B9,"-",AC$8),'[1]liste complet essai'!$A$4:$K$1367,1,)</f>
        <v>15-88</v>
      </c>
      <c r="AD12" s="308" t="str">
        <f aca="false">VLOOKUP(CONCATENATE($B9,"-",AD$8),'[1]liste complet essai'!$A$4:$K$1367,1,)</f>
        <v>15-89</v>
      </c>
      <c r="AE12" s="308" t="str">
        <f aca="false">VLOOKUP(CONCATENATE($B9,"-",AE$8),'[1]liste complet essai'!$A$4:$K$1367,1,)</f>
        <v>15-90</v>
      </c>
      <c r="AF12" s="301"/>
      <c r="AI12" s="302"/>
      <c r="AJ12" s="294"/>
      <c r="AK12" s="317"/>
      <c r="AL12" s="296"/>
      <c r="AM12" s="308" t="str">
        <f aca="false">VLOOKUP(CONCATENATE($AI9,"-",AM$8),'[1]liste complet essai'!$A$4:$K$1367,1,)</f>
        <v>01-01</v>
      </c>
      <c r="AN12" s="308" t="str">
        <f aca="false">VLOOKUP(CONCATENATE($AI9,"-",AN$8),'[1]liste complet essai'!$A$4:$K$1367,1,)</f>
        <v>01-02</v>
      </c>
      <c r="AO12" s="308" t="str">
        <f aca="false">VLOOKUP(CONCATENATE($AI9,"-",AO$8),'[1]liste complet essai'!$A$4:$K$1367,1,)</f>
        <v>01-03</v>
      </c>
      <c r="AP12" s="308" t="str">
        <f aca="false">VLOOKUP(CONCATENATE($AI9,"-",AP$8),'[1]liste complet essai'!$A$4:$K$1367,1,)</f>
        <v>01-04</v>
      </c>
      <c r="AQ12" s="308" t="str">
        <f aca="false">VLOOKUP(CONCATENATE($AI9,"-",AQ$8),'[1]liste complet essai'!$A$4:$K$1367,1,)</f>
        <v>01-05</v>
      </c>
      <c r="AR12" s="308" t="str">
        <f aca="false">VLOOKUP(CONCATENATE($AI9,"-",AR$8),'[1]liste complet essai'!$A$4:$K$1367,1,)</f>
        <v>01-06</v>
      </c>
      <c r="AS12" s="308" t="str">
        <f aca="false">VLOOKUP(CONCATENATE($AI9,"-",AS$8),'[1]liste complet essai'!$A$4:$K$1367,1,)</f>
        <v>01-07</v>
      </c>
      <c r="AT12" s="308" t="str">
        <f aca="false">VLOOKUP(CONCATENATE($AI9,"-",AT$8),'[1]liste complet essai'!$A$4:$K$1367,1,)</f>
        <v>01-08</v>
      </c>
      <c r="AU12" s="308" t="str">
        <f aca="false">VLOOKUP(CONCATENATE($AI9,"-",AU$8),'[1]liste complet essai'!$A$4:$K$1367,1,)</f>
        <v>01-09</v>
      </c>
      <c r="AV12" s="308" t="str">
        <f aca="false">VLOOKUP(CONCATENATE($AI9,"-",AV$8),'[1]liste complet essai'!$A$4:$K$1367,1,)</f>
        <v>01-10</v>
      </c>
      <c r="AW12" s="308" t="str">
        <f aca="false">VLOOKUP(CONCATENATE($AI9,"-",AW$8),'[1]liste complet essai'!$A$4:$K$1367,1,)</f>
        <v>01-11</v>
      </c>
      <c r="AX12" s="308" t="str">
        <f aca="false">VLOOKUP(CONCATENATE($AI9,"-",AX$8),'[1]liste complet essai'!$A$4:$K$1367,1,)</f>
        <v>01-12</v>
      </c>
      <c r="AY12" s="308" t="str">
        <f aca="false">VLOOKUP(CONCATENATE($AI9,"-",AY$8),'[1]liste complet essai'!$A$4:$K$1367,1,)</f>
        <v>01-13</v>
      </c>
      <c r="AZ12" s="308" t="str">
        <f aca="false">VLOOKUP(CONCATENATE($AI9,"-",AZ$8),'[1]liste complet essai'!$A$4:$K$1367,1,)</f>
        <v>01-14</v>
      </c>
      <c r="BA12" s="308" t="str">
        <f aca="false">VLOOKUP(CONCATENATE($AI9,"-",BA$8),'[1]liste complet essai'!$A$4:$K$1367,1,)</f>
        <v>01-15</v>
      </c>
      <c r="BB12" s="308" t="str">
        <f aca="false">VLOOKUP(CONCATENATE($AI9,"-",BB$8),'[1]liste complet essai'!$A$4:$K$1367,1,)</f>
        <v>01-16</v>
      </c>
      <c r="BC12" s="308" t="str">
        <f aca="false">VLOOKUP(CONCATENATE($AI9,"-",BC$8),'[1]liste complet essai'!$A$4:$K$1367,1,)</f>
        <v>01-17</v>
      </c>
      <c r="BD12" s="308" t="str">
        <f aca="false">VLOOKUP(CONCATENATE($AI9,"-",BD$8),'[1]liste complet essai'!$A$4:$K$1367,1,)</f>
        <v>01-18</v>
      </c>
      <c r="BE12" s="308" t="str">
        <f aca="false">VLOOKUP(CONCATENATE($AI9,"-",BE$8),'[1]liste complet essai'!$A$4:$K$1367,1,)</f>
        <v>01-19</v>
      </c>
      <c r="BF12" s="308" t="str">
        <f aca="false">VLOOKUP(CONCATENATE($AI9,"-",BF$8),'[1]liste complet essai'!$A$4:$K$1367,1,)</f>
        <v>01-20</v>
      </c>
      <c r="BG12" s="308" t="str">
        <f aca="false">VLOOKUP(CONCATENATE($AI9,"-",BG$8),'[1]liste complet essai'!$A$4:$K$1367,1,)</f>
        <v>01-21</v>
      </c>
      <c r="BH12" s="308" t="str">
        <f aca="false">VLOOKUP(CONCATENATE($AI9,"-",BH$8),'[1]liste complet essai'!$A$4:$K$1367,1,)</f>
        <v>01-22</v>
      </c>
      <c r="BI12" s="308" t="str">
        <f aca="false">VLOOKUP(CONCATENATE($AI9,"-",BI$8),'[1]liste complet essai'!$A$4:$K$1367,1,)</f>
        <v>01-23</v>
      </c>
      <c r="BJ12" s="308" t="str">
        <f aca="false">VLOOKUP(CONCATENATE($AI9,"-",BJ$8),'[1]liste complet essai'!$A$4:$K$1367,1,)</f>
        <v>01-24</v>
      </c>
      <c r="BK12" s="308" t="str">
        <f aca="false">VLOOKUP(CONCATENATE($AI9,"-",BK$8),'[1]liste complet essai'!$A$4:$K$1367,1,)</f>
        <v>01-25</v>
      </c>
      <c r="BL12" s="308" t="str">
        <f aca="false">VLOOKUP(CONCATENATE($AI9,"-",BL$8),'[1]liste complet essai'!$A$4:$K$1367,1,)</f>
        <v>01-26</v>
      </c>
      <c r="BM12" s="308" t="str">
        <f aca="false">VLOOKUP(CONCATENATE($AI9,"-",BM$8),'[1]liste complet essai'!$A$4:$K$1367,1,)</f>
        <v>01-27</v>
      </c>
      <c r="BN12" s="308" t="str">
        <f aca="false">VLOOKUP(CONCATENATE($AI9,"-",BN$8),'[1]liste complet essai'!$A$4:$K$1367,1,)</f>
        <v>01-28</v>
      </c>
      <c r="BO12" s="308" t="str">
        <f aca="false">VLOOKUP(CONCATENATE($AI9,"-",BO$8),'[1]liste complet essai'!$A$4:$K$1367,1,)</f>
        <v>01-29</v>
      </c>
      <c r="BP12" s="308" t="str">
        <f aca="false">VLOOKUP(CONCATENATE($AI9,"-",BP$8),'[1]liste complet essai'!$A$4:$K$1367,1,)</f>
        <v>01-30</v>
      </c>
      <c r="BQ12" s="308" t="str">
        <f aca="false">VLOOKUP(CONCATENATE($AI9,"-",BQ$8),'[1]liste complet essai'!$A$4:$K$1367,1,)</f>
        <v>01-31</v>
      </c>
      <c r="BR12" s="308" t="str">
        <f aca="false">VLOOKUP(CONCATENATE($AI9,"-",BR$8),'[1]liste complet essai'!$A$4:$K$1367,1,)</f>
        <v>01-32</v>
      </c>
      <c r="BS12" s="310"/>
      <c r="BT12" s="310"/>
      <c r="BU12" s="310"/>
      <c r="BV12" s="310"/>
      <c r="BW12" s="310"/>
      <c r="BX12" s="310"/>
      <c r="BY12" s="310"/>
      <c r="BZ12" s="310"/>
      <c r="CA12" s="310"/>
      <c r="CB12" s="310"/>
      <c r="CC12" s="311" t="str">
        <f aca="false">VLOOKUP(CONCATENATE($AI9,"-",CC$8),'[1]liste complet essai'!$A$4:$K$1367,1,)</f>
        <v>01-33</v>
      </c>
      <c r="CD12" s="311" t="str">
        <f aca="false">VLOOKUP(CONCATENATE($AI9,"-",CD$8),'[1]liste complet essai'!$A$4:$K$1367,1,)</f>
        <v>01-34</v>
      </c>
      <c r="CE12" s="311" t="str">
        <f aca="false">VLOOKUP(CONCATENATE($AI9,"-",CE$8),'[1]liste complet essai'!$A$4:$K$1367,1,)</f>
        <v>01-35</v>
      </c>
      <c r="CF12" s="311" t="str">
        <f aca="false">VLOOKUP(CONCATENATE($AI9,"-",CF$8),'[1]liste complet essai'!$A$4:$K$1367,1,)</f>
        <v>01-36</v>
      </c>
      <c r="CG12" s="311" t="str">
        <f aca="false">VLOOKUP(CONCATENATE($AI9,"-",CG$8),'[1]liste complet essai'!$A$4:$K$1367,1,)</f>
        <v>01-37</v>
      </c>
      <c r="CH12" s="311" t="str">
        <f aca="false">VLOOKUP(CONCATENATE($AI9,"-",CH$8),'[1]liste complet essai'!$A$4:$K$1367,1,)</f>
        <v>01-38</v>
      </c>
      <c r="CI12" s="311" t="str">
        <f aca="false">VLOOKUP(CONCATENATE($AI9,"-",CI$8),'[1]liste complet essai'!$A$4:$K$1367,1,)</f>
        <v>01-39</v>
      </c>
      <c r="CJ12" s="311" t="str">
        <f aca="false">VLOOKUP(CONCATENATE($AI9,"-",CJ$8),'[1]liste complet essai'!$A$4:$K$1367,1,)</f>
        <v>01-40</v>
      </c>
      <c r="CK12" s="311" t="str">
        <f aca="false">VLOOKUP(CONCATENATE($AI9,"-",CK$8),'[1]liste complet essai'!$A$4:$K$1367,1,)</f>
        <v>01-41</v>
      </c>
      <c r="CL12" s="311" t="str">
        <f aca="false">VLOOKUP(CONCATENATE($AI9,"-",CL$8),'[1]liste complet essai'!$A$4:$K$1367,1,)</f>
        <v>01-42</v>
      </c>
      <c r="CM12" s="316" t="str">
        <f aca="false">VLOOKUP(CONCATENATE($AI9,"-",CM$8),'[1]liste complet essai'!$A$4:$K$1367,1,)</f>
        <v>01-43</v>
      </c>
      <c r="CN12" s="311" t="str">
        <f aca="false">VLOOKUP(CONCATENATE($AI9,"-",CN$8),'[1]liste complet essai'!$A$4:$K$1367,1,)</f>
        <v>01-44</v>
      </c>
      <c r="CO12" s="311" t="str">
        <f aca="false">VLOOKUP(CONCATENATE($AI9,"-",CO$8),'[1]liste complet essai'!$A$4:$K$1367,1,)</f>
        <v>01-45</v>
      </c>
      <c r="CP12" s="311" t="str">
        <f aca="false">VLOOKUP(CONCATENATE($AI9,"-",CP$8),'[1]liste complet essai'!$A$4:$K$1367,1,)</f>
        <v>01-46</v>
      </c>
      <c r="CQ12" s="311" t="str">
        <f aca="false">VLOOKUP(CONCATENATE($AI9,"-",CQ$8),'[1]liste complet essai'!$A$4:$K$1367,1,)</f>
        <v>01-47</v>
      </c>
      <c r="CR12" s="311" t="str">
        <f aca="false">VLOOKUP(CONCATENATE($AI9,"-",CR$8),'[1]liste complet essai'!$A$4:$K$1367,1,)</f>
        <v>01-48</v>
      </c>
      <c r="CS12" s="311" t="str">
        <f aca="false">VLOOKUP(CONCATENATE($AI9,"-",CS$8),'[1]liste complet essai'!$A$4:$K$1367,1,)</f>
        <v>01-49</v>
      </c>
      <c r="CT12" s="311" t="str">
        <f aca="false">VLOOKUP(CONCATENATE($AI9,"-",CT$8),'[1]liste complet essai'!$A$4:$K$1367,1,)</f>
        <v>01-50</v>
      </c>
      <c r="CU12" s="311" t="str">
        <f aca="false">VLOOKUP(CONCATENATE($AI9,"-",CU$8),'[1]liste complet essai'!$A$4:$K$1367,1,)</f>
        <v>01-51</v>
      </c>
      <c r="CV12" s="311" t="str">
        <f aca="false">VLOOKUP(CONCATENATE($AI9,"-",CV$8),'[1]liste complet essai'!$A$4:$K$1367,1,)</f>
        <v>01-52</v>
      </c>
      <c r="CW12" s="311" t="str">
        <f aca="false">VLOOKUP(CONCATENATE($AI9,"-",CW$8),'[1]liste complet essai'!$A$4:$K$1367,1,)</f>
        <v>01-53</v>
      </c>
      <c r="CX12" s="311" t="str">
        <f aca="false">VLOOKUP(CONCATENATE($AI9,"-",CX$8),'[1]liste complet essai'!$A$4:$K$1367,1,)</f>
        <v>01-54</v>
      </c>
      <c r="CY12" s="311" t="str">
        <f aca="false">VLOOKUP(CONCATENATE($AI9,"-",CY$8),'[1]liste complet essai'!$A$4:$K$1367,1,)</f>
        <v>01-55</v>
      </c>
      <c r="CZ12" s="311" t="str">
        <f aca="false">VLOOKUP(CONCATENATE($AI9,"-",CZ$8),'[1]liste complet essai'!$A$4:$K$1367,1,)</f>
        <v>01-56</v>
      </c>
      <c r="DA12" s="311" t="str">
        <f aca="false">VLOOKUP(CONCATENATE($AI9,"-",DA$8),'[1]liste complet essai'!$A$4:$K$1367,1,)</f>
        <v>01-57</v>
      </c>
      <c r="DB12" s="311" t="str">
        <f aca="false">VLOOKUP(CONCATENATE($AI9,"-",DB$8),'[1]liste complet essai'!$A$4:$K$1367,1,)</f>
        <v>01-58</v>
      </c>
      <c r="DC12" s="311" t="str">
        <f aca="false">VLOOKUP(CONCATENATE($AI9,"-",DC$8),'[1]liste complet essai'!$A$4:$K$1367,1,)</f>
        <v>01-59</v>
      </c>
      <c r="DD12" s="311" t="str">
        <f aca="false">VLOOKUP(CONCATENATE($AI9,"-",DD$8),'[1]liste complet essai'!$A$4:$K$1367,1,)</f>
        <v>01-60</v>
      </c>
      <c r="DE12" s="311" t="str">
        <f aca="false">VLOOKUP(CONCATENATE($AI9,"-",DE$8),'[1]liste complet essai'!$A$4:$K$1367,1,)</f>
        <v>01-61</v>
      </c>
      <c r="DF12" s="311" t="str">
        <f aca="false">VLOOKUP(CONCATENATE($AI9,"-",DF$8),'[1]liste complet essai'!$A$4:$K$1367,1,)</f>
        <v>01-62</v>
      </c>
      <c r="DG12" s="311" t="str">
        <f aca="false">VLOOKUP(CONCATENATE($AI9,"-",DG$8),'[1]liste complet essai'!$A$4:$K$1367,1,)</f>
        <v>01-63</v>
      </c>
      <c r="DH12" s="311" t="str">
        <f aca="false">VLOOKUP(CONCATENATE($AI9,"-",DH$8),'[1]liste complet essai'!$A$4:$K$1367,1,)</f>
        <v>01-64</v>
      </c>
      <c r="DI12" s="306"/>
      <c r="DJ12" s="317"/>
      <c r="DK12" s="301"/>
    </row>
    <row r="13" customFormat="false" ht="12" hidden="false" customHeight="false" outlineLevel="0" collapsed="false">
      <c r="B13" s="293" t="n">
        <v>16</v>
      </c>
      <c r="C13" s="318" t="s">
        <v>8122</v>
      </c>
      <c r="D13" s="319"/>
      <c r="E13" s="320" t="s">
        <v>8122</v>
      </c>
      <c r="F13" s="299" t="str">
        <f aca="false">VLOOKUP(CONCATENATE($B13,"-",F$8),'[1]liste complet essai'!$A$4:$K$1367,4,)</f>
        <v>AM</v>
      </c>
      <c r="G13" s="299" t="str">
        <f aca="false">VLOOKUP(CONCATENATE($B13,"-",G$8),'[1]liste complet essai'!$A$4:$K$1367,4,)</f>
        <v>AM</v>
      </c>
      <c r="H13" s="299" t="str">
        <f aca="false">VLOOKUP(CONCATENATE($B13,"-",H$8),'[1]liste complet essai'!$A$4:$K$1367,4,)</f>
        <v>AM</v>
      </c>
      <c r="I13" s="299" t="str">
        <f aca="false">VLOOKUP(CONCATENATE($B13,"-",I$8),'[1]liste complet essai'!$A$4:$K$1367,4,)</f>
        <v>AM</v>
      </c>
      <c r="J13" s="299" t="str">
        <f aca="false">VLOOKUP(CONCATENATE($B13,"-",J$8),'[1]liste complet essai'!$A$4:$K$1367,4,)</f>
        <v>AM</v>
      </c>
      <c r="K13" s="299" t="str">
        <f aca="false">VLOOKUP(CONCATENATE($B13,"-",K$8),'[1]liste complet essai'!$A$4:$K$1367,4,)</f>
        <v>AM</v>
      </c>
      <c r="L13" s="299" t="str">
        <f aca="false">VLOOKUP(CONCATENATE($B13,"-",L$8),'[1]liste complet essai'!$A$4:$K$1367,4,)</f>
        <v>AM</v>
      </c>
      <c r="M13" s="299" t="str">
        <f aca="false">VLOOKUP(CONCATENATE($B13,"-",M$8),'[1]liste complet essai'!$A$4:$K$1367,4,)</f>
        <v>AM</v>
      </c>
      <c r="N13" s="299" t="str">
        <f aca="false">VLOOKUP(CONCATENATE($B13,"-",N$8),'[1]liste complet essai'!$A$4:$K$1367,4,)</f>
        <v>AM</v>
      </c>
      <c r="O13" s="299" t="str">
        <f aca="false">VLOOKUP(CONCATENATE($B13,"-",O$8),'[1]liste complet essai'!$A$4:$K$1367,4,)</f>
        <v>AM</v>
      </c>
      <c r="P13" s="299" t="str">
        <f aca="false">VLOOKUP(CONCATENATE($B13,"-",P$8),'[1]liste complet essai'!$A$4:$K$1367,4,)</f>
        <v>AM</v>
      </c>
      <c r="Q13" s="299" t="str">
        <f aca="false">VLOOKUP(CONCATENATE($B13,"-",Q$8),'[1]liste complet essai'!$A$4:$K$1367,4,)</f>
        <v>AM</v>
      </c>
      <c r="R13" s="299" t="str">
        <f aca="false">VLOOKUP(CONCATENATE($B13,"-",R$8),'[1]liste complet essai'!$A$4:$K$1367,4,)</f>
        <v>AM</v>
      </c>
      <c r="S13" s="299" t="str">
        <f aca="false">VLOOKUP(CONCATENATE($B13,"-",S$8),'[1]liste complet essai'!$A$4:$K$1367,4,)</f>
        <v>AM</v>
      </c>
      <c r="T13" s="299" t="str">
        <f aca="false">VLOOKUP(CONCATENATE($B13,"-",T$8),'[1]liste complet essai'!$A$4:$K$1367,4,)</f>
        <v>AM</v>
      </c>
      <c r="U13" s="299" t="str">
        <f aca="false">VLOOKUP(CONCATENATE($B13,"-",U$8),'[1]liste complet essai'!$A$4:$K$1367,4,)</f>
        <v>AM</v>
      </c>
      <c r="V13" s="299" t="str">
        <f aca="false">VLOOKUP(CONCATENATE($B13,"-",V$8),'[1]liste complet essai'!$A$4:$K$1367,4,)</f>
        <v>AM</v>
      </c>
      <c r="W13" s="299" t="str">
        <f aca="false">VLOOKUP(CONCATENATE($B13,"-",W$8),'[1]liste complet essai'!$A$4:$K$1367,4,)</f>
        <v>AM</v>
      </c>
      <c r="X13" s="299" t="str">
        <f aca="false">VLOOKUP(CONCATENATE($B13,"-",X$8),'[1]liste complet essai'!$A$4:$K$1367,4,)</f>
        <v>AM</v>
      </c>
      <c r="Y13" s="308" t="str">
        <f aca="false">VLOOKUP(CONCATENATE($B13,"-",Y$8),'[1]liste complet essai'!$A$4:$K$1367,4,)</f>
        <v>AM</v>
      </c>
      <c r="Z13" s="299" t="str">
        <f aca="false">VLOOKUP(CONCATENATE($B13,"-",Z$8),'[1]liste complet essai'!$A$4:$K$1367,4,)</f>
        <v>AM</v>
      </c>
      <c r="AA13" s="299" t="str">
        <f aca="false">VLOOKUP(CONCATENATE($B13,"-",AA$8),'[1]liste complet essai'!$A$4:$K$1367,4,)</f>
        <v>AM</v>
      </c>
      <c r="AB13" s="299" t="str">
        <f aca="false">VLOOKUP(CONCATENATE($B13,"-",AB$8),'[1]liste complet essai'!$A$4:$K$1367,4,)</f>
        <v>AM</v>
      </c>
      <c r="AC13" s="299" t="str">
        <f aca="false">VLOOKUP(CONCATENATE($B13,"-",AC$8),'[1]liste complet essai'!$A$4:$K$1367,4,)</f>
        <v>AM</v>
      </c>
      <c r="AD13" s="299" t="str">
        <f aca="false">VLOOKUP(CONCATENATE($B13,"-",AD$8),'[1]liste complet essai'!$A$4:$K$1367,4,)</f>
        <v>AM</v>
      </c>
      <c r="AE13" s="299" t="str">
        <f aca="false">VLOOKUP(CONCATENATE($B13,"-",AE$8),'[1]liste complet essai'!$A$4:$K$1367,4,)</f>
        <v>AM</v>
      </c>
      <c r="AF13" s="321" t="s">
        <v>8122</v>
      </c>
      <c r="AI13" s="302" t="s">
        <v>8125</v>
      </c>
      <c r="AJ13" s="318" t="s">
        <v>8122</v>
      </c>
      <c r="AK13" s="322"/>
      <c r="AL13" s="320" t="s">
        <v>8122</v>
      </c>
      <c r="AM13" s="299" t="str">
        <f aca="false">VLOOKUP(CONCATENATE($AI13,"-",AM$8),'[1]liste complet essai'!$A$4:$K$1367,4,)</f>
        <v>AM</v>
      </c>
      <c r="AN13" s="299" t="str">
        <f aca="false">VLOOKUP(CONCATENATE($AI13,"-",AN$8),'[1]liste complet essai'!$A$4:$K$1367,4,)</f>
        <v>AM</v>
      </c>
      <c r="AO13" s="299" t="str">
        <f aca="false">VLOOKUP(CONCATENATE($AI13,"-",AO$8),'[1]liste complet essai'!$A$4:$K$1367,4,)</f>
        <v>AM</v>
      </c>
      <c r="AP13" s="299" t="str">
        <f aca="false">VLOOKUP(CONCATENATE($AI13,"-",AP$8),'[1]liste complet essai'!$A$4:$K$1367,4,)</f>
        <v>AM</v>
      </c>
      <c r="AQ13" s="299" t="str">
        <f aca="false">VLOOKUP(CONCATENATE($AI13,"-",AQ$8),'[1]liste complet essai'!$A$4:$K$1367,4,)</f>
        <v>AM</v>
      </c>
      <c r="AR13" s="299" t="str">
        <f aca="false">VLOOKUP(CONCATENATE($AI13,"-",AR$8),'[1]liste complet essai'!$A$4:$K$1367,4,)</f>
        <v>AM</v>
      </c>
      <c r="AS13" s="299" t="str">
        <f aca="false">VLOOKUP(CONCATENATE($AI13,"-",AS$8),'[1]liste complet essai'!$A$4:$K$1367,4,)</f>
        <v>AM</v>
      </c>
      <c r="AT13" s="299" t="str">
        <f aca="false">VLOOKUP(CONCATENATE($AI13,"-",AT$8),'[1]liste complet essai'!$A$4:$K$1367,4,)</f>
        <v>AM</v>
      </c>
      <c r="AU13" s="299" t="str">
        <f aca="false">VLOOKUP(CONCATENATE($AI13,"-",AU$8),'[1]liste complet essai'!$A$4:$K$1367,4,)</f>
        <v>AM</v>
      </c>
      <c r="AV13" s="299" t="str">
        <f aca="false">VLOOKUP(CONCATENATE($AI13,"-",AV$8),'[1]liste complet essai'!$A$4:$K$1367,4,)</f>
        <v>AM</v>
      </c>
      <c r="AW13" s="299" t="str">
        <f aca="false">VLOOKUP(CONCATENATE($AI13,"-",AW$8),'[1]liste complet essai'!$A$4:$K$1367,4,)</f>
        <v>AM</v>
      </c>
      <c r="AX13" s="299" t="str">
        <f aca="false">VLOOKUP(CONCATENATE($AI13,"-",AX$8),'[1]liste complet essai'!$A$4:$K$1367,4,)</f>
        <v>AM</v>
      </c>
      <c r="AY13" s="299" t="str">
        <f aca="false">VLOOKUP(CONCATENATE($AI13,"-",AY$8),'[1]liste complet essai'!$A$4:$K$1367,4,)</f>
        <v>AM</v>
      </c>
      <c r="AZ13" s="299" t="str">
        <f aca="false">VLOOKUP(CONCATENATE($AI13,"-",AZ$8),'[1]liste complet essai'!$A$4:$K$1367,4,)</f>
        <v>AM</v>
      </c>
      <c r="BA13" s="299" t="str">
        <f aca="false">VLOOKUP(CONCATENATE($AI13,"-",BA$8),'[1]liste complet essai'!$A$4:$K$1367,4,)</f>
        <v>AM</v>
      </c>
      <c r="BB13" s="299" t="str">
        <f aca="false">VLOOKUP(CONCATENATE($AI13,"-",BB$8),'[1]liste complet essai'!$A$4:$K$1367,4,)</f>
        <v>AM</v>
      </c>
      <c r="BC13" s="299" t="str">
        <f aca="false">VLOOKUP(CONCATENATE($AI13,"-",BC$8),'[1]liste complet essai'!$A$4:$K$1367,4,)</f>
        <v>AM</v>
      </c>
      <c r="BD13" s="299" t="str">
        <f aca="false">VLOOKUP(CONCATENATE($AI13,"-",BD$8),'[1]liste complet essai'!$A$4:$K$1367,4,)</f>
        <v>AM</v>
      </c>
      <c r="BE13" s="299" t="str">
        <f aca="false">VLOOKUP(CONCATENATE($AI13,"-",BE$8),'[1]liste complet essai'!$A$4:$K$1367,4,)</f>
        <v>AM</v>
      </c>
      <c r="BF13" s="299" t="str">
        <f aca="false">VLOOKUP(CONCATENATE($AI13,"-",BF$8),'[1]liste complet essai'!$A$4:$K$1367,4,)</f>
        <v>AM</v>
      </c>
      <c r="BG13" s="299" t="str">
        <f aca="false">VLOOKUP(CONCATENATE($AI13,"-",BG$8),'[1]liste complet essai'!$A$4:$K$1367,4,)</f>
        <v>AM</v>
      </c>
      <c r="BH13" s="299" t="str">
        <f aca="false">VLOOKUP(CONCATENATE($AI13,"-",BH$8),'[1]liste complet essai'!$A$4:$K$1367,4,)</f>
        <v>AM</v>
      </c>
      <c r="BI13" s="299" t="str">
        <f aca="false">VLOOKUP(CONCATENATE($AI13,"-",BI$8),'[1]liste complet essai'!$A$4:$K$1367,4,)</f>
        <v>AM</v>
      </c>
      <c r="BJ13" s="299" t="str">
        <f aca="false">VLOOKUP(CONCATENATE($AI13,"-",BJ$8),'[1]liste complet essai'!$A$4:$K$1367,4,)</f>
        <v>AM</v>
      </c>
      <c r="BK13" s="299" t="str">
        <f aca="false">VLOOKUP(CONCATENATE($AI13,"-",BK$8),'[1]liste complet essai'!$A$4:$K$1367,4,)</f>
        <v>AM</v>
      </c>
      <c r="BL13" s="299" t="str">
        <f aca="false">VLOOKUP(CONCATENATE($AI13,"-",BL$8),'[1]liste complet essai'!$A$4:$K$1367,4,)</f>
        <v>AM</v>
      </c>
      <c r="BM13" s="299" t="str">
        <f aca="false">VLOOKUP(CONCATENATE($AI13,"-",BM$8),'[1]liste complet essai'!$A$4:$K$1367,4,)</f>
        <v>AM</v>
      </c>
      <c r="BN13" s="299" t="str">
        <f aca="false">VLOOKUP(CONCATENATE($AI13,"-",BN$8),'[1]liste complet essai'!$A$4:$K$1367,4,)</f>
        <v>AM</v>
      </c>
      <c r="BO13" s="299" t="str">
        <f aca="false">VLOOKUP(CONCATENATE($AI13,"-",BO$8),'[1]liste complet essai'!$A$4:$K$1367,4,)</f>
        <v>AM</v>
      </c>
      <c r="BP13" s="299" t="str">
        <f aca="false">VLOOKUP(CONCATENATE($AI13,"-",BP$8),'[1]liste complet essai'!$A$4:$K$1367,4,)</f>
        <v>AM</v>
      </c>
      <c r="BQ13" s="299" t="str">
        <f aca="false">VLOOKUP(CONCATENATE($AI13,"-",BQ$8),'[1]liste complet essai'!$A$4:$K$1367,4,)</f>
        <v>AM</v>
      </c>
      <c r="BR13" s="299" t="str">
        <f aca="false">VLOOKUP(CONCATENATE($AI13,"-",BR$8),'[1]liste complet essai'!$A$4:$K$1367,4,)</f>
        <v>AM</v>
      </c>
      <c r="BS13" s="310"/>
      <c r="BT13" s="310"/>
      <c r="BU13" s="310"/>
      <c r="BV13" s="310"/>
      <c r="BW13" s="310"/>
      <c r="BX13" s="310"/>
      <c r="BY13" s="310"/>
      <c r="BZ13" s="310"/>
      <c r="CA13" s="310"/>
      <c r="CB13" s="310"/>
      <c r="CC13" s="323" t="str">
        <f aca="false">VLOOKUP(CONCATENATE($AI13,"-",CC$8),'[1]liste complet essai'!$A$4:$K$1367,4,)</f>
        <v>AM</v>
      </c>
      <c r="CD13" s="323" t="str">
        <f aca="false">VLOOKUP(CONCATENATE($AI13,"-",CD$8),'[1]liste complet essai'!$A$4:$K$1367,4,)</f>
        <v>AM</v>
      </c>
      <c r="CE13" s="323" t="str">
        <f aca="false">VLOOKUP(CONCATENATE($AI13,"-",CE$8),'[1]liste complet essai'!$A$4:$K$1367,4,)</f>
        <v>AM</v>
      </c>
      <c r="CF13" s="323" t="str">
        <f aca="false">VLOOKUP(CONCATENATE($AI13,"-",CF$8),'[1]liste complet essai'!$A$4:$K$1367,4,)</f>
        <v>AM</v>
      </c>
      <c r="CG13" s="323" t="str">
        <f aca="false">VLOOKUP(CONCATENATE($AI13,"-",CG$8),'[1]liste complet essai'!$A$4:$K$1367,4,)</f>
        <v>AM</v>
      </c>
      <c r="CH13" s="323" t="str">
        <f aca="false">VLOOKUP(CONCATENATE($AI13,"-",CH$8),'[1]liste complet essai'!$A$4:$K$1367,4,)</f>
        <v>AM</v>
      </c>
      <c r="CI13" s="323" t="str">
        <f aca="false">VLOOKUP(CONCATENATE($AI13,"-",CI$8),'[1]liste complet essai'!$A$4:$K$1367,4,)</f>
        <v>AM</v>
      </c>
      <c r="CJ13" s="323" t="str">
        <f aca="false">VLOOKUP(CONCATENATE($AI13,"-",CJ$8),'[1]liste complet essai'!$A$4:$K$1367,4,)</f>
        <v>AM</v>
      </c>
      <c r="CK13" s="323" t="str">
        <f aca="false">VLOOKUP(CONCATENATE($AI13,"-",CK$8),'[1]liste complet essai'!$A$4:$K$1367,4,)</f>
        <v>AM</v>
      </c>
      <c r="CL13" s="323" t="str">
        <f aca="false">VLOOKUP(CONCATENATE($AI13,"-",CL$8),'[1]liste complet essai'!$A$4:$K$1367,4,)</f>
        <v>AM</v>
      </c>
      <c r="CM13" s="323" t="str">
        <f aca="false">VLOOKUP(CONCATENATE($AI13,"-",CM$8),'[1]liste complet essai'!$A$4:$K$1367,4,)</f>
        <v>AM</v>
      </c>
      <c r="CN13" s="323" t="str">
        <f aca="false">VLOOKUP(CONCATENATE($AI13,"-",CN$8),'[1]liste complet essai'!$A$4:$K$1367,4,)</f>
        <v>AM</v>
      </c>
      <c r="CO13" s="323" t="str">
        <f aca="false">VLOOKUP(CONCATENATE($AI13,"-",CO$8),'[1]liste complet essai'!$A$4:$K$1367,4,)</f>
        <v>AM</v>
      </c>
      <c r="CP13" s="323" t="str">
        <f aca="false">VLOOKUP(CONCATENATE($AI13,"-",CP$8),'[1]liste complet essai'!$A$4:$K$1367,4,)</f>
        <v>AM</v>
      </c>
      <c r="CQ13" s="323" t="str">
        <f aca="false">VLOOKUP(CONCATENATE($AI13,"-",CQ$8),'[1]liste complet essai'!$A$4:$K$1367,4,)</f>
        <v>AM</v>
      </c>
      <c r="CR13" s="323" t="str">
        <f aca="false">VLOOKUP(CONCATENATE($AI13,"-",CR$8),'[1]liste complet essai'!$A$4:$K$1367,4,)</f>
        <v>AM</v>
      </c>
      <c r="CS13" s="323" t="str">
        <f aca="false">VLOOKUP(CONCATENATE($AI13,"-",CS$8),'[1]liste complet essai'!$A$4:$K$1367,4,)</f>
        <v>AM</v>
      </c>
      <c r="CT13" s="323" t="str">
        <f aca="false">VLOOKUP(CONCATENATE($AI13,"-",CT$8),'[1]liste complet essai'!$A$4:$K$1367,4,)</f>
        <v>AM</v>
      </c>
      <c r="CU13" s="323" t="str">
        <f aca="false">VLOOKUP(CONCATENATE($AI13,"-",CU$8),'[1]liste complet essai'!$A$4:$K$1367,4,)</f>
        <v>AM</v>
      </c>
      <c r="CV13" s="323" t="str">
        <f aca="false">VLOOKUP(CONCATENATE($AI13,"-",CV$8),'[1]liste complet essai'!$A$4:$K$1367,4,)</f>
        <v>AM</v>
      </c>
      <c r="CW13" s="323" t="str">
        <f aca="false">VLOOKUP(CONCATENATE($AI13,"-",CW$8),'[1]liste complet essai'!$A$4:$K$1367,4,)</f>
        <v>AM</v>
      </c>
      <c r="CX13" s="323" t="str">
        <f aca="false">VLOOKUP(CONCATENATE($AI13,"-",CX$8),'[1]liste complet essai'!$A$4:$K$1367,4,)</f>
        <v>AM</v>
      </c>
      <c r="CY13" s="323" t="str">
        <f aca="false">VLOOKUP(CONCATENATE($AI13,"-",CY$8),'[1]liste complet essai'!$A$4:$K$1367,4,)</f>
        <v>AM</v>
      </c>
      <c r="CZ13" s="323" t="str">
        <f aca="false">VLOOKUP(CONCATENATE($AI13,"-",CZ$8),'[1]liste complet essai'!$A$4:$K$1367,4,)</f>
        <v>AM</v>
      </c>
      <c r="DA13" s="298" t="str">
        <f aca="false">VLOOKUP(CONCATENATE($AI13,"-",DA$8),'[1]liste complet essai'!$A$4:$K$1367,4,)</f>
        <v>AM</v>
      </c>
      <c r="DB13" s="323" t="str">
        <f aca="false">VLOOKUP(CONCATENATE($AI13,"-",DB$8),'[1]liste complet essai'!$A$4:$K$1367,4,)</f>
        <v>AM</v>
      </c>
      <c r="DC13" s="323" t="str">
        <f aca="false">VLOOKUP(CONCATENATE($AI13,"-",DC$8),'[1]liste complet essai'!$A$4:$K$1367,4,)</f>
        <v>AM</v>
      </c>
      <c r="DD13" s="323" t="str">
        <f aca="false">VLOOKUP(CONCATENATE($AI13,"-",DD$8),'[1]liste complet essai'!$A$4:$K$1367,4,)</f>
        <v>AM</v>
      </c>
      <c r="DE13" s="323" t="str">
        <f aca="false">VLOOKUP(CONCATENATE($AI13,"-",DE$8),'[1]liste complet essai'!$A$4:$K$1367,4,)</f>
        <v>AM</v>
      </c>
      <c r="DF13" s="323" t="str">
        <f aca="false">VLOOKUP(CONCATENATE($AI13,"-",DF$8),'[1]liste complet essai'!$A$4:$K$1367,4,)</f>
        <v>AM</v>
      </c>
      <c r="DG13" s="323" t="str">
        <f aca="false">VLOOKUP(CONCATENATE($AI13,"-",DG$8),'[1]liste complet essai'!$A$4:$K$1367,4,)</f>
        <v>AM</v>
      </c>
      <c r="DH13" s="323" t="str">
        <f aca="false">VLOOKUP(CONCATENATE($AI13,"-",DH$8),'[1]liste complet essai'!$A$4:$K$1367,4,)</f>
        <v>AM</v>
      </c>
      <c r="DI13" s="324" t="s">
        <v>8122</v>
      </c>
      <c r="DJ13" s="322"/>
      <c r="DK13" s="321" t="s">
        <v>8122</v>
      </c>
    </row>
    <row r="14" customFormat="false" ht="12" hidden="false" customHeight="false" outlineLevel="0" collapsed="false">
      <c r="B14" s="293"/>
      <c r="C14" s="318"/>
      <c r="D14" s="307"/>
      <c r="E14" s="320"/>
      <c r="F14" s="308" t="str">
        <f aca="false">VLOOKUP(CONCATENATE($B13,"-",F$8),'[1]liste complet essai'!$A$4:$K$1367,9,)</f>
        <v>N1-b3</v>
      </c>
      <c r="G14" s="308" t="str">
        <f aca="false">VLOOKUP(CONCATENATE($B13,"-",G$8),'[1]liste complet essai'!$A$4:$K$1367,9,)</f>
        <v>N1-b3</v>
      </c>
      <c r="H14" s="308" t="str">
        <f aca="false">VLOOKUP(CONCATENATE($B13,"-",H$8),'[1]liste complet essai'!$A$4:$K$1367,9,)</f>
        <v>N1-b3</v>
      </c>
      <c r="I14" s="308" t="str">
        <f aca="false">VLOOKUP(CONCATENATE($B13,"-",I$8),'[1]liste complet essai'!$A$4:$K$1367,9,)</f>
        <v>N1-b3</v>
      </c>
      <c r="J14" s="308" t="str">
        <f aca="false">VLOOKUP(CONCATENATE($B13,"-",J$8),'[1]liste complet essai'!$A$4:$K$1367,9,)</f>
        <v>N1-b3</v>
      </c>
      <c r="K14" s="308" t="str">
        <f aca="false">VLOOKUP(CONCATENATE($B13,"-",K$8),'[1]liste complet essai'!$A$4:$K$1367,9,)</f>
        <v>N1-b3</v>
      </c>
      <c r="L14" s="308" t="str">
        <f aca="false">VLOOKUP(CONCATENATE($B13,"-",L$8),'[1]liste complet essai'!$A$4:$K$1367,9,)</f>
        <v>N1-b3</v>
      </c>
      <c r="M14" s="308" t="str">
        <f aca="false">VLOOKUP(CONCATENATE($B13,"-",M$8),'[1]liste complet essai'!$A$4:$K$1367,9,)</f>
        <v>N1-b3</v>
      </c>
      <c r="N14" s="308" t="str">
        <f aca="false">VLOOKUP(CONCATENATE($B13,"-",N$8),'[1]liste complet essai'!$A$4:$K$1367,9,)</f>
        <v>N1-b3</v>
      </c>
      <c r="O14" s="308" t="str">
        <f aca="false">VLOOKUP(CONCATENATE($B13,"-",O$8),'[1]liste complet essai'!$A$4:$K$1367,9,)</f>
        <v>N1-b3</v>
      </c>
      <c r="P14" s="308" t="str">
        <f aca="false">VLOOKUP(CONCATENATE($B13,"-",P$8),'[1]liste complet essai'!$A$4:$K$1367,9,)</f>
        <v>N1-b3</v>
      </c>
      <c r="Q14" s="308" t="str">
        <f aca="false">VLOOKUP(CONCATENATE($B13,"-",Q$8),'[1]liste complet essai'!$A$4:$K$1367,9,)</f>
        <v>N1-b3</v>
      </c>
      <c r="R14" s="308" t="str">
        <f aca="false">VLOOKUP(CONCATENATE($B13,"-",R$8),'[1]liste complet essai'!$A$4:$K$1367,9,)</f>
        <v>N1-b3</v>
      </c>
      <c r="S14" s="308" t="str">
        <f aca="false">VLOOKUP(CONCATENATE($B13,"-",S$8),'[1]liste complet essai'!$A$4:$K$1367,9,)</f>
        <v>N1-b3</v>
      </c>
      <c r="T14" s="308" t="str">
        <f aca="false">VLOOKUP(CONCATENATE($B13,"-",T$8),'[1]liste complet essai'!$A$4:$K$1367,9,)</f>
        <v>N1-b3</v>
      </c>
      <c r="U14" s="308" t="str">
        <f aca="false">VLOOKUP(CONCATENATE($B13,"-",U$8),'[1]liste complet essai'!$A$4:$K$1367,9,)</f>
        <v>N1-b3</v>
      </c>
      <c r="V14" s="308" t="str">
        <f aca="false">VLOOKUP(CONCATENATE($B13,"-",V$8),'[1]liste complet essai'!$A$4:$K$1367,9,)</f>
        <v>N1-b3</v>
      </c>
      <c r="W14" s="308" t="str">
        <f aca="false">VLOOKUP(CONCATENATE($B13,"-",W$8),'[1]liste complet essai'!$A$4:$K$1367,9,)</f>
        <v>N1-b3</v>
      </c>
      <c r="X14" s="308" t="str">
        <f aca="false">VLOOKUP(CONCATENATE($B13,"-",X$8),'[1]liste complet essai'!$A$4:$K$1367,9,)</f>
        <v>N1-b3</v>
      </c>
      <c r="Y14" s="308" t="str">
        <f aca="false">VLOOKUP(CONCATENATE($B13,"-",Y$8),'[1]liste complet essai'!$A$4:$K$1367,9,)</f>
        <v>N1-b3</v>
      </c>
      <c r="Z14" s="308" t="str">
        <f aca="false">VLOOKUP(CONCATENATE($B13,"-",Z$8),'[1]liste complet essai'!$A$4:$K$1367,9,)</f>
        <v>N1-b3</v>
      </c>
      <c r="AA14" s="308" t="str">
        <f aca="false">VLOOKUP(CONCATENATE($B13,"-",AA$8),'[1]liste complet essai'!$A$4:$K$1367,9,)</f>
        <v>N1-b3</v>
      </c>
      <c r="AB14" s="308" t="str">
        <f aca="false">VLOOKUP(CONCATENATE($B13,"-",AB$8),'[1]liste complet essai'!$A$4:$K$1367,9,)</f>
        <v>N1-b3</v>
      </c>
      <c r="AC14" s="308" t="str">
        <f aca="false">VLOOKUP(CONCATENATE($B13,"-",AC$8),'[1]liste complet essai'!$A$4:$K$1367,9,)</f>
        <v>N1-b3</v>
      </c>
      <c r="AD14" s="308" t="str">
        <f aca="false">VLOOKUP(CONCATENATE($B13,"-",AD$8),'[1]liste complet essai'!$A$4:$K$1367,9,)</f>
        <v>N1-b3</v>
      </c>
      <c r="AE14" s="308" t="str">
        <f aca="false">VLOOKUP(CONCATENATE($B13,"-",AE$8),'[1]liste complet essai'!$A$4:$K$1367,9,)</f>
        <v>N1-b3</v>
      </c>
      <c r="AF14" s="321"/>
      <c r="AI14" s="302"/>
      <c r="AJ14" s="318"/>
      <c r="AK14" s="309"/>
      <c r="AL14" s="320"/>
      <c r="AM14" s="308" t="str">
        <f aca="false">VLOOKUP(CONCATENATE($AI13,"-",AM$8),'[1]liste complet essai'!$A$4:$K$1367,9,)</f>
        <v>N1-b1</v>
      </c>
      <c r="AN14" s="308" t="str">
        <f aca="false">VLOOKUP(CONCATENATE($AI13,"-",AN$8),'[1]liste complet essai'!$A$4:$K$1367,9,)</f>
        <v>N1-b1</v>
      </c>
      <c r="AO14" s="308" t="str">
        <f aca="false">VLOOKUP(CONCATENATE($AI13,"-",AO$8),'[1]liste complet essai'!$A$4:$K$1367,9,)</f>
        <v>N1-b1</v>
      </c>
      <c r="AP14" s="308" t="str">
        <f aca="false">VLOOKUP(CONCATENATE($AI13,"-",AP$8),'[1]liste complet essai'!$A$4:$K$1367,9,)</f>
        <v>N1-b1</v>
      </c>
      <c r="AQ14" s="308" t="str">
        <f aca="false">VLOOKUP(CONCATENATE($AI13,"-",AQ$8),'[1]liste complet essai'!$A$4:$K$1367,9,)</f>
        <v>N1-b1</v>
      </c>
      <c r="AR14" s="308" t="str">
        <f aca="false">VLOOKUP(CONCATENATE($AI13,"-",AR$8),'[1]liste complet essai'!$A$4:$K$1367,9,)</f>
        <v>N1-b1</v>
      </c>
      <c r="AS14" s="308" t="str">
        <f aca="false">VLOOKUP(CONCATENATE($AI13,"-",AS$8),'[1]liste complet essai'!$A$4:$K$1367,9,)</f>
        <v>N1-b1</v>
      </c>
      <c r="AT14" s="308" t="str">
        <f aca="false">VLOOKUP(CONCATENATE($AI13,"-",AT$8),'[1]liste complet essai'!$A$4:$K$1367,9,)</f>
        <v>N1-b1</v>
      </c>
      <c r="AU14" s="308" t="str">
        <f aca="false">VLOOKUP(CONCATENATE($AI13,"-",AU$8),'[1]liste complet essai'!$A$4:$K$1367,9,)</f>
        <v>N1-b1</v>
      </c>
      <c r="AV14" s="308" t="str">
        <f aca="false">VLOOKUP(CONCATENATE($AI13,"-",AV$8),'[1]liste complet essai'!$A$4:$K$1367,9,)</f>
        <v>N1-b1</v>
      </c>
      <c r="AW14" s="308" t="str">
        <f aca="false">VLOOKUP(CONCATENATE($AI13,"-",AW$8),'[1]liste complet essai'!$A$4:$K$1367,9,)</f>
        <v>N1-b1</v>
      </c>
      <c r="AX14" s="308" t="str">
        <f aca="false">VLOOKUP(CONCATENATE($AI13,"-",AX$8),'[1]liste complet essai'!$A$4:$K$1367,9,)</f>
        <v>N1-b1</v>
      </c>
      <c r="AY14" s="308" t="str">
        <f aca="false">VLOOKUP(CONCATENATE($AI13,"-",AY$8),'[1]liste complet essai'!$A$4:$K$1367,9,)</f>
        <v>N1-b1</v>
      </c>
      <c r="AZ14" s="308" t="str">
        <f aca="false">VLOOKUP(CONCATENATE($AI13,"-",AZ$8),'[1]liste complet essai'!$A$4:$K$1367,9,)</f>
        <v>N1-b1</v>
      </c>
      <c r="BA14" s="308" t="str">
        <f aca="false">VLOOKUP(CONCATENATE($AI13,"-",BA$8),'[1]liste complet essai'!$A$4:$K$1367,9,)</f>
        <v>N1-b1</v>
      </c>
      <c r="BB14" s="308" t="str">
        <f aca="false">VLOOKUP(CONCATENATE($AI13,"-",BB$8),'[1]liste complet essai'!$A$4:$K$1367,9,)</f>
        <v>N1-b1</v>
      </c>
      <c r="BC14" s="308" t="str">
        <f aca="false">VLOOKUP(CONCATENATE($AI13,"-",BC$8),'[1]liste complet essai'!$A$4:$K$1367,9,)</f>
        <v>N1-b1</v>
      </c>
      <c r="BD14" s="308" t="str">
        <f aca="false">VLOOKUP(CONCATENATE($AI13,"-",BD$8),'[1]liste complet essai'!$A$4:$K$1367,9,)</f>
        <v>N1-b1</v>
      </c>
      <c r="BE14" s="308" t="str">
        <f aca="false">VLOOKUP(CONCATENATE($AI13,"-",BE$8),'[1]liste complet essai'!$A$4:$K$1367,9,)</f>
        <v>N1-b1</v>
      </c>
      <c r="BF14" s="308" t="str">
        <f aca="false">VLOOKUP(CONCATENATE($AI13,"-",BF$8),'[1]liste complet essai'!$A$4:$K$1367,9,)</f>
        <v>N1-b1</v>
      </c>
      <c r="BG14" s="308" t="str">
        <f aca="false">VLOOKUP(CONCATENATE($AI13,"-",BG$8),'[1]liste complet essai'!$A$4:$K$1367,9,)</f>
        <v>N1-b1</v>
      </c>
      <c r="BH14" s="308" t="str">
        <f aca="false">VLOOKUP(CONCATENATE($AI13,"-",BH$8),'[1]liste complet essai'!$A$4:$K$1367,9,)</f>
        <v>N1-b1</v>
      </c>
      <c r="BI14" s="308" t="str">
        <f aca="false">VLOOKUP(CONCATENATE($AI13,"-",BI$8),'[1]liste complet essai'!$A$4:$K$1367,9,)</f>
        <v>N1-b1</v>
      </c>
      <c r="BJ14" s="308" t="str">
        <f aca="false">VLOOKUP(CONCATENATE($AI13,"-",BJ$8),'[1]liste complet essai'!$A$4:$K$1367,9,)</f>
        <v>N1-b1</v>
      </c>
      <c r="BK14" s="308" t="str">
        <f aca="false">VLOOKUP(CONCATENATE($AI13,"-",BK$8),'[1]liste complet essai'!$A$4:$K$1367,9,)</f>
        <v>N1-b1</v>
      </c>
      <c r="BL14" s="308" t="str">
        <f aca="false">VLOOKUP(CONCATENATE($AI13,"-",BL$8),'[1]liste complet essai'!$A$4:$K$1367,9,)</f>
        <v>N1-b1</v>
      </c>
      <c r="BM14" s="308" t="str">
        <f aca="false">VLOOKUP(CONCATENATE($AI13,"-",BM$8),'[1]liste complet essai'!$A$4:$K$1367,9,)</f>
        <v>N1-b1</v>
      </c>
      <c r="BN14" s="308" t="str">
        <f aca="false">VLOOKUP(CONCATENATE($AI13,"-",BN$8),'[1]liste complet essai'!$A$4:$K$1367,9,)</f>
        <v>N1-b1</v>
      </c>
      <c r="BO14" s="308" t="str">
        <f aca="false">VLOOKUP(CONCATENATE($AI13,"-",BO$8),'[1]liste complet essai'!$A$4:$K$1367,9,)</f>
        <v>N1-b1</v>
      </c>
      <c r="BP14" s="308" t="str">
        <f aca="false">VLOOKUP(CONCATENATE($AI13,"-",BP$8),'[1]liste complet essai'!$A$4:$K$1367,9,)</f>
        <v>N1-b1</v>
      </c>
      <c r="BQ14" s="308" t="str">
        <f aca="false">VLOOKUP(CONCATENATE($AI13,"-",BQ$8),'[1]liste complet essai'!$A$4:$K$1367,9,)</f>
        <v>N1-b1</v>
      </c>
      <c r="BR14" s="308" t="str">
        <f aca="false">VLOOKUP(CONCATENATE($AI13,"-",BR$8),'[1]liste complet essai'!$A$4:$K$1367,9,)</f>
        <v>N1-b1</v>
      </c>
      <c r="BS14" s="310"/>
      <c r="BT14" s="310"/>
      <c r="BU14" s="310"/>
      <c r="BV14" s="310"/>
      <c r="BW14" s="310"/>
      <c r="BX14" s="310"/>
      <c r="BY14" s="310"/>
      <c r="BZ14" s="310"/>
      <c r="CA14" s="310"/>
      <c r="CB14" s="310"/>
      <c r="CC14" s="311" t="str">
        <f aca="false">VLOOKUP(CONCATENATE($AI13,"-",CC$8),'[1]liste complet essai'!$A$4:$K$1367,9,)</f>
        <v>N2-b2</v>
      </c>
      <c r="CD14" s="311" t="str">
        <f aca="false">VLOOKUP(CONCATENATE($AI13,"-",CD$8),'[1]liste complet essai'!$A$4:$K$1367,9,)</f>
        <v>N2-b2</v>
      </c>
      <c r="CE14" s="311" t="str">
        <f aca="false">VLOOKUP(CONCATENATE($AI13,"-",CE$8),'[1]liste complet essai'!$A$4:$K$1367,9,)</f>
        <v>N2-b2</v>
      </c>
      <c r="CF14" s="311" t="str">
        <f aca="false">VLOOKUP(CONCATENATE($AI13,"-",CF$8),'[1]liste complet essai'!$A$4:$K$1367,9,)</f>
        <v>N2-b2</v>
      </c>
      <c r="CG14" s="311" t="str">
        <f aca="false">VLOOKUP(CONCATENATE($AI13,"-",CG$8),'[1]liste complet essai'!$A$4:$K$1367,9,)</f>
        <v>N2-b2</v>
      </c>
      <c r="CH14" s="311" t="str">
        <f aca="false">VLOOKUP(CONCATENATE($AI13,"-",CH$8),'[1]liste complet essai'!$A$4:$K$1367,9,)</f>
        <v>N2-b2</v>
      </c>
      <c r="CI14" s="311" t="str">
        <f aca="false">VLOOKUP(CONCATENATE($AI13,"-",CI$8),'[1]liste complet essai'!$A$4:$K$1367,9,)</f>
        <v>N2-b2</v>
      </c>
      <c r="CJ14" s="311" t="str">
        <f aca="false">VLOOKUP(CONCATENATE($AI13,"-",CJ$8),'[1]liste complet essai'!$A$4:$K$1367,9,)</f>
        <v>N2-b2</v>
      </c>
      <c r="CK14" s="311" t="str">
        <f aca="false">VLOOKUP(CONCATENATE($AI13,"-",CK$8),'[1]liste complet essai'!$A$4:$K$1367,9,)</f>
        <v>N2-b2</v>
      </c>
      <c r="CL14" s="311" t="str">
        <f aca="false">VLOOKUP(CONCATENATE($AI13,"-",CL$8),'[1]liste complet essai'!$A$4:$K$1367,9,)</f>
        <v>N2-b2</v>
      </c>
      <c r="CM14" s="311" t="str">
        <f aca="false">VLOOKUP(CONCATENATE($AI13,"-",CM$8),'[1]liste complet essai'!$A$4:$K$1367,9,)</f>
        <v>N2-b2</v>
      </c>
      <c r="CN14" s="311" t="str">
        <f aca="false">VLOOKUP(CONCATENATE($AI13,"-",CN$8),'[1]liste complet essai'!$A$4:$K$1367,9,)</f>
        <v>N2-b2</v>
      </c>
      <c r="CO14" s="311" t="str">
        <f aca="false">VLOOKUP(CONCATENATE($AI13,"-",CO$8),'[1]liste complet essai'!$A$4:$K$1367,9,)</f>
        <v>N2-b2</v>
      </c>
      <c r="CP14" s="311" t="str">
        <f aca="false">VLOOKUP(CONCATENATE($AI13,"-",CP$8),'[1]liste complet essai'!$A$4:$K$1367,9,)</f>
        <v>N2-b2</v>
      </c>
      <c r="CQ14" s="311" t="str">
        <f aca="false">VLOOKUP(CONCATENATE($AI13,"-",CQ$8),'[1]liste complet essai'!$A$4:$K$1367,9,)</f>
        <v>N2-b2</v>
      </c>
      <c r="CR14" s="311" t="str">
        <f aca="false">VLOOKUP(CONCATENATE($AI13,"-",CR$8),'[1]liste complet essai'!$A$4:$K$1367,9,)</f>
        <v>N2-b2</v>
      </c>
      <c r="CS14" s="311" t="str">
        <f aca="false">VLOOKUP(CONCATENATE($AI13,"-",CS$8),'[1]liste complet essai'!$A$4:$K$1367,9,)</f>
        <v>N2-b2</v>
      </c>
      <c r="CT14" s="311" t="str">
        <f aca="false">VLOOKUP(CONCATENATE($AI13,"-",CT$8),'[1]liste complet essai'!$A$4:$K$1367,9,)</f>
        <v>N2-b2</v>
      </c>
      <c r="CU14" s="311" t="str">
        <f aca="false">VLOOKUP(CONCATENATE($AI13,"-",CU$8),'[1]liste complet essai'!$A$4:$K$1367,9,)</f>
        <v>N2-b2</v>
      </c>
      <c r="CV14" s="311" t="str">
        <f aca="false">VLOOKUP(CONCATENATE($AI13,"-",CV$8),'[1]liste complet essai'!$A$4:$K$1367,9,)</f>
        <v>N2-b2</v>
      </c>
      <c r="CW14" s="311" t="str">
        <f aca="false">VLOOKUP(CONCATENATE($AI13,"-",CW$8),'[1]liste complet essai'!$A$4:$K$1367,9,)</f>
        <v>N2-b2</v>
      </c>
      <c r="CX14" s="311" t="str">
        <f aca="false">VLOOKUP(CONCATENATE($AI13,"-",CX$8),'[1]liste complet essai'!$A$4:$K$1367,9,)</f>
        <v>N2-b2</v>
      </c>
      <c r="CY14" s="311" t="str">
        <f aca="false">VLOOKUP(CONCATENATE($AI13,"-",CY$8),'[1]liste complet essai'!$A$4:$K$1367,9,)</f>
        <v>N2-b2</v>
      </c>
      <c r="CZ14" s="311" t="str">
        <f aca="false">VLOOKUP(CONCATENATE($AI13,"-",CZ$8),'[1]liste complet essai'!$A$4:$K$1367,9,)</f>
        <v>N2-b2</v>
      </c>
      <c r="DA14" s="298" t="str">
        <f aca="false">VLOOKUP(CONCATENATE($AI13,"-",DA$8),'[1]liste complet essai'!$A$4:$K$1367,9,)</f>
        <v>N2-b2</v>
      </c>
      <c r="DB14" s="311" t="str">
        <f aca="false">VLOOKUP(CONCATENATE($AI13,"-",DB$8),'[1]liste complet essai'!$A$4:$K$1367,9,)</f>
        <v>N2-b2</v>
      </c>
      <c r="DC14" s="311" t="str">
        <f aca="false">VLOOKUP(CONCATENATE($AI13,"-",DC$8),'[1]liste complet essai'!$A$4:$K$1367,9,)</f>
        <v>N2-b2</v>
      </c>
      <c r="DD14" s="311" t="str">
        <f aca="false">VLOOKUP(CONCATENATE($AI13,"-",DD$8),'[1]liste complet essai'!$A$4:$K$1367,9,)</f>
        <v>N2-b2</v>
      </c>
      <c r="DE14" s="311" t="str">
        <f aca="false">VLOOKUP(CONCATENATE($AI13,"-",DE$8),'[1]liste complet essai'!$A$4:$K$1367,9,)</f>
        <v>N2-b2</v>
      </c>
      <c r="DF14" s="311" t="str">
        <f aca="false">VLOOKUP(CONCATENATE($AI13,"-",DF$8),'[1]liste complet essai'!$A$4:$K$1367,9,)</f>
        <v>N2-b2</v>
      </c>
      <c r="DG14" s="311" t="str">
        <f aca="false">VLOOKUP(CONCATENATE($AI13,"-",DG$8),'[1]liste complet essai'!$A$4:$K$1367,9,)</f>
        <v>N2-b2</v>
      </c>
      <c r="DH14" s="311" t="str">
        <f aca="false">VLOOKUP(CONCATENATE($AI13,"-",DH$8),'[1]liste complet essai'!$A$4:$K$1367,9,)</f>
        <v>N2-b2</v>
      </c>
      <c r="DI14" s="324"/>
      <c r="DJ14" s="309"/>
      <c r="DK14" s="321"/>
    </row>
    <row r="15" customFormat="false" ht="12" hidden="false" customHeight="false" outlineLevel="0" collapsed="false">
      <c r="B15" s="293"/>
      <c r="C15" s="318"/>
      <c r="D15" s="307"/>
      <c r="E15" s="320"/>
      <c r="F15" s="308" t="str">
        <f aca="false">VLOOKUP(CONCATENATE($B13,"-",F$8),'[1]liste complet essai'!$A$4:$K$1367,5,)</f>
        <v>G-124</v>
      </c>
      <c r="G15" s="308" t="str">
        <f aca="false">VLOOKUP(CONCATENATE($B13,"-",G$8),'[1]liste complet essai'!$A$4:$K$1367,5,)</f>
        <v>G-112</v>
      </c>
      <c r="H15" s="308" t="str">
        <f aca="false">VLOOKUP(CONCATENATE($B13,"-",H$8),'[1]liste complet essai'!$A$4:$K$1367,5,)</f>
        <v>G-123</v>
      </c>
      <c r="I15" s="308" t="str">
        <f aca="false">VLOOKUP(CONCATENATE($B13,"-",I$8),'[1]liste complet essai'!$A$4:$K$1367,5,)</f>
        <v>G-118</v>
      </c>
      <c r="J15" s="308" t="str">
        <f aca="false">VLOOKUP(CONCATENATE($B13,"-",J$8),'[1]liste complet essai'!$A$4:$K$1367,5,)</f>
        <v>G-068</v>
      </c>
      <c r="K15" s="308" t="str">
        <f aca="false">VLOOKUP(CONCATENATE($B13,"-",K$8),'[1]liste complet essai'!$A$4:$K$1367,5,)</f>
        <v>G-114</v>
      </c>
      <c r="L15" s="308" t="str">
        <f aca="false">VLOOKUP(CONCATENATE($B13,"-",L$8),'[1]liste complet essai'!$A$4:$K$1367,5,)</f>
        <v>G-120</v>
      </c>
      <c r="M15" s="308" t="str">
        <f aca="false">VLOOKUP(CONCATENATE($B13,"-",M$8),'[1]liste complet essai'!$A$4:$K$1367,5,)</f>
        <v>G-045</v>
      </c>
      <c r="N15" s="308" t="str">
        <f aca="false">VLOOKUP(CONCATENATE($B13,"-",N$8),'[1]liste complet essai'!$A$4:$K$1367,5,)</f>
        <v>G-096</v>
      </c>
      <c r="O15" s="308" t="str">
        <f aca="false">VLOOKUP(CONCATENATE($B13,"-",O$8),'[1]liste complet essai'!$A$4:$K$1367,5,)</f>
        <v>G-090</v>
      </c>
      <c r="P15" s="308" t="str">
        <f aca="false">VLOOKUP(CONCATENATE($B13,"-",P$8),'[1]liste complet essai'!$A$4:$K$1367,5,)</f>
        <v>G-058</v>
      </c>
      <c r="Q15" s="308" t="str">
        <f aca="false">VLOOKUP(CONCATENATE($B13,"-",Q$8),'[1]liste complet essai'!$A$4:$K$1367,5,)</f>
        <v>G-028</v>
      </c>
      <c r="R15" s="308" t="str">
        <f aca="false">VLOOKUP(CONCATENATE($B13,"-",R$8),'[1]liste complet essai'!$A$4:$K$1367,5,)</f>
        <v>G-038</v>
      </c>
      <c r="S15" s="308" t="str">
        <f aca="false">VLOOKUP(CONCATENATE($B13,"-",S$8),'[1]liste complet essai'!$A$4:$K$1367,5,)</f>
        <v>G-110</v>
      </c>
      <c r="T15" s="308" t="str">
        <f aca="false">VLOOKUP(CONCATENATE($B13,"-",T$8),'[1]liste complet essai'!$A$4:$K$1367,5,)</f>
        <v>G-055</v>
      </c>
      <c r="U15" s="308" t="str">
        <f aca="false">VLOOKUP(CONCATENATE($B13,"-",U$8),'[1]liste complet essai'!$A$4:$K$1367,5,)</f>
        <v>G-011</v>
      </c>
      <c r="V15" s="308" t="str">
        <f aca="false">VLOOKUP(CONCATENATE($B13,"-",V$8),'[1]liste complet essai'!$A$4:$K$1367,5,)</f>
        <v>G-089</v>
      </c>
      <c r="W15" s="308" t="str">
        <f aca="false">VLOOKUP(CONCATENATE($B13,"-",W$8),'[1]liste complet essai'!$A$4:$K$1367,5,)</f>
        <v>G-012</v>
      </c>
      <c r="X15" s="308" t="str">
        <f aca="false">VLOOKUP(CONCATENATE($B13,"-",X$8),'[1]liste complet essai'!$A$4:$K$1367,5,)</f>
        <v>G-072</v>
      </c>
      <c r="Y15" s="312" t="str">
        <f aca="false">VLOOKUP(CONCATENATE($B13,"-",Y$8),'[1]liste complet essai'!$A$4:$K$1367,5,)</f>
        <v>G-001</v>
      </c>
      <c r="Z15" s="308" t="str">
        <f aca="false">VLOOKUP(CONCATENATE($B13,"-",Z$8),'[1]liste complet essai'!$A$4:$K$1367,5,)</f>
        <v>G-067</v>
      </c>
      <c r="AA15" s="308" t="str">
        <f aca="false">VLOOKUP(CONCATENATE($B13,"-",AA$8),'[1]liste complet essai'!$A$4:$K$1367,5,)</f>
        <v>G-100</v>
      </c>
      <c r="AB15" s="308" t="str">
        <f aca="false">VLOOKUP(CONCATENATE($B13,"-",AB$8),'[1]liste complet essai'!$A$4:$K$1367,5,)</f>
        <v>G-025</v>
      </c>
      <c r="AC15" s="308" t="str">
        <f aca="false">VLOOKUP(CONCATENATE($B13,"-",AC$8),'[1]liste complet essai'!$A$4:$K$1367,5,)</f>
        <v>G-041</v>
      </c>
      <c r="AD15" s="308" t="str">
        <f aca="false">VLOOKUP(CONCATENATE($B13,"-",AD$8),'[1]liste complet essai'!$A$4:$K$1367,5,)</f>
        <v>G-016</v>
      </c>
      <c r="AE15" s="308" t="str">
        <f aca="false">VLOOKUP(CONCATENATE($B13,"-",AE$8),'[1]liste complet essai'!$A$4:$K$1367,5,)</f>
        <v>G-117</v>
      </c>
      <c r="AF15" s="321"/>
      <c r="AI15" s="302"/>
      <c r="AJ15" s="318"/>
      <c r="AK15" s="309"/>
      <c r="AL15" s="320"/>
      <c r="AM15" s="308" t="str">
        <f aca="false">VLOOKUP(CONCATENATE($AI13,"-",AM$8),'[1]liste complet essai'!$A$4:$K$1367,5,)</f>
        <v>G-003</v>
      </c>
      <c r="AN15" s="308" t="str">
        <f aca="false">VLOOKUP(CONCATENATE($AI13,"-",AN$8),'[1]liste complet essai'!$A$4:$K$1367,5,)</f>
        <v>G-112</v>
      </c>
      <c r="AO15" s="308" t="str">
        <f aca="false">VLOOKUP(CONCATENATE($AI13,"-",AO$8),'[1]liste complet essai'!$A$4:$K$1367,5,)</f>
        <v>G-039</v>
      </c>
      <c r="AP15" s="308" t="str">
        <f aca="false">VLOOKUP(CONCATENATE($AI13,"-",AP$8),'[1]liste complet essai'!$A$4:$K$1367,5,)</f>
        <v>G-103</v>
      </c>
      <c r="AQ15" s="308" t="str">
        <f aca="false">VLOOKUP(CONCATENATE($AI13,"-",AQ$8),'[1]liste complet essai'!$A$4:$K$1367,5,)</f>
        <v>G-085</v>
      </c>
      <c r="AR15" s="308" t="str">
        <f aca="false">VLOOKUP(CONCATENATE($AI13,"-",AR$8),'[1]liste complet essai'!$A$4:$K$1367,5,)</f>
        <v>G-043</v>
      </c>
      <c r="AS15" s="308" t="str">
        <f aca="false">VLOOKUP(CONCATENATE($AI13,"-",AS$8),'[1]liste complet essai'!$A$4:$K$1367,5,)</f>
        <v>G-109</v>
      </c>
      <c r="AT15" s="308" t="str">
        <f aca="false">VLOOKUP(CONCATENATE($AI13,"-",AT$8),'[1]liste complet essai'!$A$4:$K$1367,5,)</f>
        <v>G-015</v>
      </c>
      <c r="AU15" s="308" t="str">
        <f aca="false">VLOOKUP(CONCATENATE($AI13,"-",AU$8),'[1]liste complet essai'!$A$4:$K$1367,5,)</f>
        <v>G-068</v>
      </c>
      <c r="AV15" s="308" t="str">
        <f aca="false">VLOOKUP(CONCATENATE($AI13,"-",AV$8),'[1]liste complet essai'!$A$4:$K$1367,5,)</f>
        <v>G-078</v>
      </c>
      <c r="AW15" s="308" t="str">
        <f aca="false">VLOOKUP(CONCATENATE($AI13,"-",AW$8),'[1]liste complet essai'!$A$4:$K$1367,5,)</f>
        <v>G-076</v>
      </c>
      <c r="AX15" s="308" t="str">
        <f aca="false">VLOOKUP(CONCATENATE($AI13,"-",AX$8),'[1]liste complet essai'!$A$4:$K$1367,5,)</f>
        <v>G-056</v>
      </c>
      <c r="AY15" s="308" t="str">
        <f aca="false">VLOOKUP(CONCATENATE($AI13,"-",AY$8),'[1]liste complet essai'!$A$4:$K$1367,5,)</f>
        <v>G-038</v>
      </c>
      <c r="AZ15" s="308" t="str">
        <f aca="false">VLOOKUP(CONCATENATE($AI13,"-",AZ$8),'[1]liste complet essai'!$A$4:$K$1367,5,)</f>
        <v>G-055</v>
      </c>
      <c r="BA15" s="308" t="str">
        <f aca="false">VLOOKUP(CONCATENATE($AI13,"-",BA$8),'[1]liste complet essai'!$A$4:$K$1367,5,)</f>
        <v>G-030</v>
      </c>
      <c r="BB15" s="308" t="str">
        <f aca="false">VLOOKUP(CONCATENATE($AI13,"-",BB$8),'[1]liste complet essai'!$A$4:$K$1367,5,)</f>
        <v>G-017</v>
      </c>
      <c r="BC15" s="308" t="str">
        <f aca="false">VLOOKUP(CONCATENATE($AI13,"-",BC$8),'[1]liste complet essai'!$A$4:$K$1367,5,)</f>
        <v>G-064</v>
      </c>
      <c r="BD15" s="308" t="str">
        <f aca="false">VLOOKUP(CONCATENATE($AI13,"-",BD$8),'[1]liste complet essai'!$A$4:$K$1367,5,)</f>
        <v>G-086</v>
      </c>
      <c r="BE15" s="308" t="str">
        <f aca="false">VLOOKUP(CONCATENATE($AI13,"-",BE$8),'[1]liste complet essai'!$A$4:$K$1367,5,)</f>
        <v>G-054</v>
      </c>
      <c r="BF15" s="308" t="str">
        <f aca="false">VLOOKUP(CONCATENATE($AI13,"-",BF$8),'[1]liste complet essai'!$A$4:$K$1367,5,)</f>
        <v>G-091</v>
      </c>
      <c r="BG15" s="308" t="str">
        <f aca="false">VLOOKUP(CONCATENATE($AI13,"-",BG$8),'[1]liste complet essai'!$A$4:$K$1367,5,)</f>
        <v>G-105</v>
      </c>
      <c r="BH15" s="308" t="str">
        <f aca="false">VLOOKUP(CONCATENATE($AI13,"-",BH$8),'[1]liste complet essai'!$A$4:$K$1367,5,)</f>
        <v>G-090</v>
      </c>
      <c r="BI15" s="308" t="str">
        <f aca="false">VLOOKUP(CONCATENATE($AI13,"-",BI$8),'[1]liste complet essai'!$A$4:$K$1367,5,)</f>
        <v>G-025</v>
      </c>
      <c r="BJ15" s="308" t="str">
        <f aca="false">VLOOKUP(CONCATENATE($AI13,"-",BJ$8),'[1]liste complet essai'!$A$4:$K$1367,5,)</f>
        <v>G-031</v>
      </c>
      <c r="BK15" s="308" t="str">
        <f aca="false">VLOOKUP(CONCATENATE($AI13,"-",BK$8),'[1]liste complet essai'!$A$4:$K$1367,5,)</f>
        <v>G-027</v>
      </c>
      <c r="BL15" s="308" t="str">
        <f aca="false">VLOOKUP(CONCATENATE($AI13,"-",BL$8),'[1]liste complet essai'!$A$4:$K$1367,5,)</f>
        <v>G-098</v>
      </c>
      <c r="BM15" s="308" t="str">
        <f aca="false">VLOOKUP(CONCATENATE($AI13,"-",BM$8),'[1]liste complet essai'!$A$4:$K$1367,5,)</f>
        <v>G-018</v>
      </c>
      <c r="BN15" s="308" t="str">
        <f aca="false">VLOOKUP(CONCATENATE($AI13,"-",BN$8),'[1]liste complet essai'!$A$4:$K$1367,5,)</f>
        <v>G-050</v>
      </c>
      <c r="BO15" s="308" t="str">
        <f aca="false">VLOOKUP(CONCATENATE($AI13,"-",BO$8),'[1]liste complet essai'!$A$4:$K$1367,5,)</f>
        <v>G-118</v>
      </c>
      <c r="BP15" s="308" t="str">
        <f aca="false">VLOOKUP(CONCATENATE($AI13,"-",BP$8),'[1]liste complet essai'!$A$4:$K$1367,5,)</f>
        <v>G-012</v>
      </c>
      <c r="BQ15" s="308" t="str">
        <f aca="false">VLOOKUP(CONCATENATE($AI13,"-",BQ$8),'[1]liste complet essai'!$A$4:$K$1367,5,)</f>
        <v>G-124</v>
      </c>
      <c r="BR15" s="308" t="str">
        <f aca="false">VLOOKUP(CONCATENATE($AI13,"-",BR$8),'[1]liste complet essai'!$A$4:$K$1367,5,)</f>
        <v>G-007</v>
      </c>
      <c r="BS15" s="310"/>
      <c r="BT15" s="310"/>
      <c r="BU15" s="310"/>
      <c r="BV15" s="310"/>
      <c r="BW15" s="310"/>
      <c r="BX15" s="310"/>
      <c r="BY15" s="310"/>
      <c r="BZ15" s="310"/>
      <c r="CA15" s="310"/>
      <c r="CB15" s="310"/>
      <c r="CC15" s="311" t="str">
        <f aca="false">VLOOKUP(CONCATENATE($AI13,"-",CC$8),'[1]liste complet essai'!$A$4:$K$1367,5,)</f>
        <v>G-012</v>
      </c>
      <c r="CD15" s="311" t="str">
        <f aca="false">VLOOKUP(CONCATENATE($AI13,"-",CD$8),'[1]liste complet essai'!$A$4:$K$1367,5,)</f>
        <v>G-086</v>
      </c>
      <c r="CE15" s="311" t="str">
        <f aca="false">VLOOKUP(CONCATENATE($AI13,"-",CE$8),'[1]liste complet essai'!$A$4:$K$1367,5,)</f>
        <v>G-073</v>
      </c>
      <c r="CF15" s="311" t="str">
        <f aca="false">VLOOKUP(CONCATENATE($AI13,"-",CF$8),'[1]liste complet essai'!$A$4:$K$1367,5,)</f>
        <v>G-092</v>
      </c>
      <c r="CG15" s="311" t="str">
        <f aca="false">VLOOKUP(CONCATENATE($AI13,"-",CG$8),'[1]liste complet essai'!$A$4:$K$1367,5,)</f>
        <v>G-024</v>
      </c>
      <c r="CH15" s="311" t="str">
        <f aca="false">VLOOKUP(CONCATENATE($AI13,"-",CH$8),'[1]liste complet essai'!$A$4:$K$1367,5,)</f>
        <v>G-030</v>
      </c>
      <c r="CI15" s="311" t="str">
        <f aca="false">VLOOKUP(CONCATENATE($AI13,"-",CI$8),'[1]liste complet essai'!$A$4:$K$1367,5,)</f>
        <v>G-078</v>
      </c>
      <c r="CJ15" s="311" t="str">
        <f aca="false">VLOOKUP(CONCATENATE($AI13,"-",CJ$8),'[1]liste complet essai'!$A$4:$K$1367,5,)</f>
        <v>G-028</v>
      </c>
      <c r="CK15" s="311" t="str">
        <f aca="false">VLOOKUP(CONCATENATE($AI13,"-",CK$8),'[1]liste complet essai'!$A$4:$K$1367,5,)</f>
        <v>G-052</v>
      </c>
      <c r="CL15" s="311" t="str">
        <f aca="false">VLOOKUP(CONCATENATE($AI13,"-",CL$8),'[1]liste complet essai'!$A$4:$K$1367,5,)</f>
        <v>G-101</v>
      </c>
      <c r="CM15" s="311" t="str">
        <f aca="false">VLOOKUP(CONCATENATE($AI13,"-",CM$8),'[1]liste complet essai'!$A$4:$K$1367,5,)</f>
        <v>G-080</v>
      </c>
      <c r="CN15" s="311" t="str">
        <f aca="false">VLOOKUP(CONCATENATE($AI13,"-",CN$8),'[1]liste complet essai'!$A$4:$K$1367,5,)</f>
        <v>G-008</v>
      </c>
      <c r="CO15" s="311" t="str">
        <f aca="false">VLOOKUP(CONCATENATE($AI13,"-",CO$8),'[1]liste complet essai'!$A$4:$K$1367,5,)</f>
        <v>G-098</v>
      </c>
      <c r="CP15" s="311" t="str">
        <f aca="false">VLOOKUP(CONCATENATE($AI13,"-",CP$8),'[1]liste complet essai'!$A$4:$K$1367,5,)</f>
        <v>G-063</v>
      </c>
      <c r="CQ15" s="311" t="str">
        <f aca="false">VLOOKUP(CONCATENATE($AI13,"-",CQ$8),'[1]liste complet essai'!$A$4:$K$1367,5,)</f>
        <v>G-040</v>
      </c>
      <c r="CR15" s="311" t="str">
        <f aca="false">VLOOKUP(CONCATENATE($AI13,"-",CR$8),'[1]liste complet essai'!$A$4:$K$1367,5,)</f>
        <v>G-056</v>
      </c>
      <c r="CS15" s="311" t="str">
        <f aca="false">VLOOKUP(CONCATENATE($AI13,"-",CS$8),'[1]liste complet essai'!$A$4:$K$1367,5,)</f>
        <v>G-096</v>
      </c>
      <c r="CT15" s="311" t="str">
        <f aca="false">VLOOKUP(CONCATENATE($AI13,"-",CT$8),'[1]liste complet essai'!$A$4:$K$1367,5,)</f>
        <v>G-070</v>
      </c>
      <c r="CU15" s="311" t="str">
        <f aca="false">VLOOKUP(CONCATENATE($AI13,"-",CU$8),'[1]liste complet essai'!$A$4:$K$1367,5,)</f>
        <v>G-047</v>
      </c>
      <c r="CV15" s="311" t="str">
        <f aca="false">VLOOKUP(CONCATENATE($AI13,"-",CV$8),'[1]liste complet essai'!$A$4:$K$1367,5,)</f>
        <v>G-022</v>
      </c>
      <c r="CW15" s="311" t="str">
        <f aca="false">VLOOKUP(CONCATENATE($AI13,"-",CW$8),'[1]liste complet essai'!$A$4:$K$1367,5,)</f>
        <v>G-107</v>
      </c>
      <c r="CX15" s="311" t="str">
        <f aca="false">VLOOKUP(CONCATENATE($AI13,"-",CX$8),'[1]liste complet essai'!$A$4:$K$1367,5,)</f>
        <v>G-016</v>
      </c>
      <c r="CY15" s="311" t="str">
        <f aca="false">VLOOKUP(CONCATENATE($AI13,"-",CY$8),'[1]liste complet essai'!$A$4:$K$1367,5,)</f>
        <v>G-011</v>
      </c>
      <c r="CZ15" s="311" t="str">
        <f aca="false">VLOOKUP(CONCATENATE($AI13,"-",CZ$8),'[1]liste complet essai'!$A$4:$K$1367,5,)</f>
        <v>G-103</v>
      </c>
      <c r="DA15" s="312" t="str">
        <f aca="false">VLOOKUP(CONCATENATE($AI13,"-",DA$8),'[1]liste complet essai'!$A$4:$K$1367,5,)</f>
        <v>G-001</v>
      </c>
      <c r="DB15" s="311" t="str">
        <f aca="false">VLOOKUP(CONCATENATE($AI13,"-",DB$8),'[1]liste complet essai'!$A$4:$K$1367,5,)</f>
        <v>G-074</v>
      </c>
      <c r="DC15" s="311" t="str">
        <f aca="false">VLOOKUP(CONCATENATE($AI13,"-",DC$8),'[1]liste complet essai'!$A$4:$K$1367,5,)</f>
        <v>G-082</v>
      </c>
      <c r="DD15" s="311" t="str">
        <f aca="false">VLOOKUP(CONCATENATE($AI13,"-",DD$8),'[1]liste complet essai'!$A$4:$K$1367,5,)</f>
        <v>G-058</v>
      </c>
      <c r="DE15" s="311" t="str">
        <f aca="false">VLOOKUP(CONCATENATE($AI13,"-",DE$8),'[1]liste complet essai'!$A$4:$K$1367,5,)</f>
        <v>G-110</v>
      </c>
      <c r="DF15" s="311" t="str">
        <f aca="false">VLOOKUP(CONCATENATE($AI13,"-",DF$8),'[1]liste complet essai'!$A$4:$K$1367,5,)</f>
        <v>G-087</v>
      </c>
      <c r="DG15" s="311" t="str">
        <f aca="false">VLOOKUP(CONCATENATE($AI13,"-",DG$8),'[1]liste complet essai'!$A$4:$K$1367,5,)</f>
        <v>G-055</v>
      </c>
      <c r="DH15" s="311" t="str">
        <f aca="false">VLOOKUP(CONCATENATE($AI13,"-",DH$8),'[1]liste complet essai'!$A$4:$K$1367,5,)</f>
        <v>G-021</v>
      </c>
      <c r="DI15" s="324"/>
      <c r="DJ15" s="309"/>
      <c r="DK15" s="321"/>
    </row>
    <row r="16" customFormat="false" ht="12" hidden="false" customHeight="false" outlineLevel="0" collapsed="false">
      <c r="B16" s="293"/>
      <c r="C16" s="318"/>
      <c r="D16" s="314"/>
      <c r="E16" s="320"/>
      <c r="F16" s="315" t="str">
        <f aca="false">VLOOKUP(CONCATENATE($B13,"-",F$8),'[1]liste complet essai'!$A$4:$K$1367,1,)</f>
        <v>16-65</v>
      </c>
      <c r="G16" s="315" t="str">
        <f aca="false">VLOOKUP(CONCATENATE($B13,"-",G$8),'[1]liste complet essai'!$A$4:$K$1367,1,)</f>
        <v>16-66</v>
      </c>
      <c r="H16" s="315" t="str">
        <f aca="false">VLOOKUP(CONCATENATE($B13,"-",H$8),'[1]liste complet essai'!$A$4:$K$1367,1,)</f>
        <v>16-67</v>
      </c>
      <c r="I16" s="315" t="str">
        <f aca="false">VLOOKUP(CONCATENATE($B13,"-",I$8),'[1]liste complet essai'!$A$4:$K$1367,1,)</f>
        <v>16-68</v>
      </c>
      <c r="J16" s="315" t="str">
        <f aca="false">VLOOKUP(CONCATENATE($B13,"-",J$8),'[1]liste complet essai'!$A$4:$K$1367,1,)</f>
        <v>16-69</v>
      </c>
      <c r="K16" s="315" t="str">
        <f aca="false">VLOOKUP(CONCATENATE($B13,"-",K$8),'[1]liste complet essai'!$A$4:$K$1367,1,)</f>
        <v>16-70</v>
      </c>
      <c r="L16" s="315" t="str">
        <f aca="false">VLOOKUP(CONCATENATE($B13,"-",L$8),'[1]liste complet essai'!$A$4:$K$1367,1,)</f>
        <v>16-71</v>
      </c>
      <c r="M16" s="315" t="str">
        <f aca="false">VLOOKUP(CONCATENATE($B13,"-",M$8),'[1]liste complet essai'!$A$4:$K$1367,1,)</f>
        <v>16-72</v>
      </c>
      <c r="N16" s="315" t="str">
        <f aca="false">VLOOKUP(CONCATENATE($B13,"-",N$8),'[1]liste complet essai'!$A$4:$K$1367,1,)</f>
        <v>16-73</v>
      </c>
      <c r="O16" s="315" t="str">
        <f aca="false">VLOOKUP(CONCATENATE($B13,"-",O$8),'[1]liste complet essai'!$A$4:$K$1367,1,)</f>
        <v>16-74</v>
      </c>
      <c r="P16" s="315" t="str">
        <f aca="false">VLOOKUP(CONCATENATE($B13,"-",P$8),'[1]liste complet essai'!$A$4:$K$1367,1,)</f>
        <v>16-75</v>
      </c>
      <c r="Q16" s="315" t="str">
        <f aca="false">VLOOKUP(CONCATENATE($B13,"-",Q$8),'[1]liste complet essai'!$A$4:$K$1367,1,)</f>
        <v>16-76</v>
      </c>
      <c r="R16" s="315" t="str">
        <f aca="false">VLOOKUP(CONCATENATE($B13,"-",R$8),'[1]liste complet essai'!$A$4:$K$1367,1,)</f>
        <v>16-77</v>
      </c>
      <c r="S16" s="315" t="str">
        <f aca="false">VLOOKUP(CONCATENATE($B13,"-",S$8),'[1]liste complet essai'!$A$4:$K$1367,1,)</f>
        <v>16-78</v>
      </c>
      <c r="T16" s="315" t="str">
        <f aca="false">VLOOKUP(CONCATENATE($B13,"-",T$8),'[1]liste complet essai'!$A$4:$K$1367,1,)</f>
        <v>16-79</v>
      </c>
      <c r="U16" s="315" t="str">
        <f aca="false">VLOOKUP(CONCATENATE($B13,"-",U$8),'[1]liste complet essai'!$A$4:$K$1367,1,)</f>
        <v>16-80</v>
      </c>
      <c r="V16" s="315" t="str">
        <f aca="false">VLOOKUP(CONCATENATE($B13,"-",V$8),'[1]liste complet essai'!$A$4:$K$1367,1,)</f>
        <v>16-81</v>
      </c>
      <c r="W16" s="315" t="str">
        <f aca="false">VLOOKUP(CONCATENATE($B13,"-",W$8),'[1]liste complet essai'!$A$4:$K$1367,1,)</f>
        <v>16-82</v>
      </c>
      <c r="X16" s="315" t="str">
        <f aca="false">VLOOKUP(CONCATENATE($B13,"-",X$8),'[1]liste complet essai'!$A$4:$K$1367,1,)</f>
        <v>16-83</v>
      </c>
      <c r="Y16" s="308" t="str">
        <f aca="false">VLOOKUP(CONCATENATE($B13,"-",Y$8),'[1]liste complet essai'!$A$4:$K$1367,1,)</f>
        <v>16-84</v>
      </c>
      <c r="Z16" s="315" t="str">
        <f aca="false">VLOOKUP(CONCATENATE($B13,"-",Z$8),'[1]liste complet essai'!$A$4:$K$1367,1,)</f>
        <v>16-85</v>
      </c>
      <c r="AA16" s="315" t="str">
        <f aca="false">VLOOKUP(CONCATENATE($B13,"-",AA$8),'[1]liste complet essai'!$A$4:$K$1367,1,)</f>
        <v>16-86</v>
      </c>
      <c r="AB16" s="315" t="str">
        <f aca="false">VLOOKUP(CONCATENATE($B13,"-",AB$8),'[1]liste complet essai'!$A$4:$K$1367,1,)</f>
        <v>16-87</v>
      </c>
      <c r="AC16" s="315" t="str">
        <f aca="false">VLOOKUP(CONCATENATE($B13,"-",AC$8),'[1]liste complet essai'!$A$4:$K$1367,1,)</f>
        <v>16-88</v>
      </c>
      <c r="AD16" s="315" t="str">
        <f aca="false">VLOOKUP(CONCATENATE($B13,"-",AD$8),'[1]liste complet essai'!$A$4:$K$1367,1,)</f>
        <v>16-89</v>
      </c>
      <c r="AE16" s="315" t="str">
        <f aca="false">VLOOKUP(CONCATENATE($B13,"-",AE$8),'[1]liste complet essai'!$A$4:$K$1367,1,)</f>
        <v>16-90</v>
      </c>
      <c r="AF16" s="321"/>
      <c r="AI16" s="302"/>
      <c r="AJ16" s="318"/>
      <c r="AK16" s="300"/>
      <c r="AL16" s="320"/>
      <c r="AM16" s="315" t="str">
        <f aca="false">VLOOKUP(CONCATENATE($AI13,"-",AM$8),'[1]liste complet essai'!$A$4:$K$1367,1,)</f>
        <v>02-01</v>
      </c>
      <c r="AN16" s="315" t="str">
        <f aca="false">VLOOKUP(CONCATENATE($AI13,"-",AN$8),'[1]liste complet essai'!$A$4:$K$1367,1,)</f>
        <v>02-02</v>
      </c>
      <c r="AO16" s="315" t="str">
        <f aca="false">VLOOKUP(CONCATENATE($AI13,"-",AO$8),'[1]liste complet essai'!$A$4:$K$1367,1,)</f>
        <v>02-03</v>
      </c>
      <c r="AP16" s="315" t="str">
        <f aca="false">VLOOKUP(CONCATENATE($AI13,"-",AP$8),'[1]liste complet essai'!$A$4:$K$1367,1,)</f>
        <v>02-04</v>
      </c>
      <c r="AQ16" s="315" t="str">
        <f aca="false">VLOOKUP(CONCATENATE($AI13,"-",AQ$8),'[1]liste complet essai'!$A$4:$K$1367,1,)</f>
        <v>02-05</v>
      </c>
      <c r="AR16" s="315" t="str">
        <f aca="false">VLOOKUP(CONCATENATE($AI13,"-",AR$8),'[1]liste complet essai'!$A$4:$K$1367,1,)</f>
        <v>02-06</v>
      </c>
      <c r="AS16" s="315" t="str">
        <f aca="false">VLOOKUP(CONCATENATE($AI13,"-",AS$8),'[1]liste complet essai'!$A$4:$K$1367,1,)</f>
        <v>02-07</v>
      </c>
      <c r="AT16" s="315" t="str">
        <f aca="false">VLOOKUP(CONCATENATE($AI13,"-",AT$8),'[1]liste complet essai'!$A$4:$K$1367,1,)</f>
        <v>02-08</v>
      </c>
      <c r="AU16" s="315" t="str">
        <f aca="false">VLOOKUP(CONCATENATE($AI13,"-",AU$8),'[1]liste complet essai'!$A$4:$K$1367,1,)</f>
        <v>02-09</v>
      </c>
      <c r="AV16" s="315" t="str">
        <f aca="false">VLOOKUP(CONCATENATE($AI13,"-",AV$8),'[1]liste complet essai'!$A$4:$K$1367,1,)</f>
        <v>02-10</v>
      </c>
      <c r="AW16" s="315" t="str">
        <f aca="false">VLOOKUP(CONCATENATE($AI13,"-",AW$8),'[1]liste complet essai'!$A$4:$K$1367,1,)</f>
        <v>02-11</v>
      </c>
      <c r="AX16" s="315" t="str">
        <f aca="false">VLOOKUP(CONCATENATE($AI13,"-",AX$8),'[1]liste complet essai'!$A$4:$K$1367,1,)</f>
        <v>02-12</v>
      </c>
      <c r="AY16" s="315" t="str">
        <f aca="false">VLOOKUP(CONCATENATE($AI13,"-",AY$8),'[1]liste complet essai'!$A$4:$K$1367,1,)</f>
        <v>02-13</v>
      </c>
      <c r="AZ16" s="315" t="str">
        <f aca="false">VLOOKUP(CONCATENATE($AI13,"-",AZ$8),'[1]liste complet essai'!$A$4:$K$1367,1,)</f>
        <v>02-14</v>
      </c>
      <c r="BA16" s="315" t="str">
        <f aca="false">VLOOKUP(CONCATENATE($AI13,"-",BA$8),'[1]liste complet essai'!$A$4:$K$1367,1,)</f>
        <v>02-15</v>
      </c>
      <c r="BB16" s="315" t="str">
        <f aca="false">VLOOKUP(CONCATENATE($AI13,"-",BB$8),'[1]liste complet essai'!$A$4:$K$1367,1,)</f>
        <v>02-16</v>
      </c>
      <c r="BC16" s="315" t="str">
        <f aca="false">VLOOKUP(CONCATENATE($AI13,"-",BC$8),'[1]liste complet essai'!$A$4:$K$1367,1,)</f>
        <v>02-17</v>
      </c>
      <c r="BD16" s="315" t="str">
        <f aca="false">VLOOKUP(CONCATENATE($AI13,"-",BD$8),'[1]liste complet essai'!$A$4:$K$1367,1,)</f>
        <v>02-18</v>
      </c>
      <c r="BE16" s="315" t="str">
        <f aca="false">VLOOKUP(CONCATENATE($AI13,"-",BE$8),'[1]liste complet essai'!$A$4:$K$1367,1,)</f>
        <v>02-19</v>
      </c>
      <c r="BF16" s="315" t="str">
        <f aca="false">VLOOKUP(CONCATENATE($AI13,"-",BF$8),'[1]liste complet essai'!$A$4:$K$1367,1,)</f>
        <v>02-20</v>
      </c>
      <c r="BG16" s="315" t="str">
        <f aca="false">VLOOKUP(CONCATENATE($AI13,"-",BG$8),'[1]liste complet essai'!$A$4:$K$1367,1,)</f>
        <v>02-21</v>
      </c>
      <c r="BH16" s="315" t="str">
        <f aca="false">VLOOKUP(CONCATENATE($AI13,"-",BH$8),'[1]liste complet essai'!$A$4:$K$1367,1,)</f>
        <v>02-22</v>
      </c>
      <c r="BI16" s="315" t="str">
        <f aca="false">VLOOKUP(CONCATENATE($AI13,"-",BI$8),'[1]liste complet essai'!$A$4:$K$1367,1,)</f>
        <v>02-23</v>
      </c>
      <c r="BJ16" s="315" t="str">
        <f aca="false">VLOOKUP(CONCATENATE($AI13,"-",BJ$8),'[1]liste complet essai'!$A$4:$K$1367,1,)</f>
        <v>02-24</v>
      </c>
      <c r="BK16" s="315" t="str">
        <f aca="false">VLOOKUP(CONCATENATE($AI13,"-",BK$8),'[1]liste complet essai'!$A$4:$K$1367,1,)</f>
        <v>02-25</v>
      </c>
      <c r="BL16" s="315" t="str">
        <f aca="false">VLOOKUP(CONCATENATE($AI13,"-",BL$8),'[1]liste complet essai'!$A$4:$K$1367,1,)</f>
        <v>02-26</v>
      </c>
      <c r="BM16" s="315" t="str">
        <f aca="false">VLOOKUP(CONCATENATE($AI13,"-",BM$8),'[1]liste complet essai'!$A$4:$K$1367,1,)</f>
        <v>02-27</v>
      </c>
      <c r="BN16" s="315" t="str">
        <f aca="false">VLOOKUP(CONCATENATE($AI13,"-",BN$8),'[1]liste complet essai'!$A$4:$K$1367,1,)</f>
        <v>02-28</v>
      </c>
      <c r="BO16" s="315" t="str">
        <f aca="false">VLOOKUP(CONCATENATE($AI13,"-",BO$8),'[1]liste complet essai'!$A$4:$K$1367,1,)</f>
        <v>02-29</v>
      </c>
      <c r="BP16" s="315" t="str">
        <f aca="false">VLOOKUP(CONCATENATE($AI13,"-",BP$8),'[1]liste complet essai'!$A$4:$K$1367,1,)</f>
        <v>02-30</v>
      </c>
      <c r="BQ16" s="315" t="str">
        <f aca="false">VLOOKUP(CONCATENATE($AI13,"-",BQ$8),'[1]liste complet essai'!$A$4:$K$1367,1,)</f>
        <v>02-31</v>
      </c>
      <c r="BR16" s="315" t="str">
        <f aca="false">VLOOKUP(CONCATENATE($AI13,"-",BR$8),'[1]liste complet essai'!$A$4:$K$1367,1,)</f>
        <v>02-32</v>
      </c>
      <c r="BS16" s="310"/>
      <c r="BT16" s="310"/>
      <c r="BU16" s="310"/>
      <c r="BV16" s="310"/>
      <c r="BW16" s="310"/>
      <c r="BX16" s="310"/>
      <c r="BY16" s="310"/>
      <c r="BZ16" s="310"/>
      <c r="CA16" s="310"/>
      <c r="CB16" s="310"/>
      <c r="CC16" s="325" t="str">
        <f aca="false">VLOOKUP(CONCATENATE($AI13,"-",CC$8),'[1]liste complet essai'!$A$4:$K$1367,1,)</f>
        <v>02-33</v>
      </c>
      <c r="CD16" s="325" t="str">
        <f aca="false">VLOOKUP(CONCATENATE($AI13,"-",CD$8),'[1]liste complet essai'!$A$4:$K$1367,1,)</f>
        <v>02-34</v>
      </c>
      <c r="CE16" s="325" t="str">
        <f aca="false">VLOOKUP(CONCATENATE($AI13,"-",CE$8),'[1]liste complet essai'!$A$4:$K$1367,1,)</f>
        <v>02-35</v>
      </c>
      <c r="CF16" s="325" t="str">
        <f aca="false">VLOOKUP(CONCATENATE($AI13,"-",CF$8),'[1]liste complet essai'!$A$4:$K$1367,1,)</f>
        <v>02-36</v>
      </c>
      <c r="CG16" s="325" t="str">
        <f aca="false">VLOOKUP(CONCATENATE($AI13,"-",CG$8),'[1]liste complet essai'!$A$4:$K$1367,1,)</f>
        <v>02-37</v>
      </c>
      <c r="CH16" s="325" t="str">
        <f aca="false">VLOOKUP(CONCATENATE($AI13,"-",CH$8),'[1]liste complet essai'!$A$4:$K$1367,1,)</f>
        <v>02-38</v>
      </c>
      <c r="CI16" s="325" t="str">
        <f aca="false">VLOOKUP(CONCATENATE($AI13,"-",CI$8),'[1]liste complet essai'!$A$4:$K$1367,1,)</f>
        <v>02-39</v>
      </c>
      <c r="CJ16" s="325" t="str">
        <f aca="false">VLOOKUP(CONCATENATE($AI13,"-",CJ$8),'[1]liste complet essai'!$A$4:$K$1367,1,)</f>
        <v>02-40</v>
      </c>
      <c r="CK16" s="325" t="str">
        <f aca="false">VLOOKUP(CONCATENATE($AI13,"-",CK$8),'[1]liste complet essai'!$A$4:$K$1367,1,)</f>
        <v>02-41</v>
      </c>
      <c r="CL16" s="325" t="str">
        <f aca="false">VLOOKUP(CONCATENATE($AI13,"-",CL$8),'[1]liste complet essai'!$A$4:$K$1367,1,)</f>
        <v>02-42</v>
      </c>
      <c r="CM16" s="325" t="str">
        <f aca="false">VLOOKUP(CONCATENATE($AI13,"-",CM$8),'[1]liste complet essai'!$A$4:$K$1367,1,)</f>
        <v>02-43</v>
      </c>
      <c r="CN16" s="325" t="str">
        <f aca="false">VLOOKUP(CONCATENATE($AI13,"-",CN$8),'[1]liste complet essai'!$A$4:$K$1367,1,)</f>
        <v>02-44</v>
      </c>
      <c r="CO16" s="325" t="str">
        <f aca="false">VLOOKUP(CONCATENATE($AI13,"-",CO$8),'[1]liste complet essai'!$A$4:$K$1367,1,)</f>
        <v>02-45</v>
      </c>
      <c r="CP16" s="325" t="str">
        <f aca="false">VLOOKUP(CONCATENATE($AI13,"-",CP$8),'[1]liste complet essai'!$A$4:$K$1367,1,)</f>
        <v>02-46</v>
      </c>
      <c r="CQ16" s="325" t="str">
        <f aca="false">VLOOKUP(CONCATENATE($AI13,"-",CQ$8),'[1]liste complet essai'!$A$4:$K$1367,1,)</f>
        <v>02-47</v>
      </c>
      <c r="CR16" s="325" t="str">
        <f aca="false">VLOOKUP(CONCATENATE($AI13,"-",CR$8),'[1]liste complet essai'!$A$4:$K$1367,1,)</f>
        <v>02-48</v>
      </c>
      <c r="CS16" s="325" t="str">
        <f aca="false">VLOOKUP(CONCATENATE($AI13,"-",CS$8),'[1]liste complet essai'!$A$4:$K$1367,1,)</f>
        <v>02-49</v>
      </c>
      <c r="CT16" s="325" t="str">
        <f aca="false">VLOOKUP(CONCATENATE($AI13,"-",CT$8),'[1]liste complet essai'!$A$4:$K$1367,1,)</f>
        <v>02-50</v>
      </c>
      <c r="CU16" s="325" t="str">
        <f aca="false">VLOOKUP(CONCATENATE($AI13,"-",CU$8),'[1]liste complet essai'!$A$4:$K$1367,1,)</f>
        <v>02-51</v>
      </c>
      <c r="CV16" s="325" t="str">
        <f aca="false">VLOOKUP(CONCATENATE($AI13,"-",CV$8),'[1]liste complet essai'!$A$4:$K$1367,1,)</f>
        <v>02-52</v>
      </c>
      <c r="CW16" s="325" t="str">
        <f aca="false">VLOOKUP(CONCATENATE($AI13,"-",CW$8),'[1]liste complet essai'!$A$4:$K$1367,1,)</f>
        <v>02-53</v>
      </c>
      <c r="CX16" s="325" t="str">
        <f aca="false">VLOOKUP(CONCATENATE($AI13,"-",CX$8),'[1]liste complet essai'!$A$4:$K$1367,1,)</f>
        <v>02-54</v>
      </c>
      <c r="CY16" s="325" t="str">
        <f aca="false">VLOOKUP(CONCATENATE($AI13,"-",CY$8),'[1]liste complet essai'!$A$4:$K$1367,1,)</f>
        <v>02-55</v>
      </c>
      <c r="CZ16" s="325" t="str">
        <f aca="false">VLOOKUP(CONCATENATE($AI13,"-",CZ$8),'[1]liste complet essai'!$A$4:$K$1367,1,)</f>
        <v>02-56</v>
      </c>
      <c r="DA16" s="298" t="str">
        <f aca="false">VLOOKUP(CONCATENATE($AI13,"-",DA$8),'[1]liste complet essai'!$A$4:$K$1367,1,)</f>
        <v>02-57</v>
      </c>
      <c r="DB16" s="325" t="str">
        <f aca="false">VLOOKUP(CONCATENATE($AI13,"-",DB$8),'[1]liste complet essai'!$A$4:$K$1367,1,)</f>
        <v>02-58</v>
      </c>
      <c r="DC16" s="325" t="str">
        <f aca="false">VLOOKUP(CONCATENATE($AI13,"-",DC$8),'[1]liste complet essai'!$A$4:$K$1367,1,)</f>
        <v>02-59</v>
      </c>
      <c r="DD16" s="325" t="str">
        <f aca="false">VLOOKUP(CONCATENATE($AI13,"-",DD$8),'[1]liste complet essai'!$A$4:$K$1367,1,)</f>
        <v>02-60</v>
      </c>
      <c r="DE16" s="325" t="str">
        <f aca="false">VLOOKUP(CONCATENATE($AI13,"-",DE$8),'[1]liste complet essai'!$A$4:$K$1367,1,)</f>
        <v>02-61</v>
      </c>
      <c r="DF16" s="325" t="str">
        <f aca="false">VLOOKUP(CONCATENATE($AI13,"-",DF$8),'[1]liste complet essai'!$A$4:$K$1367,1,)</f>
        <v>02-62</v>
      </c>
      <c r="DG16" s="325" t="str">
        <f aca="false">VLOOKUP(CONCATENATE($AI13,"-",DG$8),'[1]liste complet essai'!$A$4:$K$1367,1,)</f>
        <v>02-63</v>
      </c>
      <c r="DH16" s="325" t="str">
        <f aca="false">VLOOKUP(CONCATENATE($AI13,"-",DH$8),'[1]liste complet essai'!$A$4:$K$1367,1,)</f>
        <v>02-64</v>
      </c>
      <c r="DI16" s="324"/>
      <c r="DJ16" s="317"/>
      <c r="DK16" s="321"/>
    </row>
    <row r="17" customFormat="false" ht="12" hidden="false" customHeight="false" outlineLevel="0" collapsed="false">
      <c r="B17" s="293" t="n">
        <v>17</v>
      </c>
      <c r="C17" s="318" t="s">
        <v>8122</v>
      </c>
      <c r="D17" s="319"/>
      <c r="E17" s="320" t="s">
        <v>8122</v>
      </c>
      <c r="F17" s="308" t="str">
        <f aca="false">VLOOKUP(CONCATENATE($B17,"-",F$8),'[1]liste complet essai'!$A$4:$K$1367,4,)</f>
        <v>AM</v>
      </c>
      <c r="G17" s="308" t="str">
        <f aca="false">VLOOKUP(CONCATENATE($B17,"-",G$8),'[1]liste complet essai'!$A$4:$K$1367,4,)</f>
        <v>AM</v>
      </c>
      <c r="H17" s="308" t="str">
        <f aca="false">VLOOKUP(CONCATENATE($B17,"-",H$8),'[1]liste complet essai'!$A$4:$K$1367,4,)</f>
        <v>AM</v>
      </c>
      <c r="I17" s="308" t="str">
        <f aca="false">VLOOKUP(CONCATENATE($B17,"-",I$8),'[1]liste complet essai'!$A$4:$K$1367,4,)</f>
        <v>AM</v>
      </c>
      <c r="J17" s="308" t="str">
        <f aca="false">VLOOKUP(CONCATENATE($B17,"-",J$8),'[1]liste complet essai'!$A$4:$K$1367,4,)</f>
        <v>AM</v>
      </c>
      <c r="K17" s="308" t="str">
        <f aca="false">VLOOKUP(CONCATENATE($B17,"-",K$8),'[1]liste complet essai'!$A$4:$K$1367,4,)</f>
        <v>AM</v>
      </c>
      <c r="L17" s="308" t="str">
        <f aca="false">VLOOKUP(CONCATENATE($B17,"-",L$8),'[1]liste complet essai'!$A$4:$K$1367,4,)</f>
        <v>AM</v>
      </c>
      <c r="M17" s="308" t="str">
        <f aca="false">VLOOKUP(CONCATENATE($B17,"-",M$8),'[1]liste complet essai'!$A$4:$K$1367,4,)</f>
        <v>AM</v>
      </c>
      <c r="N17" s="308" t="str">
        <f aca="false">VLOOKUP(CONCATENATE($B17,"-",N$8),'[1]liste complet essai'!$A$4:$K$1367,4,)</f>
        <v>AM</v>
      </c>
      <c r="O17" s="308" t="str">
        <f aca="false">VLOOKUP(CONCATENATE($B17,"-",O$8),'[1]liste complet essai'!$A$4:$K$1367,4,)</f>
        <v>AM</v>
      </c>
      <c r="P17" s="308" t="str">
        <f aca="false">VLOOKUP(CONCATENATE($B17,"-",P$8),'[1]liste complet essai'!$A$4:$K$1367,4,)</f>
        <v>AM</v>
      </c>
      <c r="Q17" s="308" t="str">
        <f aca="false">VLOOKUP(CONCATENATE($B17,"-",Q$8),'[1]liste complet essai'!$A$4:$K$1367,4,)</f>
        <v>AM</v>
      </c>
      <c r="R17" s="300" t="str">
        <f aca="false">VLOOKUP(CONCATENATE($B17,"-",R$8),'[1]liste complet essai'!$A$4:$K$1367,4,)</f>
        <v>AM</v>
      </c>
      <c r="S17" s="308" t="str">
        <f aca="false">VLOOKUP(CONCATENATE($B17,"-",S$8),'[1]liste complet essai'!$A$4:$K$1367,4,)</f>
        <v>AM</v>
      </c>
      <c r="T17" s="308" t="str">
        <f aca="false">VLOOKUP(CONCATENATE($B17,"-",T$8),'[1]liste complet essai'!$A$4:$K$1367,4,)</f>
        <v>AM</v>
      </c>
      <c r="U17" s="308" t="str">
        <f aca="false">VLOOKUP(CONCATENATE($B17,"-",U$8),'[1]liste complet essai'!$A$4:$K$1367,4,)</f>
        <v>AM</v>
      </c>
      <c r="V17" s="308" t="str">
        <f aca="false">VLOOKUP(CONCATENATE($B17,"-",V$8),'[1]liste complet essai'!$A$4:$K$1367,4,)</f>
        <v>AM</v>
      </c>
      <c r="W17" s="308" t="str">
        <f aca="false">VLOOKUP(CONCATENATE($B17,"-",W$8),'[1]liste complet essai'!$A$4:$K$1367,4,)</f>
        <v>AM</v>
      </c>
      <c r="X17" s="308" t="str">
        <f aca="false">VLOOKUP(CONCATENATE($B17,"-",X$8),'[1]liste complet essai'!$A$4:$K$1367,4,)</f>
        <v>AM</v>
      </c>
      <c r="Y17" s="308" t="str">
        <f aca="false">VLOOKUP(CONCATENATE($B17,"-",Y$8),'[1]liste complet essai'!$A$4:$K$1367,4,)</f>
        <v>AM</v>
      </c>
      <c r="Z17" s="308" t="str">
        <f aca="false">VLOOKUP(CONCATENATE($B17,"-",Z$8),'[1]liste complet essai'!$A$4:$K$1367,4,)</f>
        <v>AM</v>
      </c>
      <c r="AA17" s="308" t="str">
        <f aca="false">VLOOKUP(CONCATENATE($B17,"-",AA$8),'[1]liste complet essai'!$A$4:$K$1367,4,)</f>
        <v>AM</v>
      </c>
      <c r="AB17" s="308" t="str">
        <f aca="false">VLOOKUP(CONCATENATE($B17,"-",AB$8),'[1]liste complet essai'!$A$4:$K$1367,4,)</f>
        <v>AM</v>
      </c>
      <c r="AC17" s="308" t="str">
        <f aca="false">VLOOKUP(CONCATENATE($B17,"-",AC$8),'[1]liste complet essai'!$A$4:$K$1367,4,)</f>
        <v>AM</v>
      </c>
      <c r="AD17" s="308" t="str">
        <f aca="false">VLOOKUP(CONCATENATE($B17,"-",AD$8),'[1]liste complet essai'!$A$4:$K$1367,4,)</f>
        <v>AM</v>
      </c>
      <c r="AE17" s="308" t="str">
        <f aca="false">VLOOKUP(CONCATENATE($B17,"-",AE$8),'[1]liste complet essai'!$A$4:$K$1367,4,)</f>
        <v>AM</v>
      </c>
      <c r="AF17" s="321" t="s">
        <v>8122</v>
      </c>
      <c r="AI17" s="302" t="s">
        <v>8126</v>
      </c>
      <c r="AJ17" s="326" t="s">
        <v>8122</v>
      </c>
      <c r="AK17" s="322"/>
      <c r="AL17" s="320" t="s">
        <v>8122</v>
      </c>
      <c r="AM17" s="299" t="str">
        <f aca="false">VLOOKUP(CONCATENATE($AI17,"-",AM$8),'[1]liste complet essai'!$A$4:$K$1367,4,)</f>
        <v>AM</v>
      </c>
      <c r="AN17" s="299" t="str">
        <f aca="false">VLOOKUP(CONCATENATE($AI17,"-",AN$8),'[1]liste complet essai'!$A$4:$K$1367,4,)</f>
        <v>AM</v>
      </c>
      <c r="AO17" s="299" t="str">
        <f aca="false">VLOOKUP(CONCATENATE($AI17,"-",AO$8),'[1]liste complet essai'!$A$4:$K$1367,4,)</f>
        <v>AM</v>
      </c>
      <c r="AP17" s="298" t="str">
        <f aca="false">VLOOKUP(CONCATENATE($AI17,"-",AP$8),'[2]liste complet essai'!$A$4:$K$1367,4,)</f>
        <v>AM</v>
      </c>
      <c r="AQ17" s="299" t="str">
        <f aca="false">VLOOKUP(CONCATENATE($AI17,"-",AQ$8),'[1]liste complet essai'!$A$4:$K$1367,4,)</f>
        <v>AM</v>
      </c>
      <c r="AR17" s="299" t="str">
        <f aca="false">VLOOKUP(CONCATENATE($AI17,"-",AR$8),'[1]liste complet essai'!$A$4:$K$1367,4,)</f>
        <v>AM</v>
      </c>
      <c r="AS17" s="299" t="str">
        <f aca="false">VLOOKUP(CONCATENATE($AI17,"-",AS$8),'[1]liste complet essai'!$A$4:$K$1367,4,)</f>
        <v>AM</v>
      </c>
      <c r="AT17" s="299" t="str">
        <f aca="false">VLOOKUP(CONCATENATE($AI17,"-",AT$8),'[1]liste complet essai'!$A$4:$K$1367,4,)</f>
        <v>AM</v>
      </c>
      <c r="AU17" s="299" t="str">
        <f aca="false">VLOOKUP(CONCATENATE($AI17,"-",AU$8),'[1]liste complet essai'!$A$4:$K$1367,4,)</f>
        <v>AM</v>
      </c>
      <c r="AV17" s="299" t="str">
        <f aca="false">VLOOKUP(CONCATENATE($AI17,"-",AV$8),'[1]liste complet essai'!$A$4:$K$1367,4,)</f>
        <v>AM</v>
      </c>
      <c r="AW17" s="300" t="str">
        <f aca="false">VLOOKUP(CONCATENATE($AI17,"-",AW$8),'[1]liste complet essai'!$A$4:$K$1367,4,)</f>
        <v>AM</v>
      </c>
      <c r="AX17" s="299" t="str">
        <f aca="false">VLOOKUP(CONCATENATE($AI17,"-",AX$8),'[1]liste complet essai'!$A$4:$K$1367,4,)</f>
        <v>AM</v>
      </c>
      <c r="AY17" s="299" t="str">
        <f aca="false">VLOOKUP(CONCATENATE($AI17,"-",AY$8),'[1]liste complet essai'!$A$4:$K$1367,4,)</f>
        <v>AM</v>
      </c>
      <c r="AZ17" s="299" t="str">
        <f aca="false">VLOOKUP(CONCATENATE($AI17,"-",AZ$8),'[1]liste complet essai'!$A$4:$K$1367,4,)</f>
        <v>AM</v>
      </c>
      <c r="BA17" s="299" t="str">
        <f aca="false">VLOOKUP(CONCATENATE($AI17,"-",BA$8),'[1]liste complet essai'!$A$4:$K$1367,4,)</f>
        <v>AM</v>
      </c>
      <c r="BB17" s="299" t="str">
        <f aca="false">VLOOKUP(CONCATENATE($AI17,"-",BB$8),'[1]liste complet essai'!$A$4:$K$1367,4,)</f>
        <v>AM</v>
      </c>
      <c r="BC17" s="299" t="str">
        <f aca="false">VLOOKUP(CONCATENATE($AI17,"-",BC$8),'[1]liste complet essai'!$A$4:$K$1367,4,)</f>
        <v>AM</v>
      </c>
      <c r="BD17" s="299" t="str">
        <f aca="false">VLOOKUP(CONCATENATE($AI17,"-",BD$8),'[1]liste complet essai'!$A$4:$K$1367,4,)</f>
        <v>AM</v>
      </c>
      <c r="BE17" s="299" t="str">
        <f aca="false">VLOOKUP(CONCATENATE($AI17,"-",BE$8),'[1]liste complet essai'!$A$4:$K$1367,4,)</f>
        <v>AM</v>
      </c>
      <c r="BF17" s="300" t="str">
        <f aca="false">VLOOKUP(CONCATENATE($AI17,"-",BF$8),'[1]liste complet essai'!$A$4:$K$1367,4,)</f>
        <v>AM</v>
      </c>
      <c r="BG17" s="298" t="str">
        <f aca="false">VLOOKUP(CONCATENATE($AI17,"-",BG$8),'[1]liste complet essai'!$A$4:$K$1367,4,)</f>
        <v>AM</v>
      </c>
      <c r="BH17" s="299" t="str">
        <f aca="false">VLOOKUP(CONCATENATE($AI17,"-",BH$8),'[1]liste complet essai'!$A$4:$K$1367,4,)</f>
        <v>AM</v>
      </c>
      <c r="BI17" s="299" t="str">
        <f aca="false">VLOOKUP(CONCATENATE($AI17,"-",BI$8),'[1]liste complet essai'!$A$4:$K$1367,4,)</f>
        <v>AM</v>
      </c>
      <c r="BJ17" s="299" t="str">
        <f aca="false">VLOOKUP(CONCATENATE($AI17,"-",BJ$8),'[1]liste complet essai'!$A$4:$K$1367,4,)</f>
        <v>AM</v>
      </c>
      <c r="BK17" s="299" t="str">
        <f aca="false">VLOOKUP(CONCATENATE($AI17,"-",BK$8),'[1]liste complet essai'!$A$4:$K$1367,4,)</f>
        <v>AM</v>
      </c>
      <c r="BL17" s="299" t="str">
        <f aca="false">VLOOKUP(CONCATENATE($AI17,"-",BL$8),'[1]liste complet essai'!$A$4:$K$1367,4,)</f>
        <v>AM</v>
      </c>
      <c r="BM17" s="299" t="str">
        <f aca="false">VLOOKUP(CONCATENATE($AI17,"-",BM$8),'[1]liste complet essai'!$A$4:$K$1367,4,)</f>
        <v>AM</v>
      </c>
      <c r="BN17" s="299" t="str">
        <f aca="false">VLOOKUP(CONCATENATE($AI17,"-",BN$8),'[1]liste complet essai'!$A$4:$K$1367,4,)</f>
        <v>AM</v>
      </c>
      <c r="BO17" s="323" t="str">
        <f aca="false">VLOOKUP(CONCATENATE($AI17,"-",BO$8),'[1]liste complet essai'!$A$4:$K$1367,4,)</f>
        <v>AM</v>
      </c>
      <c r="BP17" s="299" t="str">
        <f aca="false">VLOOKUP(CONCATENATE($AI17,"-",BP$8),'[1]liste complet essai'!$A$4:$K$1367,4,)</f>
        <v>AM</v>
      </c>
      <c r="BQ17" s="299" t="str">
        <f aca="false">VLOOKUP(CONCATENATE($AI17,"-",BQ$8),'[1]liste complet essai'!$A$4:$K$1367,4,)</f>
        <v>AM</v>
      </c>
      <c r="BR17" s="299" t="str">
        <f aca="false">VLOOKUP(CONCATENATE($AI17,"-",BR$8),'[1]liste complet essai'!$A$4:$K$1367,4,)</f>
        <v>AM</v>
      </c>
      <c r="BS17" s="310"/>
      <c r="BT17" s="310"/>
      <c r="BU17" s="310"/>
      <c r="BV17" s="310"/>
      <c r="BW17" s="310"/>
      <c r="BX17" s="310"/>
      <c r="BY17" s="310"/>
      <c r="BZ17" s="310"/>
      <c r="CA17" s="310"/>
      <c r="CB17" s="310"/>
      <c r="CC17" s="311" t="str">
        <f aca="false">VLOOKUP(CONCATENATE($AI17,"-",CC$8),'[1]liste complet essai'!$A$4:$K$1367,4,)</f>
        <v>AM</v>
      </c>
      <c r="CD17" s="311" t="str">
        <f aca="false">VLOOKUP(CONCATENATE($AI17,"-",CD$8),'[1]liste complet essai'!$A$4:$K$1367,4,)</f>
        <v>AM</v>
      </c>
      <c r="CE17" s="311" t="str">
        <f aca="false">VLOOKUP(CONCATENATE($AI17,"-",CE$8),'[1]liste complet essai'!$A$4:$K$1367,4,)</f>
        <v>AM</v>
      </c>
      <c r="CF17" s="311" t="str">
        <f aca="false">VLOOKUP(CONCATENATE($AI17,"-",CF$8),'[1]liste complet essai'!$A$4:$K$1367,4,)</f>
        <v>AM</v>
      </c>
      <c r="CG17" s="311" t="str">
        <f aca="false">VLOOKUP(CONCATENATE($AI17,"-",CG$8),'[1]liste complet essai'!$A$4:$K$1367,4,)</f>
        <v>AM</v>
      </c>
      <c r="CH17" s="311" t="str">
        <f aca="false">VLOOKUP(CONCATENATE($AI17,"-",CH$8),'[1]liste complet essai'!$A$4:$K$1367,4,)</f>
        <v>AM</v>
      </c>
      <c r="CI17" s="311" t="str">
        <f aca="false">VLOOKUP(CONCATENATE($AI17,"-",CI$8),'[1]liste complet essai'!$A$4:$K$1367,4,)</f>
        <v>AM</v>
      </c>
      <c r="CJ17" s="311" t="str">
        <f aca="false">VLOOKUP(CONCATENATE($AI17,"-",CJ$8),'[1]liste complet essai'!$A$4:$K$1367,4,)</f>
        <v>AM</v>
      </c>
      <c r="CK17" s="311" t="str">
        <f aca="false">VLOOKUP(CONCATENATE($AI17,"-",CK$8),'[1]liste complet essai'!$A$4:$K$1367,4,)</f>
        <v>AM</v>
      </c>
      <c r="CL17" s="327" t="str">
        <f aca="false">VLOOKUP(CONCATENATE($AI17,"-",CL$8),'[1]liste complet essai'!$A$4:$K$1367,4,)</f>
        <v>AM</v>
      </c>
      <c r="CM17" s="311" t="str">
        <f aca="false">VLOOKUP(CONCATENATE($AI17,"-",CM$8),'[1]liste complet essai'!$A$4:$K$1367,4,)</f>
        <v>AM</v>
      </c>
      <c r="CN17" s="311" t="str">
        <f aca="false">VLOOKUP(CONCATENATE($AI17,"-",CN$8),'[1]liste complet essai'!$A$4:$K$1367,4,)</f>
        <v>AM</v>
      </c>
      <c r="CO17" s="311" t="str">
        <f aca="false">VLOOKUP(CONCATENATE($AI17,"-",CO$8),'[1]liste complet essai'!$A$4:$K$1367,4,)</f>
        <v>AM</v>
      </c>
      <c r="CP17" s="311" t="str">
        <f aca="false">VLOOKUP(CONCATENATE($AI17,"-",CP$8),'[1]liste complet essai'!$A$4:$K$1367,4,)</f>
        <v>AM</v>
      </c>
      <c r="CQ17" s="311" t="str">
        <f aca="false">VLOOKUP(CONCATENATE($AI17,"-",CQ$8),'[1]liste complet essai'!$A$4:$K$1367,4,)</f>
        <v>AM</v>
      </c>
      <c r="CR17" s="311" t="str">
        <f aca="false">VLOOKUP(CONCATENATE($AI17,"-",CR$8),'[1]liste complet essai'!$A$4:$K$1367,4,)</f>
        <v>AM</v>
      </c>
      <c r="CS17" s="311" t="str">
        <f aca="false">VLOOKUP(CONCATENATE($AI17,"-",CS$8),'[1]liste complet essai'!$A$4:$K$1367,4,)</f>
        <v>AM</v>
      </c>
      <c r="CT17" s="311" t="str">
        <f aca="false">VLOOKUP(CONCATENATE($AI17,"-",CT$8),'[1]liste complet essai'!$A$4:$K$1367,4,)</f>
        <v>AM</v>
      </c>
      <c r="CU17" s="311" t="str">
        <f aca="false">VLOOKUP(CONCATENATE($AI17,"-",CU$8),'[1]liste complet essai'!$A$4:$K$1367,4,)</f>
        <v>AM</v>
      </c>
      <c r="CV17" s="311" t="str">
        <f aca="false">VLOOKUP(CONCATENATE($AI17,"-",CV$8),'[1]liste complet essai'!$A$4:$K$1367,4,)</f>
        <v>AM</v>
      </c>
      <c r="CW17" s="298" t="str">
        <f aca="false">VLOOKUP(CONCATENATE($AI17,"-",CW$8),'[1]liste complet essai'!$A$4:$K$1367,4,)</f>
        <v>AM</v>
      </c>
      <c r="CX17" s="311" t="str">
        <f aca="false">VLOOKUP(CONCATENATE($AI17,"-",CX$8),'[1]liste complet essai'!$A$4:$K$1367,4,)</f>
        <v>AM</v>
      </c>
      <c r="CY17" s="311" t="str">
        <f aca="false">VLOOKUP(CONCATENATE($AI17,"-",CY$8),'[1]liste complet essai'!$A$4:$K$1367,4,)</f>
        <v>AM</v>
      </c>
      <c r="CZ17" s="311" t="str">
        <f aca="false">VLOOKUP(CONCATENATE($AI17,"-",CZ$8),'[1]liste complet essai'!$A$4:$K$1367,4,)</f>
        <v>AM</v>
      </c>
      <c r="DA17" s="311" t="str">
        <f aca="false">VLOOKUP(CONCATENATE($AI17,"-",DA$8),'[1]liste complet essai'!$A$4:$K$1367,4,)</f>
        <v>AM</v>
      </c>
      <c r="DB17" s="311" t="str">
        <f aca="false">VLOOKUP(CONCATENATE($AI17,"-",DB$8),'[1]liste complet essai'!$A$4:$K$1367,4,)</f>
        <v>AM</v>
      </c>
      <c r="DC17" s="300" t="str">
        <f aca="false">VLOOKUP(CONCATENATE($AI17,"-",DC$8),'[1]liste complet essai'!$A$4:$K$1367,4,)</f>
        <v>AM</v>
      </c>
      <c r="DD17" s="311" t="str">
        <f aca="false">VLOOKUP(CONCATENATE($AI17,"-",DD$8),'[1]liste complet essai'!$A$4:$K$1367,4,)</f>
        <v>AM</v>
      </c>
      <c r="DE17" s="311" t="str">
        <f aca="false">VLOOKUP(CONCATENATE($AI17,"-",DE$8),'[1]liste complet essai'!$A$4:$K$1367,4,)</f>
        <v>AM</v>
      </c>
      <c r="DF17" s="311" t="str">
        <f aca="false">VLOOKUP(CONCATENATE($AI17,"-",DF$8),'[1]liste complet essai'!$A$4:$K$1367,4,)</f>
        <v>AM</v>
      </c>
      <c r="DG17" s="311" t="str">
        <f aca="false">VLOOKUP(CONCATENATE($AI17,"-",DG$8),'[1]liste complet essai'!$A$4:$K$1367,4,)</f>
        <v>AM</v>
      </c>
      <c r="DH17" s="311" t="str">
        <f aca="false">VLOOKUP(CONCATENATE($AI17,"-",DH$8),'[1]liste complet essai'!$A$4:$K$1367,4,)</f>
        <v>AM</v>
      </c>
      <c r="DI17" s="324" t="s">
        <v>8122</v>
      </c>
      <c r="DJ17" s="322"/>
      <c r="DK17" s="321" t="s">
        <v>8122</v>
      </c>
    </row>
    <row r="18" customFormat="false" ht="12" hidden="false" customHeight="false" outlineLevel="0" collapsed="false">
      <c r="B18" s="293"/>
      <c r="C18" s="318"/>
      <c r="D18" s="307"/>
      <c r="E18" s="320"/>
      <c r="F18" s="308" t="str">
        <f aca="false">VLOOKUP(CONCATENATE($B17,"-",F$8),'[1]liste complet essai'!$A$4:$K$1367,9,)</f>
        <v>N1-b3</v>
      </c>
      <c r="G18" s="308" t="str">
        <f aca="false">VLOOKUP(CONCATENATE($B17,"-",G$8),'[1]liste complet essai'!$A$4:$K$1367,9,)</f>
        <v>N1-b3</v>
      </c>
      <c r="H18" s="308" t="str">
        <f aca="false">VLOOKUP(CONCATENATE($B17,"-",H$8),'[1]liste complet essai'!$A$4:$K$1367,9,)</f>
        <v>N1-b3</v>
      </c>
      <c r="I18" s="308" t="str">
        <f aca="false">VLOOKUP(CONCATENATE($B17,"-",I$8),'[1]liste complet essai'!$A$4:$K$1367,9,)</f>
        <v>N1-b3</v>
      </c>
      <c r="J18" s="308" t="str">
        <f aca="false">VLOOKUP(CONCATENATE($B17,"-",J$8),'[1]liste complet essai'!$A$4:$K$1367,9,)</f>
        <v>N1-b3</v>
      </c>
      <c r="K18" s="308" t="str">
        <f aca="false">VLOOKUP(CONCATENATE($B17,"-",K$8),'[1]liste complet essai'!$A$4:$K$1367,9,)</f>
        <v>N1-b3</v>
      </c>
      <c r="L18" s="308" t="str">
        <f aca="false">VLOOKUP(CONCATENATE($B17,"-",L$8),'[1]liste complet essai'!$A$4:$K$1367,9,)</f>
        <v>N1-b3</v>
      </c>
      <c r="M18" s="308" t="str">
        <f aca="false">VLOOKUP(CONCATENATE($B17,"-",M$8),'[1]liste complet essai'!$A$4:$K$1367,9,)</f>
        <v>N1-b3</v>
      </c>
      <c r="N18" s="308" t="str">
        <f aca="false">VLOOKUP(CONCATENATE($B17,"-",N$8),'[1]liste complet essai'!$A$4:$K$1367,9,)</f>
        <v>N1-b3</v>
      </c>
      <c r="O18" s="308" t="str">
        <f aca="false">VLOOKUP(CONCATENATE($B17,"-",O$8),'[1]liste complet essai'!$A$4:$K$1367,9,)</f>
        <v>N1-b3</v>
      </c>
      <c r="P18" s="308" t="str">
        <f aca="false">VLOOKUP(CONCATENATE($B17,"-",P$8),'[1]liste complet essai'!$A$4:$K$1367,9,)</f>
        <v>N1-b3</v>
      </c>
      <c r="Q18" s="308" t="str">
        <f aca="false">VLOOKUP(CONCATENATE($B17,"-",Q$8),'[1]liste complet essai'!$A$4:$K$1367,9,)</f>
        <v>N1-b3</v>
      </c>
      <c r="R18" s="285" t="str">
        <f aca="false">VLOOKUP(CONCATENATE($B17,"-",R$8),'[1]liste complet essai'!$A$4:$K$1367,9,)</f>
        <v>N1-b3</v>
      </c>
      <c r="S18" s="308" t="str">
        <f aca="false">VLOOKUP(CONCATENATE($B17,"-",S$8),'[1]liste complet essai'!$A$4:$K$1367,9,)</f>
        <v>N1-b3</v>
      </c>
      <c r="T18" s="308" t="str">
        <f aca="false">VLOOKUP(CONCATENATE($B17,"-",T$8),'[1]liste complet essai'!$A$4:$K$1367,9,)</f>
        <v>N1-b3</v>
      </c>
      <c r="U18" s="308" t="str">
        <f aca="false">VLOOKUP(CONCATENATE($B17,"-",U$8),'[1]liste complet essai'!$A$4:$K$1367,9,)</f>
        <v>N1-b3</v>
      </c>
      <c r="V18" s="308" t="str">
        <f aca="false">VLOOKUP(CONCATENATE($B17,"-",V$8),'[1]liste complet essai'!$A$4:$K$1367,9,)</f>
        <v>N1-b3</v>
      </c>
      <c r="W18" s="308" t="str">
        <f aca="false">VLOOKUP(CONCATENATE($B17,"-",W$8),'[1]liste complet essai'!$A$4:$K$1367,9,)</f>
        <v>N1-b3</v>
      </c>
      <c r="X18" s="308" t="str">
        <f aca="false">VLOOKUP(CONCATENATE($B17,"-",X$8),'[1]liste complet essai'!$A$4:$K$1367,9,)</f>
        <v>N1-b3</v>
      </c>
      <c r="Y18" s="308" t="str">
        <f aca="false">VLOOKUP(CONCATENATE($B17,"-",Y$8),'[1]liste complet essai'!$A$4:$K$1367,9,)</f>
        <v>N1-b3</v>
      </c>
      <c r="Z18" s="308" t="str">
        <f aca="false">VLOOKUP(CONCATENATE($B17,"-",Z$8),'[1]liste complet essai'!$A$4:$K$1367,9,)</f>
        <v>N1-b3</v>
      </c>
      <c r="AA18" s="308" t="str">
        <f aca="false">VLOOKUP(CONCATENATE($B17,"-",AA$8),'[1]liste complet essai'!$A$4:$K$1367,9,)</f>
        <v>N1-b3</v>
      </c>
      <c r="AB18" s="308" t="str">
        <f aca="false">VLOOKUP(CONCATENATE($B17,"-",AB$8),'[1]liste complet essai'!$A$4:$K$1367,9,)</f>
        <v>N1-b3</v>
      </c>
      <c r="AC18" s="308" t="str">
        <f aca="false">VLOOKUP(CONCATENATE($B17,"-",AC$8),'[1]liste complet essai'!$A$4:$K$1367,9,)</f>
        <v>N1-b3</v>
      </c>
      <c r="AD18" s="308" t="str">
        <f aca="false">VLOOKUP(CONCATENATE($B17,"-",AD$8),'[1]liste complet essai'!$A$4:$K$1367,9,)</f>
        <v>N1-b3</v>
      </c>
      <c r="AE18" s="308" t="str">
        <f aca="false">VLOOKUP(CONCATENATE($B17,"-",AE$8),'[1]liste complet essai'!$A$4:$K$1367,9,)</f>
        <v>N1-b3</v>
      </c>
      <c r="AF18" s="321"/>
      <c r="AI18" s="302"/>
      <c r="AJ18" s="326"/>
      <c r="AK18" s="309"/>
      <c r="AL18" s="320"/>
      <c r="AM18" s="308" t="str">
        <f aca="false">VLOOKUP(CONCATENATE($AI17,"-",AM$8),'[1]liste complet essai'!$A$4:$K$1367,9,)</f>
        <v>N1-b1</v>
      </c>
      <c r="AN18" s="308" t="str">
        <f aca="false">VLOOKUP(CONCATENATE($AI17,"-",AN$8),'[1]liste complet essai'!$A$4:$K$1367,9,)</f>
        <v>N1-b1</v>
      </c>
      <c r="AO18" s="308" t="str">
        <f aca="false">VLOOKUP(CONCATENATE($AI17,"-",AO$8),'[1]liste complet essai'!$A$4:$K$1367,9,)</f>
        <v>N1-b1</v>
      </c>
      <c r="AP18" s="298" t="str">
        <f aca="false">VLOOKUP(CONCATENATE($AI17,"-",AP$8),'[1]liste complet essai'!$A$4:$K$1367,9,)</f>
        <v>N1-b1</v>
      </c>
      <c r="AQ18" s="308" t="str">
        <f aca="false">VLOOKUP(CONCATENATE($AI17,"-",AQ$8),'[1]liste complet essai'!$A$4:$K$1367,9,)</f>
        <v>N1-b1</v>
      </c>
      <c r="AR18" s="308" t="str">
        <f aca="false">VLOOKUP(CONCATENATE($AI17,"-",AR$8),'[1]liste complet essai'!$A$4:$K$1367,9,)</f>
        <v>N1-b1</v>
      </c>
      <c r="AS18" s="308" t="str">
        <f aca="false">VLOOKUP(CONCATENATE($AI17,"-",AS$8),'[1]liste complet essai'!$A$4:$K$1367,9,)</f>
        <v>N1-b1</v>
      </c>
      <c r="AT18" s="308" t="str">
        <f aca="false">VLOOKUP(CONCATENATE($AI17,"-",AT$8),'[1]liste complet essai'!$A$4:$K$1367,9,)</f>
        <v>N1-b1</v>
      </c>
      <c r="AU18" s="308" t="str">
        <f aca="false">VLOOKUP(CONCATENATE($AI17,"-",AU$8),'[1]liste complet essai'!$A$4:$K$1367,9,)</f>
        <v>N1-b1</v>
      </c>
      <c r="AV18" s="308" t="str">
        <f aca="false">VLOOKUP(CONCATENATE($AI17,"-",AV$8),'[1]liste complet essai'!$A$4:$K$1367,9,)</f>
        <v>N1-b1</v>
      </c>
      <c r="AW18" s="285" t="str">
        <f aca="false">VLOOKUP(CONCATENATE($AI17,"-",AW$8),'[1]liste complet essai'!$A$4:$K$1367,9,)</f>
        <v>N1-b1</v>
      </c>
      <c r="AX18" s="308" t="str">
        <f aca="false">VLOOKUP(CONCATENATE($AI17,"-",AX$8),'[1]liste complet essai'!$A$4:$K$1367,9,)</f>
        <v>N1-b1</v>
      </c>
      <c r="AY18" s="308" t="str">
        <f aca="false">VLOOKUP(CONCATENATE($AI17,"-",AY$8),'[1]liste complet essai'!$A$4:$K$1367,9,)</f>
        <v>N1-b1</v>
      </c>
      <c r="AZ18" s="308" t="str">
        <f aca="false">VLOOKUP(CONCATENATE($AI17,"-",AZ$8),'[1]liste complet essai'!$A$4:$K$1367,9,)</f>
        <v>N1-b1</v>
      </c>
      <c r="BA18" s="308" t="str">
        <f aca="false">VLOOKUP(CONCATENATE($AI17,"-",BA$8),'[1]liste complet essai'!$A$4:$K$1367,9,)</f>
        <v>N1-b1</v>
      </c>
      <c r="BB18" s="308" t="str">
        <f aca="false">VLOOKUP(CONCATENATE($AI17,"-",BB$8),'[1]liste complet essai'!$A$4:$K$1367,9,)</f>
        <v>N1-b1</v>
      </c>
      <c r="BC18" s="308" t="str">
        <f aca="false">VLOOKUP(CONCATENATE($AI17,"-",BC$8),'[1]liste complet essai'!$A$4:$K$1367,9,)</f>
        <v>N1-b1</v>
      </c>
      <c r="BD18" s="308" t="str">
        <f aca="false">VLOOKUP(CONCATENATE($AI17,"-",BD$8),'[1]liste complet essai'!$A$4:$K$1367,9,)</f>
        <v>N1-b1</v>
      </c>
      <c r="BE18" s="308" t="str">
        <f aca="false">VLOOKUP(CONCATENATE($AI17,"-",BE$8),'[1]liste complet essai'!$A$4:$K$1367,9,)</f>
        <v>N1-b1</v>
      </c>
      <c r="BF18" s="285" t="str">
        <f aca="false">VLOOKUP(CONCATENATE($AI17,"-",BF$8),'[1]liste complet essai'!$A$4:$K$1367,9,)</f>
        <v>N1-b1</v>
      </c>
      <c r="BG18" s="298" t="str">
        <f aca="false">VLOOKUP(CONCATENATE($AI17,"-",BG$8),'[1]liste complet essai'!$A$4:$K$1367,9,)</f>
        <v>N1-b1</v>
      </c>
      <c r="BH18" s="308" t="str">
        <f aca="false">VLOOKUP(CONCATENATE($AI17,"-",BH$8),'[1]liste complet essai'!$A$4:$K$1367,9,)</f>
        <v>N1-b1</v>
      </c>
      <c r="BI18" s="308" t="str">
        <f aca="false">VLOOKUP(CONCATENATE($AI17,"-",BI$8),'[1]liste complet essai'!$A$4:$K$1367,9,)</f>
        <v>N1-b1</v>
      </c>
      <c r="BJ18" s="308" t="str">
        <f aca="false">VLOOKUP(CONCATENATE($AI17,"-",BJ$8),'[1]liste complet essai'!$A$4:$K$1367,9,)</f>
        <v>N1-b1</v>
      </c>
      <c r="BK18" s="308" t="str">
        <f aca="false">VLOOKUP(CONCATENATE($AI17,"-",BK$8),'[1]liste complet essai'!$A$4:$K$1367,9,)</f>
        <v>N1-b1</v>
      </c>
      <c r="BL18" s="308" t="str">
        <f aca="false">VLOOKUP(CONCATENATE($AI17,"-",BL$8),'[1]liste complet essai'!$A$4:$K$1367,9,)</f>
        <v>N1-b1</v>
      </c>
      <c r="BM18" s="308" t="str">
        <f aca="false">VLOOKUP(CONCATENATE($AI17,"-",BM$8),'[1]liste complet essai'!$A$4:$K$1367,9,)</f>
        <v>N1-b1</v>
      </c>
      <c r="BN18" s="308" t="str">
        <f aca="false">VLOOKUP(CONCATENATE($AI17,"-",BN$8),'[1]liste complet essai'!$A$4:$K$1367,9,)</f>
        <v>N1-b1</v>
      </c>
      <c r="BO18" s="311" t="str">
        <f aca="false">VLOOKUP(CONCATENATE($AI17,"-",BO$8),'[1]liste complet essai'!$A$4:$K$1367,9,)</f>
        <v>N1-b1</v>
      </c>
      <c r="BP18" s="308" t="str">
        <f aca="false">VLOOKUP(CONCATENATE($AI17,"-",BP$8),'[1]liste complet essai'!$A$4:$K$1367,9,)</f>
        <v>N1-b1</v>
      </c>
      <c r="BQ18" s="308" t="str">
        <f aca="false">VLOOKUP(CONCATENATE($AI17,"-",BQ$8),'[1]liste complet essai'!$A$4:$K$1367,9,)</f>
        <v>N1-b1</v>
      </c>
      <c r="BR18" s="308" t="str">
        <f aca="false">VLOOKUP(CONCATENATE($AI17,"-",BR$8),'[1]liste complet essai'!$A$4:$K$1367,9,)</f>
        <v>N1-b1</v>
      </c>
      <c r="BS18" s="310"/>
      <c r="BT18" s="310"/>
      <c r="BU18" s="310"/>
      <c r="BV18" s="310"/>
      <c r="BW18" s="310"/>
      <c r="BX18" s="310"/>
      <c r="BY18" s="310"/>
      <c r="BZ18" s="310"/>
      <c r="CA18" s="310"/>
      <c r="CB18" s="310"/>
      <c r="CC18" s="311" t="str">
        <f aca="false">VLOOKUP(CONCATENATE($AI17,"-",CC$8),'[1]liste complet essai'!$A$4:$K$1367,9,)</f>
        <v>N2-b2</v>
      </c>
      <c r="CD18" s="311" t="str">
        <f aca="false">VLOOKUP(CONCATENATE($AI17,"-",CD$8),'[1]liste complet essai'!$A$4:$K$1367,9,)</f>
        <v>N2-b2</v>
      </c>
      <c r="CE18" s="311" t="str">
        <f aca="false">VLOOKUP(CONCATENATE($AI17,"-",CE$8),'[1]liste complet essai'!$A$4:$K$1367,9,)</f>
        <v>N2-b2</v>
      </c>
      <c r="CF18" s="311" t="str">
        <f aca="false">VLOOKUP(CONCATENATE($AI17,"-",CF$8),'[1]liste complet essai'!$A$4:$K$1367,9,)</f>
        <v>N2-b2</v>
      </c>
      <c r="CG18" s="311" t="str">
        <f aca="false">VLOOKUP(CONCATENATE($AI17,"-",CG$8),'[1]liste complet essai'!$A$4:$K$1367,9,)</f>
        <v>N2-b2</v>
      </c>
      <c r="CH18" s="311" t="str">
        <f aca="false">VLOOKUP(CONCATENATE($AI17,"-",CH$8),'[1]liste complet essai'!$A$4:$K$1367,9,)</f>
        <v>N2-b2</v>
      </c>
      <c r="CI18" s="311" t="str">
        <f aca="false">VLOOKUP(CONCATENATE($AI17,"-",CI$8),'[1]liste complet essai'!$A$4:$K$1367,9,)</f>
        <v>N2-b2</v>
      </c>
      <c r="CJ18" s="311" t="str">
        <f aca="false">VLOOKUP(CONCATENATE($AI17,"-",CJ$8),'[1]liste complet essai'!$A$4:$K$1367,9,)</f>
        <v>N2-b2</v>
      </c>
      <c r="CK18" s="311" t="str">
        <f aca="false">VLOOKUP(CONCATENATE($AI17,"-",CK$8),'[1]liste complet essai'!$A$4:$K$1367,9,)</f>
        <v>N2-b2</v>
      </c>
      <c r="CL18" s="327" t="str">
        <f aca="false">VLOOKUP(CONCATENATE($AI17,"-",CL$8),'[1]liste complet essai'!$A$4:$K$1367,9,)</f>
        <v>N2-b2</v>
      </c>
      <c r="CM18" s="311" t="str">
        <f aca="false">VLOOKUP(CONCATENATE($AI17,"-",CM$8),'[1]liste complet essai'!$A$4:$K$1367,9,)</f>
        <v>N2-b2</v>
      </c>
      <c r="CN18" s="311" t="str">
        <f aca="false">VLOOKUP(CONCATENATE($AI17,"-",CN$8),'[1]liste complet essai'!$A$4:$K$1367,9,)</f>
        <v>N2-b2</v>
      </c>
      <c r="CO18" s="311" t="str">
        <f aca="false">VLOOKUP(CONCATENATE($AI17,"-",CO$8),'[1]liste complet essai'!$A$4:$K$1367,9,)</f>
        <v>N2-b2</v>
      </c>
      <c r="CP18" s="311" t="str">
        <f aca="false">VLOOKUP(CONCATENATE($AI17,"-",CP$8),'[1]liste complet essai'!$A$4:$K$1367,9,)</f>
        <v>N2-b2</v>
      </c>
      <c r="CQ18" s="311" t="str">
        <f aca="false">VLOOKUP(CONCATENATE($AI17,"-",CQ$8),'[1]liste complet essai'!$A$4:$K$1367,9,)</f>
        <v>N2-b2</v>
      </c>
      <c r="CR18" s="311" t="str">
        <f aca="false">VLOOKUP(CONCATENATE($AI17,"-",CR$8),'[1]liste complet essai'!$A$4:$K$1367,9,)</f>
        <v>N2-b2</v>
      </c>
      <c r="CS18" s="311" t="str">
        <f aca="false">VLOOKUP(CONCATENATE($AI17,"-",CS$8),'[1]liste complet essai'!$A$4:$K$1367,9,)</f>
        <v>N2-b2</v>
      </c>
      <c r="CT18" s="311" t="str">
        <f aca="false">VLOOKUP(CONCATENATE($AI17,"-",CT$8),'[1]liste complet essai'!$A$4:$K$1367,9,)</f>
        <v>N2-b2</v>
      </c>
      <c r="CU18" s="311" t="str">
        <f aca="false">VLOOKUP(CONCATENATE($AI17,"-",CU$8),'[1]liste complet essai'!$A$4:$K$1367,9,)</f>
        <v>N2-b2</v>
      </c>
      <c r="CV18" s="311" t="str">
        <f aca="false">VLOOKUP(CONCATENATE($AI17,"-",CV$8),'[1]liste complet essai'!$A$4:$K$1367,9,)</f>
        <v>N2-b2</v>
      </c>
      <c r="CW18" s="298" t="str">
        <f aca="false">VLOOKUP(CONCATENATE($AI17,"-",CW$8),'[1]liste complet essai'!$A$4:$K$1367,9,)</f>
        <v>N2-b2</v>
      </c>
      <c r="CX18" s="311" t="str">
        <f aca="false">VLOOKUP(CONCATENATE($AI17,"-",CX$8),'[1]liste complet essai'!$A$4:$K$1367,9,)</f>
        <v>N2-b2</v>
      </c>
      <c r="CY18" s="311" t="str">
        <f aca="false">VLOOKUP(CONCATENATE($AI17,"-",CY$8),'[1]liste complet essai'!$A$4:$K$1367,9,)</f>
        <v>N2-b2</v>
      </c>
      <c r="CZ18" s="311" t="str">
        <f aca="false">VLOOKUP(CONCATENATE($AI17,"-",CZ$8),'[1]liste complet essai'!$A$4:$K$1367,9,)</f>
        <v>N2-b2</v>
      </c>
      <c r="DA18" s="311" t="str">
        <f aca="false">VLOOKUP(CONCATENATE($AI17,"-",DA$8),'[1]liste complet essai'!$A$4:$K$1367,9,)</f>
        <v>N2-b2</v>
      </c>
      <c r="DB18" s="311" t="str">
        <f aca="false">VLOOKUP(CONCATENATE($AI17,"-",DB$8),'[1]liste complet essai'!$A$4:$K$1367,9,)</f>
        <v>N2-b2</v>
      </c>
      <c r="DC18" s="285" t="str">
        <f aca="false">VLOOKUP(CONCATENATE($AI17,"-",DC$8),'[1]liste complet essai'!$A$4:$K$1367,9,)</f>
        <v>N2-b2</v>
      </c>
      <c r="DD18" s="311" t="str">
        <f aca="false">VLOOKUP(CONCATENATE($AI17,"-",DD$8),'[1]liste complet essai'!$A$4:$K$1367,9,)</f>
        <v>N2-b2</v>
      </c>
      <c r="DE18" s="311" t="str">
        <f aca="false">VLOOKUP(CONCATENATE($AI17,"-",DE$8),'[1]liste complet essai'!$A$4:$K$1367,9,)</f>
        <v>N2-b2</v>
      </c>
      <c r="DF18" s="311" t="str">
        <f aca="false">VLOOKUP(CONCATENATE($AI17,"-",DF$8),'[1]liste complet essai'!$A$4:$K$1367,9,)</f>
        <v>N2-b2</v>
      </c>
      <c r="DG18" s="311" t="str">
        <f aca="false">VLOOKUP(CONCATENATE($AI17,"-",DG$8),'[1]liste complet essai'!$A$4:$K$1367,9,)</f>
        <v>N2-b2</v>
      </c>
      <c r="DH18" s="311" t="str">
        <f aca="false">VLOOKUP(CONCATENATE($AI17,"-",DH$8),'[1]liste complet essai'!$A$4:$K$1367,9,)</f>
        <v>N2-b2</v>
      </c>
      <c r="DI18" s="324"/>
      <c r="DJ18" s="309"/>
      <c r="DK18" s="321"/>
    </row>
    <row r="19" customFormat="false" ht="12" hidden="false" customHeight="false" outlineLevel="0" collapsed="false">
      <c r="B19" s="293"/>
      <c r="C19" s="318"/>
      <c r="D19" s="307"/>
      <c r="E19" s="320"/>
      <c r="F19" s="308" t="str">
        <f aca="false">VLOOKUP(CONCATENATE($B17,"-",F$8),'[1]liste complet essai'!$A$4:$K$1367,5,)</f>
        <v>G-108</v>
      </c>
      <c r="G19" s="308" t="str">
        <f aca="false">VLOOKUP(CONCATENATE($B17,"-",G$8),'[1]liste complet essai'!$A$4:$K$1367,5,)</f>
        <v>G-086</v>
      </c>
      <c r="H19" s="308" t="str">
        <f aca="false">VLOOKUP(CONCATENATE($B17,"-",H$8),'[1]liste complet essai'!$A$4:$K$1367,5,)</f>
        <v>G-036</v>
      </c>
      <c r="I19" s="308" t="str">
        <f aca="false">VLOOKUP(CONCATENATE($B17,"-",I$8),'[1]liste complet essai'!$A$4:$K$1367,5,)</f>
        <v>G-075</v>
      </c>
      <c r="J19" s="308" t="str">
        <f aca="false">VLOOKUP(CONCATENATE($B17,"-",J$8),'[1]liste complet essai'!$A$4:$K$1367,5,)</f>
        <v>G-023</v>
      </c>
      <c r="K19" s="308" t="str">
        <f aca="false">VLOOKUP(CONCATENATE($B17,"-",K$8),'[1]liste complet essai'!$A$4:$K$1367,5,)</f>
        <v>G-021</v>
      </c>
      <c r="L19" s="308" t="str">
        <f aca="false">VLOOKUP(CONCATENATE($B17,"-",L$8),'[1]liste complet essai'!$A$4:$K$1367,5,)</f>
        <v>G-109</v>
      </c>
      <c r="M19" s="308" t="str">
        <f aca="false">VLOOKUP(CONCATENATE($B17,"-",M$8),'[1]liste complet essai'!$A$4:$K$1367,5,)</f>
        <v>G-037</v>
      </c>
      <c r="N19" s="308" t="str">
        <f aca="false">VLOOKUP(CONCATENATE($B17,"-",N$8),'[1]liste complet essai'!$A$4:$K$1367,5,)</f>
        <v>G-122</v>
      </c>
      <c r="O19" s="308" t="str">
        <f aca="false">VLOOKUP(CONCATENATE($B17,"-",O$8),'[1]liste complet essai'!$A$4:$K$1367,5,)</f>
        <v>G-026</v>
      </c>
      <c r="P19" s="308" t="str">
        <f aca="false">VLOOKUP(CONCATENATE($B17,"-",P$8),'[1]liste complet essai'!$A$4:$K$1367,5,)</f>
        <v>G-076</v>
      </c>
      <c r="Q19" s="308" t="str">
        <f aca="false">VLOOKUP(CONCATENATE($B17,"-",Q$8),'[1]liste complet essai'!$A$4:$K$1367,5,)</f>
        <v>G-094</v>
      </c>
      <c r="R19" s="312" t="str">
        <f aca="false">VLOOKUP(CONCATENATE($B17,"-",R$8),'[1]liste complet essai'!$A$4:$K$1367,5,)</f>
        <v>G-001</v>
      </c>
      <c r="S19" s="308" t="str">
        <f aca="false">VLOOKUP(CONCATENATE($B17,"-",S$8),'[1]liste complet essai'!$A$4:$K$1367,5,)</f>
        <v>G-101</v>
      </c>
      <c r="T19" s="308" t="str">
        <f aca="false">VLOOKUP(CONCATENATE($B17,"-",T$8),'[1]liste complet essai'!$A$4:$K$1367,5,)</f>
        <v>G-017</v>
      </c>
      <c r="U19" s="308" t="str">
        <f aca="false">VLOOKUP(CONCATENATE($B17,"-",U$8),'[1]liste complet essai'!$A$4:$K$1367,5,)</f>
        <v>G-030</v>
      </c>
      <c r="V19" s="308" t="str">
        <f aca="false">VLOOKUP(CONCATENATE($B17,"-",V$8),'[1]liste complet essai'!$A$4:$K$1367,5,)</f>
        <v>G-121</v>
      </c>
      <c r="W19" s="308" t="str">
        <f aca="false">VLOOKUP(CONCATENATE($B17,"-",W$8),'[1]liste complet essai'!$A$4:$K$1367,5,)</f>
        <v>G-102</v>
      </c>
      <c r="X19" s="308" t="str">
        <f aca="false">VLOOKUP(CONCATENATE($B17,"-",X$8),'[1]liste complet essai'!$A$4:$K$1367,5,)</f>
        <v>G-104</v>
      </c>
      <c r="Y19" s="308" t="str">
        <f aca="false">VLOOKUP(CONCATENATE($B17,"-",Y$8),'[1]liste complet essai'!$A$4:$K$1367,5,)</f>
        <v>G-007</v>
      </c>
      <c r="Z19" s="308" t="str">
        <f aca="false">VLOOKUP(CONCATENATE($B17,"-",Z$8),'[1]liste complet essai'!$A$4:$K$1367,5,)</f>
        <v>G-080</v>
      </c>
      <c r="AA19" s="308" t="str">
        <f aca="false">VLOOKUP(CONCATENATE($B17,"-",AA$8),'[1]liste complet essai'!$A$4:$K$1367,5,)</f>
        <v>G-084</v>
      </c>
      <c r="AB19" s="308" t="str">
        <f aca="false">VLOOKUP(CONCATENATE($B17,"-",AB$8),'[1]liste complet essai'!$A$4:$K$1367,5,)</f>
        <v>G-116</v>
      </c>
      <c r="AC19" s="308" t="str">
        <f aca="false">VLOOKUP(CONCATENATE($B17,"-",AC$8),'[1]liste complet essai'!$A$4:$K$1367,5,)</f>
        <v>G-005</v>
      </c>
      <c r="AD19" s="308" t="str">
        <f aca="false">VLOOKUP(CONCATENATE($B17,"-",AD$8),'[1]liste complet essai'!$A$4:$K$1367,5,)</f>
        <v>G-032</v>
      </c>
      <c r="AE19" s="308" t="str">
        <f aca="false">VLOOKUP(CONCATENATE($B17,"-",AE$8),'[1]liste complet essai'!$A$4:$K$1367,5,)</f>
        <v>G-106</v>
      </c>
      <c r="AF19" s="321"/>
      <c r="AI19" s="302"/>
      <c r="AJ19" s="326"/>
      <c r="AK19" s="309"/>
      <c r="AL19" s="320"/>
      <c r="AM19" s="308" t="str">
        <f aca="false">VLOOKUP(CONCATENATE($AI17,"-",AM$8),'[1]liste complet essai'!$A$4:$K$1367,5,)</f>
        <v>G-057</v>
      </c>
      <c r="AN19" s="308" t="str">
        <f aca="false">VLOOKUP(CONCATENATE($AI17,"-",AN$8),'[1]liste complet essai'!$A$4:$K$1367,5,)</f>
        <v>G-117</v>
      </c>
      <c r="AO19" s="308" t="str">
        <f aca="false">VLOOKUP(CONCATENATE($AI17,"-",AO$8),'[1]liste complet essai'!$A$4:$K$1367,5,)</f>
        <v>G-114</v>
      </c>
      <c r="AP19" s="312" t="str">
        <f aca="false">VLOOKUP(CONCATENATE($AI17,"-",AP$8),'[1]liste complet essai'!$A$4:$K$1367,5,)</f>
        <v>G-001</v>
      </c>
      <c r="AQ19" s="308" t="str">
        <f aca="false">VLOOKUP(CONCATENATE($AI17,"-",AQ$8),'[1]liste complet essai'!$A$4:$K$1367,5,)</f>
        <v>G-077</v>
      </c>
      <c r="AR19" s="308" t="str">
        <f aca="false">VLOOKUP(CONCATENATE($AI17,"-",AR$8),'[1]liste complet essai'!$A$4:$K$1367,5,)</f>
        <v>G-014</v>
      </c>
      <c r="AS19" s="308" t="str">
        <f aca="false">VLOOKUP(CONCATENATE($AI17,"-",AS$8),'[1]liste complet essai'!$A$4:$K$1367,5,)</f>
        <v>G-120</v>
      </c>
      <c r="AT19" s="308" t="str">
        <f aca="false">VLOOKUP(CONCATENATE($AI17,"-",AT$8),'[1]liste complet essai'!$A$4:$K$1367,5,)</f>
        <v>G-080</v>
      </c>
      <c r="AU19" s="308" t="str">
        <f aca="false">VLOOKUP(CONCATENATE($AI17,"-",AU$8),'[1]liste complet essai'!$A$4:$K$1367,5,)</f>
        <v>G-087</v>
      </c>
      <c r="AV19" s="308" t="str">
        <f aca="false">VLOOKUP(CONCATENATE($AI17,"-",AV$8),'[1]liste complet essai'!$A$4:$K$1367,5,)</f>
        <v>G-051</v>
      </c>
      <c r="AW19" s="312" t="str">
        <f aca="false">VLOOKUP(CONCATENATE($AI17,"-",AW$8),'[1]liste complet essai'!$A$4:$K$1367,5,)</f>
        <v>G-002</v>
      </c>
      <c r="AX19" s="308" t="str">
        <f aca="false">VLOOKUP(CONCATENATE($AI17,"-",AX$8),'[1]liste complet essai'!$A$4:$K$1367,5,)</f>
        <v>G-029</v>
      </c>
      <c r="AY19" s="308" t="str">
        <f aca="false">VLOOKUP(CONCATENATE($AI17,"-",AY$8),'[1]liste complet essai'!$A$4:$K$1367,5,)</f>
        <v>G-061</v>
      </c>
      <c r="AZ19" s="308" t="str">
        <f aca="false">VLOOKUP(CONCATENATE($AI17,"-",AZ$8),'[1]liste complet essai'!$A$4:$K$1367,5,)</f>
        <v>G-096</v>
      </c>
      <c r="BA19" s="308" t="str">
        <f aca="false">VLOOKUP(CONCATENATE($AI17,"-",BA$8),'[1]liste complet essai'!$A$4:$K$1367,5,)</f>
        <v>G-066</v>
      </c>
      <c r="BB19" s="308" t="str">
        <f aca="false">VLOOKUP(CONCATENATE($AI17,"-",BB$8),'[1]liste complet essai'!$A$4:$K$1367,5,)</f>
        <v>G-108</v>
      </c>
      <c r="BC19" s="308" t="str">
        <f aca="false">VLOOKUP(CONCATENATE($AI17,"-",BC$8),'[1]liste complet essai'!$A$4:$K$1367,5,)</f>
        <v>G-116</v>
      </c>
      <c r="BD19" s="308" t="str">
        <f aca="false">VLOOKUP(CONCATENATE($AI17,"-",BD$8),'[1]liste complet essai'!$A$4:$K$1367,5,)</f>
        <v>G-049</v>
      </c>
      <c r="BE19" s="308" t="str">
        <f aca="false">VLOOKUP(CONCATENATE($AI17,"-",BE$8),'[1]liste complet essai'!$A$4:$K$1367,5,)</f>
        <v>G-074</v>
      </c>
      <c r="BF19" s="312" t="str">
        <f aca="false">VLOOKUP(CONCATENATE($AI17,"-",BF$8),'[1]liste complet essai'!$A$4:$K$1367,5,)</f>
        <v>G-001</v>
      </c>
      <c r="BG19" s="312" t="str">
        <f aca="false">VLOOKUP(CONCATENATE($AI17,"-",BG$8),'[1]liste complet essai'!$A$4:$K$1367,5,)</f>
        <v>G-002</v>
      </c>
      <c r="BH19" s="308" t="str">
        <f aca="false">VLOOKUP(CONCATENATE($AI17,"-",BH$8),'[1]liste complet essai'!$A$4:$K$1367,5,)</f>
        <v>G-011</v>
      </c>
      <c r="BI19" s="308" t="str">
        <f aca="false">VLOOKUP(CONCATENATE($AI17,"-",BI$8),'[1]liste complet essai'!$A$4:$K$1367,5,)</f>
        <v>G-060</v>
      </c>
      <c r="BJ19" s="308" t="str">
        <f aca="false">VLOOKUP(CONCATENATE($AI17,"-",BJ$8),'[1]liste complet essai'!$A$4:$K$1367,5,)</f>
        <v>G-058</v>
      </c>
      <c r="BK19" s="308" t="str">
        <f aca="false">VLOOKUP(CONCATENATE($AI17,"-",BK$8),'[1]liste complet essai'!$A$4:$K$1367,5,)</f>
        <v>G-094</v>
      </c>
      <c r="BL19" s="308" t="str">
        <f aca="false">VLOOKUP(CONCATENATE($AI17,"-",BL$8),'[1]liste complet essai'!$A$4:$K$1367,5,)</f>
        <v>G-104</v>
      </c>
      <c r="BM19" s="308" t="str">
        <f aca="false">VLOOKUP(CONCATENATE($AI17,"-",BM$8),'[1]liste complet essai'!$A$4:$K$1367,5,)</f>
        <v>G-073</v>
      </c>
      <c r="BN19" s="308" t="str">
        <f aca="false">VLOOKUP(CONCATENATE($AI17,"-",BN$8),'[1]liste complet essai'!$A$4:$K$1367,5,)</f>
        <v>G-047</v>
      </c>
      <c r="BO19" s="312" t="str">
        <f aca="false">VLOOKUP(CONCATENATE($AI17,"-",BO$8),'[1]liste complet essai'!$A$4:$K$1367,5,)</f>
        <v>G-002</v>
      </c>
      <c r="BP19" s="308" t="str">
        <f aca="false">VLOOKUP(CONCATENATE($AI17,"-",BP$8),'[1]liste complet essai'!$A$4:$K$1367,5,)</f>
        <v>G-111</v>
      </c>
      <c r="BQ19" s="308" t="str">
        <f aca="false">VLOOKUP(CONCATENATE($AI17,"-",BQ$8),'[1]liste complet essai'!$A$4:$K$1367,5,)</f>
        <v>G-041</v>
      </c>
      <c r="BR19" s="308" t="str">
        <f aca="false">VLOOKUP(CONCATENATE($AI17,"-",BR$8),'[1]liste complet essai'!$A$4:$K$1367,5,)</f>
        <v>G-013</v>
      </c>
      <c r="BS19" s="310"/>
      <c r="BT19" s="310"/>
      <c r="BU19" s="310"/>
      <c r="BV19" s="310"/>
      <c r="BW19" s="310"/>
      <c r="BX19" s="310"/>
      <c r="BY19" s="310"/>
      <c r="BZ19" s="310"/>
      <c r="CA19" s="310"/>
      <c r="CB19" s="310"/>
      <c r="CC19" s="311" t="str">
        <f aca="false">VLOOKUP(CONCATENATE($AI17,"-",CC$8),'[1]liste complet essai'!$A$4:$K$1367,5,)</f>
        <v>G-111</v>
      </c>
      <c r="CD19" s="311" t="str">
        <f aca="false">VLOOKUP(CONCATENATE($AI17,"-",CD$8),'[1]liste complet essai'!$A$4:$K$1367,5,)</f>
        <v>G-015</v>
      </c>
      <c r="CE19" s="311" t="str">
        <f aca="false">VLOOKUP(CONCATENATE($AI17,"-",CE$8),'[1]liste complet essai'!$A$4:$K$1367,5,)</f>
        <v>G-009</v>
      </c>
      <c r="CF19" s="311" t="str">
        <f aca="false">VLOOKUP(CONCATENATE($AI17,"-",CF$8),'[1]liste complet essai'!$A$4:$K$1367,5,)</f>
        <v>G-081</v>
      </c>
      <c r="CG19" s="311" t="str">
        <f aca="false">VLOOKUP(CONCATENATE($AI17,"-",CG$8),'[1]liste complet essai'!$A$4:$K$1367,5,)</f>
        <v>G-123</v>
      </c>
      <c r="CH19" s="311" t="str">
        <f aca="false">VLOOKUP(CONCATENATE($AI17,"-",CH$8),'[1]liste complet essai'!$A$4:$K$1367,5,)</f>
        <v>G-076</v>
      </c>
      <c r="CI19" s="311" t="str">
        <f aca="false">VLOOKUP(CONCATENATE($AI17,"-",CI$8),'[1]liste complet essai'!$A$4:$K$1367,5,)</f>
        <v>G-059</v>
      </c>
      <c r="CJ19" s="311" t="str">
        <f aca="false">VLOOKUP(CONCATENATE($AI17,"-",CJ$8),'[1]liste complet essai'!$A$4:$K$1367,5,)</f>
        <v>G-046</v>
      </c>
      <c r="CK19" s="311" t="str">
        <f aca="false">VLOOKUP(CONCATENATE($AI17,"-",CK$8),'[1]liste complet essai'!$A$4:$K$1367,5,)</f>
        <v>G-005</v>
      </c>
      <c r="CL19" s="313" t="str">
        <f aca="false">VLOOKUP(CONCATENATE($AI17,"-",CL$8),'[1]liste complet essai'!$A$4:$K$1367,5,)</f>
        <v>G-001</v>
      </c>
      <c r="CM19" s="311" t="str">
        <f aca="false">VLOOKUP(CONCATENATE($AI17,"-",CM$8),'[1]liste complet essai'!$A$4:$K$1367,5,)</f>
        <v>G-031</v>
      </c>
      <c r="CN19" s="311" t="str">
        <f aca="false">VLOOKUP(CONCATENATE($AI17,"-",CN$8),'[1]liste complet essai'!$A$4:$K$1367,5,)</f>
        <v>G-033</v>
      </c>
      <c r="CO19" s="311" t="str">
        <f aca="false">VLOOKUP(CONCATENATE($AI17,"-",CO$8),'[1]liste complet essai'!$A$4:$K$1367,5,)</f>
        <v>G-085</v>
      </c>
      <c r="CP19" s="311" t="str">
        <f aca="false">VLOOKUP(CONCATENATE($AI17,"-",CP$8),'[1]liste complet essai'!$A$4:$K$1367,5,)</f>
        <v>G-072</v>
      </c>
      <c r="CQ19" s="311" t="str">
        <f aca="false">VLOOKUP(CONCATENATE($AI17,"-",CQ$8),'[1]liste complet essai'!$A$4:$K$1367,5,)</f>
        <v>G-084</v>
      </c>
      <c r="CR19" s="311" t="str">
        <f aca="false">VLOOKUP(CONCATENATE($AI17,"-",CR$8),'[1]liste complet essai'!$A$4:$K$1367,5,)</f>
        <v>G-042</v>
      </c>
      <c r="CS19" s="311" t="str">
        <f aca="false">VLOOKUP(CONCATENATE($AI17,"-",CS$8),'[1]liste complet essai'!$A$4:$K$1367,5,)</f>
        <v>G-067</v>
      </c>
      <c r="CT19" s="311" t="str">
        <f aca="false">VLOOKUP(CONCATENATE($AI17,"-",CT$8),'[1]liste complet essai'!$A$4:$K$1367,5,)</f>
        <v>G-060</v>
      </c>
      <c r="CU19" s="311" t="str">
        <f aca="false">VLOOKUP(CONCATENATE($AI17,"-",CU$8),'[1]liste complet essai'!$A$4:$K$1367,5,)</f>
        <v>G-051</v>
      </c>
      <c r="CV19" s="311" t="str">
        <f aca="false">VLOOKUP(CONCATENATE($AI17,"-",CV$8),'[1]liste complet essai'!$A$4:$K$1367,5,)</f>
        <v>G-032</v>
      </c>
      <c r="CW19" s="312" t="str">
        <f aca="false">VLOOKUP(CONCATENATE($AI17,"-",CW$8),'[1]liste complet essai'!$A$4:$K$1367,5,)</f>
        <v>G-002</v>
      </c>
      <c r="CX19" s="311" t="str">
        <f aca="false">VLOOKUP(CONCATENATE($AI17,"-",CX$8),'[1]liste complet essai'!$A$4:$K$1367,5,)</f>
        <v>G-036</v>
      </c>
      <c r="CY19" s="311" t="str">
        <f aca="false">VLOOKUP(CONCATENATE($AI17,"-",CY$8),'[1]liste complet essai'!$A$4:$K$1367,5,)</f>
        <v>G-054</v>
      </c>
      <c r="CZ19" s="311" t="str">
        <f aca="false">VLOOKUP(CONCATENATE($AI17,"-",CZ$8),'[1]liste complet essai'!$A$4:$K$1367,5,)</f>
        <v>G-044</v>
      </c>
      <c r="DA19" s="311" t="str">
        <f aca="false">VLOOKUP(CONCATENATE($AI17,"-",DA$8),'[1]liste complet essai'!$A$4:$K$1367,5,)</f>
        <v>G-043</v>
      </c>
      <c r="DB19" s="311" t="str">
        <f aca="false">VLOOKUP(CONCATENATE($AI17,"-",DB$8),'[1]liste complet essai'!$A$4:$K$1367,5,)</f>
        <v>G-029</v>
      </c>
      <c r="DC19" s="313" t="str">
        <f aca="false">VLOOKUP(CONCATENATE($AI17,"-",DC$8),'[1]liste complet essai'!$A$4:$K$1367,5,)</f>
        <v>G-001</v>
      </c>
      <c r="DD19" s="311" t="str">
        <f aca="false">VLOOKUP(CONCATENATE($AI17,"-",DD$8),'[1]liste complet essai'!$A$4:$K$1367,5,)</f>
        <v>G-034</v>
      </c>
      <c r="DE19" s="311" t="str">
        <f aca="false">VLOOKUP(CONCATENATE($AI17,"-",DE$8),'[1]liste complet essai'!$A$4:$K$1367,5,)</f>
        <v>G-071</v>
      </c>
      <c r="DF19" s="311" t="str">
        <f aca="false">VLOOKUP(CONCATENATE($AI17,"-",DF$8),'[1]liste complet essai'!$A$4:$K$1367,5,)</f>
        <v>G-062</v>
      </c>
      <c r="DG19" s="311" t="str">
        <f aca="false">VLOOKUP(CONCATENATE($AI17,"-",DG$8),'[1]liste complet essai'!$A$4:$K$1367,5,)</f>
        <v>G-014</v>
      </c>
      <c r="DH19" s="311" t="str">
        <f aca="false">VLOOKUP(CONCATENATE($AI17,"-",DH$8),'[1]liste complet essai'!$A$4:$K$1367,5,)</f>
        <v>G-089</v>
      </c>
      <c r="DI19" s="324"/>
      <c r="DJ19" s="309"/>
      <c r="DK19" s="321"/>
    </row>
    <row r="20" customFormat="false" ht="14.25" hidden="false" customHeight="true" outlineLevel="0" collapsed="false">
      <c r="B20" s="293"/>
      <c r="C20" s="318"/>
      <c r="D20" s="314"/>
      <c r="E20" s="320"/>
      <c r="F20" s="308" t="str">
        <f aca="false">VLOOKUP(CONCATENATE($B17,"-",F$8),'[1]liste complet essai'!$A$4:$K$1367,1,)</f>
        <v>17-65</v>
      </c>
      <c r="G20" s="308" t="str">
        <f aca="false">VLOOKUP(CONCATENATE($B17,"-",G$8),'[1]liste complet essai'!$A$4:$K$1367,1,)</f>
        <v>17-66</v>
      </c>
      <c r="H20" s="308" t="str">
        <f aca="false">VLOOKUP(CONCATENATE($B17,"-",H$8),'[1]liste complet essai'!$A$4:$K$1367,1,)</f>
        <v>17-67</v>
      </c>
      <c r="I20" s="308" t="str">
        <f aca="false">VLOOKUP(CONCATENATE($B17,"-",I$8),'[1]liste complet essai'!$A$4:$K$1367,1,)</f>
        <v>17-68</v>
      </c>
      <c r="J20" s="308" t="str">
        <f aca="false">VLOOKUP(CONCATENATE($B17,"-",J$8),'[1]liste complet essai'!$A$4:$K$1367,1,)</f>
        <v>17-69</v>
      </c>
      <c r="K20" s="308" t="str">
        <f aca="false">VLOOKUP(CONCATENATE($B17,"-",K$8),'[1]liste complet essai'!$A$4:$K$1367,1,)</f>
        <v>17-70</v>
      </c>
      <c r="L20" s="308" t="str">
        <f aca="false">VLOOKUP(CONCATENATE($B17,"-",L$8),'[1]liste complet essai'!$A$4:$K$1367,1,)</f>
        <v>17-71</v>
      </c>
      <c r="M20" s="308" t="str">
        <f aca="false">VLOOKUP(CONCATENATE($B17,"-",M$8),'[1]liste complet essai'!$A$4:$K$1367,1,)</f>
        <v>17-72</v>
      </c>
      <c r="N20" s="308" t="str">
        <f aca="false">VLOOKUP(CONCATENATE($B17,"-",N$8),'[1]liste complet essai'!$A$4:$K$1367,1,)</f>
        <v>17-73</v>
      </c>
      <c r="O20" s="308" t="str">
        <f aca="false">VLOOKUP(CONCATENATE($B17,"-",O$8),'[1]liste complet essai'!$A$4:$K$1367,1,)</f>
        <v>17-74</v>
      </c>
      <c r="P20" s="308" t="str">
        <f aca="false">VLOOKUP(CONCATENATE($B17,"-",P$8),'[1]liste complet essai'!$A$4:$K$1367,1,)</f>
        <v>17-75</v>
      </c>
      <c r="Q20" s="308" t="str">
        <f aca="false">VLOOKUP(CONCATENATE($B17,"-",Q$8),'[1]liste complet essai'!$A$4:$K$1367,1,)</f>
        <v>17-76</v>
      </c>
      <c r="R20" s="316" t="str">
        <f aca="false">VLOOKUP(CONCATENATE($B17,"-",R$8),'[1]liste complet essai'!$A$4:$K$1367,1,)</f>
        <v>17-77</v>
      </c>
      <c r="S20" s="308" t="str">
        <f aca="false">VLOOKUP(CONCATENATE($B17,"-",S$8),'[1]liste complet essai'!$A$4:$K$1367,1,)</f>
        <v>17-78</v>
      </c>
      <c r="T20" s="308" t="str">
        <f aca="false">VLOOKUP(CONCATENATE($B17,"-",T$8),'[1]liste complet essai'!$A$4:$K$1367,1,)</f>
        <v>17-79</v>
      </c>
      <c r="U20" s="308" t="str">
        <f aca="false">VLOOKUP(CONCATENATE($B17,"-",U$8),'[1]liste complet essai'!$A$4:$K$1367,1,)</f>
        <v>17-80</v>
      </c>
      <c r="V20" s="308" t="str">
        <f aca="false">VLOOKUP(CONCATENATE($B17,"-",V$8),'[1]liste complet essai'!$A$4:$K$1367,1,)</f>
        <v>17-81</v>
      </c>
      <c r="W20" s="308" t="str">
        <f aca="false">VLOOKUP(CONCATENATE($B17,"-",W$8),'[1]liste complet essai'!$A$4:$K$1367,1,)</f>
        <v>17-82</v>
      </c>
      <c r="X20" s="308" t="str">
        <f aca="false">VLOOKUP(CONCATENATE($B17,"-",X$8),'[1]liste complet essai'!$A$4:$K$1367,1,)</f>
        <v>17-83</v>
      </c>
      <c r="Y20" s="308" t="str">
        <f aca="false">VLOOKUP(CONCATENATE($B17,"-",Y$8),'[1]liste complet essai'!$A$4:$K$1367,1,)</f>
        <v>17-84</v>
      </c>
      <c r="Z20" s="308" t="str">
        <f aca="false">VLOOKUP(CONCATENATE($B17,"-",Z$8),'[1]liste complet essai'!$A$4:$K$1367,1,)</f>
        <v>17-85</v>
      </c>
      <c r="AA20" s="308" t="str">
        <f aca="false">VLOOKUP(CONCATENATE($B17,"-",AA$8),'[1]liste complet essai'!$A$4:$K$1367,1,)</f>
        <v>17-86</v>
      </c>
      <c r="AB20" s="308" t="str">
        <f aca="false">VLOOKUP(CONCATENATE($B17,"-",AB$8),'[1]liste complet essai'!$A$4:$K$1367,1,)</f>
        <v>17-87</v>
      </c>
      <c r="AC20" s="308" t="str">
        <f aca="false">VLOOKUP(CONCATENATE($B17,"-",AC$8),'[1]liste complet essai'!$A$4:$K$1367,1,)</f>
        <v>17-88</v>
      </c>
      <c r="AD20" s="308" t="str">
        <f aca="false">VLOOKUP(CONCATENATE($B17,"-",AD$8),'[1]liste complet essai'!$A$4:$K$1367,1,)</f>
        <v>17-89</v>
      </c>
      <c r="AE20" s="308" t="str">
        <f aca="false">VLOOKUP(CONCATENATE($B17,"-",AE$8),'[1]liste complet essai'!$A$4:$K$1367,1,)</f>
        <v>17-90</v>
      </c>
      <c r="AF20" s="321"/>
      <c r="AI20" s="302"/>
      <c r="AJ20" s="326"/>
      <c r="AK20" s="317"/>
      <c r="AL20" s="320"/>
      <c r="AM20" s="315" t="str">
        <f aca="false">VLOOKUP(CONCATENATE($AI17,"-",AM$8),'[1]liste complet essai'!$A$4:$K$1367,1,)</f>
        <v>03-01</v>
      </c>
      <c r="AN20" s="315" t="str">
        <f aca="false">VLOOKUP(CONCATENATE($AI17,"-",AN$8),'[1]liste complet essai'!$A$4:$K$1367,1,)</f>
        <v>03-02</v>
      </c>
      <c r="AO20" s="315" t="str">
        <f aca="false">VLOOKUP(CONCATENATE($AI17,"-",AO$8),'[1]liste complet essai'!$A$4:$K$1367,1,)</f>
        <v>03-03</v>
      </c>
      <c r="AP20" s="298" t="str">
        <f aca="false">VLOOKUP(CONCATENATE($AI17,"-",AP$8),'[1]liste complet essai'!$A$4:$K$1367,1,)</f>
        <v>03-04</v>
      </c>
      <c r="AQ20" s="315" t="str">
        <f aca="false">VLOOKUP(CONCATENATE($AI17,"-",AQ$8),'[1]liste complet essai'!$A$4:$K$1367,1,)</f>
        <v>03-05</v>
      </c>
      <c r="AR20" s="315" t="str">
        <f aca="false">VLOOKUP(CONCATENATE($AI17,"-",AR$8),'[1]liste complet essai'!$A$4:$K$1367,1,)</f>
        <v>03-06</v>
      </c>
      <c r="AS20" s="315" t="str">
        <f aca="false">VLOOKUP(CONCATENATE($AI17,"-",AS$8),'[1]liste complet essai'!$A$4:$K$1367,1,)</f>
        <v>03-07</v>
      </c>
      <c r="AT20" s="315" t="str">
        <f aca="false">VLOOKUP(CONCATENATE($AI17,"-",AT$8),'[1]liste complet essai'!$A$4:$K$1367,1,)</f>
        <v>03-08</v>
      </c>
      <c r="AU20" s="315" t="str">
        <f aca="false">VLOOKUP(CONCATENATE($AI17,"-",AU$8),'[1]liste complet essai'!$A$4:$K$1367,1,)</f>
        <v>03-09</v>
      </c>
      <c r="AV20" s="315" t="str">
        <f aca="false">VLOOKUP(CONCATENATE($AI17,"-",AV$8),'[1]liste complet essai'!$A$4:$K$1367,1,)</f>
        <v>03-10</v>
      </c>
      <c r="AW20" s="328" t="str">
        <f aca="false">VLOOKUP(CONCATENATE($AI17,"-",AW$8),'[1]liste complet essai'!$A$4:$K$1367,1,)</f>
        <v>03-11</v>
      </c>
      <c r="AX20" s="315" t="str">
        <f aca="false">VLOOKUP(CONCATENATE($AI17,"-",AX$8),'[1]liste complet essai'!$A$4:$K$1367,1,)</f>
        <v>03-12</v>
      </c>
      <c r="AY20" s="315" t="str">
        <f aca="false">VLOOKUP(CONCATENATE($AI17,"-",AY$8),'[1]liste complet essai'!$A$4:$K$1367,1,)</f>
        <v>03-13</v>
      </c>
      <c r="AZ20" s="315" t="str">
        <f aca="false">VLOOKUP(CONCATENATE($AI17,"-",AZ$8),'[1]liste complet essai'!$A$4:$K$1367,1,)</f>
        <v>03-14</v>
      </c>
      <c r="BA20" s="315" t="str">
        <f aca="false">VLOOKUP(CONCATENATE($AI17,"-",BA$8),'[1]liste complet essai'!$A$4:$K$1367,1,)</f>
        <v>03-15</v>
      </c>
      <c r="BB20" s="315" t="str">
        <f aca="false">VLOOKUP(CONCATENATE($AI17,"-",BB$8),'[1]liste complet essai'!$A$4:$K$1367,1,)</f>
        <v>03-16</v>
      </c>
      <c r="BC20" s="315" t="str">
        <f aca="false">VLOOKUP(CONCATENATE($AI17,"-",BC$8),'[1]liste complet essai'!$A$4:$K$1367,1,)</f>
        <v>03-17</v>
      </c>
      <c r="BD20" s="315" t="str">
        <f aca="false">VLOOKUP(CONCATENATE($AI17,"-",BD$8),'[1]liste complet essai'!$A$4:$K$1367,1,)</f>
        <v>03-18</v>
      </c>
      <c r="BE20" s="315" t="str">
        <f aca="false">VLOOKUP(CONCATENATE($AI17,"-",BE$8),'[1]liste complet essai'!$A$4:$K$1367,1,)</f>
        <v>03-19</v>
      </c>
      <c r="BF20" s="328" t="str">
        <f aca="false">VLOOKUP(CONCATENATE($AI17,"-",BF$8),'[1]liste complet essai'!$A$4:$K$1367,1,)</f>
        <v>03-20</v>
      </c>
      <c r="BG20" s="298" t="str">
        <f aca="false">VLOOKUP(CONCATENATE($AI17,"-",BG$8),'[1]liste complet essai'!$A$4:$K$1367,1,)</f>
        <v>03-21</v>
      </c>
      <c r="BH20" s="315" t="str">
        <f aca="false">VLOOKUP(CONCATENATE($AI17,"-",BH$8),'[1]liste complet essai'!$A$4:$K$1367,1,)</f>
        <v>03-22</v>
      </c>
      <c r="BI20" s="315" t="str">
        <f aca="false">VLOOKUP(CONCATENATE($AI17,"-",BI$8),'[1]liste complet essai'!$A$4:$K$1367,1,)</f>
        <v>03-23</v>
      </c>
      <c r="BJ20" s="315" t="str">
        <f aca="false">VLOOKUP(CONCATENATE($AI17,"-",BJ$8),'[1]liste complet essai'!$A$4:$K$1367,1,)</f>
        <v>03-24</v>
      </c>
      <c r="BK20" s="315" t="str">
        <f aca="false">VLOOKUP(CONCATENATE($AI17,"-",BK$8),'[1]liste complet essai'!$A$4:$K$1367,1,)</f>
        <v>03-25</v>
      </c>
      <c r="BL20" s="315" t="str">
        <f aca="false">VLOOKUP(CONCATENATE($AI17,"-",BL$8),'[1]liste complet essai'!$A$4:$K$1367,1,)</f>
        <v>03-26</v>
      </c>
      <c r="BM20" s="315" t="str">
        <f aca="false">VLOOKUP(CONCATENATE($AI17,"-",BM$8),'[1]liste complet essai'!$A$4:$K$1367,1,)</f>
        <v>03-27</v>
      </c>
      <c r="BN20" s="315" t="str">
        <f aca="false">VLOOKUP(CONCATENATE($AI17,"-",BN$8),'[1]liste complet essai'!$A$4:$K$1367,1,)</f>
        <v>03-28</v>
      </c>
      <c r="BO20" s="325" t="str">
        <f aca="false">VLOOKUP(CONCATENATE($AI17,"-",BO$8),'[1]liste complet essai'!$A$4:$K$1367,1,)</f>
        <v>03-29</v>
      </c>
      <c r="BP20" s="315" t="str">
        <f aca="false">VLOOKUP(CONCATENATE($AI17,"-",BP$8),'[1]liste complet essai'!$A$4:$K$1367,1,)</f>
        <v>03-30</v>
      </c>
      <c r="BQ20" s="315" t="str">
        <f aca="false">VLOOKUP(CONCATENATE($AI17,"-",BQ$8),'[1]liste complet essai'!$A$4:$K$1367,1,)</f>
        <v>03-31</v>
      </c>
      <c r="BR20" s="315" t="str">
        <f aca="false">VLOOKUP(CONCATENATE($AI17,"-",BR$8),'[1]liste complet essai'!$A$4:$K$1367,1,)</f>
        <v>03-32</v>
      </c>
      <c r="BS20" s="310"/>
      <c r="BT20" s="310"/>
      <c r="BU20" s="310"/>
      <c r="BV20" s="310"/>
      <c r="BW20" s="310"/>
      <c r="BX20" s="310"/>
      <c r="BY20" s="310"/>
      <c r="BZ20" s="310"/>
      <c r="CA20" s="310"/>
      <c r="CB20" s="310"/>
      <c r="CC20" s="325" t="str">
        <f aca="false">VLOOKUP(CONCATENATE($AI17,"-",CC$8),'[1]liste complet essai'!$A$4:$K$1367,1,)</f>
        <v>03-33</v>
      </c>
      <c r="CD20" s="325" t="str">
        <f aca="false">VLOOKUP(CONCATENATE($AI17,"-",CD$8),'[1]liste complet essai'!$A$4:$K$1367,1,)</f>
        <v>03-34</v>
      </c>
      <c r="CE20" s="325" t="str">
        <f aca="false">VLOOKUP(CONCATENATE($AI17,"-",CE$8),'[1]liste complet essai'!$A$4:$K$1367,1,)</f>
        <v>03-35</v>
      </c>
      <c r="CF20" s="325" t="str">
        <f aca="false">VLOOKUP(CONCATENATE($AI17,"-",CF$8),'[1]liste complet essai'!$A$4:$K$1367,1,)</f>
        <v>03-36</v>
      </c>
      <c r="CG20" s="325" t="str">
        <f aca="false">VLOOKUP(CONCATENATE($AI17,"-",CG$8),'[1]liste complet essai'!$A$4:$K$1367,1,)</f>
        <v>03-37</v>
      </c>
      <c r="CH20" s="325" t="str">
        <f aca="false">VLOOKUP(CONCATENATE($AI17,"-",CH$8),'[1]liste complet essai'!$A$4:$K$1367,1,)</f>
        <v>03-38</v>
      </c>
      <c r="CI20" s="325" t="str">
        <f aca="false">VLOOKUP(CONCATENATE($AI17,"-",CI$8),'[1]liste complet essai'!$A$4:$K$1367,1,)</f>
        <v>03-39</v>
      </c>
      <c r="CJ20" s="325" t="str">
        <f aca="false">VLOOKUP(CONCATENATE($AI17,"-",CJ$8),'[1]liste complet essai'!$A$4:$K$1367,1,)</f>
        <v>03-40</v>
      </c>
      <c r="CK20" s="325" t="str">
        <f aca="false">VLOOKUP(CONCATENATE($AI17,"-",CK$8),'[1]liste complet essai'!$A$4:$K$1367,1,)</f>
        <v>03-41</v>
      </c>
      <c r="CL20" s="329" t="str">
        <f aca="false">VLOOKUP(CONCATENATE($AI17,"-",CL$8),'[1]liste complet essai'!$A$4:$K$1367,1,)</f>
        <v>03-42</v>
      </c>
      <c r="CM20" s="325" t="str">
        <f aca="false">VLOOKUP(CONCATENATE($AI17,"-",CM$8),'[1]liste complet essai'!$A$4:$K$1367,1,)</f>
        <v>03-43</v>
      </c>
      <c r="CN20" s="325" t="str">
        <f aca="false">VLOOKUP(CONCATENATE($AI17,"-",CN$8),'[1]liste complet essai'!$A$4:$K$1367,1,)</f>
        <v>03-44</v>
      </c>
      <c r="CO20" s="325" t="str">
        <f aca="false">VLOOKUP(CONCATENATE($AI17,"-",CO$8),'[1]liste complet essai'!$A$4:$K$1367,1,)</f>
        <v>03-45</v>
      </c>
      <c r="CP20" s="325" t="str">
        <f aca="false">VLOOKUP(CONCATENATE($AI17,"-",CP$8),'[1]liste complet essai'!$A$4:$K$1367,1,)</f>
        <v>03-46</v>
      </c>
      <c r="CQ20" s="325" t="str">
        <f aca="false">VLOOKUP(CONCATENATE($AI17,"-",CQ$8),'[1]liste complet essai'!$A$4:$K$1367,1,)</f>
        <v>03-47</v>
      </c>
      <c r="CR20" s="325" t="str">
        <f aca="false">VLOOKUP(CONCATENATE($AI17,"-",CR$8),'[1]liste complet essai'!$A$4:$K$1367,1,)</f>
        <v>03-48</v>
      </c>
      <c r="CS20" s="325" t="str">
        <f aca="false">VLOOKUP(CONCATENATE($AI17,"-",CS$8),'[1]liste complet essai'!$A$4:$K$1367,1,)</f>
        <v>03-49</v>
      </c>
      <c r="CT20" s="325" t="str">
        <f aca="false">VLOOKUP(CONCATENATE($AI17,"-",CT$8),'[1]liste complet essai'!$A$4:$K$1367,1,)</f>
        <v>03-50</v>
      </c>
      <c r="CU20" s="325" t="str">
        <f aca="false">VLOOKUP(CONCATENATE($AI17,"-",CU$8),'[1]liste complet essai'!$A$4:$K$1367,1,)</f>
        <v>03-51</v>
      </c>
      <c r="CV20" s="325" t="str">
        <f aca="false">VLOOKUP(CONCATENATE($AI17,"-",CV$8),'[1]liste complet essai'!$A$4:$K$1367,1,)</f>
        <v>03-52</v>
      </c>
      <c r="CW20" s="298" t="str">
        <f aca="false">VLOOKUP(CONCATENATE($AI17,"-",CW$8),'[1]liste complet essai'!$A$4:$K$1367,1,)</f>
        <v>03-53</v>
      </c>
      <c r="CX20" s="325" t="str">
        <f aca="false">VLOOKUP(CONCATENATE($AI17,"-",CX$8),'[1]liste complet essai'!$A$4:$K$1367,1,)</f>
        <v>03-54</v>
      </c>
      <c r="CY20" s="325" t="str">
        <f aca="false">VLOOKUP(CONCATENATE($AI17,"-",CY$8),'[1]liste complet essai'!$A$4:$K$1367,1,)</f>
        <v>03-55</v>
      </c>
      <c r="CZ20" s="325" t="str">
        <f aca="false">VLOOKUP(CONCATENATE($AI17,"-",CZ$8),'[1]liste complet essai'!$A$4:$K$1367,1,)</f>
        <v>03-56</v>
      </c>
      <c r="DA20" s="325" t="str">
        <f aca="false">VLOOKUP(CONCATENATE($AI17,"-",DA$8),'[1]liste complet essai'!$A$4:$K$1367,1,)</f>
        <v>03-57</v>
      </c>
      <c r="DB20" s="325" t="str">
        <f aca="false">VLOOKUP(CONCATENATE($AI17,"-",DB$8),'[1]liste complet essai'!$A$4:$K$1367,1,)</f>
        <v>03-58</v>
      </c>
      <c r="DC20" s="316" t="str">
        <f aca="false">VLOOKUP(CONCATENATE($AI17,"-",DC$8),'[1]liste complet essai'!$A$4:$K$1367,1,)</f>
        <v>03-59</v>
      </c>
      <c r="DD20" s="325" t="str">
        <f aca="false">VLOOKUP(CONCATENATE($AI17,"-",DD$8),'[1]liste complet essai'!$A$4:$K$1367,1,)</f>
        <v>03-60</v>
      </c>
      <c r="DE20" s="325" t="str">
        <f aca="false">VLOOKUP(CONCATENATE($AI17,"-",DE$8),'[1]liste complet essai'!$A$4:$K$1367,1,)</f>
        <v>03-61</v>
      </c>
      <c r="DF20" s="325" t="str">
        <f aca="false">VLOOKUP(CONCATENATE($AI17,"-",DF$8),'[1]liste complet essai'!$A$4:$K$1367,1,)</f>
        <v>03-62</v>
      </c>
      <c r="DG20" s="325" t="str">
        <f aca="false">VLOOKUP(CONCATENATE($AI17,"-",DG$8),'[1]liste complet essai'!$A$4:$K$1367,1,)</f>
        <v>03-63</v>
      </c>
      <c r="DH20" s="325" t="str">
        <f aca="false">VLOOKUP(CONCATENATE($AI17,"-",DH$8),'[1]liste complet essai'!$A$4:$K$1367,1,)</f>
        <v>03-64</v>
      </c>
      <c r="DI20" s="324"/>
      <c r="DJ20" s="317"/>
      <c r="DK20" s="321"/>
    </row>
    <row r="21" customFormat="false" ht="12" hidden="false" customHeight="false" outlineLevel="0" collapsed="false">
      <c r="B21" s="293" t="n">
        <v>18</v>
      </c>
      <c r="C21" s="326" t="s">
        <v>8122</v>
      </c>
      <c r="D21" s="319"/>
      <c r="E21" s="320" t="s">
        <v>8122</v>
      </c>
      <c r="F21" s="299" t="str">
        <f aca="false">VLOOKUP(CONCATENATE($B21,"-",F$8),'[1]liste complet essai'!$A$4:$K$1367,4,)</f>
        <v>AM</v>
      </c>
      <c r="G21" s="299" t="str">
        <f aca="false">VLOOKUP(CONCATENATE($B21,"-",G$8),'[1]liste complet essai'!$A$4:$K$1367,4,)</f>
        <v>AM</v>
      </c>
      <c r="H21" s="299" t="str">
        <f aca="false">VLOOKUP(CONCATENATE($B21,"-",H$8),'[1]liste complet essai'!$A$4:$K$1367,4,)</f>
        <v>AM</v>
      </c>
      <c r="I21" s="299" t="str">
        <f aca="false">VLOOKUP(CONCATENATE($B21,"-",I$8),'[1]liste complet essai'!$A$4:$K$1367,4,)</f>
        <v>AM</v>
      </c>
      <c r="J21" s="299" t="str">
        <f aca="false">VLOOKUP(CONCATENATE($B21,"-",J$8),'[1]liste complet essai'!$A$4:$K$1367,4,)</f>
        <v>AM</v>
      </c>
      <c r="K21" s="299" t="str">
        <f aca="false">VLOOKUP(CONCATENATE($B21,"-",K$8),'[1]liste complet essai'!$A$4:$K$1367,4,)</f>
        <v>AM</v>
      </c>
      <c r="L21" s="299" t="str">
        <f aca="false">VLOOKUP(CONCATENATE($B21,"-",L$8),'[1]liste complet essai'!$A$4:$K$1367,4,)</f>
        <v>AM</v>
      </c>
      <c r="M21" s="299" t="str">
        <f aca="false">VLOOKUP(CONCATENATE($B21,"-",M$8),'[1]liste complet essai'!$A$4:$K$1367,4,)</f>
        <v>AM</v>
      </c>
      <c r="N21" s="299" t="str">
        <f aca="false">VLOOKUP(CONCATENATE($B21,"-",N$8),'[1]liste complet essai'!$A$4:$K$1367,4,)</f>
        <v>AM</v>
      </c>
      <c r="O21" s="299" t="str">
        <f aca="false">VLOOKUP(CONCATENATE($B21,"-",O$8),'[1]liste complet essai'!$A$4:$K$1367,4,)</f>
        <v>AM</v>
      </c>
      <c r="P21" s="299" t="str">
        <f aca="false">VLOOKUP(CONCATENATE($B21,"-",P$8),'[1]liste complet essai'!$A$4:$K$1367,4,)</f>
        <v>AM</v>
      </c>
      <c r="Q21" s="299" t="str">
        <f aca="false">VLOOKUP(CONCATENATE($B21,"-",Q$8),'[1]liste complet essai'!$A$4:$K$1367,4,)</f>
        <v>AM</v>
      </c>
      <c r="R21" s="299" t="str">
        <f aca="false">VLOOKUP(CONCATENATE($B21,"-",R$8),'[1]liste complet essai'!$A$4:$K$1367,4,)</f>
        <v>AM</v>
      </c>
      <c r="S21" s="299" t="str">
        <f aca="false">VLOOKUP(CONCATENATE($B21,"-",S$8),'[1]liste complet essai'!$A$4:$K$1367,4,)</f>
        <v>AM</v>
      </c>
      <c r="T21" s="299" t="str">
        <f aca="false">VLOOKUP(CONCATENATE($B21,"-",T$8),'[1]liste complet essai'!$A$4:$K$1367,4,)</f>
        <v>AM</v>
      </c>
      <c r="U21" s="299" t="str">
        <f aca="false">VLOOKUP(CONCATENATE($B21,"-",U$8),'[1]liste complet essai'!$A$4:$K$1367,4,)</f>
        <v>AM</v>
      </c>
      <c r="V21" s="299" t="str">
        <f aca="false">VLOOKUP(CONCATENATE($B21,"-",V$8),'[1]liste complet essai'!$A$4:$K$1367,4,)</f>
        <v>AM</v>
      </c>
      <c r="W21" s="299" t="str">
        <f aca="false">VLOOKUP(CONCATENATE($B21,"-",W$8),'[1]liste complet essai'!$A$4:$K$1367,4,)</f>
        <v>AM</v>
      </c>
      <c r="X21" s="299" t="str">
        <f aca="false">VLOOKUP(CONCATENATE($B21,"-",X$8),'[1]liste complet essai'!$A$4:$K$1367,4,)</f>
        <v>AM</v>
      </c>
      <c r="Y21" s="299" t="str">
        <f aca="false">VLOOKUP(CONCATENATE($B21,"-",Y$8),'[1]liste complet essai'!$A$4:$K$1367,4,)</f>
        <v>AM</v>
      </c>
      <c r="Z21" s="299" t="str">
        <f aca="false">VLOOKUP(CONCATENATE($B21,"-",Z$8),'[1]liste complet essai'!$A$4:$K$1367,4,)</f>
        <v>AM</v>
      </c>
      <c r="AA21" s="299" t="str">
        <f aca="false">VLOOKUP(CONCATENATE($B21,"-",AA$8),'[1]liste complet essai'!$A$4:$K$1367,4,)</f>
        <v>AM</v>
      </c>
      <c r="AB21" s="299" t="str">
        <f aca="false">VLOOKUP(CONCATENATE($B21,"-",AB$8),'[1]liste complet essai'!$A$4:$K$1367,4,)</f>
        <v>AM</v>
      </c>
      <c r="AC21" s="299" t="str">
        <f aca="false">VLOOKUP(CONCATENATE($B21,"-",AC$8),'[1]liste complet essai'!$A$4:$K$1367,4,)</f>
        <v>AM</v>
      </c>
      <c r="AD21" s="299" t="str">
        <f aca="false">VLOOKUP(CONCATENATE($B21,"-",AD$8),'[1]liste complet essai'!$A$4:$K$1367,4,)</f>
        <v>AM</v>
      </c>
      <c r="AE21" s="299" t="str">
        <f aca="false">VLOOKUP(CONCATENATE($B21,"-",AE$8),'[1]liste complet essai'!$A$4:$K$1367,4,)</f>
        <v>AM</v>
      </c>
      <c r="AF21" s="321" t="s">
        <v>8122</v>
      </c>
      <c r="AI21" s="302" t="s">
        <v>8127</v>
      </c>
      <c r="AJ21" s="330" t="s">
        <v>8122</v>
      </c>
      <c r="AK21" s="322"/>
      <c r="AL21" s="331" t="s">
        <v>8122</v>
      </c>
      <c r="AM21" s="308" t="str">
        <f aca="false">VLOOKUP(CONCATENATE($AI21,"-",AM$8),'[1]liste complet essai'!$A$4:$K$1367,4,)</f>
        <v>AM</v>
      </c>
      <c r="AN21" s="308" t="str">
        <f aca="false">VLOOKUP(CONCATENATE($AI21,"-",AN$8),'[1]liste complet essai'!$A$4:$K$1367,4,)</f>
        <v>AM</v>
      </c>
      <c r="AO21" s="308" t="str">
        <f aca="false">VLOOKUP(CONCATENATE($AI21,"-",AO$8),'[1]liste complet essai'!$A$4:$K$1367,4,)</f>
        <v>AM</v>
      </c>
      <c r="AP21" s="308" t="str">
        <f aca="false">VLOOKUP(CONCATENATE($AI21,"-",AP$8),'[1]liste complet essai'!$A$4:$K$1367,4,)</f>
        <v>AM</v>
      </c>
      <c r="AQ21" s="323" t="str">
        <f aca="false">VLOOKUP(CONCATENATE($AI21,"-",AQ$8),'[1]liste complet essai'!$A$4:$K$1367,4,)</f>
        <v>AM</v>
      </c>
      <c r="AR21" s="308" t="str">
        <f aca="false">VLOOKUP(CONCATENATE($AI21,"-",AR$8),'[1]liste complet essai'!$A$4:$K$1367,4,)</f>
        <v>AM</v>
      </c>
      <c r="AS21" s="308" t="str">
        <f aca="false">VLOOKUP(CONCATENATE($AI21,"-",AS$8),'[1]liste complet essai'!$A$4:$K$1367,4,)</f>
        <v>AM</v>
      </c>
      <c r="AT21" s="308" t="str">
        <f aca="false">VLOOKUP(CONCATENATE($AI21,"-",AT$8),'[1]liste complet essai'!$A$4:$K$1367,4,)</f>
        <v>AM</v>
      </c>
      <c r="AU21" s="308" t="str">
        <f aca="false">VLOOKUP(CONCATENATE($AI21,"-",AU$8),'[1]liste complet essai'!$A$4:$K$1367,4,)</f>
        <v>AM</v>
      </c>
      <c r="AV21" s="308" t="str">
        <f aca="false">VLOOKUP(CONCATENATE($AI21,"-",AV$8),'[1]liste complet essai'!$A$4:$K$1367,4,)</f>
        <v>AM</v>
      </c>
      <c r="AW21" s="308" t="str">
        <f aca="false">VLOOKUP(CONCATENATE($AI21,"-",AW$8),'[1]liste complet essai'!$A$4:$K$1367,4,)</f>
        <v>AM</v>
      </c>
      <c r="AX21" s="308" t="str">
        <f aca="false">VLOOKUP(CONCATENATE($AI21,"-",AX$8),'[1]liste complet essai'!$A$4:$K$1367,4,)</f>
        <v>AM</v>
      </c>
      <c r="AY21" s="308" t="str">
        <f aca="false">VLOOKUP(CONCATENATE($AI21,"-",AY$8),'[1]liste complet essai'!$A$4:$K$1367,4,)</f>
        <v>AM</v>
      </c>
      <c r="AZ21" s="308" t="str">
        <f aca="false">VLOOKUP(CONCATENATE($AI21,"-",AZ$8),'[1]liste complet essai'!$A$4:$K$1367,4,)</f>
        <v>AM</v>
      </c>
      <c r="BA21" s="308" t="str">
        <f aca="false">VLOOKUP(CONCATENATE($AI21,"-",BA$8),'[1]liste complet essai'!$A$4:$K$1367,4,)</f>
        <v>AM</v>
      </c>
      <c r="BB21" s="308" t="str">
        <f aca="false">VLOOKUP(CONCATENATE($AI21,"-",BB$8),'[1]liste complet essai'!$A$4:$K$1367,4,)</f>
        <v>AM</v>
      </c>
      <c r="BC21" s="308" t="str">
        <f aca="false">VLOOKUP(CONCATENATE($AI21,"-",BC$8),'[1]liste complet essai'!$A$4:$K$1367,4,)</f>
        <v>AM</v>
      </c>
      <c r="BD21" s="308" t="str">
        <f aca="false">VLOOKUP(CONCATENATE($AI21,"-",BD$8),'[1]liste complet essai'!$A$4:$K$1367,4,)</f>
        <v>AM</v>
      </c>
      <c r="BE21" s="308" t="str">
        <f aca="false">VLOOKUP(CONCATENATE($AI21,"-",BE$8),'[1]liste complet essai'!$A$4:$K$1367,4,)</f>
        <v>AM</v>
      </c>
      <c r="BF21" s="308" t="str">
        <f aca="false">VLOOKUP(CONCATENATE($AI21,"-",BF$8),'[1]liste complet essai'!$A$4:$K$1367,4,)</f>
        <v>AM</v>
      </c>
      <c r="BG21" s="308" t="str">
        <f aca="false">VLOOKUP(CONCATENATE($AI21,"-",BG$8),'[1]liste complet essai'!$A$4:$K$1367,4,)</f>
        <v>AM</v>
      </c>
      <c r="BH21" s="308" t="str">
        <f aca="false">VLOOKUP(CONCATENATE($AI21,"-",BH$8),'[1]liste complet essai'!$A$4:$K$1367,4,)</f>
        <v>AM</v>
      </c>
      <c r="BI21" s="308" t="str">
        <f aca="false">VLOOKUP(CONCATENATE($AI21,"-",BI$8),'[1]liste complet essai'!$A$4:$K$1367,4,)</f>
        <v>AM</v>
      </c>
      <c r="BJ21" s="308" t="str">
        <f aca="false">VLOOKUP(CONCATENATE($AI21,"-",BJ$8),'[1]liste complet essai'!$A$4:$K$1367,4,)</f>
        <v>AM</v>
      </c>
      <c r="BK21" s="308" t="str">
        <f aca="false">VLOOKUP(CONCATENATE($AI21,"-",BK$8),'[1]liste complet essai'!$A$4:$K$1367,4,)</f>
        <v>AM</v>
      </c>
      <c r="BL21" s="308" t="str">
        <f aca="false">VLOOKUP(CONCATENATE($AI21,"-",BL$8),'[1]liste complet essai'!$A$4:$K$1367,4,)</f>
        <v>AM</v>
      </c>
      <c r="BM21" s="308" t="str">
        <f aca="false">VLOOKUP(CONCATENATE($AI21,"-",BM$8),'[1]liste complet essai'!$A$4:$K$1367,4,)</f>
        <v>AM</v>
      </c>
      <c r="BN21" s="308" t="str">
        <f aca="false">VLOOKUP(CONCATENATE($AI21,"-",BN$8),'[1]liste complet essai'!$A$4:$K$1367,4,)</f>
        <v>AM</v>
      </c>
      <c r="BO21" s="308" t="str">
        <f aca="false">VLOOKUP(CONCATENATE($AI21,"-",BO$8),'[1]liste complet essai'!$A$4:$K$1367,4,)</f>
        <v>AM</v>
      </c>
      <c r="BP21" s="308" t="str">
        <f aca="false">VLOOKUP(CONCATENATE($AI21,"-",BP$8),'[1]liste complet essai'!$A$4:$K$1367,4,)</f>
        <v>AM</v>
      </c>
      <c r="BQ21" s="308" t="str">
        <f aca="false">VLOOKUP(CONCATENATE($AI21,"-",BQ$8),'[1]liste complet essai'!$A$4:$K$1367,4,)</f>
        <v>AM</v>
      </c>
      <c r="BR21" s="308" t="str">
        <f aca="false">VLOOKUP(CONCATENATE($AI21,"-",BR$8),'[1]liste complet essai'!$A$4:$K$1367,4,)</f>
        <v>AM</v>
      </c>
      <c r="BS21" s="310"/>
      <c r="BT21" s="310"/>
      <c r="BU21" s="310"/>
      <c r="BV21" s="310"/>
      <c r="BW21" s="310"/>
      <c r="BX21" s="310"/>
      <c r="BY21" s="310"/>
      <c r="BZ21" s="310"/>
      <c r="CA21" s="310"/>
      <c r="CB21" s="310"/>
      <c r="CC21" s="311" t="str">
        <f aca="false">VLOOKUP(CONCATENATE($AI21,"-",CC$8),'[1]liste complet essai'!$A$4:$K$1367,4,)</f>
        <v>AM</v>
      </c>
      <c r="CD21" s="311" t="str">
        <f aca="false">VLOOKUP(CONCATENATE($AI21,"-",CD$8),'[1]liste complet essai'!$A$4:$K$1367,4,)</f>
        <v>AM</v>
      </c>
      <c r="CE21" s="327" t="str">
        <f aca="false">VLOOKUP(CONCATENATE($AI21,"-",CE$8),'[1]liste complet essai'!$A$4:$K$1367,4,)</f>
        <v>AM</v>
      </c>
      <c r="CF21" s="311" t="str">
        <f aca="false">VLOOKUP(CONCATENATE($AI21,"-",CF$8),'[1]liste complet essai'!$A$4:$K$1367,4,)</f>
        <v>AM</v>
      </c>
      <c r="CG21" s="311" t="str">
        <f aca="false">VLOOKUP(CONCATENATE($AI21,"-",CG$8),'[1]liste complet essai'!$A$4:$K$1367,4,)</f>
        <v>AM</v>
      </c>
      <c r="CH21" s="311" t="str">
        <f aca="false">VLOOKUP(CONCATENATE($AI21,"-",CH$8),'[1]liste complet essai'!$A$4:$K$1367,4,)</f>
        <v>AM</v>
      </c>
      <c r="CI21" s="311" t="str">
        <f aca="false">VLOOKUP(CONCATENATE($AI21,"-",CI$8),'[1]liste complet essai'!$A$4:$K$1367,4,)</f>
        <v>AM</v>
      </c>
      <c r="CJ21" s="311" t="str">
        <f aca="false">VLOOKUP(CONCATENATE($AI21,"-",CJ$8),'[1]liste complet essai'!$A$4:$K$1367,4,)</f>
        <v>AM</v>
      </c>
      <c r="CK21" s="311" t="str">
        <f aca="false">VLOOKUP(CONCATENATE($AI21,"-",CK$8),'[1]liste complet essai'!$A$4:$K$1367,4,)</f>
        <v>AM</v>
      </c>
      <c r="CL21" s="311" t="str">
        <f aca="false">VLOOKUP(CONCATENATE($AI21,"-",CL$8),'[1]liste complet essai'!$A$4:$K$1367,4,)</f>
        <v>AM</v>
      </c>
      <c r="CM21" s="311" t="str">
        <f aca="false">VLOOKUP(CONCATENATE($AI21,"-",CM$8),'[1]liste complet essai'!$A$4:$K$1367,4,)</f>
        <v>AM</v>
      </c>
      <c r="CN21" s="311" t="str">
        <f aca="false">VLOOKUP(CONCATENATE($AI21,"-",CN$8),'[1]liste complet essai'!$A$4:$K$1367,4,)</f>
        <v>AM</v>
      </c>
      <c r="CO21" s="311" t="str">
        <f aca="false">VLOOKUP(CONCATENATE($AI21,"-",CO$8),'[1]liste complet essai'!$A$4:$K$1367,4,)</f>
        <v>AM</v>
      </c>
      <c r="CP21" s="311" t="str">
        <f aca="false">VLOOKUP(CONCATENATE($AI21,"-",CP$8),'[1]liste complet essai'!$A$4:$K$1367,4,)</f>
        <v>AM</v>
      </c>
      <c r="CQ21" s="311" t="str">
        <f aca="false">VLOOKUP(CONCATENATE($AI21,"-",CQ$8),'[1]liste complet essai'!$A$4:$K$1367,4,)</f>
        <v>AM</v>
      </c>
      <c r="CR21" s="311" t="str">
        <f aca="false">VLOOKUP(CONCATENATE($AI21,"-",CR$8),'[1]liste complet essai'!$A$4:$K$1367,4,)</f>
        <v>AM</v>
      </c>
      <c r="CS21" s="311" t="str">
        <f aca="false">VLOOKUP(CONCATENATE($AI21,"-",CS$8),'[1]liste complet essai'!$A$4:$K$1367,4,)</f>
        <v>AM</v>
      </c>
      <c r="CT21" s="311" t="str">
        <f aca="false">VLOOKUP(CONCATENATE($AI21,"-",CT$8),'[1]liste complet essai'!$A$4:$K$1367,4,)</f>
        <v>AM</v>
      </c>
      <c r="CU21" s="311" t="str">
        <f aca="false">VLOOKUP(CONCATENATE($AI21,"-",CU$8),'[1]liste complet essai'!$A$4:$K$1367,4,)</f>
        <v>AM</v>
      </c>
      <c r="CV21" s="311" t="str">
        <f aca="false">VLOOKUP(CONCATENATE($AI21,"-",CV$8),'[1]liste complet essai'!$A$4:$K$1367,4,)</f>
        <v>AM</v>
      </c>
      <c r="CW21" s="311" t="str">
        <f aca="false">VLOOKUP(CONCATENATE($AI21,"-",CW$8),'[1]liste complet essai'!$A$4:$K$1367,4,)</f>
        <v>AM</v>
      </c>
      <c r="CX21" s="311" t="str">
        <f aca="false">VLOOKUP(CONCATENATE($AI21,"-",CX$8),'[1]liste complet essai'!$A$4:$K$1367,4,)</f>
        <v>AM</v>
      </c>
      <c r="CY21" s="311" t="str">
        <f aca="false">VLOOKUP(CONCATENATE($AI21,"-",CY$8),'[1]liste complet essai'!$A$4:$K$1367,4,)</f>
        <v>AM</v>
      </c>
      <c r="CZ21" s="311" t="str">
        <f aca="false">VLOOKUP(CONCATENATE($AI21,"-",CZ$8),'[1]liste complet essai'!$A$4:$K$1367,4,)</f>
        <v>AM</v>
      </c>
      <c r="DA21" s="311" t="str">
        <f aca="false">VLOOKUP(CONCATENATE($AI21,"-",DA$8),'[1]liste complet essai'!$A$4:$K$1367,4,)</f>
        <v>AM</v>
      </c>
      <c r="DB21" s="311" t="str">
        <f aca="false">VLOOKUP(CONCATENATE($AI21,"-",DB$8),'[1]liste complet essai'!$A$4:$K$1367,4,)</f>
        <v>AM</v>
      </c>
      <c r="DC21" s="311" t="str">
        <f aca="false">VLOOKUP(CONCATENATE($AI21,"-",DC$8),'[1]liste complet essai'!$A$4:$K$1367,4,)</f>
        <v>AM</v>
      </c>
      <c r="DD21" s="311" t="str">
        <f aca="false">VLOOKUP(CONCATENATE($AI21,"-",DD$8),'[1]liste complet essai'!$A$4:$K$1367,4,)</f>
        <v>AM</v>
      </c>
      <c r="DE21" s="311" t="str">
        <f aca="false">VLOOKUP(CONCATENATE($AI21,"-",DE$8),'[1]liste complet essai'!$A$4:$K$1367,4,)</f>
        <v>AM</v>
      </c>
      <c r="DF21" s="311" t="str">
        <f aca="false">VLOOKUP(CONCATENATE($AI21,"-",DF$8),'[1]liste complet essai'!$A$4:$K$1367,4,)</f>
        <v>AM</v>
      </c>
      <c r="DG21" s="311" t="str">
        <f aca="false">VLOOKUP(CONCATENATE($AI21,"-",DG$8),'[1]liste complet essai'!$A$4:$K$1367,4,)</f>
        <v>AM</v>
      </c>
      <c r="DH21" s="311" t="str">
        <f aca="false">VLOOKUP(CONCATENATE($AI21,"-",DH$8),'[1]liste complet essai'!$A$4:$K$1367,4,)</f>
        <v>AM</v>
      </c>
      <c r="DI21" s="324" t="s">
        <v>8122</v>
      </c>
      <c r="DJ21" s="322"/>
      <c r="DK21" s="321" t="s">
        <v>8122</v>
      </c>
    </row>
    <row r="22" customFormat="false" ht="12" hidden="false" customHeight="false" outlineLevel="0" collapsed="false">
      <c r="B22" s="293"/>
      <c r="C22" s="326"/>
      <c r="D22" s="307"/>
      <c r="E22" s="320"/>
      <c r="F22" s="308" t="str">
        <f aca="false">VLOOKUP(CONCATENATE($B21,"-",F$8),'[1]liste complet essai'!$A$4:$K$1367,9,)</f>
        <v>N1-b3</v>
      </c>
      <c r="G22" s="308" t="str">
        <f aca="false">VLOOKUP(CONCATENATE($B21,"-",G$8),'[1]liste complet essai'!$A$4:$K$1367,9,)</f>
        <v>N1-b3</v>
      </c>
      <c r="H22" s="308" t="str">
        <f aca="false">VLOOKUP(CONCATENATE($B21,"-",H$8),'[1]liste complet essai'!$A$4:$K$1367,9,)</f>
        <v>N1-b3</v>
      </c>
      <c r="I22" s="308" t="str">
        <f aca="false">VLOOKUP(CONCATENATE($B21,"-",I$8),'[1]liste complet essai'!$A$4:$K$1367,9,)</f>
        <v>N1-b3</v>
      </c>
      <c r="J22" s="308" t="str">
        <f aca="false">VLOOKUP(CONCATENATE($B21,"-",J$8),'[1]liste complet essai'!$A$4:$K$1367,9,)</f>
        <v>N1-b3</v>
      </c>
      <c r="K22" s="308" t="str">
        <f aca="false">VLOOKUP(CONCATENATE($B21,"-",K$8),'[1]liste complet essai'!$A$4:$K$1367,9,)</f>
        <v>N1-b3</v>
      </c>
      <c r="L22" s="308" t="str">
        <f aca="false">VLOOKUP(CONCATENATE($B21,"-",L$8),'[1]liste complet essai'!$A$4:$K$1367,9,)</f>
        <v>N1-b3</v>
      </c>
      <c r="M22" s="308" t="str">
        <f aca="false">VLOOKUP(CONCATENATE($B21,"-",M$8),'[1]liste complet essai'!$A$4:$K$1367,9,)</f>
        <v>N1-b3</v>
      </c>
      <c r="N22" s="308" t="str">
        <f aca="false">VLOOKUP(CONCATENATE($B21,"-",N$8),'[1]liste complet essai'!$A$4:$K$1367,9,)</f>
        <v>N1-b3</v>
      </c>
      <c r="O22" s="308" t="str">
        <f aca="false">VLOOKUP(CONCATENATE($B21,"-",O$8),'[1]liste complet essai'!$A$4:$K$1367,9,)</f>
        <v>N1-b3</v>
      </c>
      <c r="P22" s="308" t="str">
        <f aca="false">VLOOKUP(CONCATENATE($B21,"-",P$8),'[1]liste complet essai'!$A$4:$K$1367,9,)</f>
        <v>N1-b3</v>
      </c>
      <c r="Q22" s="308" t="str">
        <f aca="false">VLOOKUP(CONCATENATE($B21,"-",Q$8),'[1]liste complet essai'!$A$4:$K$1367,9,)</f>
        <v>N1-b3</v>
      </c>
      <c r="R22" s="308" t="str">
        <f aca="false">VLOOKUP(CONCATENATE($B21,"-",R$8),'[1]liste complet essai'!$A$4:$K$1367,9,)</f>
        <v>N1-b3</v>
      </c>
      <c r="S22" s="308" t="str">
        <f aca="false">VLOOKUP(CONCATENATE($B21,"-",S$8),'[1]liste complet essai'!$A$4:$K$1367,9,)</f>
        <v>N1-b3</v>
      </c>
      <c r="T22" s="308" t="str">
        <f aca="false">VLOOKUP(CONCATENATE($B21,"-",T$8),'[1]liste complet essai'!$A$4:$K$1367,9,)</f>
        <v>N1-b3</v>
      </c>
      <c r="U22" s="308" t="str">
        <f aca="false">VLOOKUP(CONCATENATE($B21,"-",U$8),'[1]liste complet essai'!$A$4:$K$1367,9,)</f>
        <v>N1-b3</v>
      </c>
      <c r="V22" s="308" t="str">
        <f aca="false">VLOOKUP(CONCATENATE($B21,"-",V$8),'[1]liste complet essai'!$A$4:$K$1367,9,)</f>
        <v>N1-b3</v>
      </c>
      <c r="W22" s="308" t="str">
        <f aca="false">VLOOKUP(CONCATENATE($B21,"-",W$8),'[1]liste complet essai'!$A$4:$K$1367,9,)</f>
        <v>N1-b3</v>
      </c>
      <c r="X22" s="308" t="str">
        <f aca="false">VLOOKUP(CONCATENATE($B21,"-",X$8),'[1]liste complet essai'!$A$4:$K$1367,9,)</f>
        <v>N1-b3</v>
      </c>
      <c r="Y22" s="308" t="str">
        <f aca="false">VLOOKUP(CONCATENATE($B21,"-",Y$8),'[1]liste complet essai'!$A$4:$K$1367,9,)</f>
        <v>N1-b3</v>
      </c>
      <c r="Z22" s="308" t="str">
        <f aca="false">VLOOKUP(CONCATENATE($B21,"-",Z$8),'[1]liste complet essai'!$A$4:$K$1367,9,)</f>
        <v>N1-b3</v>
      </c>
      <c r="AA22" s="308" t="str">
        <f aca="false">VLOOKUP(CONCATENATE($B21,"-",AA$8),'[1]liste complet essai'!$A$4:$K$1367,9,)</f>
        <v>N1-b3</v>
      </c>
      <c r="AB22" s="308" t="str">
        <f aca="false">VLOOKUP(CONCATENATE($B21,"-",AB$8),'[1]liste complet essai'!$A$4:$K$1367,9,)</f>
        <v>N1-b3</v>
      </c>
      <c r="AC22" s="308" t="str">
        <f aca="false">VLOOKUP(CONCATENATE($B21,"-",AC$8),'[1]liste complet essai'!$A$4:$K$1367,9,)</f>
        <v>N1-b3</v>
      </c>
      <c r="AD22" s="308" t="str">
        <f aca="false">VLOOKUP(CONCATENATE($B21,"-",AD$8),'[1]liste complet essai'!$A$4:$K$1367,9,)</f>
        <v>N1-b3</v>
      </c>
      <c r="AE22" s="308" t="str">
        <f aca="false">VLOOKUP(CONCATENATE($B21,"-",AE$8),'[1]liste complet essai'!$A$4:$K$1367,9,)</f>
        <v>N1-b3</v>
      </c>
      <c r="AF22" s="321"/>
      <c r="AI22" s="302"/>
      <c r="AJ22" s="330"/>
      <c r="AK22" s="309"/>
      <c r="AL22" s="331"/>
      <c r="AM22" s="308" t="str">
        <f aca="false">VLOOKUP(CONCATENATE($AI21,"-",AM$8),'[1]liste complet essai'!$A$4:$K$1367,9,)</f>
        <v>N1-b1</v>
      </c>
      <c r="AN22" s="308" t="str">
        <f aca="false">VLOOKUP(CONCATENATE($AI21,"-",AN$8),'[1]liste complet essai'!$A$4:$K$1367,9,)</f>
        <v>N1-b1</v>
      </c>
      <c r="AO22" s="308" t="str">
        <f aca="false">VLOOKUP(CONCATENATE($AI21,"-",AO$8),'[1]liste complet essai'!$A$4:$K$1367,9,)</f>
        <v>N1-b1</v>
      </c>
      <c r="AP22" s="308" t="str">
        <f aca="false">VLOOKUP(CONCATENATE($AI21,"-",AP$8),'[1]liste complet essai'!$A$4:$K$1367,9,)</f>
        <v>N1-b1</v>
      </c>
      <c r="AQ22" s="311" t="str">
        <f aca="false">VLOOKUP(CONCATENATE($AI21,"-",AQ$8),'[1]liste complet essai'!$A$4:$K$1367,9,)</f>
        <v>N1-b1</v>
      </c>
      <c r="AR22" s="308" t="str">
        <f aca="false">VLOOKUP(CONCATENATE($AI21,"-",AR$8),'[1]liste complet essai'!$A$4:$K$1367,9,)</f>
        <v>N1-b1</v>
      </c>
      <c r="AS22" s="308" t="str">
        <f aca="false">VLOOKUP(CONCATENATE($AI21,"-",AS$8),'[1]liste complet essai'!$A$4:$K$1367,9,)</f>
        <v>N1-b1</v>
      </c>
      <c r="AT22" s="308" t="str">
        <f aca="false">VLOOKUP(CONCATENATE($AI21,"-",AT$8),'[1]liste complet essai'!$A$4:$K$1367,9,)</f>
        <v>N1-b1</v>
      </c>
      <c r="AU22" s="308" t="str">
        <f aca="false">VLOOKUP(CONCATENATE($AI21,"-",AU$8),'[1]liste complet essai'!$A$4:$K$1367,9,)</f>
        <v>N1-b1</v>
      </c>
      <c r="AV22" s="308" t="str">
        <f aca="false">VLOOKUP(CONCATENATE($AI21,"-",AV$8),'[1]liste complet essai'!$A$4:$K$1367,9,)</f>
        <v>N1-b1</v>
      </c>
      <c r="AW22" s="308" t="str">
        <f aca="false">VLOOKUP(CONCATENATE($AI21,"-",AW$8),'[1]liste complet essai'!$A$4:$K$1367,9,)</f>
        <v>N1-b1</v>
      </c>
      <c r="AX22" s="308" t="str">
        <f aca="false">VLOOKUP(CONCATENATE($AI21,"-",AX$8),'[1]liste complet essai'!$A$4:$K$1367,9,)</f>
        <v>N1-b1</v>
      </c>
      <c r="AY22" s="308" t="str">
        <f aca="false">VLOOKUP(CONCATENATE($AI21,"-",AY$8),'[1]liste complet essai'!$A$4:$K$1367,9,)</f>
        <v>N1-b1</v>
      </c>
      <c r="AZ22" s="308" t="str">
        <f aca="false">VLOOKUP(CONCATENATE($AI21,"-",AZ$8),'[1]liste complet essai'!$A$4:$K$1367,9,)</f>
        <v>N1-b1</v>
      </c>
      <c r="BA22" s="308" t="str">
        <f aca="false">VLOOKUP(CONCATENATE($AI21,"-",BA$8),'[1]liste complet essai'!$A$4:$K$1367,9,)</f>
        <v>N1-b1</v>
      </c>
      <c r="BB22" s="308" t="str">
        <f aca="false">VLOOKUP(CONCATENATE($AI21,"-",BB$8),'[1]liste complet essai'!$A$4:$K$1367,9,)</f>
        <v>N1-b1</v>
      </c>
      <c r="BC22" s="308" t="str">
        <f aca="false">VLOOKUP(CONCATENATE($AI21,"-",BC$8),'[1]liste complet essai'!$A$4:$K$1367,9,)</f>
        <v>N1-b1</v>
      </c>
      <c r="BD22" s="308" t="str">
        <f aca="false">VLOOKUP(CONCATENATE($AI21,"-",BD$8),'[1]liste complet essai'!$A$4:$K$1367,9,)</f>
        <v>N1-b1</v>
      </c>
      <c r="BE22" s="308" t="str">
        <f aca="false">VLOOKUP(CONCATENATE($AI21,"-",BE$8),'[1]liste complet essai'!$A$4:$K$1367,9,)</f>
        <v>N1-b1</v>
      </c>
      <c r="BF22" s="308" t="str">
        <f aca="false">VLOOKUP(CONCATENATE($AI21,"-",BF$8),'[1]liste complet essai'!$A$4:$K$1367,9,)</f>
        <v>N1-b1</v>
      </c>
      <c r="BG22" s="308" t="str">
        <f aca="false">VLOOKUP(CONCATENATE($AI21,"-",BG$8),'[1]liste complet essai'!$A$4:$K$1367,9,)</f>
        <v>N1-b1</v>
      </c>
      <c r="BH22" s="308" t="str">
        <f aca="false">VLOOKUP(CONCATENATE($AI21,"-",BH$8),'[1]liste complet essai'!$A$4:$K$1367,9,)</f>
        <v>N1-b1</v>
      </c>
      <c r="BI22" s="308" t="str">
        <f aca="false">VLOOKUP(CONCATENATE($AI21,"-",BI$8),'[1]liste complet essai'!$A$4:$K$1367,9,)</f>
        <v>N1-b1</v>
      </c>
      <c r="BJ22" s="308" t="str">
        <f aca="false">VLOOKUP(CONCATENATE($AI21,"-",BJ$8),'[1]liste complet essai'!$A$4:$K$1367,9,)</f>
        <v>N1-b1</v>
      </c>
      <c r="BK22" s="308" t="str">
        <f aca="false">VLOOKUP(CONCATENATE($AI21,"-",BK$8),'[1]liste complet essai'!$A$4:$K$1367,9,)</f>
        <v>N1-b1</v>
      </c>
      <c r="BL22" s="308" t="str">
        <f aca="false">VLOOKUP(CONCATENATE($AI21,"-",BL$8),'[1]liste complet essai'!$A$4:$K$1367,9,)</f>
        <v>N1-b1</v>
      </c>
      <c r="BM22" s="308" t="str">
        <f aca="false">VLOOKUP(CONCATENATE($AI21,"-",BM$8),'[1]liste complet essai'!$A$4:$K$1367,9,)</f>
        <v>N1-b1</v>
      </c>
      <c r="BN22" s="308" t="str">
        <f aca="false">VLOOKUP(CONCATENATE($AI21,"-",BN$8),'[1]liste complet essai'!$A$4:$K$1367,9,)</f>
        <v>N1-b1</v>
      </c>
      <c r="BO22" s="308" t="str">
        <f aca="false">VLOOKUP(CONCATENATE($AI21,"-",BO$8),'[1]liste complet essai'!$A$4:$K$1367,9,)</f>
        <v>N1-b1</v>
      </c>
      <c r="BP22" s="308" t="str">
        <f aca="false">VLOOKUP(CONCATENATE($AI21,"-",BP$8),'[1]liste complet essai'!$A$4:$K$1367,9,)</f>
        <v>N1-b1</v>
      </c>
      <c r="BQ22" s="308" t="str">
        <f aca="false">VLOOKUP(CONCATENATE($AI21,"-",BQ$8),'[1]liste complet essai'!$A$4:$K$1367,9,)</f>
        <v>N1-b1</v>
      </c>
      <c r="BR22" s="308" t="str">
        <f aca="false">VLOOKUP(CONCATENATE($AI21,"-",BR$8),'[1]liste complet essai'!$A$4:$K$1367,9,)</f>
        <v>N1-b1</v>
      </c>
      <c r="BS22" s="310"/>
      <c r="BT22" s="310"/>
      <c r="BU22" s="310"/>
      <c r="BV22" s="310"/>
      <c r="BW22" s="310"/>
      <c r="BX22" s="310"/>
      <c r="BY22" s="310"/>
      <c r="BZ22" s="310"/>
      <c r="CA22" s="310"/>
      <c r="CB22" s="310"/>
      <c r="CC22" s="311" t="str">
        <f aca="false">VLOOKUP(CONCATENATE($AI21,"-",CC$8),'[1]liste complet essai'!$A$4:$K$1367,9,)</f>
        <v>N2-b2</v>
      </c>
      <c r="CD22" s="311" t="str">
        <f aca="false">VLOOKUP(CONCATENATE($AI21,"-",CD$8),'[1]liste complet essai'!$A$4:$K$1367,9,)</f>
        <v>N2-b2</v>
      </c>
      <c r="CE22" s="327" t="str">
        <f aca="false">VLOOKUP(CONCATENATE($AI21,"-",CE$8),'[1]liste complet essai'!$A$4:$K$1367,9,)</f>
        <v>N2-b2</v>
      </c>
      <c r="CF22" s="311" t="str">
        <f aca="false">VLOOKUP(CONCATENATE($AI21,"-",CF$8),'[1]liste complet essai'!$A$4:$K$1367,9,)</f>
        <v>N2-b2</v>
      </c>
      <c r="CG22" s="311" t="str">
        <f aca="false">VLOOKUP(CONCATENATE($AI21,"-",CG$8),'[1]liste complet essai'!$A$4:$K$1367,9,)</f>
        <v>N2-b2</v>
      </c>
      <c r="CH22" s="311" t="str">
        <f aca="false">VLOOKUP(CONCATENATE($AI21,"-",CH$8),'[1]liste complet essai'!$A$4:$K$1367,9,)</f>
        <v>N2-b2</v>
      </c>
      <c r="CI22" s="311" t="str">
        <f aca="false">VLOOKUP(CONCATENATE($AI21,"-",CI$8),'[1]liste complet essai'!$A$4:$K$1367,9,)</f>
        <v>N2-b2</v>
      </c>
      <c r="CJ22" s="311" t="str">
        <f aca="false">VLOOKUP(CONCATENATE($AI21,"-",CJ$8),'[1]liste complet essai'!$A$4:$K$1367,9,)</f>
        <v>N2-b2</v>
      </c>
      <c r="CK22" s="311" t="str">
        <f aca="false">VLOOKUP(CONCATENATE($AI21,"-",CK$8),'[1]liste complet essai'!$A$4:$K$1367,9,)</f>
        <v>N2-b2</v>
      </c>
      <c r="CL22" s="311" t="str">
        <f aca="false">VLOOKUP(CONCATENATE($AI21,"-",CL$8),'[1]liste complet essai'!$A$4:$K$1367,9,)</f>
        <v>N2-b2</v>
      </c>
      <c r="CM22" s="311" t="str">
        <f aca="false">VLOOKUP(CONCATENATE($AI21,"-",CM$8),'[1]liste complet essai'!$A$4:$K$1367,9,)</f>
        <v>N2-b2</v>
      </c>
      <c r="CN22" s="311" t="str">
        <f aca="false">VLOOKUP(CONCATENATE($AI21,"-",CN$8),'[1]liste complet essai'!$A$4:$K$1367,9,)</f>
        <v>N2-b2</v>
      </c>
      <c r="CO22" s="311" t="str">
        <f aca="false">VLOOKUP(CONCATENATE($AI21,"-",CO$8),'[1]liste complet essai'!$A$4:$K$1367,9,)</f>
        <v>N2-b2</v>
      </c>
      <c r="CP22" s="311" t="str">
        <f aca="false">VLOOKUP(CONCATENATE($AI21,"-",CP$8),'[1]liste complet essai'!$A$4:$K$1367,9,)</f>
        <v>N2-b2</v>
      </c>
      <c r="CQ22" s="311" t="str">
        <f aca="false">VLOOKUP(CONCATENATE($AI21,"-",CQ$8),'[1]liste complet essai'!$A$4:$K$1367,9,)</f>
        <v>N2-b2</v>
      </c>
      <c r="CR22" s="311" t="str">
        <f aca="false">VLOOKUP(CONCATENATE($AI21,"-",CR$8),'[1]liste complet essai'!$A$4:$K$1367,9,)</f>
        <v>N2-b2</v>
      </c>
      <c r="CS22" s="311" t="str">
        <f aca="false">VLOOKUP(CONCATENATE($AI21,"-",CS$8),'[1]liste complet essai'!$A$4:$K$1367,9,)</f>
        <v>N2-b2</v>
      </c>
      <c r="CT22" s="311" t="str">
        <f aca="false">VLOOKUP(CONCATENATE($AI21,"-",CT$8),'[1]liste complet essai'!$A$4:$K$1367,9,)</f>
        <v>N2-b2</v>
      </c>
      <c r="CU22" s="311" t="str">
        <f aca="false">VLOOKUP(CONCATENATE($AI21,"-",CU$8),'[1]liste complet essai'!$A$4:$K$1367,9,)</f>
        <v>N2-b2</v>
      </c>
      <c r="CV22" s="311" t="str">
        <f aca="false">VLOOKUP(CONCATENATE($AI21,"-",CV$8),'[1]liste complet essai'!$A$4:$K$1367,9,)</f>
        <v>N2-b2</v>
      </c>
      <c r="CW22" s="311" t="str">
        <f aca="false">VLOOKUP(CONCATENATE($AI21,"-",CW$8),'[1]liste complet essai'!$A$4:$K$1367,9,)</f>
        <v>N2-b2</v>
      </c>
      <c r="CX22" s="311" t="str">
        <f aca="false">VLOOKUP(CONCATENATE($AI21,"-",CX$8),'[1]liste complet essai'!$A$4:$K$1367,9,)</f>
        <v>N2-b2</v>
      </c>
      <c r="CY22" s="311" t="str">
        <f aca="false">VLOOKUP(CONCATENATE($AI21,"-",CY$8),'[1]liste complet essai'!$A$4:$K$1367,9,)</f>
        <v>N2-b2</v>
      </c>
      <c r="CZ22" s="311" t="str">
        <f aca="false">VLOOKUP(CONCATENATE($AI21,"-",CZ$8),'[1]liste complet essai'!$A$4:$K$1367,9,)</f>
        <v>N2-b2</v>
      </c>
      <c r="DA22" s="311" t="str">
        <f aca="false">VLOOKUP(CONCATENATE($AI21,"-",DA$8),'[1]liste complet essai'!$A$4:$K$1367,9,)</f>
        <v>N2-b2</v>
      </c>
      <c r="DB22" s="311" t="str">
        <f aca="false">VLOOKUP(CONCATENATE($AI21,"-",DB$8),'[1]liste complet essai'!$A$4:$K$1367,9,)</f>
        <v>N2-b2</v>
      </c>
      <c r="DC22" s="311" t="str">
        <f aca="false">VLOOKUP(CONCATENATE($AI21,"-",DC$8),'[1]liste complet essai'!$A$4:$K$1367,9,)</f>
        <v>N2-b2</v>
      </c>
      <c r="DD22" s="311" t="str">
        <f aca="false">VLOOKUP(CONCATENATE($AI21,"-",DD$8),'[1]liste complet essai'!$A$4:$K$1367,9,)</f>
        <v>N2-b2</v>
      </c>
      <c r="DE22" s="311" t="str">
        <f aca="false">VLOOKUP(CONCATENATE($AI21,"-",DE$8),'[1]liste complet essai'!$A$4:$K$1367,9,)</f>
        <v>N2-b2</v>
      </c>
      <c r="DF22" s="311" t="str">
        <f aca="false">VLOOKUP(CONCATENATE($AI21,"-",DF$8),'[1]liste complet essai'!$A$4:$K$1367,9,)</f>
        <v>N2-b2</v>
      </c>
      <c r="DG22" s="311" t="str">
        <f aca="false">VLOOKUP(CONCATENATE($AI21,"-",DG$8),'[1]liste complet essai'!$A$4:$K$1367,9,)</f>
        <v>N2-b2</v>
      </c>
      <c r="DH22" s="311" t="str">
        <f aca="false">VLOOKUP(CONCATENATE($AI21,"-",DH$8),'[1]liste complet essai'!$A$4:$K$1367,9,)</f>
        <v>N2-b2</v>
      </c>
      <c r="DI22" s="324"/>
      <c r="DJ22" s="309"/>
      <c r="DK22" s="321"/>
    </row>
    <row r="23" customFormat="false" ht="12" hidden="false" customHeight="false" outlineLevel="0" collapsed="false">
      <c r="B23" s="293"/>
      <c r="C23" s="326"/>
      <c r="D23" s="307"/>
      <c r="E23" s="320"/>
      <c r="F23" s="308" t="str">
        <f aca="false">VLOOKUP(CONCATENATE($B21,"-",F$8),'[1]liste complet essai'!$A$4:$K$1367,5,)</f>
        <v>G-035</v>
      </c>
      <c r="G23" s="308" t="str">
        <f aca="false">VLOOKUP(CONCATENATE($B21,"-",G$8),'[1]liste complet essai'!$A$4:$K$1367,5,)</f>
        <v>G-063</v>
      </c>
      <c r="H23" s="308" t="str">
        <f aca="false">VLOOKUP(CONCATENATE($B21,"-",H$8),'[1]liste complet essai'!$A$4:$K$1367,5,)</f>
        <v>G-018</v>
      </c>
      <c r="I23" s="308" t="str">
        <f aca="false">VLOOKUP(CONCATENATE($B21,"-",I$8),'[1]liste complet essai'!$A$4:$K$1367,5,)</f>
        <v>G-074</v>
      </c>
      <c r="J23" s="308" t="str">
        <f aca="false">VLOOKUP(CONCATENATE($B21,"-",J$8),'[1]liste complet essai'!$A$4:$K$1367,5,)</f>
        <v>G-015</v>
      </c>
      <c r="K23" s="308" t="str">
        <f aca="false">VLOOKUP(CONCATENATE($B21,"-",K$8),'[1]liste complet essai'!$A$4:$K$1367,5,)</f>
        <v>G-052</v>
      </c>
      <c r="L23" s="308" t="str">
        <f aca="false">VLOOKUP(CONCATENATE($B21,"-",L$8),'[1]liste complet essai'!$A$4:$K$1367,5,)</f>
        <v>G-049</v>
      </c>
      <c r="M23" s="308" t="str">
        <f aca="false">VLOOKUP(CONCATENATE($B21,"-",M$8),'[1]liste complet essai'!$A$4:$K$1367,5,)</f>
        <v>G-022</v>
      </c>
      <c r="N23" s="308" t="str">
        <f aca="false">VLOOKUP(CONCATENATE($B21,"-",N$8),'[1]liste complet essai'!$A$4:$K$1367,5,)</f>
        <v>G-024</v>
      </c>
      <c r="O23" s="308" t="str">
        <f aca="false">VLOOKUP(CONCATENATE($B21,"-",O$8),'[1]liste complet essai'!$A$4:$K$1367,5,)</f>
        <v>G-034</v>
      </c>
      <c r="P23" s="308" t="str">
        <f aca="false">VLOOKUP(CONCATENATE($B21,"-",P$8),'[1]liste complet essai'!$A$4:$K$1367,5,)</f>
        <v>G-105</v>
      </c>
      <c r="Q23" s="308" t="str">
        <f aca="false">VLOOKUP(CONCATENATE($B21,"-",Q$8),'[1]liste complet essai'!$A$4:$K$1367,5,)</f>
        <v>G-008</v>
      </c>
      <c r="R23" s="308" t="str">
        <f aca="false">VLOOKUP(CONCATENATE($B21,"-",R$8),'[1]liste complet essai'!$A$4:$K$1367,5,)</f>
        <v>G-081</v>
      </c>
      <c r="S23" s="308" t="str">
        <f aca="false">VLOOKUP(CONCATENATE($B21,"-",S$8),'[1]liste complet essai'!$A$4:$K$1367,5,)</f>
        <v>G-010</v>
      </c>
      <c r="T23" s="308" t="str">
        <f aca="false">VLOOKUP(CONCATENATE($B21,"-",T$8),'[1]liste complet essai'!$A$4:$K$1367,5,)</f>
        <v>G-064</v>
      </c>
      <c r="U23" s="308" t="str">
        <f aca="false">VLOOKUP(CONCATENATE($B21,"-",U$8),'[1]liste complet essai'!$A$4:$K$1367,5,)</f>
        <v>G-004</v>
      </c>
      <c r="V23" s="308" t="str">
        <f aca="false">VLOOKUP(CONCATENATE($B21,"-",V$8),'[1]liste complet essai'!$A$4:$K$1367,5,)</f>
        <v>G-059</v>
      </c>
      <c r="W23" s="308" t="str">
        <f aca="false">VLOOKUP(CONCATENATE($B21,"-",W$8),'[1]liste complet essai'!$A$4:$K$1367,5,)</f>
        <v>G-093</v>
      </c>
      <c r="X23" s="308" t="str">
        <f aca="false">VLOOKUP(CONCATENATE($B21,"-",X$8),'[1]liste complet essai'!$A$4:$K$1367,5,)</f>
        <v>G-085</v>
      </c>
      <c r="Y23" s="308" t="str">
        <f aca="false">VLOOKUP(CONCATENATE($B21,"-",Y$8),'[1]liste complet essai'!$A$4:$K$1367,5,)</f>
        <v>G-071</v>
      </c>
      <c r="Z23" s="312" t="str">
        <f aca="false">VLOOKUP(CONCATENATE($B21,"-",Z$8),'[1]liste complet essai'!$A$4:$K$1367,5,)</f>
        <v>G-001</v>
      </c>
      <c r="AA23" s="308" t="str">
        <f aca="false">VLOOKUP(CONCATENATE($B21,"-",AA$8),'[1]liste complet essai'!$A$4:$K$1367,5,)</f>
        <v>G-046</v>
      </c>
      <c r="AB23" s="308" t="str">
        <f aca="false">VLOOKUP(CONCATENATE($B21,"-",AB$8),'[1]liste complet essai'!$A$4:$K$1367,5,)</f>
        <v>G-066</v>
      </c>
      <c r="AC23" s="308" t="str">
        <f aca="false">VLOOKUP(CONCATENATE($B21,"-",AC$8),'[1]liste complet essai'!$A$4:$K$1367,5,)</f>
        <v>G-098</v>
      </c>
      <c r="AD23" s="308" t="str">
        <f aca="false">VLOOKUP(CONCATENATE($B21,"-",AD$8),'[1]liste complet essai'!$A$4:$K$1367,5,)</f>
        <v>G-103</v>
      </c>
      <c r="AE23" s="308" t="str">
        <f aca="false">VLOOKUP(CONCATENATE($B21,"-",AE$8),'[1]liste complet essai'!$A$4:$K$1367,5,)</f>
        <v>G-062</v>
      </c>
      <c r="AF23" s="321"/>
      <c r="AI23" s="302"/>
      <c r="AJ23" s="330"/>
      <c r="AK23" s="309"/>
      <c r="AL23" s="331"/>
      <c r="AM23" s="308" t="str">
        <f aca="false">VLOOKUP(CONCATENATE($AI21,"-",AM$8),'[1]liste complet essai'!$A$4:$K$1367,5,)</f>
        <v>G-035</v>
      </c>
      <c r="AN23" s="308" t="str">
        <f aca="false">VLOOKUP(CONCATENATE($AI21,"-",AN$8),'[1]liste complet essai'!$A$4:$K$1367,5,)</f>
        <v>G-048</v>
      </c>
      <c r="AO23" s="308" t="str">
        <f aca="false">VLOOKUP(CONCATENATE($AI21,"-",AO$8),'[1]liste complet essai'!$A$4:$K$1367,5,)</f>
        <v>G-106</v>
      </c>
      <c r="AP23" s="308" t="str">
        <f aca="false">VLOOKUP(CONCATENATE($AI21,"-",AP$8),'[1]liste complet essai'!$A$4:$K$1367,5,)</f>
        <v>G-115</v>
      </c>
      <c r="AQ23" s="312" t="str">
        <f aca="false">VLOOKUP(CONCATENATE($AI21,"-",AQ$8),'[1]liste complet essai'!$A$4:$K$1367,5,)</f>
        <v>G-001</v>
      </c>
      <c r="AR23" s="308" t="str">
        <f aca="false">VLOOKUP(CONCATENATE($AI21,"-",AR$8),'[1]liste complet essai'!$A$4:$K$1367,5,)</f>
        <v>G-059</v>
      </c>
      <c r="AS23" s="308" t="str">
        <f aca="false">VLOOKUP(CONCATENATE($AI21,"-",AS$8),'[1]liste complet essai'!$A$4:$K$1367,5,)</f>
        <v>G-079</v>
      </c>
      <c r="AT23" s="308" t="str">
        <f aca="false">VLOOKUP(CONCATENATE($AI21,"-",AT$8),'[1]liste complet essai'!$A$4:$K$1367,5,)</f>
        <v>G-022</v>
      </c>
      <c r="AU23" s="308" t="str">
        <f aca="false">VLOOKUP(CONCATENATE($AI21,"-",AU$8),'[1]liste complet essai'!$A$4:$K$1367,5,)</f>
        <v>G-092</v>
      </c>
      <c r="AV23" s="308" t="str">
        <f aca="false">VLOOKUP(CONCATENATE($AI21,"-",AV$8),'[1]liste complet essai'!$A$4:$K$1367,5,)</f>
        <v>G-008</v>
      </c>
      <c r="AW23" s="308" t="str">
        <f aca="false">VLOOKUP(CONCATENATE($AI21,"-",AW$8),'[1]liste complet essai'!$A$4:$K$1367,5,)</f>
        <v>G-024</v>
      </c>
      <c r="AX23" s="308" t="str">
        <f aca="false">VLOOKUP(CONCATENATE($AI21,"-",AX$8),'[1]liste complet essai'!$A$4:$K$1367,5,)</f>
        <v>G-113</v>
      </c>
      <c r="AY23" s="308" t="str">
        <f aca="false">VLOOKUP(CONCATENATE($AI21,"-",AY$8),'[1]liste complet essai'!$A$4:$K$1367,5,)</f>
        <v>G-095</v>
      </c>
      <c r="AZ23" s="308" t="str">
        <f aca="false">VLOOKUP(CONCATENATE($AI21,"-",AZ$8),'[1]liste complet essai'!$A$4:$K$1367,5,)</f>
        <v>G-021</v>
      </c>
      <c r="BA23" s="308" t="str">
        <f aca="false">VLOOKUP(CONCATENATE($AI21,"-",BA$8),'[1]liste complet essai'!$A$4:$K$1367,5,)</f>
        <v>G-107</v>
      </c>
      <c r="BB23" s="308" t="str">
        <f aca="false">VLOOKUP(CONCATENATE($AI21,"-",BB$8),'[1]liste complet essai'!$A$4:$K$1367,5,)</f>
        <v>G-028</v>
      </c>
      <c r="BC23" s="308" t="str">
        <f aca="false">VLOOKUP(CONCATENATE($AI21,"-",BC$8),'[1]liste complet essai'!$A$4:$K$1367,5,)</f>
        <v>G-069</v>
      </c>
      <c r="BD23" s="308" t="str">
        <f aca="false">VLOOKUP(CONCATENATE($AI21,"-",BD$8),'[1]liste complet essai'!$A$4:$K$1367,5,)</f>
        <v>G-100</v>
      </c>
      <c r="BE23" s="308" t="str">
        <f aca="false">VLOOKUP(CONCATENATE($AI21,"-",BE$8),'[1]liste complet essai'!$A$4:$K$1367,5,)</f>
        <v>G-121</v>
      </c>
      <c r="BF23" s="308" t="str">
        <f aca="false">VLOOKUP(CONCATENATE($AI21,"-",BF$8),'[1]liste complet essai'!$A$4:$K$1367,5,)</f>
        <v>G-016</v>
      </c>
      <c r="BG23" s="308" t="str">
        <f aca="false">VLOOKUP(CONCATENATE($AI21,"-",BG$8),'[1]liste complet essai'!$A$4:$K$1367,5,)</f>
        <v>G-044</v>
      </c>
      <c r="BH23" s="308" t="str">
        <f aca="false">VLOOKUP(CONCATENATE($AI21,"-",BH$8),'[1]liste complet essai'!$A$4:$K$1367,5,)</f>
        <v>G-004</v>
      </c>
      <c r="BI23" s="308" t="str">
        <f aca="false">VLOOKUP(CONCATENATE($AI21,"-",BI$8),'[1]liste complet essai'!$A$4:$K$1367,5,)</f>
        <v>G-071</v>
      </c>
      <c r="BJ23" s="308" t="str">
        <f aca="false">VLOOKUP(CONCATENATE($AI21,"-",BJ$8),'[1]liste complet essai'!$A$4:$K$1367,5,)</f>
        <v>G-099</v>
      </c>
      <c r="BK23" s="308" t="str">
        <f aca="false">VLOOKUP(CONCATENATE($AI21,"-",BK$8),'[1]liste complet essai'!$A$4:$K$1367,5,)</f>
        <v>G-084</v>
      </c>
      <c r="BL23" s="308" t="str">
        <f aca="false">VLOOKUP(CONCATENATE($AI21,"-",BL$8),'[1]liste complet essai'!$A$4:$K$1367,5,)</f>
        <v>G-045</v>
      </c>
      <c r="BM23" s="308" t="str">
        <f aca="false">VLOOKUP(CONCATENATE($AI21,"-",BM$8),'[1]liste complet essai'!$A$4:$K$1367,5,)</f>
        <v>G-005</v>
      </c>
      <c r="BN23" s="308" t="str">
        <f aca="false">VLOOKUP(CONCATENATE($AI21,"-",BN$8),'[1]liste complet essai'!$A$4:$K$1367,5,)</f>
        <v>G-097</v>
      </c>
      <c r="BO23" s="308" t="str">
        <f aca="false">VLOOKUP(CONCATENATE($AI21,"-",BO$8),'[1]liste complet essai'!$A$4:$K$1367,5,)</f>
        <v>G-010</v>
      </c>
      <c r="BP23" s="308" t="str">
        <f aca="false">VLOOKUP(CONCATENATE($AI21,"-",BP$8),'[1]liste complet essai'!$A$4:$K$1367,5,)</f>
        <v>G-019</v>
      </c>
      <c r="BQ23" s="308" t="str">
        <f aca="false">VLOOKUP(CONCATENATE($AI21,"-",BQ$8),'[1]liste complet essai'!$A$4:$K$1367,5,)</f>
        <v>G-020</v>
      </c>
      <c r="BR23" s="308" t="str">
        <f aca="false">VLOOKUP(CONCATENATE($AI21,"-",BR$8),'[1]liste complet essai'!$A$4:$K$1367,5,)</f>
        <v>G-052</v>
      </c>
      <c r="BS23" s="310"/>
      <c r="BT23" s="310"/>
      <c r="BU23" s="310"/>
      <c r="BV23" s="310"/>
      <c r="BW23" s="310"/>
      <c r="BX23" s="310"/>
      <c r="BY23" s="310"/>
      <c r="BZ23" s="310"/>
      <c r="CA23" s="310"/>
      <c r="CB23" s="310"/>
      <c r="CC23" s="311" t="str">
        <f aca="false">VLOOKUP(CONCATENATE($AI21,"-",CC$8),'[1]liste complet essai'!$A$4:$K$1367,5,)</f>
        <v>G-120</v>
      </c>
      <c r="CD23" s="311" t="str">
        <f aca="false">VLOOKUP(CONCATENATE($AI21,"-",CD$8),'[1]liste complet essai'!$A$4:$K$1367,5,)</f>
        <v>G-106</v>
      </c>
      <c r="CE23" s="313" t="str">
        <f aca="false">VLOOKUP(CONCATENATE($AI21,"-",CE$8),'[1]liste complet essai'!$A$4:$K$1367,5,)</f>
        <v>G-002</v>
      </c>
      <c r="CF23" s="311" t="str">
        <f aca="false">VLOOKUP(CONCATENATE($AI21,"-",CF$8),'[1]liste complet essai'!$A$4:$K$1367,5,)</f>
        <v>G-069</v>
      </c>
      <c r="CG23" s="311" t="str">
        <f aca="false">VLOOKUP(CONCATENATE($AI21,"-",CG$8),'[1]liste complet essai'!$A$4:$K$1367,5,)</f>
        <v>G-064</v>
      </c>
      <c r="CH23" s="311" t="str">
        <f aca="false">VLOOKUP(CONCATENATE($AI21,"-",CH$8),'[1]liste complet essai'!$A$4:$K$1367,5,)</f>
        <v>G-007</v>
      </c>
      <c r="CI23" s="311" t="str">
        <f aca="false">VLOOKUP(CONCATENATE($AI21,"-",CI$8),'[1]liste complet essai'!$A$4:$K$1367,5,)</f>
        <v>G-018</v>
      </c>
      <c r="CJ23" s="311" t="str">
        <f aca="false">VLOOKUP(CONCATENATE($AI21,"-",CJ$8),'[1]liste complet essai'!$A$4:$K$1367,5,)</f>
        <v>G-045</v>
      </c>
      <c r="CK23" s="311" t="str">
        <f aca="false">VLOOKUP(CONCATENATE($AI21,"-",CK$8),'[1]liste complet essai'!$A$4:$K$1367,5,)</f>
        <v>G-109</v>
      </c>
      <c r="CL23" s="311" t="str">
        <f aca="false">VLOOKUP(CONCATENATE($AI21,"-",CL$8),'[1]liste complet essai'!$A$4:$K$1367,5,)</f>
        <v>G-102</v>
      </c>
      <c r="CM23" s="311" t="str">
        <f aca="false">VLOOKUP(CONCATENATE($AI21,"-",CM$8),'[1]liste complet essai'!$A$4:$K$1367,5,)</f>
        <v>G-050</v>
      </c>
      <c r="CN23" s="311" t="str">
        <f aca="false">VLOOKUP(CONCATENATE($AI21,"-",CN$8),'[1]liste complet essai'!$A$4:$K$1367,5,)</f>
        <v>G-048</v>
      </c>
      <c r="CO23" s="311" t="str">
        <f aca="false">VLOOKUP(CONCATENATE($AI21,"-",CO$8),'[1]liste complet essai'!$A$4:$K$1367,5,)</f>
        <v>G-049</v>
      </c>
      <c r="CP23" s="311" t="str">
        <f aca="false">VLOOKUP(CONCATENATE($AI21,"-",CP$8),'[1]liste complet essai'!$A$4:$K$1367,5,)</f>
        <v>G-115</v>
      </c>
      <c r="CQ23" s="311" t="str">
        <f aca="false">VLOOKUP(CONCATENATE($AI21,"-",CQ$8),'[1]liste complet essai'!$A$4:$K$1367,5,)</f>
        <v>G-003</v>
      </c>
      <c r="CR23" s="311" t="str">
        <f aca="false">VLOOKUP(CONCATENATE($AI21,"-",CR$8),'[1]liste complet essai'!$A$4:$K$1367,5,)</f>
        <v>G-020</v>
      </c>
      <c r="CS23" s="311" t="str">
        <f aca="false">VLOOKUP(CONCATENATE($AI21,"-",CS$8),'[1]liste complet essai'!$A$4:$K$1367,5,)</f>
        <v>G-006</v>
      </c>
      <c r="CT23" s="311" t="str">
        <f aca="false">VLOOKUP(CONCATENATE($AI21,"-",CT$8),'[1]liste complet essai'!$A$4:$K$1367,5,)</f>
        <v>G-019</v>
      </c>
      <c r="CU23" s="311" t="str">
        <f aca="false">VLOOKUP(CONCATENATE($AI21,"-",CU$8),'[1]liste complet essai'!$A$4:$K$1367,5,)</f>
        <v>G-027</v>
      </c>
      <c r="CV23" s="311" t="str">
        <f aca="false">VLOOKUP(CONCATENATE($AI21,"-",CV$8),'[1]liste complet essai'!$A$4:$K$1367,5,)</f>
        <v>G-075</v>
      </c>
      <c r="CW23" s="311" t="str">
        <f aca="false">VLOOKUP(CONCATENATE($AI21,"-",CW$8),'[1]liste complet essai'!$A$4:$K$1367,5,)</f>
        <v>G-083</v>
      </c>
      <c r="CX23" s="311" t="str">
        <f aca="false">VLOOKUP(CONCATENATE($AI21,"-",CX$8),'[1]liste complet essai'!$A$4:$K$1367,5,)</f>
        <v>G-121</v>
      </c>
      <c r="CY23" s="311" t="str">
        <f aca="false">VLOOKUP(CONCATENATE($AI21,"-",CY$8),'[1]liste complet essai'!$A$4:$K$1367,5,)</f>
        <v>G-116</v>
      </c>
      <c r="CZ23" s="311" t="str">
        <f aca="false">VLOOKUP(CONCATENATE($AI21,"-",CZ$8),'[1]liste complet essai'!$A$4:$K$1367,5,)</f>
        <v>G-017</v>
      </c>
      <c r="DA23" s="311" t="str">
        <f aca="false">VLOOKUP(CONCATENATE($AI21,"-",DA$8),'[1]liste complet essai'!$A$4:$K$1367,5,)</f>
        <v>G-053</v>
      </c>
      <c r="DB23" s="311" t="str">
        <f aca="false">VLOOKUP(CONCATENATE($AI21,"-",DB$8),'[1]liste complet essai'!$A$4:$K$1367,5,)</f>
        <v>G-099</v>
      </c>
      <c r="DC23" s="311" t="str">
        <f aca="false">VLOOKUP(CONCATENATE($AI21,"-",DC$8),'[1]liste complet essai'!$A$4:$K$1367,5,)</f>
        <v>G-010</v>
      </c>
      <c r="DD23" s="311" t="str">
        <f aca="false">VLOOKUP(CONCATENATE($AI21,"-",DD$8),'[1]liste complet essai'!$A$4:$K$1367,5,)</f>
        <v>G-068</v>
      </c>
      <c r="DE23" s="311" t="str">
        <f aca="false">VLOOKUP(CONCATENATE($AI21,"-",DE$8),'[1]liste complet essai'!$A$4:$K$1367,5,)</f>
        <v>G-066</v>
      </c>
      <c r="DF23" s="311" t="str">
        <f aca="false">VLOOKUP(CONCATENATE($AI21,"-",DF$8),'[1]liste complet essai'!$A$4:$K$1367,5,)</f>
        <v>G-065</v>
      </c>
      <c r="DG23" s="311" t="str">
        <f aca="false">VLOOKUP(CONCATENATE($AI21,"-",DG$8),'[1]liste complet essai'!$A$4:$K$1367,5,)</f>
        <v>G-035</v>
      </c>
      <c r="DH23" s="311" t="str">
        <f aca="false">VLOOKUP(CONCATENATE($AI21,"-",DH$8),'[1]liste complet essai'!$A$4:$K$1367,5,)</f>
        <v>G-038</v>
      </c>
      <c r="DI23" s="324"/>
      <c r="DJ23" s="309"/>
      <c r="DK23" s="321"/>
    </row>
    <row r="24" customFormat="false" ht="12" hidden="false" customHeight="false" outlineLevel="0" collapsed="false">
      <c r="B24" s="293"/>
      <c r="C24" s="326"/>
      <c r="D24" s="300"/>
      <c r="E24" s="320"/>
      <c r="F24" s="315" t="str">
        <f aca="false">VLOOKUP(CONCATENATE($B21,"-",F$8),'[1]liste complet essai'!$A$4:$K$1367,1,)</f>
        <v>18-65</v>
      </c>
      <c r="G24" s="315" t="str">
        <f aca="false">VLOOKUP(CONCATENATE($B21,"-",G$8),'[1]liste complet essai'!$A$4:$K$1367,1,)</f>
        <v>18-66</v>
      </c>
      <c r="H24" s="315" t="str">
        <f aca="false">VLOOKUP(CONCATENATE($B21,"-",H$8),'[1]liste complet essai'!$A$4:$K$1367,1,)</f>
        <v>18-67</v>
      </c>
      <c r="I24" s="315" t="str">
        <f aca="false">VLOOKUP(CONCATENATE($B21,"-",I$8),'[1]liste complet essai'!$A$4:$K$1367,1,)</f>
        <v>18-68</v>
      </c>
      <c r="J24" s="315" t="str">
        <f aca="false">VLOOKUP(CONCATENATE($B21,"-",J$8),'[1]liste complet essai'!$A$4:$K$1367,1,)</f>
        <v>18-69</v>
      </c>
      <c r="K24" s="315" t="str">
        <f aca="false">VLOOKUP(CONCATENATE($B21,"-",K$8),'[1]liste complet essai'!$A$4:$K$1367,1,)</f>
        <v>18-70</v>
      </c>
      <c r="L24" s="315" t="str">
        <f aca="false">VLOOKUP(CONCATENATE($B21,"-",L$8),'[1]liste complet essai'!$A$4:$K$1367,1,)</f>
        <v>18-71</v>
      </c>
      <c r="M24" s="315" t="str">
        <f aca="false">VLOOKUP(CONCATENATE($B21,"-",M$8),'[1]liste complet essai'!$A$4:$K$1367,1,)</f>
        <v>18-72</v>
      </c>
      <c r="N24" s="315" t="str">
        <f aca="false">VLOOKUP(CONCATENATE($B21,"-",N$8),'[1]liste complet essai'!$A$4:$K$1367,1,)</f>
        <v>18-73</v>
      </c>
      <c r="O24" s="315" t="str">
        <f aca="false">VLOOKUP(CONCATENATE($B21,"-",O$8),'[1]liste complet essai'!$A$4:$K$1367,1,)</f>
        <v>18-74</v>
      </c>
      <c r="P24" s="315" t="str">
        <f aca="false">VLOOKUP(CONCATENATE($B21,"-",P$8),'[1]liste complet essai'!$A$4:$K$1367,1,)</f>
        <v>18-75</v>
      </c>
      <c r="Q24" s="315" t="str">
        <f aca="false">VLOOKUP(CONCATENATE($B21,"-",Q$8),'[1]liste complet essai'!$A$4:$K$1367,1,)</f>
        <v>18-76</v>
      </c>
      <c r="R24" s="315" t="str">
        <f aca="false">VLOOKUP(CONCATENATE($B21,"-",R$8),'[1]liste complet essai'!$A$4:$K$1367,1,)</f>
        <v>18-77</v>
      </c>
      <c r="S24" s="315" t="str">
        <f aca="false">VLOOKUP(CONCATENATE($B21,"-",S$8),'[1]liste complet essai'!$A$4:$K$1367,1,)</f>
        <v>18-78</v>
      </c>
      <c r="T24" s="315" t="str">
        <f aca="false">VLOOKUP(CONCATENATE($B21,"-",T$8),'[1]liste complet essai'!$A$4:$K$1367,1,)</f>
        <v>18-79</v>
      </c>
      <c r="U24" s="315" t="str">
        <f aca="false">VLOOKUP(CONCATENATE($B21,"-",U$8),'[1]liste complet essai'!$A$4:$K$1367,1,)</f>
        <v>18-80</v>
      </c>
      <c r="V24" s="315" t="str">
        <f aca="false">VLOOKUP(CONCATENATE($B21,"-",V$8),'[1]liste complet essai'!$A$4:$K$1367,1,)</f>
        <v>18-81</v>
      </c>
      <c r="W24" s="315" t="str">
        <f aca="false">VLOOKUP(CONCATENATE($B21,"-",W$8),'[1]liste complet essai'!$A$4:$K$1367,1,)</f>
        <v>18-82</v>
      </c>
      <c r="X24" s="315" t="str">
        <f aca="false">VLOOKUP(CONCATENATE($B21,"-",X$8),'[1]liste complet essai'!$A$4:$K$1367,1,)</f>
        <v>18-83</v>
      </c>
      <c r="Y24" s="315" t="str">
        <f aca="false">VLOOKUP(CONCATENATE($B21,"-",Y$8),'[1]liste complet essai'!$A$4:$K$1367,1,)</f>
        <v>18-84</v>
      </c>
      <c r="Z24" s="315" t="str">
        <f aca="false">VLOOKUP(CONCATENATE($B21,"-",Z$8),'[1]liste complet essai'!$A$4:$K$1367,1,)</f>
        <v>18-85</v>
      </c>
      <c r="AA24" s="315" t="str">
        <f aca="false">VLOOKUP(CONCATENATE($B21,"-",AA$8),'[1]liste complet essai'!$A$4:$K$1367,1,)</f>
        <v>18-86</v>
      </c>
      <c r="AB24" s="315" t="str">
        <f aca="false">VLOOKUP(CONCATENATE($B21,"-",AB$8),'[1]liste complet essai'!$A$4:$K$1367,1,)</f>
        <v>18-87</v>
      </c>
      <c r="AC24" s="315" t="str">
        <f aca="false">VLOOKUP(CONCATENATE($B21,"-",AC$8),'[1]liste complet essai'!$A$4:$K$1367,1,)</f>
        <v>18-88</v>
      </c>
      <c r="AD24" s="315" t="str">
        <f aca="false">VLOOKUP(CONCATENATE($B21,"-",AD$8),'[1]liste complet essai'!$A$4:$K$1367,1,)</f>
        <v>18-89</v>
      </c>
      <c r="AE24" s="315" t="str">
        <f aca="false">VLOOKUP(CONCATENATE($B21,"-",AE$8),'[1]liste complet essai'!$A$4:$K$1367,1,)</f>
        <v>18-90</v>
      </c>
      <c r="AF24" s="321"/>
      <c r="AI24" s="302"/>
      <c r="AJ24" s="330"/>
      <c r="AK24" s="317"/>
      <c r="AL24" s="331"/>
      <c r="AM24" s="315" t="str">
        <f aca="false">VLOOKUP(CONCATENATE($AI21,"-",AM$8),'[1]liste complet essai'!$A$4:$K$1367,1,)</f>
        <v>04-01</v>
      </c>
      <c r="AN24" s="315" t="str">
        <f aca="false">VLOOKUP(CONCATENATE($AI21,"-",AN$8),'[1]liste complet essai'!$A$4:$K$1367,1,)</f>
        <v>04-02</v>
      </c>
      <c r="AO24" s="315" t="str">
        <f aca="false">VLOOKUP(CONCATENATE($AI21,"-",AO$8),'[1]liste complet essai'!$A$4:$K$1367,1,)</f>
        <v>04-03</v>
      </c>
      <c r="AP24" s="315" t="str">
        <f aca="false">VLOOKUP(CONCATENATE($AI21,"-",AP$8),'[1]liste complet essai'!$A$4:$K$1367,1,)</f>
        <v>04-04</v>
      </c>
      <c r="AQ24" s="325" t="str">
        <f aca="false">VLOOKUP(CONCATENATE($AI21,"-",AQ$8),'[1]liste complet essai'!$A$4:$K$1367,1,)</f>
        <v>04-05</v>
      </c>
      <c r="AR24" s="315" t="str">
        <f aca="false">VLOOKUP(CONCATENATE($AI21,"-",AR$8),'[1]liste complet essai'!$A$4:$K$1367,1,)</f>
        <v>04-06</v>
      </c>
      <c r="AS24" s="315" t="str">
        <f aca="false">VLOOKUP(CONCATENATE($AI21,"-",AS$8),'[1]liste complet essai'!$A$4:$K$1367,1,)</f>
        <v>04-07</v>
      </c>
      <c r="AT24" s="315" t="str">
        <f aca="false">VLOOKUP(CONCATENATE($AI21,"-",AT$8),'[1]liste complet essai'!$A$4:$K$1367,1,)</f>
        <v>04-08</v>
      </c>
      <c r="AU24" s="315" t="str">
        <f aca="false">VLOOKUP(CONCATENATE($AI21,"-",AU$8),'[1]liste complet essai'!$A$4:$K$1367,1,)</f>
        <v>04-09</v>
      </c>
      <c r="AV24" s="315" t="str">
        <f aca="false">VLOOKUP(CONCATENATE($AI21,"-",AV$8),'[1]liste complet essai'!$A$4:$K$1367,1,)</f>
        <v>04-10</v>
      </c>
      <c r="AW24" s="315" t="str">
        <f aca="false">VLOOKUP(CONCATENATE($AI21,"-",AW$8),'[1]liste complet essai'!$A$4:$K$1367,1,)</f>
        <v>04-11</v>
      </c>
      <c r="AX24" s="315" t="str">
        <f aca="false">VLOOKUP(CONCATENATE($AI21,"-",AX$8),'[1]liste complet essai'!$A$4:$K$1367,1,)</f>
        <v>04-12</v>
      </c>
      <c r="AY24" s="315" t="str">
        <f aca="false">VLOOKUP(CONCATENATE($AI21,"-",AY$8),'[1]liste complet essai'!$A$4:$K$1367,1,)</f>
        <v>04-13</v>
      </c>
      <c r="AZ24" s="315" t="str">
        <f aca="false">VLOOKUP(CONCATENATE($AI21,"-",AZ$8),'[1]liste complet essai'!$A$4:$K$1367,1,)</f>
        <v>04-14</v>
      </c>
      <c r="BA24" s="315" t="str">
        <f aca="false">VLOOKUP(CONCATENATE($AI21,"-",BA$8),'[1]liste complet essai'!$A$4:$K$1367,1,)</f>
        <v>04-15</v>
      </c>
      <c r="BB24" s="315" t="str">
        <f aca="false">VLOOKUP(CONCATENATE($AI21,"-",BB$8),'[1]liste complet essai'!$A$4:$K$1367,1,)</f>
        <v>04-16</v>
      </c>
      <c r="BC24" s="315" t="str">
        <f aca="false">VLOOKUP(CONCATENATE($AI21,"-",BC$8),'[1]liste complet essai'!$A$4:$K$1367,1,)</f>
        <v>04-17</v>
      </c>
      <c r="BD24" s="315" t="str">
        <f aca="false">VLOOKUP(CONCATENATE($AI21,"-",BD$8),'[1]liste complet essai'!$A$4:$K$1367,1,)</f>
        <v>04-18</v>
      </c>
      <c r="BE24" s="315" t="str">
        <f aca="false">VLOOKUP(CONCATENATE($AI21,"-",BE$8),'[1]liste complet essai'!$A$4:$K$1367,1,)</f>
        <v>04-19</v>
      </c>
      <c r="BF24" s="315" t="str">
        <f aca="false">VLOOKUP(CONCATENATE($AI21,"-",BF$8),'[1]liste complet essai'!$A$4:$K$1367,1,)</f>
        <v>04-20</v>
      </c>
      <c r="BG24" s="315" t="str">
        <f aca="false">VLOOKUP(CONCATENATE($AI21,"-",BG$8),'[1]liste complet essai'!$A$4:$K$1367,1,)</f>
        <v>04-21</v>
      </c>
      <c r="BH24" s="315" t="str">
        <f aca="false">VLOOKUP(CONCATENATE($AI21,"-",BH$8),'[1]liste complet essai'!$A$4:$K$1367,1,)</f>
        <v>04-22</v>
      </c>
      <c r="BI24" s="315" t="str">
        <f aca="false">VLOOKUP(CONCATENATE($AI21,"-",BI$8),'[1]liste complet essai'!$A$4:$K$1367,1,)</f>
        <v>04-23</v>
      </c>
      <c r="BJ24" s="315" t="str">
        <f aca="false">VLOOKUP(CONCATENATE($AI21,"-",BJ$8),'[1]liste complet essai'!$A$4:$K$1367,1,)</f>
        <v>04-24</v>
      </c>
      <c r="BK24" s="315" t="str">
        <f aca="false">VLOOKUP(CONCATENATE($AI21,"-",BK$8),'[1]liste complet essai'!$A$4:$K$1367,1,)</f>
        <v>04-25</v>
      </c>
      <c r="BL24" s="315" t="str">
        <f aca="false">VLOOKUP(CONCATENATE($AI21,"-",BL$8),'[1]liste complet essai'!$A$4:$K$1367,1,)</f>
        <v>04-26</v>
      </c>
      <c r="BM24" s="315" t="str">
        <f aca="false">VLOOKUP(CONCATENATE($AI21,"-",BM$8),'[1]liste complet essai'!$A$4:$K$1367,1,)</f>
        <v>04-27</v>
      </c>
      <c r="BN24" s="315" t="str">
        <f aca="false">VLOOKUP(CONCATENATE($AI21,"-",BN$8),'[1]liste complet essai'!$A$4:$K$1367,1,)</f>
        <v>04-28</v>
      </c>
      <c r="BO24" s="315" t="str">
        <f aca="false">VLOOKUP(CONCATENATE($AI21,"-",BO$8),'[1]liste complet essai'!$A$4:$K$1367,1,)</f>
        <v>04-29</v>
      </c>
      <c r="BP24" s="315" t="str">
        <f aca="false">VLOOKUP(CONCATENATE($AI21,"-",BP$8),'[1]liste complet essai'!$A$4:$K$1367,1,)</f>
        <v>04-30</v>
      </c>
      <c r="BQ24" s="315" t="str">
        <f aca="false">VLOOKUP(CONCATENATE($AI21,"-",BQ$8),'[1]liste complet essai'!$A$4:$K$1367,1,)</f>
        <v>04-31</v>
      </c>
      <c r="BR24" s="315" t="str">
        <f aca="false">VLOOKUP(CONCATENATE($AI21,"-",BR$8),'[1]liste complet essai'!$A$4:$K$1367,1,)</f>
        <v>04-32</v>
      </c>
      <c r="BS24" s="310"/>
      <c r="BT24" s="310"/>
      <c r="BU24" s="310"/>
      <c r="BV24" s="310"/>
      <c r="BW24" s="310"/>
      <c r="BX24" s="310"/>
      <c r="BY24" s="310"/>
      <c r="BZ24" s="310"/>
      <c r="CA24" s="310"/>
      <c r="CB24" s="310"/>
      <c r="CC24" s="325" t="str">
        <f aca="false">VLOOKUP(CONCATENATE($AI21,"-",CC$8),'[1]liste complet essai'!$A$4:$K$1367,1,)</f>
        <v>04-33</v>
      </c>
      <c r="CD24" s="325" t="str">
        <f aca="false">VLOOKUP(CONCATENATE($AI21,"-",CD$8),'[1]liste complet essai'!$A$4:$K$1367,1,)</f>
        <v>04-34</v>
      </c>
      <c r="CE24" s="329" t="str">
        <f aca="false">VLOOKUP(CONCATENATE($AI21,"-",CE$8),'[1]liste complet essai'!$A$4:$K$1367,1,)</f>
        <v>04-35</v>
      </c>
      <c r="CF24" s="325" t="str">
        <f aca="false">VLOOKUP(CONCATENATE($AI21,"-",CF$8),'[1]liste complet essai'!$A$4:$K$1367,1,)</f>
        <v>04-36</v>
      </c>
      <c r="CG24" s="325" t="str">
        <f aca="false">VLOOKUP(CONCATENATE($AI21,"-",CG$8),'[1]liste complet essai'!$A$4:$K$1367,1,)</f>
        <v>04-37</v>
      </c>
      <c r="CH24" s="325" t="str">
        <f aca="false">VLOOKUP(CONCATENATE($AI21,"-",CH$8),'[1]liste complet essai'!$A$4:$K$1367,1,)</f>
        <v>04-38</v>
      </c>
      <c r="CI24" s="325" t="str">
        <f aca="false">VLOOKUP(CONCATENATE($AI21,"-",CI$8),'[1]liste complet essai'!$A$4:$K$1367,1,)</f>
        <v>04-39</v>
      </c>
      <c r="CJ24" s="325" t="str">
        <f aca="false">VLOOKUP(CONCATENATE($AI21,"-",CJ$8),'[1]liste complet essai'!$A$4:$K$1367,1,)</f>
        <v>04-40</v>
      </c>
      <c r="CK24" s="325" t="str">
        <f aca="false">VLOOKUP(CONCATENATE($AI21,"-",CK$8),'[1]liste complet essai'!$A$4:$K$1367,1,)</f>
        <v>04-41</v>
      </c>
      <c r="CL24" s="325" t="str">
        <f aca="false">VLOOKUP(CONCATENATE($AI21,"-",CL$8),'[1]liste complet essai'!$A$4:$K$1367,1,)</f>
        <v>04-42</v>
      </c>
      <c r="CM24" s="325" t="str">
        <f aca="false">VLOOKUP(CONCATENATE($AI21,"-",CM$8),'[1]liste complet essai'!$A$4:$K$1367,1,)</f>
        <v>04-43</v>
      </c>
      <c r="CN24" s="325" t="str">
        <f aca="false">VLOOKUP(CONCATENATE($AI21,"-",CN$8),'[1]liste complet essai'!$A$4:$K$1367,1,)</f>
        <v>04-44</v>
      </c>
      <c r="CO24" s="325" t="str">
        <f aca="false">VLOOKUP(CONCATENATE($AI21,"-",CO$8),'[1]liste complet essai'!$A$4:$K$1367,1,)</f>
        <v>04-45</v>
      </c>
      <c r="CP24" s="325" t="str">
        <f aca="false">VLOOKUP(CONCATENATE($AI21,"-",CP$8),'[1]liste complet essai'!$A$4:$K$1367,1,)</f>
        <v>04-46</v>
      </c>
      <c r="CQ24" s="325" t="str">
        <f aca="false">VLOOKUP(CONCATENATE($AI21,"-",CQ$8),'[1]liste complet essai'!$A$4:$K$1367,1,)</f>
        <v>04-47</v>
      </c>
      <c r="CR24" s="325" t="str">
        <f aca="false">VLOOKUP(CONCATENATE($AI21,"-",CR$8),'[1]liste complet essai'!$A$4:$K$1367,1,)</f>
        <v>04-48</v>
      </c>
      <c r="CS24" s="325" t="str">
        <f aca="false">VLOOKUP(CONCATENATE($AI21,"-",CS$8),'[1]liste complet essai'!$A$4:$K$1367,1,)</f>
        <v>04-49</v>
      </c>
      <c r="CT24" s="325" t="str">
        <f aca="false">VLOOKUP(CONCATENATE($AI21,"-",CT$8),'[1]liste complet essai'!$A$4:$K$1367,1,)</f>
        <v>04-50</v>
      </c>
      <c r="CU24" s="325" t="str">
        <f aca="false">VLOOKUP(CONCATENATE($AI21,"-",CU$8),'[1]liste complet essai'!$A$4:$K$1367,1,)</f>
        <v>04-51</v>
      </c>
      <c r="CV24" s="325" t="str">
        <f aca="false">VLOOKUP(CONCATENATE($AI21,"-",CV$8),'[1]liste complet essai'!$A$4:$K$1367,1,)</f>
        <v>04-52</v>
      </c>
      <c r="CW24" s="325" t="str">
        <f aca="false">VLOOKUP(CONCATENATE($AI21,"-",CW$8),'[1]liste complet essai'!$A$4:$K$1367,1,)</f>
        <v>04-53</v>
      </c>
      <c r="CX24" s="325" t="str">
        <f aca="false">VLOOKUP(CONCATENATE($AI21,"-",CX$8),'[1]liste complet essai'!$A$4:$K$1367,1,)</f>
        <v>04-54</v>
      </c>
      <c r="CY24" s="325" t="str">
        <f aca="false">VLOOKUP(CONCATENATE($AI21,"-",CY$8),'[1]liste complet essai'!$A$4:$K$1367,1,)</f>
        <v>04-55</v>
      </c>
      <c r="CZ24" s="325" t="str">
        <f aca="false">VLOOKUP(CONCATENATE($AI21,"-",CZ$8),'[1]liste complet essai'!$A$4:$K$1367,1,)</f>
        <v>04-56</v>
      </c>
      <c r="DA24" s="325" t="str">
        <f aca="false">VLOOKUP(CONCATENATE($AI21,"-",DA$8),'[1]liste complet essai'!$A$4:$K$1367,1,)</f>
        <v>04-57</v>
      </c>
      <c r="DB24" s="325" t="str">
        <f aca="false">VLOOKUP(CONCATENATE($AI21,"-",DB$8),'[1]liste complet essai'!$A$4:$K$1367,1,)</f>
        <v>04-58</v>
      </c>
      <c r="DC24" s="325" t="str">
        <f aca="false">VLOOKUP(CONCATENATE($AI21,"-",DC$8),'[1]liste complet essai'!$A$4:$K$1367,1,)</f>
        <v>04-59</v>
      </c>
      <c r="DD24" s="325" t="str">
        <f aca="false">VLOOKUP(CONCATENATE($AI21,"-",DD$8),'[1]liste complet essai'!$A$4:$K$1367,1,)</f>
        <v>04-60</v>
      </c>
      <c r="DE24" s="325" t="str">
        <f aca="false">VLOOKUP(CONCATENATE($AI21,"-",DE$8),'[1]liste complet essai'!$A$4:$K$1367,1,)</f>
        <v>04-61</v>
      </c>
      <c r="DF24" s="325" t="str">
        <f aca="false">VLOOKUP(CONCATENATE($AI21,"-",DF$8),'[1]liste complet essai'!$A$4:$K$1367,1,)</f>
        <v>04-62</v>
      </c>
      <c r="DG24" s="325" t="str">
        <f aca="false">VLOOKUP(CONCATENATE($AI21,"-",DG$8),'[1]liste complet essai'!$A$4:$K$1367,1,)</f>
        <v>04-63</v>
      </c>
      <c r="DH24" s="325" t="str">
        <f aca="false">VLOOKUP(CONCATENATE($AI21,"-",DH$8),'[1]liste complet essai'!$A$4:$K$1367,1,)</f>
        <v>04-64</v>
      </c>
      <c r="DI24" s="324"/>
      <c r="DJ24" s="317"/>
      <c r="DK24" s="321"/>
    </row>
    <row r="25" customFormat="false" ht="12" hidden="false" customHeight="false" outlineLevel="0" collapsed="false">
      <c r="B25" s="293" t="n">
        <v>19</v>
      </c>
      <c r="C25" s="330" t="s">
        <v>8122</v>
      </c>
      <c r="D25" s="319"/>
      <c r="E25" s="331" t="s">
        <v>8122</v>
      </c>
      <c r="F25" s="299" t="str">
        <f aca="false">VLOOKUP(CONCATENATE($B25,"-",F$8),'[1]liste complet essai'!$A$4:$K$1367,4,)</f>
        <v>AM</v>
      </c>
      <c r="G25" s="299" t="str">
        <f aca="false">VLOOKUP(CONCATENATE($B25,"-",G$8),'[1]liste complet essai'!$A$4:$K$1367,4,)</f>
        <v>AM</v>
      </c>
      <c r="H25" s="299" t="str">
        <f aca="false">VLOOKUP(CONCATENATE($B25,"-",H$8),'[1]liste complet essai'!$A$4:$K$1367,4,)</f>
        <v>AM</v>
      </c>
      <c r="I25" s="299" t="str">
        <f aca="false">VLOOKUP(CONCATENATE($B25,"-",I$8),'[1]liste complet essai'!$A$4:$K$1367,4,)</f>
        <v>AM</v>
      </c>
      <c r="J25" s="299" t="str">
        <f aca="false">VLOOKUP(CONCATENATE($B25,"-",J$8),'[1]liste complet essai'!$A$4:$K$1367,4,)</f>
        <v>AM</v>
      </c>
      <c r="K25" s="299" t="str">
        <f aca="false">VLOOKUP(CONCATENATE($B25,"-",K$8),'[1]liste complet essai'!$A$4:$K$1367,4,)</f>
        <v>AM</v>
      </c>
      <c r="L25" s="299" t="str">
        <f aca="false">VLOOKUP(CONCATENATE($B25,"-",L$8),'[1]liste complet essai'!$A$4:$K$1367,4,)</f>
        <v>AM</v>
      </c>
      <c r="M25" s="299" t="str">
        <f aca="false">VLOOKUP(CONCATENATE($B25,"-",M$8),'[1]liste complet essai'!$A$4:$K$1367,4,)</f>
        <v>AM</v>
      </c>
      <c r="N25" s="299" t="str">
        <f aca="false">VLOOKUP(CONCATENATE($B25,"-",N$8),'[1]liste complet essai'!$A$4:$K$1367,4,)</f>
        <v>AM</v>
      </c>
      <c r="O25" s="299" t="str">
        <f aca="false">VLOOKUP(CONCATENATE($B25,"-",O$8),'[1]liste complet essai'!$A$4:$K$1367,4,)</f>
        <v>AM</v>
      </c>
      <c r="P25" s="299" t="str">
        <f aca="false">VLOOKUP(CONCATENATE($B25,"-",P$8),'[1]liste complet essai'!$A$4:$K$1367,4,)</f>
        <v>AM</v>
      </c>
      <c r="Q25" s="299" t="str">
        <f aca="false">VLOOKUP(CONCATENATE($B25,"-",Q$8),'[1]liste complet essai'!$A$4:$K$1367,4,)</f>
        <v>AM</v>
      </c>
      <c r="R25" s="299" t="str">
        <f aca="false">VLOOKUP(CONCATENATE($B25,"-",R$8),'[1]liste complet essai'!$A$4:$K$1367,4,)</f>
        <v>AM</v>
      </c>
      <c r="S25" s="299" t="str">
        <f aca="false">VLOOKUP(CONCATENATE($B25,"-",S$8),'[1]liste complet essai'!$A$4:$K$1367,4,)</f>
        <v>AM</v>
      </c>
      <c r="T25" s="299" t="str">
        <f aca="false">VLOOKUP(CONCATENATE($B25,"-",T$8),'[1]liste complet essai'!$A$4:$K$1367,4,)</f>
        <v>AM</v>
      </c>
      <c r="U25" s="299" t="str">
        <f aca="false">VLOOKUP(CONCATENATE($B25,"-",U$8),'[1]liste complet essai'!$A$4:$K$1367,4,)</f>
        <v>AM</v>
      </c>
      <c r="V25" s="299" t="str">
        <f aca="false">VLOOKUP(CONCATENATE($B25,"-",V$8),'[1]liste complet essai'!$A$4:$K$1367,4,)</f>
        <v>AM</v>
      </c>
      <c r="W25" s="299" t="str">
        <f aca="false">VLOOKUP(CONCATENATE($B25,"-",W$8),'[1]liste complet essai'!$A$4:$K$1367,4,)</f>
        <v>AM</v>
      </c>
      <c r="X25" s="299" t="str">
        <f aca="false">VLOOKUP(CONCATENATE($B25,"-",X$8),'[1]liste complet essai'!$A$4:$K$1367,4,)</f>
        <v>AM</v>
      </c>
      <c r="Y25" s="299" t="str">
        <f aca="false">VLOOKUP(CONCATENATE($B25,"-",Y$8),'[1]liste complet essai'!$A$4:$K$1367,4,)</f>
        <v>AM</v>
      </c>
      <c r="Z25" s="299" t="str">
        <f aca="false">VLOOKUP(CONCATENATE($B25,"-",Z$8),'[1]liste complet essai'!$A$4:$K$1367,4,)</f>
        <v>AM</v>
      </c>
      <c r="AA25" s="298" t="str">
        <f aca="false">VLOOKUP(CONCATENATE($B25,"-",AA$8),'[1]liste complet essai'!$A$4:$K$1367,4,)</f>
        <v>AM</v>
      </c>
      <c r="AB25" s="299" t="str">
        <f aca="false">VLOOKUP(CONCATENATE($B25,"-",AB$8),'[1]liste complet essai'!$A$4:$K$1367,4,)</f>
        <v>AM</v>
      </c>
      <c r="AC25" s="299" t="str">
        <f aca="false">VLOOKUP(CONCATENATE($B25,"-",AC$8),'[1]liste complet essai'!$A$4:$K$1367,4,)</f>
        <v>AM</v>
      </c>
      <c r="AD25" s="299" t="str">
        <f aca="false">VLOOKUP(CONCATENATE($B25,"-",AD$8),'[1]liste complet essai'!$A$4:$K$1367,4,)</f>
        <v>AM</v>
      </c>
      <c r="AE25" s="299" t="str">
        <f aca="false">VLOOKUP(CONCATENATE($B25,"-",AE$8),'[1]liste complet essai'!$A$4:$K$1367,4,)</f>
        <v>AM</v>
      </c>
      <c r="AF25" s="332" t="s">
        <v>8122</v>
      </c>
      <c r="AJ25" s="333"/>
      <c r="AK25" s="334"/>
      <c r="AL25" s="335"/>
      <c r="AM25" s="335"/>
      <c r="AN25" s="335"/>
      <c r="AO25" s="335"/>
      <c r="AP25" s="335"/>
      <c r="AQ25" s="335"/>
      <c r="AR25" s="335"/>
      <c r="AS25" s="335"/>
      <c r="AT25" s="335"/>
      <c r="AU25" s="335"/>
      <c r="AV25" s="335"/>
      <c r="AW25" s="335"/>
      <c r="AX25" s="335"/>
      <c r="AY25" s="335"/>
      <c r="AZ25" s="335"/>
      <c r="BA25" s="335"/>
      <c r="BB25" s="335"/>
      <c r="BC25" s="335"/>
      <c r="BD25" s="335"/>
      <c r="BE25" s="335"/>
      <c r="BF25" s="335"/>
      <c r="BG25" s="335"/>
      <c r="BH25" s="335"/>
      <c r="BI25" s="335"/>
      <c r="BJ25" s="335"/>
      <c r="BK25" s="335"/>
      <c r="BL25" s="335"/>
      <c r="BM25" s="335"/>
      <c r="BN25" s="335"/>
      <c r="BO25" s="335"/>
      <c r="BP25" s="335"/>
      <c r="BQ25" s="335"/>
      <c r="BR25" s="335"/>
      <c r="BS25" s="310"/>
      <c r="BT25" s="310"/>
      <c r="BU25" s="310"/>
      <c r="BV25" s="310"/>
      <c r="BW25" s="310"/>
      <c r="BX25" s="310"/>
      <c r="BY25" s="310"/>
      <c r="BZ25" s="310"/>
      <c r="CA25" s="310"/>
      <c r="CB25" s="310"/>
      <c r="CC25" s="335"/>
      <c r="CD25" s="335"/>
      <c r="CE25" s="335"/>
      <c r="CF25" s="335"/>
      <c r="CG25" s="335"/>
      <c r="CH25" s="335"/>
      <c r="CI25" s="335"/>
      <c r="CJ25" s="335"/>
      <c r="CK25" s="335"/>
      <c r="CL25" s="335"/>
      <c r="CM25" s="335"/>
      <c r="CN25" s="335"/>
      <c r="CO25" s="335"/>
      <c r="CP25" s="335"/>
      <c r="CQ25" s="335"/>
      <c r="CR25" s="335"/>
      <c r="CS25" s="335"/>
      <c r="CT25" s="335"/>
      <c r="CU25" s="335"/>
      <c r="CV25" s="335"/>
      <c r="CW25" s="335"/>
      <c r="CX25" s="335"/>
      <c r="CY25" s="335"/>
      <c r="CZ25" s="335"/>
      <c r="DA25" s="335"/>
      <c r="DB25" s="335"/>
      <c r="DC25" s="335"/>
      <c r="DD25" s="335"/>
      <c r="DE25" s="335"/>
      <c r="DF25" s="335"/>
      <c r="DG25" s="335"/>
      <c r="DH25" s="335"/>
      <c r="DI25" s="335"/>
      <c r="DJ25" s="334"/>
      <c r="DK25" s="336"/>
    </row>
    <row r="26" customFormat="false" ht="12" hidden="false" customHeight="false" outlineLevel="0" collapsed="false">
      <c r="B26" s="293"/>
      <c r="C26" s="330"/>
      <c r="D26" s="307"/>
      <c r="E26" s="331"/>
      <c r="F26" s="308" t="str">
        <f aca="false">VLOOKUP(CONCATENATE($B25,"-",F$8),'[1]liste complet essai'!$A$4:$K$1367,9,)</f>
        <v>N1-b3</v>
      </c>
      <c r="G26" s="308" t="str">
        <f aca="false">VLOOKUP(CONCATENATE($B25,"-",G$8),'[1]liste complet essai'!$A$4:$K$1367,9,)</f>
        <v>N1-b3</v>
      </c>
      <c r="H26" s="308" t="str">
        <f aca="false">VLOOKUP(CONCATENATE($B25,"-",H$8),'[1]liste complet essai'!$A$4:$K$1367,9,)</f>
        <v>N1-b3</v>
      </c>
      <c r="I26" s="308" t="str">
        <f aca="false">VLOOKUP(CONCATENATE($B25,"-",I$8),'[1]liste complet essai'!$A$4:$K$1367,9,)</f>
        <v>N1-b3</v>
      </c>
      <c r="J26" s="308" t="str">
        <f aca="false">VLOOKUP(CONCATENATE($B25,"-",J$8),'[1]liste complet essai'!$A$4:$K$1367,9,)</f>
        <v>N1-b3</v>
      </c>
      <c r="K26" s="308" t="str">
        <f aca="false">VLOOKUP(CONCATENATE($B25,"-",K$8),'[1]liste complet essai'!$A$4:$K$1367,9,)</f>
        <v>N1-b3</v>
      </c>
      <c r="L26" s="308" t="str">
        <f aca="false">VLOOKUP(CONCATENATE($B25,"-",L$8),'[1]liste complet essai'!$A$4:$K$1367,9,)</f>
        <v>N1-b3</v>
      </c>
      <c r="M26" s="308" t="str">
        <f aca="false">VLOOKUP(CONCATENATE($B25,"-",M$8),'[1]liste complet essai'!$A$4:$K$1367,9,)</f>
        <v>N1-b3</v>
      </c>
      <c r="N26" s="308" t="str">
        <f aca="false">VLOOKUP(CONCATENATE($B25,"-",N$8),'[1]liste complet essai'!$A$4:$K$1367,9,)</f>
        <v>N1-b3</v>
      </c>
      <c r="O26" s="308" t="str">
        <f aca="false">VLOOKUP(CONCATENATE($B25,"-",O$8),'[1]liste complet essai'!$A$4:$K$1367,9,)</f>
        <v>N1-b3</v>
      </c>
      <c r="P26" s="308" t="str">
        <f aca="false">VLOOKUP(CONCATENATE($B25,"-",P$8),'[1]liste complet essai'!$A$4:$K$1367,9,)</f>
        <v>N1-b3</v>
      </c>
      <c r="Q26" s="308" t="str">
        <f aca="false">VLOOKUP(CONCATENATE($B25,"-",Q$8),'[1]liste complet essai'!$A$4:$K$1367,9,)</f>
        <v>N1-b3</v>
      </c>
      <c r="R26" s="308" t="str">
        <f aca="false">VLOOKUP(CONCATENATE($B25,"-",R$8),'[1]liste complet essai'!$A$4:$K$1367,9,)</f>
        <v>N1-b3</v>
      </c>
      <c r="S26" s="308" t="str">
        <f aca="false">VLOOKUP(CONCATENATE($B25,"-",S$8),'[1]liste complet essai'!$A$4:$K$1367,9,)</f>
        <v>N1-b3</v>
      </c>
      <c r="T26" s="308" t="str">
        <f aca="false">VLOOKUP(CONCATENATE($B25,"-",T$8),'[1]liste complet essai'!$A$4:$K$1367,9,)</f>
        <v>N1-b3</v>
      </c>
      <c r="U26" s="308" t="str">
        <f aca="false">VLOOKUP(CONCATENATE($B25,"-",U$8),'[1]liste complet essai'!$A$4:$K$1367,9,)</f>
        <v>N1-b3</v>
      </c>
      <c r="V26" s="308" t="str">
        <f aca="false">VLOOKUP(CONCATENATE($B25,"-",V$8),'[1]liste complet essai'!$A$4:$K$1367,9,)</f>
        <v>N1-b3</v>
      </c>
      <c r="W26" s="308" t="str">
        <f aca="false">VLOOKUP(CONCATENATE($B25,"-",W$8),'[1]liste complet essai'!$A$4:$K$1367,9,)</f>
        <v>N1-b3</v>
      </c>
      <c r="X26" s="308" t="str">
        <f aca="false">VLOOKUP(CONCATENATE($B25,"-",X$8),'[1]liste complet essai'!$A$4:$K$1367,9,)</f>
        <v>N1-b3</v>
      </c>
      <c r="Y26" s="308" t="str">
        <f aca="false">VLOOKUP(CONCATENATE($B25,"-",Y$8),'[1]liste complet essai'!$A$4:$K$1367,9,)</f>
        <v>N1-b3</v>
      </c>
      <c r="Z26" s="308" t="str">
        <f aca="false">VLOOKUP(CONCATENATE($B25,"-",Z$8),'[1]liste complet essai'!$A$4:$K$1367,9,)</f>
        <v>N1-b3</v>
      </c>
      <c r="AA26" s="298" t="str">
        <f aca="false">VLOOKUP(CONCATENATE($B25,"-",AA$8),'[1]liste complet essai'!$A$4:$K$1367,9,)</f>
        <v>N1-b3</v>
      </c>
      <c r="AB26" s="308" t="str">
        <f aca="false">VLOOKUP(CONCATENATE($B25,"-",AB$8),'[1]liste complet essai'!$A$4:$K$1367,9,)</f>
        <v>N1-b3</v>
      </c>
      <c r="AC26" s="308" t="str">
        <f aca="false">VLOOKUP(CONCATENATE($B25,"-",AC$8),'[1]liste complet essai'!$A$4:$K$1367,9,)</f>
        <v>N1-b3</v>
      </c>
      <c r="AD26" s="308" t="str">
        <f aca="false">VLOOKUP(CONCATENATE($B25,"-",AD$8),'[1]liste complet essai'!$A$4:$K$1367,9,)</f>
        <v>N1-b3</v>
      </c>
      <c r="AE26" s="308" t="str">
        <f aca="false">VLOOKUP(CONCATENATE($B25,"-",AE$8),'[1]liste complet essai'!$A$4:$K$1367,9,)</f>
        <v>N1-b3</v>
      </c>
      <c r="AF26" s="332"/>
      <c r="AI26" s="302" t="s">
        <v>8128</v>
      </c>
      <c r="AJ26" s="337" t="s">
        <v>8122</v>
      </c>
      <c r="AK26" s="322"/>
      <c r="AL26" s="324" t="s">
        <v>8122</v>
      </c>
      <c r="AM26" s="305" t="str">
        <f aca="false">VLOOKUP(CONCATENATE($AI26,"-",AM$8),'[1]liste complet essai'!$A$4:$K$1367,4,)</f>
        <v>AM</v>
      </c>
      <c r="AN26" s="305" t="str">
        <f aca="false">VLOOKUP(CONCATENATE($AI26,"-",AN$8),'[1]liste complet essai'!$A$4:$K$1367,4,)</f>
        <v>AM</v>
      </c>
      <c r="AO26" s="305" t="str">
        <f aca="false">VLOOKUP(CONCATENATE($AI26,"-",AO$8),'[1]liste complet essai'!$A$4:$K$1367,4,)</f>
        <v>AM</v>
      </c>
      <c r="AP26" s="305" t="str">
        <f aca="false">VLOOKUP(CONCATENATE($AI26,"-",AP$8),'[1]liste complet essai'!$A$4:$K$1367,4,)</f>
        <v>AM</v>
      </c>
      <c r="AQ26" s="305" t="str">
        <f aca="false">VLOOKUP(CONCATENATE($AI26,"-",AQ$8),'[1]liste complet essai'!$A$4:$K$1367,4,)</f>
        <v>AM</v>
      </c>
      <c r="AR26" s="305" t="str">
        <f aca="false">VLOOKUP(CONCATENATE($AI26,"-",AR$8),'[1]liste complet essai'!$A$4:$K$1367,4,)</f>
        <v>AM</v>
      </c>
      <c r="AS26" s="305" t="str">
        <f aca="false">VLOOKUP(CONCATENATE($AI26,"-",AS$8),'[1]liste complet essai'!$A$4:$K$1367,4,)</f>
        <v>AM</v>
      </c>
      <c r="AT26" s="305" t="str">
        <f aca="false">VLOOKUP(CONCATENATE($AI26,"-",AT$8),'[1]liste complet essai'!$A$4:$K$1367,4,)</f>
        <v>AM</v>
      </c>
      <c r="AU26" s="305" t="str">
        <f aca="false">VLOOKUP(CONCATENATE($AI26,"-",AU$8),'[1]liste complet essai'!$A$4:$K$1367,4,)</f>
        <v>AM</v>
      </c>
      <c r="AV26" s="305" t="str">
        <f aca="false">VLOOKUP(CONCATENATE($AI26,"-",AV$8),'[1]liste complet essai'!$A$4:$K$1367,4,)</f>
        <v>AM</v>
      </c>
      <c r="AW26" s="305" t="str">
        <f aca="false">VLOOKUP(CONCATENATE($AI26,"-",AW$8),'[1]liste complet essai'!$A$4:$K$1367,4,)</f>
        <v>AM</v>
      </c>
      <c r="AX26" s="305" t="str">
        <f aca="false">VLOOKUP(CONCATENATE($AI26,"-",AX$8),'[1]liste complet essai'!$A$4:$K$1367,4,)</f>
        <v>AM</v>
      </c>
      <c r="AY26" s="305" t="str">
        <f aca="false">VLOOKUP(CONCATENATE($AI26,"-",AY$8),'[1]liste complet essai'!$A$4:$K$1367,4,)</f>
        <v>AM</v>
      </c>
      <c r="AZ26" s="305" t="str">
        <f aca="false">VLOOKUP(CONCATENATE($AI26,"-",AZ$8),'[1]liste complet essai'!$A$4:$K$1367,4,)</f>
        <v>AM</v>
      </c>
      <c r="BA26" s="305" t="str">
        <f aca="false">VLOOKUP(CONCATENATE($AI26,"-",BA$8),'[1]liste complet essai'!$A$4:$K$1367,4,)</f>
        <v>AM</v>
      </c>
      <c r="BB26" s="305" t="str">
        <f aca="false">VLOOKUP(CONCATENATE($AI26,"-",BB$8),'[1]liste complet essai'!$A$4:$K$1367,4,)</f>
        <v>AM</v>
      </c>
      <c r="BC26" s="305" t="str">
        <f aca="false">VLOOKUP(CONCATENATE($AI26,"-",BC$8),'[1]liste complet essai'!$A$4:$K$1367,4,)</f>
        <v>AM</v>
      </c>
      <c r="BD26" s="305" t="str">
        <f aca="false">VLOOKUP(CONCATENATE($AI26,"-",BD$8),'[1]liste complet essai'!$A$4:$K$1367,4,)</f>
        <v>AM</v>
      </c>
      <c r="BE26" s="298" t="str">
        <f aca="false">VLOOKUP(CONCATENATE($AI26,"-",BE$8),'[1]liste complet essai'!$A$4:$K$1367,4,)</f>
        <v>AM</v>
      </c>
      <c r="BF26" s="305" t="str">
        <f aca="false">VLOOKUP(CONCATENATE($AI26,"-",BF$8),'[1]liste complet essai'!$A$4:$K$1367,4,)</f>
        <v>AM</v>
      </c>
      <c r="BG26" s="305" t="str">
        <f aca="false">VLOOKUP(CONCATENATE($AI26,"-",BG$8),'[1]liste complet essai'!$A$4:$K$1367,4,)</f>
        <v>AM</v>
      </c>
      <c r="BH26" s="298" t="str">
        <f aca="false">VLOOKUP(CONCATENATE($AI26,"-",BH$8),'[1]liste complet essai'!$A$4:$K$1367,4,)</f>
        <v>AM</v>
      </c>
      <c r="BI26" s="305" t="str">
        <f aca="false">VLOOKUP(CONCATENATE($AI26,"-",BI$8),'[1]liste complet essai'!$A$4:$K$1367,4,)</f>
        <v>AM</v>
      </c>
      <c r="BJ26" s="305" t="str">
        <f aca="false">VLOOKUP(CONCATENATE($AI26,"-",BJ$8),'[1]liste complet essai'!$A$4:$K$1367,4,)</f>
        <v>AM</v>
      </c>
      <c r="BK26" s="305" t="str">
        <f aca="false">VLOOKUP(CONCATENATE($AI26,"-",BK$8),'[1]liste complet essai'!$A$4:$K$1367,4,)</f>
        <v>AM</v>
      </c>
      <c r="BL26" s="305" t="str">
        <f aca="false">VLOOKUP(CONCATENATE($AI26,"-",BL$8),'[1]liste complet essai'!$A$4:$K$1367,4,)</f>
        <v>AM</v>
      </c>
      <c r="BM26" s="305" t="str">
        <f aca="false">VLOOKUP(CONCATENATE($AI26,"-",BM$8),'[1]liste complet essai'!$A$4:$K$1367,4,)</f>
        <v>AM</v>
      </c>
      <c r="BN26" s="305" t="str">
        <f aca="false">VLOOKUP(CONCATENATE($AI26,"-",BN$8),'[1]liste complet essai'!$A$4:$K$1367,4,)</f>
        <v>AM</v>
      </c>
      <c r="BO26" s="305" t="str">
        <f aca="false">VLOOKUP(CONCATENATE($AI26,"-",BO$8),'[1]liste complet essai'!$A$4:$K$1367,4,)</f>
        <v>AM</v>
      </c>
      <c r="BP26" s="305" t="str">
        <f aca="false">VLOOKUP(CONCATENATE($AI26,"-",BP$8),'[1]liste complet essai'!$A$4:$K$1367,4,)</f>
        <v>AM</v>
      </c>
      <c r="BQ26" s="305" t="str">
        <f aca="false">VLOOKUP(CONCATENATE($AI26,"-",BQ$8),'[1]liste complet essai'!$A$4:$K$1367,4,)</f>
        <v>AM</v>
      </c>
      <c r="BR26" s="305" t="str">
        <f aca="false">VLOOKUP(CONCATENATE($AI26,"-",BR$8),'[1]liste complet essai'!$A$4:$K$1367,4,)</f>
        <v>AM</v>
      </c>
      <c r="BS26" s="310"/>
      <c r="BT26" s="310"/>
      <c r="BU26" s="310"/>
      <c r="BV26" s="310"/>
      <c r="BW26" s="310"/>
      <c r="BX26" s="310"/>
      <c r="BY26" s="310"/>
      <c r="BZ26" s="310"/>
      <c r="CA26" s="310"/>
      <c r="CB26" s="310"/>
      <c r="CC26" s="297" t="str">
        <f aca="false">VLOOKUP(CONCATENATE($AI26,"-",CC$8),'[1]liste complet essai'!$A$4:$K$1367,4,)</f>
        <v>AM</v>
      </c>
      <c r="CD26" s="297" t="str">
        <f aca="false">VLOOKUP(CONCATENATE($AI26,"-",CD$8),'[1]liste complet essai'!$A$4:$K$1367,4,)</f>
        <v>AM</v>
      </c>
      <c r="CE26" s="300" t="str">
        <f aca="false">VLOOKUP(CONCATENATE($AI26,"-",CE$8),'[1]liste complet essai'!$A$4:$K$1367,4,)</f>
        <v>AM</v>
      </c>
      <c r="CF26" s="297" t="str">
        <f aca="false">VLOOKUP(CONCATENATE($AI26,"-",CF$8),'[1]liste complet essai'!$A$4:$K$1367,4,)</f>
        <v>AM</v>
      </c>
      <c r="CG26" s="297" t="str">
        <f aca="false">VLOOKUP(CONCATENATE($AI26,"-",CG$8),'[1]liste complet essai'!$A$4:$K$1367,4,)</f>
        <v>AM</v>
      </c>
      <c r="CH26" s="297" t="str">
        <f aca="false">VLOOKUP(CONCATENATE($AI26,"-",CH$8),'[1]liste complet essai'!$A$4:$K$1367,4,)</f>
        <v>AM</v>
      </c>
      <c r="CI26" s="297" t="str">
        <f aca="false">VLOOKUP(CONCATENATE($AI26,"-",CI$8),'[1]liste complet essai'!$A$4:$K$1367,4,)</f>
        <v>AM</v>
      </c>
      <c r="CJ26" s="297" t="str">
        <f aca="false">VLOOKUP(CONCATENATE($AI26,"-",CJ$8),'[1]liste complet essai'!$A$4:$K$1367,4,)</f>
        <v>AM</v>
      </c>
      <c r="CK26" s="297" t="str">
        <f aca="false">VLOOKUP(CONCATENATE($AI26,"-",CK$8),'[1]liste complet essai'!$A$4:$K$1367,4,)</f>
        <v>AM</v>
      </c>
      <c r="CL26" s="297" t="str">
        <f aca="false">VLOOKUP(CONCATENATE($AI26,"-",CL$8),'[1]liste complet essai'!$A$4:$K$1367,4,)</f>
        <v>AM</v>
      </c>
      <c r="CM26" s="297" t="str">
        <f aca="false">VLOOKUP(CONCATENATE($AI26,"-",CM$8),'[1]liste complet essai'!$A$4:$K$1367,4,)</f>
        <v>AM</v>
      </c>
      <c r="CN26" s="297" t="str">
        <f aca="false">VLOOKUP(CONCATENATE($AI26,"-",CN$8),'[1]liste complet essai'!$A$4:$K$1367,4,)</f>
        <v>AM</v>
      </c>
      <c r="CO26" s="297" t="str">
        <f aca="false">VLOOKUP(CONCATENATE($AI26,"-",CO$8),'[1]liste complet essai'!$A$4:$K$1367,4,)</f>
        <v>AM</v>
      </c>
      <c r="CP26" s="297" t="str">
        <f aca="false">VLOOKUP(CONCATENATE($AI26,"-",CP$8),'[1]liste complet essai'!$A$4:$K$1367,4,)</f>
        <v>AM</v>
      </c>
      <c r="CQ26" s="297" t="str">
        <f aca="false">VLOOKUP(CONCATENATE($AI26,"-",CQ$8),'[1]liste complet essai'!$A$4:$K$1367,4,)</f>
        <v>AM</v>
      </c>
      <c r="CR26" s="297" t="str">
        <f aca="false">VLOOKUP(CONCATENATE($AI26,"-",CR$8),'[1]liste complet essai'!$A$4:$K$1367,4,)</f>
        <v>AM</v>
      </c>
      <c r="CS26" s="297" t="str">
        <f aca="false">VLOOKUP(CONCATENATE($AI26,"-",CS$8),'[1]liste complet essai'!$A$4:$K$1367,4,)</f>
        <v>AM</v>
      </c>
      <c r="CT26" s="297" t="str">
        <f aca="false">VLOOKUP(CONCATENATE($AI26,"-",CT$8),'[1]liste complet essai'!$A$4:$K$1367,4,)</f>
        <v>AM</v>
      </c>
      <c r="CU26" s="297" t="str">
        <f aca="false">VLOOKUP(CONCATENATE($AI26,"-",CU$8),'[1]liste complet essai'!$A$4:$K$1367,4,)</f>
        <v>AM</v>
      </c>
      <c r="CV26" s="297" t="str">
        <f aca="false">VLOOKUP(CONCATENATE($AI26,"-",CV$8),'[1]liste complet essai'!$A$4:$K$1367,4,)</f>
        <v>AM</v>
      </c>
      <c r="CW26" s="297" t="str">
        <f aca="false">VLOOKUP(CONCATENATE($AI26,"-",CW$8),'[1]liste complet essai'!$A$4:$K$1367,4,)</f>
        <v>AM</v>
      </c>
      <c r="CX26" s="297" t="str">
        <f aca="false">VLOOKUP(CONCATENATE($AI26,"-",CX$8),'[1]liste complet essai'!$A$4:$K$1367,4,)</f>
        <v>AM</v>
      </c>
      <c r="CY26" s="297" t="str">
        <f aca="false">VLOOKUP(CONCATENATE($AI26,"-",CY$8),'[1]liste complet essai'!$A$4:$K$1367,4,)</f>
        <v>AM</v>
      </c>
      <c r="CZ26" s="297" t="str">
        <f aca="false">VLOOKUP(CONCATENATE($AI26,"-",CZ$8),'[1]liste complet essai'!$A$4:$K$1367,4,)</f>
        <v>AM</v>
      </c>
      <c r="DA26" s="297" t="str">
        <f aca="false">VLOOKUP(CONCATENATE($AI26,"-",DA$8),'[1]liste complet essai'!$A$4:$K$1367,4,)</f>
        <v>AM</v>
      </c>
      <c r="DB26" s="297" t="str">
        <f aca="false">VLOOKUP(CONCATENATE($AI26,"-",DB$8),'[1]liste complet essai'!$A$4:$K$1367,4,)</f>
        <v>AM</v>
      </c>
      <c r="DC26" s="297" t="str">
        <f aca="false">VLOOKUP(CONCATENATE($AI26,"-",DC$8),'[1]liste complet essai'!$A$4:$K$1367,4,)</f>
        <v>AM</v>
      </c>
      <c r="DD26" s="297" t="str">
        <f aca="false">VLOOKUP(CONCATENATE($AI26,"-",DD$8),'[1]liste complet essai'!$A$4:$K$1367,4,)</f>
        <v>AM</v>
      </c>
      <c r="DE26" s="297" t="str">
        <f aca="false">VLOOKUP(CONCATENATE($AI26,"-",DE$8),'[1]liste complet essai'!$A$4:$K$1367,4,)</f>
        <v>AM</v>
      </c>
      <c r="DF26" s="298" t="str">
        <f aca="false">VLOOKUP(CONCATENATE($AI26,"-",DF$8),'[1]liste complet essai'!$A$4:$K$1367,4,)</f>
        <v>AM</v>
      </c>
      <c r="DG26" s="297" t="str">
        <f aca="false">VLOOKUP(CONCATENATE($AI26,"-",DG$8),'[1]liste complet essai'!$A$4:$K$1367,4,)</f>
        <v>AM</v>
      </c>
      <c r="DH26" s="297" t="str">
        <f aca="false">VLOOKUP(CONCATENATE($AI26,"-",DH$8),'[1]liste complet essai'!$A$4:$K$1367,4,)</f>
        <v>AM</v>
      </c>
      <c r="DI26" s="324" t="s">
        <v>8122</v>
      </c>
      <c r="DJ26" s="338"/>
      <c r="DK26" s="339" t="s">
        <v>8122</v>
      </c>
    </row>
    <row r="27" customFormat="false" ht="12" hidden="false" customHeight="false" outlineLevel="0" collapsed="false">
      <c r="B27" s="293"/>
      <c r="C27" s="330"/>
      <c r="D27" s="307"/>
      <c r="E27" s="331"/>
      <c r="F27" s="312" t="str">
        <f aca="false">VLOOKUP(CONCATENATE($B25,"-",F$8),'[1]liste complet essai'!$A$4:$K$1367,5,)</f>
        <v>G-002</v>
      </c>
      <c r="G27" s="308" t="str">
        <f aca="false">VLOOKUP(CONCATENATE($B25,"-",G$8),'[1]liste complet essai'!$A$4:$K$1367,5,)</f>
        <v>G-047</v>
      </c>
      <c r="H27" s="308" t="str">
        <f aca="false">VLOOKUP(CONCATENATE($B25,"-",H$8),'[1]liste complet essai'!$A$4:$K$1367,5,)</f>
        <v>G-048</v>
      </c>
      <c r="I27" s="308" t="str">
        <f aca="false">VLOOKUP(CONCATENATE($B25,"-",I$8),'[1]liste complet essai'!$A$4:$K$1367,5,)</f>
        <v>G-050</v>
      </c>
      <c r="J27" s="308" t="str">
        <f aca="false">VLOOKUP(CONCATENATE($B25,"-",J$8),'[1]liste complet essai'!$A$4:$K$1367,5,)</f>
        <v>G-003</v>
      </c>
      <c r="K27" s="308" t="str">
        <f aca="false">VLOOKUP(CONCATENATE($B25,"-",K$8),'[1]liste complet essai'!$A$4:$K$1367,5,)</f>
        <v>G-057</v>
      </c>
      <c r="L27" s="308" t="str">
        <f aca="false">VLOOKUP(CONCATENATE($B25,"-",L$8),'[1]liste complet essai'!$A$4:$K$1367,5,)</f>
        <v>G-020</v>
      </c>
      <c r="M27" s="308" t="str">
        <f aca="false">VLOOKUP(CONCATENATE($B25,"-",M$8),'[1]liste complet essai'!$A$4:$K$1367,5,)</f>
        <v>G-097</v>
      </c>
      <c r="N27" s="308" t="str">
        <f aca="false">VLOOKUP(CONCATENATE($B25,"-",N$8),'[1]liste complet essai'!$A$4:$K$1367,5,)</f>
        <v>G-027</v>
      </c>
      <c r="O27" s="308" t="str">
        <f aca="false">VLOOKUP(CONCATENATE($B25,"-",O$8),'[1]liste complet essai'!$A$4:$K$1367,5,)</f>
        <v>G-073</v>
      </c>
      <c r="P27" s="308" t="str">
        <f aca="false">VLOOKUP(CONCATENATE($B25,"-",P$8),'[1]liste complet essai'!$A$4:$K$1367,5,)</f>
        <v>G-054</v>
      </c>
      <c r="Q27" s="308" t="str">
        <f aca="false">VLOOKUP(CONCATENATE($B25,"-",Q$8),'[1]liste complet essai'!$A$4:$K$1367,5,)</f>
        <v>G-013</v>
      </c>
      <c r="R27" s="308" t="str">
        <f aca="false">VLOOKUP(CONCATENATE($B25,"-",R$8),'[1]liste complet essai'!$A$4:$K$1367,5,)</f>
        <v>G-078</v>
      </c>
      <c r="S27" s="308" t="str">
        <f aca="false">VLOOKUP(CONCATENATE($B25,"-",S$8),'[1]liste complet essai'!$A$4:$K$1367,5,)</f>
        <v>G-065</v>
      </c>
      <c r="T27" s="308" t="str">
        <f aca="false">VLOOKUP(CONCATENATE($B25,"-",T$8),'[1]liste complet essai'!$A$4:$K$1367,5,)</f>
        <v>G-040</v>
      </c>
      <c r="U27" s="308" t="str">
        <f aca="false">VLOOKUP(CONCATENATE($B25,"-",U$8),'[1]liste complet essai'!$A$4:$K$1367,5,)</f>
        <v>G-113</v>
      </c>
      <c r="V27" s="308" t="str">
        <f aca="false">VLOOKUP(CONCATENATE($B25,"-",V$8),'[1]liste complet essai'!$A$4:$K$1367,5,)</f>
        <v>G-061</v>
      </c>
      <c r="W27" s="308" t="str">
        <f aca="false">VLOOKUP(CONCATENATE($B25,"-",W$8),'[1]liste complet essai'!$A$4:$K$1367,5,)</f>
        <v>G-087</v>
      </c>
      <c r="X27" s="308" t="str">
        <f aca="false">VLOOKUP(CONCATENATE($B25,"-",X$8),'[1]liste complet essai'!$A$4:$K$1367,5,)</f>
        <v>G-033</v>
      </c>
      <c r="Y27" s="308" t="str">
        <f aca="false">VLOOKUP(CONCATENATE($B25,"-",Y$8),'[1]liste complet essai'!$A$4:$K$1367,5,)</f>
        <v>G-031</v>
      </c>
      <c r="Z27" s="308" t="str">
        <f aca="false">VLOOKUP(CONCATENATE($B25,"-",Z$8),'[1]liste complet essai'!$A$4:$K$1367,5,)</f>
        <v>G-099</v>
      </c>
      <c r="AA27" s="312" t="str">
        <f aca="false">VLOOKUP(CONCATENATE($B25,"-",AA$8),'[1]liste complet essai'!$A$4:$K$1367,5,)</f>
        <v>G-001</v>
      </c>
      <c r="AB27" s="308" t="str">
        <f aca="false">VLOOKUP(CONCATENATE($B25,"-",AB$8),'[1]liste complet essai'!$A$4:$K$1367,5,)</f>
        <v>G-044</v>
      </c>
      <c r="AC27" s="308" t="str">
        <f aca="false">VLOOKUP(CONCATENATE($B25,"-",AC$8),'[1]liste complet essai'!$A$4:$K$1367,5,)</f>
        <v>G-053</v>
      </c>
      <c r="AD27" s="308" t="str">
        <f aca="false">VLOOKUP(CONCATENATE($B25,"-",AD$8),'[1]liste complet essai'!$A$4:$K$1367,5,)</f>
        <v>G-119</v>
      </c>
      <c r="AE27" s="308" t="str">
        <f aca="false">VLOOKUP(CONCATENATE($B25,"-",AE$8),'[1]liste complet essai'!$A$4:$K$1367,5,)</f>
        <v>G-107</v>
      </c>
      <c r="AF27" s="332"/>
      <c r="AI27" s="302"/>
      <c r="AJ27" s="337"/>
      <c r="AK27" s="309"/>
      <c r="AL27" s="324"/>
      <c r="AM27" s="311" t="str">
        <f aca="false">VLOOKUP(CONCATENATE($AI26,"-",AM$8),'[1]liste complet essai'!$A$4:$K$1367,9,)</f>
        <v>N2-b1</v>
      </c>
      <c r="AN27" s="311" t="str">
        <f aca="false">VLOOKUP(CONCATENATE($AI26,"-",AN$8),'[1]liste complet essai'!$A$4:$K$1367,9,)</f>
        <v>N2-b1</v>
      </c>
      <c r="AO27" s="311" t="str">
        <f aca="false">VLOOKUP(CONCATENATE($AI26,"-",AO$8),'[1]liste complet essai'!$A$4:$K$1367,9,)</f>
        <v>N2-b1</v>
      </c>
      <c r="AP27" s="311" t="str">
        <f aca="false">VLOOKUP(CONCATENATE($AI26,"-",AP$8),'[1]liste complet essai'!$A$4:$K$1367,9,)</f>
        <v>N2-b1</v>
      </c>
      <c r="AQ27" s="311" t="str">
        <f aca="false">VLOOKUP(CONCATENATE($AI26,"-",AQ$8),'[1]liste complet essai'!$A$4:$K$1367,9,)</f>
        <v>N2-b1</v>
      </c>
      <c r="AR27" s="311" t="str">
        <f aca="false">VLOOKUP(CONCATENATE($AI26,"-",AR$8),'[1]liste complet essai'!$A$4:$K$1367,9,)</f>
        <v>N2-b1</v>
      </c>
      <c r="AS27" s="311" t="str">
        <f aca="false">VLOOKUP(CONCATENATE($AI26,"-",AS$8),'[1]liste complet essai'!$A$4:$K$1367,9,)</f>
        <v>N2-b1</v>
      </c>
      <c r="AT27" s="311" t="str">
        <f aca="false">VLOOKUP(CONCATENATE($AI26,"-",AT$8),'[1]liste complet essai'!$A$4:$K$1367,9,)</f>
        <v>N2-b1</v>
      </c>
      <c r="AU27" s="311" t="str">
        <f aca="false">VLOOKUP(CONCATENATE($AI26,"-",AU$8),'[1]liste complet essai'!$A$4:$K$1367,9,)</f>
        <v>N2-b1</v>
      </c>
      <c r="AV27" s="311" t="str">
        <f aca="false">VLOOKUP(CONCATENATE($AI26,"-",AV$8),'[1]liste complet essai'!$A$4:$K$1367,9,)</f>
        <v>N2-b1</v>
      </c>
      <c r="AW27" s="311" t="str">
        <f aca="false">VLOOKUP(CONCATENATE($AI26,"-",AW$8),'[1]liste complet essai'!$A$4:$K$1367,9,)</f>
        <v>N2-b1</v>
      </c>
      <c r="AX27" s="311" t="str">
        <f aca="false">VLOOKUP(CONCATENATE($AI26,"-",AX$8),'[1]liste complet essai'!$A$4:$K$1367,9,)</f>
        <v>N2-b1</v>
      </c>
      <c r="AY27" s="311" t="str">
        <f aca="false">VLOOKUP(CONCATENATE($AI26,"-",AY$8),'[1]liste complet essai'!$A$4:$K$1367,9,)</f>
        <v>N2-b1</v>
      </c>
      <c r="AZ27" s="311" t="str">
        <f aca="false">VLOOKUP(CONCATENATE($AI26,"-",AZ$8),'[1]liste complet essai'!$A$4:$K$1367,9,)</f>
        <v>N2-b1</v>
      </c>
      <c r="BA27" s="311" t="str">
        <f aca="false">VLOOKUP(CONCATENATE($AI26,"-",BA$8),'[1]liste complet essai'!$A$4:$K$1367,9,)</f>
        <v>N2-b1</v>
      </c>
      <c r="BB27" s="311" t="str">
        <f aca="false">VLOOKUP(CONCATENATE($AI26,"-",BB$8),'[1]liste complet essai'!$A$4:$K$1367,9,)</f>
        <v>N2-b1</v>
      </c>
      <c r="BC27" s="311" t="str">
        <f aca="false">VLOOKUP(CONCATENATE($AI26,"-",BC$8),'[1]liste complet essai'!$A$4:$K$1367,9,)</f>
        <v>N2-b1</v>
      </c>
      <c r="BD27" s="311" t="str">
        <f aca="false">VLOOKUP(CONCATENATE($AI26,"-",BD$8),'[1]liste complet essai'!$A$4:$K$1367,9,)</f>
        <v>N2-b1</v>
      </c>
      <c r="BE27" s="298" t="str">
        <f aca="false">VLOOKUP(CONCATENATE($AI26,"-",BE$8),'[1]liste complet essai'!$A$4:$K$1367,9,)</f>
        <v>N2-b1</v>
      </c>
      <c r="BF27" s="311" t="str">
        <f aca="false">VLOOKUP(CONCATENATE($AI26,"-",BF$8),'[1]liste complet essai'!$A$4:$K$1367,9,)</f>
        <v>N2-b1</v>
      </c>
      <c r="BG27" s="311" t="str">
        <f aca="false">VLOOKUP(CONCATENATE($AI26,"-",BG$8),'[1]liste complet essai'!$A$4:$K$1367,9,)</f>
        <v>N2-b1</v>
      </c>
      <c r="BH27" s="298" t="str">
        <f aca="false">VLOOKUP(CONCATENATE($AI26,"-",BH$8),'[1]liste complet essai'!$A$4:$K$1367,9,)</f>
        <v>N2-b1</v>
      </c>
      <c r="BI27" s="311" t="str">
        <f aca="false">VLOOKUP(CONCATENATE($AI26,"-",BI$8),'[1]liste complet essai'!$A$4:$K$1367,9,)</f>
        <v>N2-b1</v>
      </c>
      <c r="BJ27" s="311" t="str">
        <f aca="false">VLOOKUP(CONCATENATE($AI26,"-",BJ$8),'[1]liste complet essai'!$A$4:$K$1367,9,)</f>
        <v>N2-b1</v>
      </c>
      <c r="BK27" s="311" t="str">
        <f aca="false">VLOOKUP(CONCATENATE($AI26,"-",BK$8),'[1]liste complet essai'!$A$4:$K$1367,9,)</f>
        <v>N2-b1</v>
      </c>
      <c r="BL27" s="311" t="str">
        <f aca="false">VLOOKUP(CONCATENATE($AI26,"-",BL$8),'[1]liste complet essai'!$A$4:$K$1367,9,)</f>
        <v>N2-b1</v>
      </c>
      <c r="BM27" s="311" t="str">
        <f aca="false">VLOOKUP(CONCATENATE($AI26,"-",BM$8),'[1]liste complet essai'!$A$4:$K$1367,9,)</f>
        <v>N2-b1</v>
      </c>
      <c r="BN27" s="311" t="str">
        <f aca="false">VLOOKUP(CONCATENATE($AI26,"-",BN$8),'[1]liste complet essai'!$A$4:$K$1367,9,)</f>
        <v>N2-b1</v>
      </c>
      <c r="BO27" s="311" t="str">
        <f aca="false">VLOOKUP(CONCATENATE($AI26,"-",BO$8),'[1]liste complet essai'!$A$4:$K$1367,9,)</f>
        <v>N2-b1</v>
      </c>
      <c r="BP27" s="311" t="str">
        <f aca="false">VLOOKUP(CONCATENATE($AI26,"-",BP$8),'[1]liste complet essai'!$A$4:$K$1367,9,)</f>
        <v>N2-b1</v>
      </c>
      <c r="BQ27" s="311" t="str">
        <f aca="false">VLOOKUP(CONCATENATE($AI26,"-",BQ$8),'[1]liste complet essai'!$A$4:$K$1367,9,)</f>
        <v>N2-b1</v>
      </c>
      <c r="BR27" s="311" t="str">
        <f aca="false">VLOOKUP(CONCATENATE($AI26,"-",BR$8),'[1]liste complet essai'!$A$4:$K$1367,9,)</f>
        <v>N2-b1</v>
      </c>
      <c r="BS27" s="310"/>
      <c r="BT27" s="310"/>
      <c r="BU27" s="310"/>
      <c r="BV27" s="310"/>
      <c r="BW27" s="310"/>
      <c r="BX27" s="310"/>
      <c r="BY27" s="310"/>
      <c r="BZ27" s="310"/>
      <c r="CA27" s="310"/>
      <c r="CB27" s="310"/>
      <c r="CC27" s="308" t="str">
        <f aca="false">VLOOKUP(CONCATENATE($AI26,"-",CC$8),'[1]liste complet essai'!$A$4:$K$1367,9,)</f>
        <v>N1-b2</v>
      </c>
      <c r="CD27" s="308" t="str">
        <f aca="false">VLOOKUP(CONCATENATE($AI26,"-",CD$8),'[1]liste complet essai'!$A$4:$K$1367,9,)</f>
        <v>N1-b2</v>
      </c>
      <c r="CE27" s="285" t="str">
        <f aca="false">VLOOKUP(CONCATENATE($AI26,"-",CE$8),'[1]liste complet essai'!$A$4:$K$1367,9,)</f>
        <v>N1-b2</v>
      </c>
      <c r="CF27" s="308" t="str">
        <f aca="false">VLOOKUP(CONCATENATE($AI26,"-",CF$8),'[1]liste complet essai'!$A$4:$K$1367,9,)</f>
        <v>N1-b2</v>
      </c>
      <c r="CG27" s="308" t="str">
        <f aca="false">VLOOKUP(CONCATENATE($AI26,"-",CG$8),'[1]liste complet essai'!$A$4:$K$1367,9,)</f>
        <v>N1-b2</v>
      </c>
      <c r="CH27" s="308" t="str">
        <f aca="false">VLOOKUP(CONCATENATE($AI26,"-",CH$8),'[1]liste complet essai'!$A$4:$K$1367,9,)</f>
        <v>N1-b2</v>
      </c>
      <c r="CI27" s="308" t="str">
        <f aca="false">VLOOKUP(CONCATENATE($AI26,"-",CI$8),'[1]liste complet essai'!$A$4:$K$1367,9,)</f>
        <v>N1-b2</v>
      </c>
      <c r="CJ27" s="308" t="str">
        <f aca="false">VLOOKUP(CONCATENATE($AI26,"-",CJ$8),'[1]liste complet essai'!$A$4:$K$1367,9,)</f>
        <v>N1-b2</v>
      </c>
      <c r="CK27" s="308" t="str">
        <f aca="false">VLOOKUP(CONCATENATE($AI26,"-",CK$8),'[1]liste complet essai'!$A$4:$K$1367,9,)</f>
        <v>N1-b2</v>
      </c>
      <c r="CL27" s="308" t="str">
        <f aca="false">VLOOKUP(CONCATENATE($AI26,"-",CL$8),'[1]liste complet essai'!$A$4:$K$1367,9,)</f>
        <v>N1-b2</v>
      </c>
      <c r="CM27" s="308" t="str">
        <f aca="false">VLOOKUP(CONCATENATE($AI26,"-",CM$8),'[1]liste complet essai'!$A$4:$K$1367,9,)</f>
        <v>N1-b2</v>
      </c>
      <c r="CN27" s="308" t="str">
        <f aca="false">VLOOKUP(CONCATENATE($AI26,"-",CN$8),'[1]liste complet essai'!$A$4:$K$1367,9,)</f>
        <v>N1-b2</v>
      </c>
      <c r="CO27" s="308" t="str">
        <f aca="false">VLOOKUP(CONCATENATE($AI26,"-",CO$8),'[1]liste complet essai'!$A$4:$K$1367,9,)</f>
        <v>N1-b2</v>
      </c>
      <c r="CP27" s="308" t="str">
        <f aca="false">VLOOKUP(CONCATENATE($AI26,"-",CP$8),'[1]liste complet essai'!$A$4:$K$1367,9,)</f>
        <v>N1-b2</v>
      </c>
      <c r="CQ27" s="308" t="str">
        <f aca="false">VLOOKUP(CONCATENATE($AI26,"-",CQ$8),'[1]liste complet essai'!$A$4:$K$1367,9,)</f>
        <v>N1-b2</v>
      </c>
      <c r="CR27" s="308" t="str">
        <f aca="false">VLOOKUP(CONCATENATE($AI26,"-",CR$8),'[1]liste complet essai'!$A$4:$K$1367,9,)</f>
        <v>N1-b2</v>
      </c>
      <c r="CS27" s="308" t="str">
        <f aca="false">VLOOKUP(CONCATENATE($AI26,"-",CS$8),'[1]liste complet essai'!$A$4:$K$1367,9,)</f>
        <v>N1-b2</v>
      </c>
      <c r="CT27" s="308" t="str">
        <f aca="false">VLOOKUP(CONCATENATE($AI26,"-",CT$8),'[1]liste complet essai'!$A$4:$K$1367,9,)</f>
        <v>N1-b2</v>
      </c>
      <c r="CU27" s="308" t="str">
        <f aca="false">VLOOKUP(CONCATENATE($AI26,"-",CU$8),'[1]liste complet essai'!$A$4:$K$1367,9,)</f>
        <v>N1-b2</v>
      </c>
      <c r="CV27" s="308" t="str">
        <f aca="false">VLOOKUP(CONCATENATE($AI26,"-",CV$8),'[1]liste complet essai'!$A$4:$K$1367,9,)</f>
        <v>N1-b2</v>
      </c>
      <c r="CW27" s="308" t="str">
        <f aca="false">VLOOKUP(CONCATENATE($AI26,"-",CW$8),'[1]liste complet essai'!$A$4:$K$1367,9,)</f>
        <v>N1-b2</v>
      </c>
      <c r="CX27" s="308" t="str">
        <f aca="false">VLOOKUP(CONCATENATE($AI26,"-",CX$8),'[1]liste complet essai'!$A$4:$K$1367,9,)</f>
        <v>N1-b2</v>
      </c>
      <c r="CY27" s="308" t="str">
        <f aca="false">VLOOKUP(CONCATENATE($AI26,"-",CY$8),'[1]liste complet essai'!$A$4:$K$1367,9,)</f>
        <v>N1-b2</v>
      </c>
      <c r="CZ27" s="308" t="str">
        <f aca="false">VLOOKUP(CONCATENATE($AI26,"-",CZ$8),'[1]liste complet essai'!$A$4:$K$1367,9,)</f>
        <v>N1-b2</v>
      </c>
      <c r="DA27" s="308" t="str">
        <f aca="false">VLOOKUP(CONCATENATE($AI26,"-",DA$8),'[1]liste complet essai'!$A$4:$K$1367,9,)</f>
        <v>N1-b2</v>
      </c>
      <c r="DB27" s="308" t="str">
        <f aca="false">VLOOKUP(CONCATENATE($AI26,"-",DB$8),'[1]liste complet essai'!$A$4:$K$1367,9,)</f>
        <v>N1-b2</v>
      </c>
      <c r="DC27" s="308" t="str">
        <f aca="false">VLOOKUP(CONCATENATE($AI26,"-",DC$8),'[1]liste complet essai'!$A$4:$K$1367,9,)</f>
        <v>N1-b2</v>
      </c>
      <c r="DD27" s="308" t="str">
        <f aca="false">VLOOKUP(CONCATENATE($AI26,"-",DD$8),'[1]liste complet essai'!$A$4:$K$1367,9,)</f>
        <v>N1-b2</v>
      </c>
      <c r="DE27" s="308" t="str">
        <f aca="false">VLOOKUP(CONCATENATE($AI26,"-",DE$8),'[1]liste complet essai'!$A$4:$K$1367,9,)</f>
        <v>N1-b2</v>
      </c>
      <c r="DF27" s="298" t="str">
        <f aca="false">VLOOKUP(CONCATENATE($AI26,"-",DF$8),'[1]liste complet essai'!$A$4:$K$1367,9,)</f>
        <v>N1-b2</v>
      </c>
      <c r="DG27" s="308" t="str">
        <f aca="false">VLOOKUP(CONCATENATE($AI26,"-",DG$8),'[1]liste complet essai'!$A$4:$K$1367,9,)</f>
        <v>N1-b2</v>
      </c>
      <c r="DH27" s="308" t="str">
        <f aca="false">VLOOKUP(CONCATENATE($AI26,"-",DH$8),'[1]liste complet essai'!$A$4:$K$1367,9,)</f>
        <v>N1-b2</v>
      </c>
      <c r="DI27" s="324"/>
      <c r="DJ27" s="340"/>
      <c r="DK27" s="339"/>
    </row>
    <row r="28" customFormat="false" ht="12" hidden="false" customHeight="false" outlineLevel="0" collapsed="false">
      <c r="B28" s="293"/>
      <c r="C28" s="330"/>
      <c r="D28" s="314"/>
      <c r="E28" s="331"/>
      <c r="F28" s="315" t="str">
        <f aca="false">VLOOKUP(CONCATENATE($B25,"-",F$8),'[1]liste complet essai'!$A$4:$K$1367,1,)</f>
        <v>19-65</v>
      </c>
      <c r="G28" s="315" t="str">
        <f aca="false">VLOOKUP(CONCATENATE($B25,"-",G$8),'[1]liste complet essai'!$A$4:$K$1367,1,)</f>
        <v>19-66</v>
      </c>
      <c r="H28" s="315" t="str">
        <f aca="false">VLOOKUP(CONCATENATE($B25,"-",H$8),'[1]liste complet essai'!$A$4:$K$1367,1,)</f>
        <v>19-67</v>
      </c>
      <c r="I28" s="315" t="str">
        <f aca="false">VLOOKUP(CONCATENATE($B25,"-",I$8),'[1]liste complet essai'!$A$4:$K$1367,1,)</f>
        <v>19-68</v>
      </c>
      <c r="J28" s="315" t="str">
        <f aca="false">VLOOKUP(CONCATENATE($B25,"-",J$8),'[1]liste complet essai'!$A$4:$K$1367,1,)</f>
        <v>19-69</v>
      </c>
      <c r="K28" s="315" t="str">
        <f aca="false">VLOOKUP(CONCATENATE($B25,"-",K$8),'[1]liste complet essai'!$A$4:$K$1367,1,)</f>
        <v>19-70</v>
      </c>
      <c r="L28" s="315" t="str">
        <f aca="false">VLOOKUP(CONCATENATE($B25,"-",L$8),'[1]liste complet essai'!$A$4:$K$1367,1,)</f>
        <v>19-71</v>
      </c>
      <c r="M28" s="315" t="str">
        <f aca="false">VLOOKUP(CONCATENATE($B25,"-",M$8),'[1]liste complet essai'!$A$4:$K$1367,1,)</f>
        <v>19-72</v>
      </c>
      <c r="N28" s="315" t="str">
        <f aca="false">VLOOKUP(CONCATENATE($B25,"-",N$8),'[1]liste complet essai'!$A$4:$K$1367,1,)</f>
        <v>19-73</v>
      </c>
      <c r="O28" s="315" t="str">
        <f aca="false">VLOOKUP(CONCATENATE($B25,"-",O$8),'[1]liste complet essai'!$A$4:$K$1367,1,)</f>
        <v>19-74</v>
      </c>
      <c r="P28" s="315" t="str">
        <f aca="false">VLOOKUP(CONCATENATE($B25,"-",P$8),'[1]liste complet essai'!$A$4:$K$1367,1,)</f>
        <v>19-75</v>
      </c>
      <c r="Q28" s="315" t="str">
        <f aca="false">VLOOKUP(CONCATENATE($B25,"-",Q$8),'[1]liste complet essai'!$A$4:$K$1367,1,)</f>
        <v>19-76</v>
      </c>
      <c r="R28" s="315" t="str">
        <f aca="false">VLOOKUP(CONCATENATE($B25,"-",R$8),'[1]liste complet essai'!$A$4:$K$1367,1,)</f>
        <v>19-77</v>
      </c>
      <c r="S28" s="315" t="str">
        <f aca="false">VLOOKUP(CONCATENATE($B25,"-",S$8),'[1]liste complet essai'!$A$4:$K$1367,1,)</f>
        <v>19-78</v>
      </c>
      <c r="T28" s="315" t="str">
        <f aca="false">VLOOKUP(CONCATENATE($B25,"-",T$8),'[1]liste complet essai'!$A$4:$K$1367,1,)</f>
        <v>19-79</v>
      </c>
      <c r="U28" s="315" t="str">
        <f aca="false">VLOOKUP(CONCATENATE($B25,"-",U$8),'[1]liste complet essai'!$A$4:$K$1367,1,)</f>
        <v>19-80</v>
      </c>
      <c r="V28" s="315" t="str">
        <f aca="false">VLOOKUP(CONCATENATE($B25,"-",V$8),'[1]liste complet essai'!$A$4:$K$1367,1,)</f>
        <v>19-81</v>
      </c>
      <c r="W28" s="315" t="str">
        <f aca="false">VLOOKUP(CONCATENATE($B25,"-",W$8),'[1]liste complet essai'!$A$4:$K$1367,1,)</f>
        <v>19-82</v>
      </c>
      <c r="X28" s="315" t="str">
        <f aca="false">VLOOKUP(CONCATENATE($B25,"-",X$8),'[1]liste complet essai'!$A$4:$K$1367,1,)</f>
        <v>19-83</v>
      </c>
      <c r="Y28" s="315" t="str">
        <f aca="false">VLOOKUP(CONCATENATE($B25,"-",Y$8),'[1]liste complet essai'!$A$4:$K$1367,1,)</f>
        <v>19-84</v>
      </c>
      <c r="Z28" s="315" t="str">
        <f aca="false">VLOOKUP(CONCATENATE($B25,"-",Z$8),'[1]liste complet essai'!$A$4:$K$1367,1,)</f>
        <v>19-85</v>
      </c>
      <c r="AA28" s="298" t="str">
        <f aca="false">VLOOKUP(CONCATENATE($B25,"-",AA$8),'[1]liste complet essai'!$A$4:$K$1367,1,)</f>
        <v>19-86</v>
      </c>
      <c r="AB28" s="315" t="str">
        <f aca="false">VLOOKUP(CONCATENATE($B25,"-",AB$8),'[1]liste complet essai'!$A$4:$K$1367,1,)</f>
        <v>19-87</v>
      </c>
      <c r="AC28" s="315" t="str">
        <f aca="false">VLOOKUP(CONCATENATE($B25,"-",AC$8),'[1]liste complet essai'!$A$4:$K$1367,1,)</f>
        <v>19-88</v>
      </c>
      <c r="AD28" s="315" t="str">
        <f aca="false">VLOOKUP(CONCATENATE($B25,"-",AD$8),'[1]liste complet essai'!$A$4:$K$1367,1,)</f>
        <v>19-89</v>
      </c>
      <c r="AE28" s="315" t="str">
        <f aca="false">VLOOKUP(CONCATENATE($B25,"-",AE$8),'[1]liste complet essai'!$A$4:$K$1367,1,)</f>
        <v>19-90</v>
      </c>
      <c r="AF28" s="332"/>
      <c r="AI28" s="302"/>
      <c r="AJ28" s="337"/>
      <c r="AK28" s="309"/>
      <c r="AL28" s="324"/>
      <c r="AM28" s="311" t="str">
        <f aca="false">VLOOKUP(CONCATENATE($AI26,"-",AM$8),'[1]liste complet essai'!$A$4:$K$1367,5,)</f>
        <v>G-070</v>
      </c>
      <c r="AN28" s="311" t="str">
        <f aca="false">VLOOKUP(CONCATENATE($AI26,"-",AN$8),'[1]liste complet essai'!$A$4:$K$1367,5,)</f>
        <v>G-068</v>
      </c>
      <c r="AO28" s="311" t="str">
        <f aca="false">VLOOKUP(CONCATENATE($AI26,"-",AO$8),'[1]liste complet essai'!$A$4:$K$1367,5,)</f>
        <v>G-036</v>
      </c>
      <c r="AP28" s="311" t="str">
        <f aca="false">VLOOKUP(CONCATENATE($AI26,"-",AP$8),'[1]liste complet essai'!$A$4:$K$1367,5,)</f>
        <v>G-123</v>
      </c>
      <c r="AQ28" s="311" t="str">
        <f aca="false">VLOOKUP(CONCATENATE($AI26,"-",AQ$8),'[1]liste complet essai'!$A$4:$K$1367,5,)</f>
        <v>G-120</v>
      </c>
      <c r="AR28" s="311" t="str">
        <f aca="false">VLOOKUP(CONCATENATE($AI26,"-",AR$8),'[1]liste complet essai'!$A$4:$K$1367,5,)</f>
        <v>G-022</v>
      </c>
      <c r="AS28" s="311" t="str">
        <f aca="false">VLOOKUP(CONCATENATE($AI26,"-",AS$8),'[1]liste complet essai'!$A$4:$K$1367,5,)</f>
        <v>G-095</v>
      </c>
      <c r="AT28" s="311" t="str">
        <f aca="false">VLOOKUP(CONCATENATE($AI26,"-",AT$8),'[1]liste complet essai'!$A$4:$K$1367,5,)</f>
        <v>G-122</v>
      </c>
      <c r="AU28" s="311" t="str">
        <f aca="false">VLOOKUP(CONCATENATE($AI26,"-",AU$8),'[1]liste complet essai'!$A$4:$K$1367,5,)</f>
        <v>G-063</v>
      </c>
      <c r="AV28" s="311" t="str">
        <f aca="false">VLOOKUP(CONCATENATE($AI26,"-",AV$8),'[1]liste complet essai'!$A$4:$K$1367,5,)</f>
        <v>G-119</v>
      </c>
      <c r="AW28" s="311" t="str">
        <f aca="false">VLOOKUP(CONCATENATE($AI26,"-",AW$8),'[1]liste complet essai'!$A$4:$K$1367,5,)</f>
        <v>G-038</v>
      </c>
      <c r="AX28" s="311" t="str">
        <f aca="false">VLOOKUP(CONCATENATE($AI26,"-",AX$8),'[1]liste complet essai'!$A$4:$K$1367,5,)</f>
        <v>G-117</v>
      </c>
      <c r="AY28" s="311" t="str">
        <f aca="false">VLOOKUP(CONCATENATE($AI26,"-",AY$8),'[1]liste complet essai'!$A$4:$K$1367,5,)</f>
        <v>G-116</v>
      </c>
      <c r="AZ28" s="311" t="str">
        <f aca="false">VLOOKUP(CONCATENATE($AI26,"-",AZ$8),'[1]liste complet essai'!$A$4:$K$1367,5,)</f>
        <v>G-072</v>
      </c>
      <c r="BA28" s="311" t="str">
        <f aca="false">VLOOKUP(CONCATENATE($AI26,"-",BA$8),'[1]liste complet essai'!$A$4:$K$1367,5,)</f>
        <v>G-021</v>
      </c>
      <c r="BB28" s="311" t="str">
        <f aca="false">VLOOKUP(CONCATENATE($AI26,"-",BB$8),'[1]liste complet essai'!$A$4:$K$1367,5,)</f>
        <v>G-054</v>
      </c>
      <c r="BC28" s="311" t="str">
        <f aca="false">VLOOKUP(CONCATENATE($AI26,"-",BC$8),'[1]liste complet essai'!$A$4:$K$1367,5,)</f>
        <v>G-049</v>
      </c>
      <c r="BD28" s="311" t="str">
        <f aca="false">VLOOKUP(CONCATENATE($AI26,"-",BD$8),'[1]liste complet essai'!$A$4:$K$1367,5,)</f>
        <v>G-061</v>
      </c>
      <c r="BE28" s="312" t="str">
        <f aca="false">VLOOKUP(CONCATENATE($AI26,"-",BE$8),'[1]liste complet essai'!$A$4:$K$1367,5,)</f>
        <v>G-001</v>
      </c>
      <c r="BF28" s="311" t="str">
        <f aca="false">VLOOKUP(CONCATENATE($AI26,"-",BF$8),'[1]liste complet essai'!$A$4:$K$1367,5,)</f>
        <v>G-008</v>
      </c>
      <c r="BG28" s="311" t="str">
        <f aca="false">VLOOKUP(CONCATENATE($AI26,"-",BG$8),'[1]liste complet essai'!$A$4:$K$1367,5,)</f>
        <v>G-081</v>
      </c>
      <c r="BH28" s="312" t="str">
        <f aca="false">VLOOKUP(CONCATENATE($AI26,"-",BH$8),'[1]liste complet essai'!$A$4:$K$1367,5,)</f>
        <v>G-002</v>
      </c>
      <c r="BI28" s="311" t="str">
        <f aca="false">VLOOKUP(CONCATENATE($AI26,"-",BI$8),'[1]liste complet essai'!$A$4:$K$1367,5,)</f>
        <v>G-051</v>
      </c>
      <c r="BJ28" s="311" t="str">
        <f aca="false">VLOOKUP(CONCATENATE($AI26,"-",BJ$8),'[1]liste complet essai'!$A$4:$K$1367,5,)</f>
        <v>G-083</v>
      </c>
      <c r="BK28" s="311" t="str">
        <f aca="false">VLOOKUP(CONCATENATE($AI26,"-",BK$8),'[1]liste complet essai'!$A$4:$K$1367,5,)</f>
        <v>G-092</v>
      </c>
      <c r="BL28" s="311" t="str">
        <f aca="false">VLOOKUP(CONCATENATE($AI26,"-",BL$8),'[1]liste complet essai'!$A$4:$K$1367,5,)</f>
        <v>G-121</v>
      </c>
      <c r="BM28" s="311" t="str">
        <f aca="false">VLOOKUP(CONCATENATE($AI26,"-",BM$8),'[1]liste complet essai'!$A$4:$K$1367,5,)</f>
        <v>G-014</v>
      </c>
      <c r="BN28" s="311" t="str">
        <f aca="false">VLOOKUP(CONCATENATE($AI26,"-",BN$8),'[1]liste complet essai'!$A$4:$K$1367,5,)</f>
        <v>G-064</v>
      </c>
      <c r="BO28" s="311" t="str">
        <f aca="false">VLOOKUP(CONCATENATE($AI26,"-",BO$8),'[1]liste complet essai'!$A$4:$K$1367,5,)</f>
        <v>G-009</v>
      </c>
      <c r="BP28" s="311" t="str">
        <f aca="false">VLOOKUP(CONCATENATE($AI26,"-",BP$8),'[1]liste complet essai'!$A$4:$K$1367,5,)</f>
        <v>G-118</v>
      </c>
      <c r="BQ28" s="311" t="str">
        <f aca="false">VLOOKUP(CONCATENATE($AI26,"-",BQ$8),'[1]liste complet essai'!$A$4:$K$1367,5,)</f>
        <v>G-110</v>
      </c>
      <c r="BR28" s="311" t="str">
        <f aca="false">VLOOKUP(CONCATENATE($AI26,"-",BR$8),'[1]liste complet essai'!$A$4:$K$1367,5,)</f>
        <v>G-020</v>
      </c>
      <c r="BS28" s="310"/>
      <c r="BT28" s="310"/>
      <c r="BU28" s="310"/>
      <c r="BV28" s="310"/>
      <c r="BW28" s="310"/>
      <c r="BX28" s="310"/>
      <c r="BY28" s="310"/>
      <c r="BZ28" s="310"/>
      <c r="CA28" s="310"/>
      <c r="CB28" s="310"/>
      <c r="CC28" s="308" t="str">
        <f aca="false">VLOOKUP(CONCATENATE($AI26,"-",CC$8),'[1]liste complet essai'!$A$4:$K$1367,5,)</f>
        <v>G-040</v>
      </c>
      <c r="CD28" s="308" t="str">
        <f aca="false">VLOOKUP(CONCATENATE($AI26,"-",CD$8),'[1]liste complet essai'!$A$4:$K$1367,5,)</f>
        <v>G-107</v>
      </c>
      <c r="CE28" s="313" t="str">
        <f aca="false">VLOOKUP(CONCATENATE($AI26,"-",CE$8),'[1]liste complet essai'!$A$4:$K$1367,5,)</f>
        <v>G-001</v>
      </c>
      <c r="CF28" s="308" t="str">
        <f aca="false">VLOOKUP(CONCATENATE($AI26,"-",CF$8),'[1]liste complet essai'!$A$4:$K$1367,5,)</f>
        <v>G-082</v>
      </c>
      <c r="CG28" s="308" t="str">
        <f aca="false">VLOOKUP(CONCATENATE($AI26,"-",CG$8),'[1]liste complet essai'!$A$4:$K$1367,5,)</f>
        <v>G-120</v>
      </c>
      <c r="CH28" s="308" t="str">
        <f aca="false">VLOOKUP(CONCATENATE($AI26,"-",CH$8),'[1]liste complet essai'!$A$4:$K$1367,5,)</f>
        <v>G-124</v>
      </c>
      <c r="CI28" s="308" t="str">
        <f aca="false">VLOOKUP(CONCATENATE($AI26,"-",CI$8),'[1]liste complet essai'!$A$4:$K$1367,5,)</f>
        <v>G-007</v>
      </c>
      <c r="CJ28" s="308" t="str">
        <f aca="false">VLOOKUP(CONCATENATE($AI26,"-",CJ$8),'[1]liste complet essai'!$A$4:$K$1367,5,)</f>
        <v>G-018</v>
      </c>
      <c r="CK28" s="308" t="str">
        <f aca="false">VLOOKUP(CONCATENATE($AI26,"-",CK$8),'[1]liste complet essai'!$A$4:$K$1367,5,)</f>
        <v>G-058</v>
      </c>
      <c r="CL28" s="308" t="str">
        <f aca="false">VLOOKUP(CONCATENATE($AI26,"-",CL$8),'[1]liste complet essai'!$A$4:$K$1367,5,)</f>
        <v>G-055</v>
      </c>
      <c r="CM28" s="308" t="str">
        <f aca="false">VLOOKUP(CONCATENATE($AI26,"-",CM$8),'[1]liste complet essai'!$A$4:$K$1367,5,)</f>
        <v>G-091</v>
      </c>
      <c r="CN28" s="308" t="str">
        <f aca="false">VLOOKUP(CONCATENATE($AI26,"-",CN$8),'[1]liste complet essai'!$A$4:$K$1367,5,)</f>
        <v>G-060</v>
      </c>
      <c r="CO28" s="308" t="str">
        <f aca="false">VLOOKUP(CONCATENATE($AI26,"-",CO$8),'[1]liste complet essai'!$A$4:$K$1367,5,)</f>
        <v>G-108</v>
      </c>
      <c r="CP28" s="308" t="str">
        <f aca="false">VLOOKUP(CONCATENATE($AI26,"-",CP$8),'[1]liste complet essai'!$A$4:$K$1367,5,)</f>
        <v>G-051</v>
      </c>
      <c r="CQ28" s="308" t="str">
        <f aca="false">VLOOKUP(CONCATENATE($AI26,"-",CQ$8),'[1]liste complet essai'!$A$4:$K$1367,5,)</f>
        <v>G-075</v>
      </c>
      <c r="CR28" s="308" t="str">
        <f aca="false">VLOOKUP(CONCATENATE($AI26,"-",CR$8),'[1]liste complet essai'!$A$4:$K$1367,5,)</f>
        <v>G-093</v>
      </c>
      <c r="CS28" s="308" t="str">
        <f aca="false">VLOOKUP(CONCATENATE($AI26,"-",CS$8),'[1]liste complet essai'!$A$4:$K$1367,5,)</f>
        <v>G-110</v>
      </c>
      <c r="CT28" s="308" t="str">
        <f aca="false">VLOOKUP(CONCATENATE($AI26,"-",CT$8),'[1]liste complet essai'!$A$4:$K$1367,5,)</f>
        <v>G-050</v>
      </c>
      <c r="CU28" s="308" t="str">
        <f aca="false">VLOOKUP(CONCATENATE($AI26,"-",CU$8),'[1]liste complet essai'!$A$4:$K$1367,5,)</f>
        <v>G-114</v>
      </c>
      <c r="CV28" s="308" t="str">
        <f aca="false">VLOOKUP(CONCATENATE($AI26,"-",CV$8),'[1]liste complet essai'!$A$4:$K$1367,5,)</f>
        <v>G-074</v>
      </c>
      <c r="CW28" s="308" t="str">
        <f aca="false">VLOOKUP(CONCATENATE($AI26,"-",CW$8),'[1]liste complet essai'!$A$4:$K$1367,5,)</f>
        <v>G-084</v>
      </c>
      <c r="CX28" s="308" t="str">
        <f aca="false">VLOOKUP(CONCATENATE($AI26,"-",CX$8),'[1]liste complet essai'!$A$4:$K$1367,5,)</f>
        <v>G-003</v>
      </c>
      <c r="CY28" s="308" t="str">
        <f aca="false">VLOOKUP(CONCATENATE($AI26,"-",CY$8),'[1]liste complet essai'!$A$4:$K$1367,5,)</f>
        <v>G-046</v>
      </c>
      <c r="CZ28" s="308" t="str">
        <f aca="false">VLOOKUP(CONCATENATE($AI26,"-",CZ$8),'[1]liste complet essai'!$A$4:$K$1367,5,)</f>
        <v>G-061</v>
      </c>
      <c r="DA28" s="308" t="str">
        <f aca="false">VLOOKUP(CONCATENATE($AI26,"-",DA$8),'[1]liste complet essai'!$A$4:$K$1367,5,)</f>
        <v>G-047</v>
      </c>
      <c r="DB28" s="308" t="str">
        <f aca="false">VLOOKUP(CONCATENATE($AI26,"-",DB$8),'[1]liste complet essai'!$A$4:$K$1367,5,)</f>
        <v>G-117</v>
      </c>
      <c r="DC28" s="308" t="str">
        <f aca="false">VLOOKUP(CONCATENATE($AI26,"-",DC$8),'[1]liste complet essai'!$A$4:$K$1367,5,)</f>
        <v>G-096</v>
      </c>
      <c r="DD28" s="308" t="str">
        <f aca="false">VLOOKUP(CONCATENATE($AI26,"-",DD$8),'[1]liste complet essai'!$A$4:$K$1367,5,)</f>
        <v>G-022</v>
      </c>
      <c r="DE28" s="308" t="str">
        <f aca="false">VLOOKUP(CONCATENATE($AI26,"-",DE$8),'[1]liste complet essai'!$A$4:$K$1367,5,)</f>
        <v>G-104</v>
      </c>
      <c r="DF28" s="312" t="str">
        <f aca="false">VLOOKUP(CONCATENATE($AI26,"-",DF$8),'[1]liste complet essai'!$A$4:$K$1367,5,)</f>
        <v>G-002</v>
      </c>
      <c r="DG28" s="308" t="str">
        <f aca="false">VLOOKUP(CONCATENATE($AI26,"-",DG$8),'[1]liste complet essai'!$A$4:$K$1367,5,)</f>
        <v>G-067</v>
      </c>
      <c r="DH28" s="308" t="str">
        <f aca="false">VLOOKUP(CONCATENATE($AI26,"-",DH$8),'[1]liste complet essai'!$A$4:$K$1367,5,)</f>
        <v>G-109</v>
      </c>
      <c r="DI28" s="324"/>
      <c r="DJ28" s="340"/>
      <c r="DK28" s="339"/>
    </row>
    <row r="29" customFormat="false" ht="12.75" hidden="false" customHeight="true" outlineLevel="0" collapsed="false">
      <c r="B29" s="341"/>
      <c r="C29" s="342"/>
      <c r="D29" s="343"/>
      <c r="E29" s="344"/>
      <c r="F29" s="344"/>
      <c r="G29" s="344"/>
      <c r="H29" s="344"/>
      <c r="I29" s="344"/>
      <c r="J29" s="344"/>
      <c r="K29" s="344"/>
      <c r="L29" s="344"/>
      <c r="M29" s="344"/>
      <c r="N29" s="344"/>
      <c r="O29" s="344"/>
      <c r="P29" s="344"/>
      <c r="Q29" s="344"/>
      <c r="R29" s="344"/>
      <c r="S29" s="344"/>
      <c r="T29" s="344"/>
      <c r="U29" s="344"/>
      <c r="V29" s="344"/>
      <c r="W29" s="344"/>
      <c r="X29" s="344"/>
      <c r="Y29" s="344"/>
      <c r="Z29" s="344"/>
      <c r="AA29" s="344"/>
      <c r="AB29" s="344"/>
      <c r="AC29" s="344"/>
      <c r="AD29" s="344"/>
      <c r="AE29" s="344"/>
      <c r="AF29" s="345"/>
      <c r="AI29" s="302"/>
      <c r="AJ29" s="337"/>
      <c r="AK29" s="317"/>
      <c r="AL29" s="324"/>
      <c r="AM29" s="311" t="str">
        <f aca="false">VLOOKUP(CONCATENATE($AI26,"-",AM$8),'[1]liste complet essai'!$A$4:$K$1367,1,)</f>
        <v>05-01</v>
      </c>
      <c r="AN29" s="311" t="str">
        <f aca="false">VLOOKUP(CONCATENATE($AI26,"-",AN$8),'[1]liste complet essai'!$A$4:$K$1367,1,)</f>
        <v>05-02</v>
      </c>
      <c r="AO29" s="311" t="str">
        <f aca="false">VLOOKUP(CONCATENATE($AI26,"-",AO$8),'[1]liste complet essai'!$A$4:$K$1367,1,)</f>
        <v>05-03</v>
      </c>
      <c r="AP29" s="311" t="str">
        <f aca="false">VLOOKUP(CONCATENATE($AI26,"-",AP$8),'[1]liste complet essai'!$A$4:$K$1367,1,)</f>
        <v>05-04</v>
      </c>
      <c r="AQ29" s="311" t="str">
        <f aca="false">VLOOKUP(CONCATENATE($AI26,"-",AQ$8),'[1]liste complet essai'!$A$4:$K$1367,1,)</f>
        <v>05-05</v>
      </c>
      <c r="AR29" s="311" t="str">
        <f aca="false">VLOOKUP(CONCATENATE($AI26,"-",AR$8),'[1]liste complet essai'!$A$4:$K$1367,1,)</f>
        <v>05-06</v>
      </c>
      <c r="AS29" s="311" t="str">
        <f aca="false">VLOOKUP(CONCATENATE($AI26,"-",AS$8),'[1]liste complet essai'!$A$4:$K$1367,1,)</f>
        <v>05-07</v>
      </c>
      <c r="AT29" s="311" t="str">
        <f aca="false">VLOOKUP(CONCATENATE($AI26,"-",AT$8),'[1]liste complet essai'!$A$4:$K$1367,1,)</f>
        <v>05-08</v>
      </c>
      <c r="AU29" s="311" t="str">
        <f aca="false">VLOOKUP(CONCATENATE($AI26,"-",AU$8),'[1]liste complet essai'!$A$4:$K$1367,1,)</f>
        <v>05-09</v>
      </c>
      <c r="AV29" s="311" t="str">
        <f aca="false">VLOOKUP(CONCATENATE($AI26,"-",AV$8),'[1]liste complet essai'!$A$4:$K$1367,1,)</f>
        <v>05-10</v>
      </c>
      <c r="AW29" s="311" t="str">
        <f aca="false">VLOOKUP(CONCATENATE($AI26,"-",AW$8),'[1]liste complet essai'!$A$4:$K$1367,1,)</f>
        <v>05-11</v>
      </c>
      <c r="AX29" s="311" t="str">
        <f aca="false">VLOOKUP(CONCATENATE($AI26,"-",AX$8),'[1]liste complet essai'!$A$4:$K$1367,1,)</f>
        <v>05-12</v>
      </c>
      <c r="AY29" s="311" t="str">
        <f aca="false">VLOOKUP(CONCATENATE($AI26,"-",AY$8),'[1]liste complet essai'!$A$4:$K$1367,1,)</f>
        <v>05-13</v>
      </c>
      <c r="AZ29" s="311" t="str">
        <f aca="false">VLOOKUP(CONCATENATE($AI26,"-",AZ$8),'[1]liste complet essai'!$A$4:$K$1367,1,)</f>
        <v>05-14</v>
      </c>
      <c r="BA29" s="311" t="str">
        <f aca="false">VLOOKUP(CONCATENATE($AI26,"-",BA$8),'[1]liste complet essai'!$A$4:$K$1367,1,)</f>
        <v>05-15</v>
      </c>
      <c r="BB29" s="311" t="str">
        <f aca="false">VLOOKUP(CONCATENATE($AI26,"-",BB$8),'[1]liste complet essai'!$A$4:$K$1367,1,)</f>
        <v>05-16</v>
      </c>
      <c r="BC29" s="311" t="str">
        <f aca="false">VLOOKUP(CONCATENATE($AI26,"-",BC$8),'[1]liste complet essai'!$A$4:$K$1367,1,)</f>
        <v>05-17</v>
      </c>
      <c r="BD29" s="311" t="str">
        <f aca="false">VLOOKUP(CONCATENATE($AI26,"-",BD$8),'[1]liste complet essai'!$A$4:$K$1367,1,)</f>
        <v>05-18</v>
      </c>
      <c r="BE29" s="298" t="str">
        <f aca="false">VLOOKUP(CONCATENATE($AI26,"-",BE$8),'[1]liste complet essai'!$A$4:$K$1367,1,)</f>
        <v>05-19</v>
      </c>
      <c r="BF29" s="311" t="str">
        <f aca="false">VLOOKUP(CONCATENATE($AI26,"-",BF$8),'[1]liste complet essai'!$A$4:$K$1367,1,)</f>
        <v>05-20</v>
      </c>
      <c r="BG29" s="311" t="str">
        <f aca="false">VLOOKUP(CONCATENATE($AI26,"-",BG$8),'[1]liste complet essai'!$A$4:$K$1367,1,)</f>
        <v>05-21</v>
      </c>
      <c r="BH29" s="298" t="str">
        <f aca="false">VLOOKUP(CONCATENATE($AI26,"-",BH$8),'[1]liste complet essai'!$A$4:$K$1367,1,)</f>
        <v>05-22</v>
      </c>
      <c r="BI29" s="311" t="str">
        <f aca="false">VLOOKUP(CONCATENATE($AI26,"-",BI$8),'[1]liste complet essai'!$A$4:$K$1367,1,)</f>
        <v>05-23</v>
      </c>
      <c r="BJ29" s="311" t="str">
        <f aca="false">VLOOKUP(CONCATENATE($AI26,"-",BJ$8),'[1]liste complet essai'!$A$4:$K$1367,1,)</f>
        <v>05-24</v>
      </c>
      <c r="BK29" s="311" t="str">
        <f aca="false">VLOOKUP(CONCATENATE($AI26,"-",BK$8),'[1]liste complet essai'!$A$4:$K$1367,1,)</f>
        <v>05-25</v>
      </c>
      <c r="BL29" s="311" t="str">
        <f aca="false">VLOOKUP(CONCATENATE($AI26,"-",BL$8),'[1]liste complet essai'!$A$4:$K$1367,1,)</f>
        <v>05-26</v>
      </c>
      <c r="BM29" s="311" t="str">
        <f aca="false">VLOOKUP(CONCATENATE($AI26,"-",BM$8),'[1]liste complet essai'!$A$4:$K$1367,1,)</f>
        <v>05-27</v>
      </c>
      <c r="BN29" s="311" t="str">
        <f aca="false">VLOOKUP(CONCATENATE($AI26,"-",BN$8),'[1]liste complet essai'!$A$4:$K$1367,1,)</f>
        <v>05-28</v>
      </c>
      <c r="BO29" s="311" t="str">
        <f aca="false">VLOOKUP(CONCATENATE($AI26,"-",BO$8),'[1]liste complet essai'!$A$4:$K$1367,1,)</f>
        <v>05-29</v>
      </c>
      <c r="BP29" s="311" t="str">
        <f aca="false">VLOOKUP(CONCATENATE($AI26,"-",BP$8),'[1]liste complet essai'!$A$4:$K$1367,1,)</f>
        <v>05-30</v>
      </c>
      <c r="BQ29" s="311" t="str">
        <f aca="false">VLOOKUP(CONCATENATE($AI26,"-",BQ$8),'[1]liste complet essai'!$A$4:$K$1367,1,)</f>
        <v>05-31</v>
      </c>
      <c r="BR29" s="311" t="str">
        <f aca="false">VLOOKUP(CONCATENATE($AI26,"-",BR$8),'[1]liste complet essai'!$A$4:$K$1367,1,)</f>
        <v>05-32</v>
      </c>
      <c r="BS29" s="310"/>
      <c r="BT29" s="310"/>
      <c r="BU29" s="310"/>
      <c r="BV29" s="310"/>
      <c r="BW29" s="310"/>
      <c r="BX29" s="310"/>
      <c r="BY29" s="310"/>
      <c r="BZ29" s="310"/>
      <c r="CA29" s="310"/>
      <c r="CB29" s="310"/>
      <c r="CC29" s="308" t="str">
        <f aca="false">VLOOKUP(CONCATENATE($AI26,"-",CC$8),'[1]liste complet essai'!$A$4:$K$1367,1,)</f>
        <v>05-33</v>
      </c>
      <c r="CD29" s="308" t="str">
        <f aca="false">VLOOKUP(CONCATENATE($AI26,"-",CD$8),'[1]liste complet essai'!$A$4:$K$1367,1,)</f>
        <v>05-34</v>
      </c>
      <c r="CE29" s="328" t="str">
        <f aca="false">VLOOKUP(CONCATENATE($AI26,"-",CE$8),'[1]liste complet essai'!$A$4:$K$1367,1,)</f>
        <v>05-35</v>
      </c>
      <c r="CF29" s="308" t="str">
        <f aca="false">VLOOKUP(CONCATENATE($AI26,"-",CF$8),'[1]liste complet essai'!$A$4:$K$1367,1,)</f>
        <v>05-36</v>
      </c>
      <c r="CG29" s="308" t="str">
        <f aca="false">VLOOKUP(CONCATENATE($AI26,"-",CG$8),'[1]liste complet essai'!$A$4:$K$1367,1,)</f>
        <v>05-37</v>
      </c>
      <c r="CH29" s="308" t="str">
        <f aca="false">VLOOKUP(CONCATENATE($AI26,"-",CH$8),'[1]liste complet essai'!$A$4:$K$1367,1,)</f>
        <v>05-38</v>
      </c>
      <c r="CI29" s="308" t="str">
        <f aca="false">VLOOKUP(CONCATENATE($AI26,"-",CI$8),'[1]liste complet essai'!$A$4:$K$1367,1,)</f>
        <v>05-39</v>
      </c>
      <c r="CJ29" s="308" t="str">
        <f aca="false">VLOOKUP(CONCATENATE($AI26,"-",CJ$8),'[1]liste complet essai'!$A$4:$K$1367,1,)</f>
        <v>05-40</v>
      </c>
      <c r="CK29" s="308" t="str">
        <f aca="false">VLOOKUP(CONCATENATE($AI26,"-",CK$8),'[1]liste complet essai'!$A$4:$K$1367,1,)</f>
        <v>05-41</v>
      </c>
      <c r="CL29" s="308" t="str">
        <f aca="false">VLOOKUP(CONCATENATE($AI26,"-",CL$8),'[1]liste complet essai'!$A$4:$K$1367,1,)</f>
        <v>05-42</v>
      </c>
      <c r="CM29" s="308" t="str">
        <f aca="false">VLOOKUP(CONCATENATE($AI26,"-",CM$8),'[1]liste complet essai'!$A$4:$K$1367,1,)</f>
        <v>05-43</v>
      </c>
      <c r="CN29" s="308" t="str">
        <f aca="false">VLOOKUP(CONCATENATE($AI26,"-",CN$8),'[1]liste complet essai'!$A$4:$K$1367,1,)</f>
        <v>05-44</v>
      </c>
      <c r="CO29" s="308" t="str">
        <f aca="false">VLOOKUP(CONCATENATE($AI26,"-",CO$8),'[1]liste complet essai'!$A$4:$K$1367,1,)</f>
        <v>05-45</v>
      </c>
      <c r="CP29" s="308" t="str">
        <f aca="false">VLOOKUP(CONCATENATE($AI26,"-",CP$8),'[1]liste complet essai'!$A$4:$K$1367,1,)</f>
        <v>05-46</v>
      </c>
      <c r="CQ29" s="308" t="str">
        <f aca="false">VLOOKUP(CONCATENATE($AI26,"-",CQ$8),'[1]liste complet essai'!$A$4:$K$1367,1,)</f>
        <v>05-47</v>
      </c>
      <c r="CR29" s="308" t="str">
        <f aca="false">VLOOKUP(CONCATENATE($AI26,"-",CR$8),'[1]liste complet essai'!$A$4:$K$1367,1,)</f>
        <v>05-48</v>
      </c>
      <c r="CS29" s="308" t="str">
        <f aca="false">VLOOKUP(CONCATENATE($AI26,"-",CS$8),'[1]liste complet essai'!$A$4:$K$1367,1,)</f>
        <v>05-49</v>
      </c>
      <c r="CT29" s="308" t="str">
        <f aca="false">VLOOKUP(CONCATENATE($AI26,"-",CT$8),'[1]liste complet essai'!$A$4:$K$1367,1,)</f>
        <v>05-50</v>
      </c>
      <c r="CU29" s="308" t="str">
        <f aca="false">VLOOKUP(CONCATENATE($AI26,"-",CU$8),'[1]liste complet essai'!$A$4:$K$1367,1,)</f>
        <v>05-51</v>
      </c>
      <c r="CV29" s="308" t="str">
        <f aca="false">VLOOKUP(CONCATENATE($AI26,"-",CV$8),'[1]liste complet essai'!$A$4:$K$1367,1,)</f>
        <v>05-52</v>
      </c>
      <c r="CW29" s="308" t="str">
        <f aca="false">VLOOKUP(CONCATENATE($AI26,"-",CW$8),'[1]liste complet essai'!$A$4:$K$1367,1,)</f>
        <v>05-53</v>
      </c>
      <c r="CX29" s="308" t="str">
        <f aca="false">VLOOKUP(CONCATENATE($AI26,"-",CX$8),'[1]liste complet essai'!$A$4:$K$1367,1,)</f>
        <v>05-54</v>
      </c>
      <c r="CY29" s="308" t="str">
        <f aca="false">VLOOKUP(CONCATENATE($AI26,"-",CY$8),'[1]liste complet essai'!$A$4:$K$1367,1,)</f>
        <v>05-55</v>
      </c>
      <c r="CZ29" s="308" t="str">
        <f aca="false">VLOOKUP(CONCATENATE($AI26,"-",CZ$8),'[1]liste complet essai'!$A$4:$K$1367,1,)</f>
        <v>05-56</v>
      </c>
      <c r="DA29" s="308" t="str">
        <f aca="false">VLOOKUP(CONCATENATE($AI26,"-",DA$8),'[1]liste complet essai'!$A$4:$K$1367,1,)</f>
        <v>05-57</v>
      </c>
      <c r="DB29" s="308" t="str">
        <f aca="false">VLOOKUP(CONCATENATE($AI26,"-",DB$8),'[1]liste complet essai'!$A$4:$K$1367,1,)</f>
        <v>05-58</v>
      </c>
      <c r="DC29" s="308" t="str">
        <f aca="false">VLOOKUP(CONCATENATE($AI26,"-",DC$8),'[1]liste complet essai'!$A$4:$K$1367,1,)</f>
        <v>05-59</v>
      </c>
      <c r="DD29" s="308" t="str">
        <f aca="false">VLOOKUP(CONCATENATE($AI26,"-",DD$8),'[1]liste complet essai'!$A$4:$K$1367,1,)</f>
        <v>05-60</v>
      </c>
      <c r="DE29" s="308" t="str">
        <f aca="false">VLOOKUP(CONCATENATE($AI26,"-",DE$8),'[1]liste complet essai'!$A$4:$K$1367,1,)</f>
        <v>05-61</v>
      </c>
      <c r="DF29" s="298" t="str">
        <f aca="false">VLOOKUP(CONCATENATE($AI26,"-",DF$8),'[1]liste complet essai'!$A$4:$K$1367,1,)</f>
        <v>05-62</v>
      </c>
      <c r="DG29" s="308" t="str">
        <f aca="false">VLOOKUP(CONCATENATE($AI26,"-",DG$8),'[1]liste complet essai'!$A$4:$K$1367,1,)</f>
        <v>05-63</v>
      </c>
      <c r="DH29" s="308" t="str">
        <f aca="false">VLOOKUP(CONCATENATE($AI26,"-",DH$8),'[1]liste complet essai'!$A$4:$K$1367,1,)</f>
        <v>05-64</v>
      </c>
      <c r="DI29" s="324"/>
      <c r="DJ29" s="346"/>
      <c r="DK29" s="339"/>
    </row>
    <row r="30" customFormat="false" ht="12" hidden="false" customHeight="false" outlineLevel="0" collapsed="false">
      <c r="B30" s="293" t="n">
        <v>20</v>
      </c>
      <c r="C30" s="337" t="s">
        <v>8122</v>
      </c>
      <c r="D30" s="319"/>
      <c r="E30" s="324" t="s">
        <v>8122</v>
      </c>
      <c r="F30" s="323" t="str">
        <f aca="false">VLOOKUP(CONCATENATE($B30,"-",F$8),'[1]liste complet essai'!$A$4:$K$1367,4,)</f>
        <v>AM</v>
      </c>
      <c r="G30" s="323" t="str">
        <f aca="false">VLOOKUP(CONCATENATE($B30,"-",G$8),'[1]liste complet essai'!$A$4:$K$1367,4,)</f>
        <v>AM</v>
      </c>
      <c r="H30" s="323" t="str">
        <f aca="false">VLOOKUP(CONCATENATE($B30,"-",H$8),'[1]liste complet essai'!$A$4:$K$1367,4,)</f>
        <v>AM</v>
      </c>
      <c r="I30" s="323" t="str">
        <f aca="false">VLOOKUP(CONCATENATE($B30,"-",I$8),'[1]liste complet essai'!$A$4:$K$1367,4,)</f>
        <v>AM</v>
      </c>
      <c r="J30" s="323" t="str">
        <f aca="false">VLOOKUP(CONCATENATE($B30,"-",J$8),'[1]liste complet essai'!$A$4:$K$1367,4,)</f>
        <v>AM</v>
      </c>
      <c r="K30" s="323" t="str">
        <f aca="false">VLOOKUP(CONCATENATE($B30,"-",K$8),'[1]liste complet essai'!$A$4:$K$1367,4,)</f>
        <v>AM</v>
      </c>
      <c r="L30" s="323" t="str">
        <f aca="false">VLOOKUP(CONCATENATE($B30,"-",L$8),'[1]liste complet essai'!$A$4:$K$1367,4,)</f>
        <v>AM</v>
      </c>
      <c r="M30" s="323" t="str">
        <f aca="false">VLOOKUP(CONCATENATE($B30,"-",M$8),'[1]liste complet essai'!$A$4:$K$1367,4,)</f>
        <v>AM</v>
      </c>
      <c r="N30" s="323" t="str">
        <f aca="false">VLOOKUP(CONCATENATE($B30,"-",N$8),'[1]liste complet essai'!$A$4:$K$1367,4,)</f>
        <v>AM</v>
      </c>
      <c r="O30" s="323" t="str">
        <f aca="false">VLOOKUP(CONCATENATE($B30,"-",O$8),'[1]liste complet essai'!$A$4:$K$1367,4,)</f>
        <v>AM</v>
      </c>
      <c r="P30" s="323" t="str">
        <f aca="false">VLOOKUP(CONCATENATE($B30,"-",P$8),'[1]liste complet essai'!$A$4:$K$1367,4,)</f>
        <v>AM</v>
      </c>
      <c r="Q30" s="323" t="str">
        <f aca="false">VLOOKUP(CONCATENATE($B30,"-",Q$8),'[1]liste complet essai'!$A$4:$K$1367,4,)</f>
        <v>AM</v>
      </c>
      <c r="R30" s="323" t="str">
        <f aca="false">VLOOKUP(CONCATENATE($B30,"-",R$8),'[1]liste complet essai'!$A$4:$K$1367,4,)</f>
        <v>AM</v>
      </c>
      <c r="S30" s="323" t="str">
        <f aca="false">VLOOKUP(CONCATENATE($B30,"-",S$8),'[1]liste complet essai'!$A$4:$K$1367,4,)</f>
        <v>AM</v>
      </c>
      <c r="T30" s="323" t="str">
        <f aca="false">VLOOKUP(CONCATENATE($B30,"-",T$8),'[1]liste complet essai'!$A$4:$K$1367,4,)</f>
        <v>AM</v>
      </c>
      <c r="U30" s="323" t="str">
        <f aca="false">VLOOKUP(CONCATENATE($B30,"-",U$8),'[1]liste complet essai'!$A$4:$K$1367,4,)</f>
        <v>AM</v>
      </c>
      <c r="V30" s="323" t="str">
        <f aca="false">VLOOKUP(CONCATENATE($B30,"-",V$8),'[1]liste complet essai'!$A$4:$K$1367,4,)</f>
        <v>AM</v>
      </c>
      <c r="W30" s="323" t="str">
        <f aca="false">VLOOKUP(CONCATENATE($B30,"-",W$8),'[1]liste complet essai'!$A$4:$K$1367,4,)</f>
        <v>AM</v>
      </c>
      <c r="X30" s="323" t="str">
        <f aca="false">VLOOKUP(CONCATENATE($B30,"-",X$8),'[1]liste complet essai'!$A$4:$K$1367,4,)</f>
        <v>AM</v>
      </c>
      <c r="Y30" s="323" t="str">
        <f aca="false">VLOOKUP(CONCATENATE($B30,"-",Y$8),'[1]liste complet essai'!$A$4:$K$1367,4,)</f>
        <v>AM</v>
      </c>
      <c r="Z30" s="323" t="str">
        <f aca="false">VLOOKUP(CONCATENATE($B30,"-",Z$8),'[1]liste complet essai'!$A$4:$K$1367,4,)</f>
        <v>AM</v>
      </c>
      <c r="AA30" s="323" t="str">
        <f aca="false">VLOOKUP(CONCATENATE($B30,"-",AA$8),'[1]liste complet essai'!$A$4:$K$1367,4,)</f>
        <v>AM</v>
      </c>
      <c r="AB30" s="323" t="str">
        <f aca="false">VLOOKUP(CONCATENATE($B30,"-",AB$8),'[1]liste complet essai'!$A$4:$K$1367,4,)</f>
        <v>AM</v>
      </c>
      <c r="AC30" s="323" t="str">
        <f aca="false">VLOOKUP(CONCATENATE($B30,"-",AC$8),'[1]liste complet essai'!$A$4:$K$1367,4,)</f>
        <v>AM</v>
      </c>
      <c r="AD30" s="323" t="str">
        <f aca="false">VLOOKUP(CONCATENATE($B30,"-",AD$8),'[1]liste complet essai'!$A$4:$K$1367,4,)</f>
        <v>AM</v>
      </c>
      <c r="AE30" s="323" t="str">
        <f aca="false">VLOOKUP(CONCATENATE($B30,"-",AE$8),'[1]liste complet essai'!$A$4:$K$1367,4,)</f>
        <v>AM</v>
      </c>
      <c r="AF30" s="339" t="s">
        <v>8122</v>
      </c>
      <c r="AI30" s="302" t="s">
        <v>8129</v>
      </c>
      <c r="AJ30" s="347" t="s">
        <v>8122</v>
      </c>
      <c r="AK30" s="322"/>
      <c r="AL30" s="324" t="s">
        <v>8122</v>
      </c>
      <c r="AM30" s="323" t="str">
        <f aca="false">VLOOKUP(CONCATENATE($AI30,"-",AM$8),'[1]liste complet essai'!$A$4:$K$1367,4,)</f>
        <v>AM</v>
      </c>
      <c r="AN30" s="323" t="str">
        <f aca="false">VLOOKUP(CONCATENATE($AI30,"-",AN$8),'[1]liste complet essai'!$A$4:$K$1367,4,)</f>
        <v>AM</v>
      </c>
      <c r="AO30" s="323" t="str">
        <f aca="false">VLOOKUP(CONCATENATE($AI30,"-",AO$8),'[1]liste complet essai'!$A$4:$K$1367,4,)</f>
        <v>AM</v>
      </c>
      <c r="AP30" s="323" t="str">
        <f aca="false">VLOOKUP(CONCATENATE($AI30,"-",AP$8),'[1]liste complet essai'!$A$4:$K$1367,4,)</f>
        <v>AM</v>
      </c>
      <c r="AQ30" s="323" t="str">
        <f aca="false">VLOOKUP(CONCATENATE($AI30,"-",AQ$8),'[1]liste complet essai'!$A$4:$K$1367,4,)</f>
        <v>AM</v>
      </c>
      <c r="AR30" s="323" t="str">
        <f aca="false">VLOOKUP(CONCATENATE($AI30,"-",AR$8),'[1]liste complet essai'!$A$4:$K$1367,4,)</f>
        <v>AM</v>
      </c>
      <c r="AS30" s="323" t="str">
        <f aca="false">VLOOKUP(CONCATENATE($AI30,"-",AS$8),'[1]liste complet essai'!$A$4:$K$1367,4,)</f>
        <v>AM</v>
      </c>
      <c r="AT30" s="323" t="str">
        <f aca="false">VLOOKUP(CONCATENATE($AI30,"-",AT$8),'[1]liste complet essai'!$A$4:$K$1367,4,)</f>
        <v>AM</v>
      </c>
      <c r="AU30" s="323" t="str">
        <f aca="false">VLOOKUP(CONCATENATE($AI30,"-",AU$8),'[1]liste complet essai'!$A$4:$K$1367,4,)</f>
        <v>AM</v>
      </c>
      <c r="AV30" s="323" t="str">
        <f aca="false">VLOOKUP(CONCATENATE($AI30,"-",AV$8),'[1]liste complet essai'!$A$4:$K$1367,4,)</f>
        <v>AM</v>
      </c>
      <c r="AW30" s="323" t="str">
        <f aca="false">VLOOKUP(CONCATENATE($AI30,"-",AW$8),'[1]liste complet essai'!$A$4:$K$1367,4,)</f>
        <v>AM</v>
      </c>
      <c r="AX30" s="323" t="str">
        <f aca="false">VLOOKUP(CONCATENATE($AI30,"-",AX$8),'[1]liste complet essai'!$A$4:$K$1367,4,)</f>
        <v>AM</v>
      </c>
      <c r="AY30" s="323" t="str">
        <f aca="false">VLOOKUP(CONCATENATE($AI30,"-",AY$8),'[1]liste complet essai'!$A$4:$K$1367,4,)</f>
        <v>AM</v>
      </c>
      <c r="AZ30" s="323" t="str">
        <f aca="false">VLOOKUP(CONCATENATE($AI30,"-",AZ$8),'[1]liste complet essai'!$A$4:$K$1367,4,)</f>
        <v>AM</v>
      </c>
      <c r="BA30" s="323" t="str">
        <f aca="false">VLOOKUP(CONCATENATE($AI30,"-",BA$8),'[1]liste complet essai'!$A$4:$K$1367,4,)</f>
        <v>AM</v>
      </c>
      <c r="BB30" s="323" t="str">
        <f aca="false">VLOOKUP(CONCATENATE($AI30,"-",BB$8),'[1]liste complet essai'!$A$4:$K$1367,4,)</f>
        <v>AM</v>
      </c>
      <c r="BC30" s="323" t="str">
        <f aca="false">VLOOKUP(CONCATENATE($AI30,"-",BC$8),'[1]liste complet essai'!$A$4:$K$1367,4,)</f>
        <v>AM</v>
      </c>
      <c r="BD30" s="323" t="str">
        <f aca="false">VLOOKUP(CONCATENATE($AI30,"-",BD$8),'[1]liste complet essai'!$A$4:$K$1367,4,)</f>
        <v>AM</v>
      </c>
      <c r="BE30" s="323" t="str">
        <f aca="false">VLOOKUP(CONCATENATE($AI30,"-",BE$8),'[1]liste complet essai'!$A$4:$K$1367,4,)</f>
        <v>AM</v>
      </c>
      <c r="BF30" s="323" t="str">
        <f aca="false">VLOOKUP(CONCATENATE($AI30,"-",BF$8),'[1]liste complet essai'!$A$4:$K$1367,4,)</f>
        <v>AM</v>
      </c>
      <c r="BG30" s="323" t="str">
        <f aca="false">VLOOKUP(CONCATENATE($AI30,"-",BG$8),'[1]liste complet essai'!$A$4:$K$1367,4,)</f>
        <v>AM</v>
      </c>
      <c r="BH30" s="323" t="str">
        <f aca="false">VLOOKUP(CONCATENATE($AI30,"-",BH$8),'[1]liste complet essai'!$A$4:$K$1367,4,)</f>
        <v>AM</v>
      </c>
      <c r="BI30" s="323" t="str">
        <f aca="false">VLOOKUP(CONCATENATE($AI30,"-",BI$8),'[1]liste complet essai'!$A$4:$K$1367,4,)</f>
        <v>AM</v>
      </c>
      <c r="BJ30" s="323" t="str">
        <f aca="false">VLOOKUP(CONCATENATE($AI30,"-",BJ$8),'[1]liste complet essai'!$A$4:$K$1367,4,)</f>
        <v>AM</v>
      </c>
      <c r="BK30" s="323" t="str">
        <f aca="false">VLOOKUP(CONCATENATE($AI30,"-",BK$8),'[1]liste complet essai'!$A$4:$K$1367,4,)</f>
        <v>AM</v>
      </c>
      <c r="BL30" s="323" t="str">
        <f aca="false">VLOOKUP(CONCATENATE($AI30,"-",BL$8),'[1]liste complet essai'!$A$4:$K$1367,4,)</f>
        <v>AM</v>
      </c>
      <c r="BM30" s="323" t="str">
        <f aca="false">VLOOKUP(CONCATENATE($AI30,"-",BM$8),'[1]liste complet essai'!$A$4:$K$1367,4,)</f>
        <v>AM</v>
      </c>
      <c r="BN30" s="323" t="str">
        <f aca="false">VLOOKUP(CONCATENATE($AI30,"-",BN$8),'[1]liste complet essai'!$A$4:$K$1367,4,)</f>
        <v>AM</v>
      </c>
      <c r="BO30" s="323" t="str">
        <f aca="false">VLOOKUP(CONCATENATE($AI30,"-",BO$8),'[1]liste complet essai'!$A$4:$K$1367,4,)</f>
        <v>AM</v>
      </c>
      <c r="BP30" s="348" t="str">
        <f aca="false">VLOOKUP(CONCATENATE($AI30,"-",BP$8),'[1]liste complet essai'!$A$4:$K$1367,4,)</f>
        <v>AM</v>
      </c>
      <c r="BQ30" s="323" t="str">
        <f aca="false">VLOOKUP(CONCATENATE($AI30,"-",BQ$8),'[1]liste complet essai'!$A$4:$K$1367,4,)</f>
        <v>AM</v>
      </c>
      <c r="BR30" s="323" t="str">
        <f aca="false">VLOOKUP(CONCATENATE($AI30,"-",BR$8),'[1]liste complet essai'!$A$4:$K$1367,4,)</f>
        <v>AM</v>
      </c>
      <c r="BS30" s="310"/>
      <c r="BT30" s="310"/>
      <c r="BU30" s="310"/>
      <c r="BV30" s="310"/>
      <c r="BW30" s="310"/>
      <c r="BX30" s="310"/>
      <c r="BY30" s="310"/>
      <c r="BZ30" s="310"/>
      <c r="CA30" s="310"/>
      <c r="CB30" s="310"/>
      <c r="CC30" s="299" t="str">
        <f aca="false">VLOOKUP(CONCATENATE($AI30,"-",CC$8),'[1]liste complet essai'!$A$4:$K$1367,4,)</f>
        <v>AM</v>
      </c>
      <c r="CD30" s="299" t="str">
        <f aca="false">VLOOKUP(CONCATENATE($AI30,"-",CD$8),'[1]liste complet essai'!$A$4:$K$1367,4,)</f>
        <v>AM</v>
      </c>
      <c r="CE30" s="299" t="str">
        <f aca="false">VLOOKUP(CONCATENATE($AI30,"-",CE$8),'[1]liste complet essai'!$A$4:$K$1367,4,)</f>
        <v>AM</v>
      </c>
      <c r="CF30" s="299" t="str">
        <f aca="false">VLOOKUP(CONCATENATE($AI30,"-",CF$8),'[1]liste complet essai'!$A$4:$K$1367,4,)</f>
        <v>AM</v>
      </c>
      <c r="CG30" s="299" t="str">
        <f aca="false">VLOOKUP(CONCATENATE($AI30,"-",CG$8),'[1]liste complet essai'!$A$4:$K$1367,4,)</f>
        <v>AM</v>
      </c>
      <c r="CH30" s="299" t="str">
        <f aca="false">VLOOKUP(CONCATENATE($AI30,"-",CH$8),'[1]liste complet essai'!$A$4:$K$1367,4,)</f>
        <v>AM</v>
      </c>
      <c r="CI30" s="299" t="str">
        <f aca="false">VLOOKUP(CONCATENATE($AI30,"-",CI$8),'[1]liste complet essai'!$A$4:$K$1367,4,)</f>
        <v>AM</v>
      </c>
      <c r="CJ30" s="299" t="str">
        <f aca="false">VLOOKUP(CONCATENATE($AI30,"-",CJ$8),'[1]liste complet essai'!$A$4:$K$1367,4,)</f>
        <v>AM</v>
      </c>
      <c r="CK30" s="299" t="str">
        <f aca="false">VLOOKUP(CONCATENATE($AI30,"-",CK$8),'[1]liste complet essai'!$A$4:$K$1367,4,)</f>
        <v>AM</v>
      </c>
      <c r="CL30" s="299" t="str">
        <f aca="false">VLOOKUP(CONCATENATE($AI30,"-",CL$8),'[1]liste complet essai'!$A$4:$K$1367,4,)</f>
        <v>AM</v>
      </c>
      <c r="CM30" s="299" t="str">
        <f aca="false">VLOOKUP(CONCATENATE($AI30,"-",CM$8),'[1]liste complet essai'!$A$4:$K$1367,4,)</f>
        <v>AM</v>
      </c>
      <c r="CN30" s="299" t="str">
        <f aca="false">VLOOKUP(CONCATENATE($AI30,"-",CN$8),'[1]liste complet essai'!$A$4:$K$1367,4,)</f>
        <v>AM</v>
      </c>
      <c r="CO30" s="299" t="str">
        <f aca="false">VLOOKUP(CONCATENATE($AI30,"-",CO$8),'[1]liste complet essai'!$A$4:$K$1367,4,)</f>
        <v>AM</v>
      </c>
      <c r="CP30" s="299" t="str">
        <f aca="false">VLOOKUP(CONCATENATE($AI30,"-",CP$8),'[1]liste complet essai'!$A$4:$K$1367,4,)</f>
        <v>AM</v>
      </c>
      <c r="CQ30" s="299" t="str">
        <f aca="false">VLOOKUP(CONCATENATE($AI30,"-",CQ$8),'[1]liste complet essai'!$A$4:$K$1367,4,)</f>
        <v>AM</v>
      </c>
      <c r="CR30" s="299" t="str">
        <f aca="false">VLOOKUP(CONCATENATE($AI30,"-",CR$8),'[1]liste complet essai'!$A$4:$K$1367,4,)</f>
        <v>AM</v>
      </c>
      <c r="CS30" s="299" t="str">
        <f aca="false">VLOOKUP(CONCATENATE($AI30,"-",CS$8),'[1]liste complet essai'!$A$4:$K$1367,4,)</f>
        <v>AM</v>
      </c>
      <c r="CT30" s="299" t="str">
        <f aca="false">VLOOKUP(CONCATENATE($AI30,"-",CT$8),'[1]liste complet essai'!$A$4:$K$1367,4,)</f>
        <v>AM</v>
      </c>
      <c r="CU30" s="299" t="str">
        <f aca="false">VLOOKUP(CONCATENATE($AI30,"-",CU$8),'[1]liste complet essai'!$A$4:$K$1367,4,)</f>
        <v>AM</v>
      </c>
      <c r="CV30" s="299" t="str">
        <f aca="false">VLOOKUP(CONCATENATE($AI30,"-",CV$8),'[1]liste complet essai'!$A$4:$K$1367,4,)</f>
        <v>AM</v>
      </c>
      <c r="CW30" s="299" t="str">
        <f aca="false">VLOOKUP(CONCATENATE($AI30,"-",CW$8),'[1]liste complet essai'!$A$4:$K$1367,4,)</f>
        <v>AM</v>
      </c>
      <c r="CX30" s="298" t="str">
        <f aca="false">VLOOKUP(CONCATENATE($AI30,"-",CX$8),'[1]liste complet essai'!$A$4:$K$1367,4,)</f>
        <v>AM</v>
      </c>
      <c r="CY30" s="299" t="str">
        <f aca="false">VLOOKUP(CONCATENATE($AI30,"-",CY$8),'[1]liste complet essai'!$A$4:$K$1367,4,)</f>
        <v>AM</v>
      </c>
      <c r="CZ30" s="299" t="str">
        <f aca="false">VLOOKUP(CONCATENATE($AI30,"-",CZ$8),'[1]liste complet essai'!$A$4:$K$1367,4,)</f>
        <v>AM</v>
      </c>
      <c r="DA30" s="299" t="str">
        <f aca="false">VLOOKUP(CONCATENATE($AI30,"-",DA$8),'[1]liste complet essai'!$A$4:$K$1367,4,)</f>
        <v>AM</v>
      </c>
      <c r="DB30" s="299" t="str">
        <f aca="false">VLOOKUP(CONCATENATE($AI30,"-",DB$8),'[1]liste complet essai'!$A$4:$K$1367,4,)</f>
        <v>AM</v>
      </c>
      <c r="DC30" s="299" t="str">
        <f aca="false">VLOOKUP(CONCATENATE($AI30,"-",DC$8),'[1]liste complet essai'!$A$4:$K$1367,4,)</f>
        <v>AM</v>
      </c>
      <c r="DD30" s="299" t="str">
        <f aca="false">VLOOKUP(CONCATENATE($AI30,"-",DD$8),'[1]liste complet essai'!$A$4:$K$1367,4,)</f>
        <v>AM</v>
      </c>
      <c r="DE30" s="299" t="str">
        <f aca="false">VLOOKUP(CONCATENATE($AI30,"-",DE$8),'[1]liste complet essai'!$A$4:$K$1367,4,)</f>
        <v>AM</v>
      </c>
      <c r="DF30" s="299" t="str">
        <f aca="false">VLOOKUP(CONCATENATE($AI30,"-",DF$8),'[1]liste complet essai'!$A$4:$K$1367,4,)</f>
        <v>AM</v>
      </c>
      <c r="DG30" s="299" t="str">
        <f aca="false">VLOOKUP(CONCATENATE($AI30,"-",DG$8),'[1]liste complet essai'!$A$4:$K$1367,4,)</f>
        <v>AM</v>
      </c>
      <c r="DH30" s="299" t="str">
        <f aca="false">VLOOKUP(CONCATENATE($AI30,"-",DH$8),'[1]liste complet essai'!$A$4:$K$1367,4,)</f>
        <v>AM</v>
      </c>
      <c r="DI30" s="349" t="s">
        <v>8122</v>
      </c>
      <c r="DJ30" s="338"/>
      <c r="DK30" s="350" t="s">
        <v>8122</v>
      </c>
    </row>
    <row r="31" customFormat="false" ht="12" hidden="false" customHeight="false" outlineLevel="0" collapsed="false">
      <c r="B31" s="293"/>
      <c r="C31" s="337"/>
      <c r="D31" s="307"/>
      <c r="E31" s="324"/>
      <c r="F31" s="311" t="str">
        <f aca="false">VLOOKUP(CONCATENATE($B30,"-",F$8),'[1]liste complet essai'!$A$4:$K$1367,9,)</f>
        <v>N2-b3</v>
      </c>
      <c r="G31" s="311" t="str">
        <f aca="false">VLOOKUP(CONCATENATE($B30,"-",G$8),'[1]liste complet essai'!$A$4:$K$1367,9,)</f>
        <v>N2-b3</v>
      </c>
      <c r="H31" s="311" t="str">
        <f aca="false">VLOOKUP(CONCATENATE($B30,"-",H$8),'[1]liste complet essai'!$A$4:$K$1367,9,)</f>
        <v>N2-b3</v>
      </c>
      <c r="I31" s="311" t="str">
        <f aca="false">VLOOKUP(CONCATENATE($B30,"-",I$8),'[1]liste complet essai'!$A$4:$K$1367,9,)</f>
        <v>N2-b3</v>
      </c>
      <c r="J31" s="311" t="str">
        <f aca="false">VLOOKUP(CONCATENATE($B30,"-",J$8),'[1]liste complet essai'!$A$4:$K$1367,9,)</f>
        <v>N2-b3</v>
      </c>
      <c r="K31" s="311" t="str">
        <f aca="false">VLOOKUP(CONCATENATE($B30,"-",K$8),'[1]liste complet essai'!$A$4:$K$1367,9,)</f>
        <v>N2-b3</v>
      </c>
      <c r="L31" s="311" t="str">
        <f aca="false">VLOOKUP(CONCATENATE($B30,"-",L$8),'[1]liste complet essai'!$A$4:$K$1367,9,)</f>
        <v>N2-b3</v>
      </c>
      <c r="M31" s="311" t="str">
        <f aca="false">VLOOKUP(CONCATENATE($B30,"-",M$8),'[1]liste complet essai'!$A$4:$K$1367,9,)</f>
        <v>N2-b3</v>
      </c>
      <c r="N31" s="311" t="str">
        <f aca="false">VLOOKUP(CONCATENATE($B30,"-",N$8),'[1]liste complet essai'!$A$4:$K$1367,9,)</f>
        <v>N2-b3</v>
      </c>
      <c r="O31" s="311" t="str">
        <f aca="false">VLOOKUP(CONCATENATE($B30,"-",O$8),'[1]liste complet essai'!$A$4:$K$1367,9,)</f>
        <v>N2-b3</v>
      </c>
      <c r="P31" s="311" t="str">
        <f aca="false">VLOOKUP(CONCATENATE($B30,"-",P$8),'[1]liste complet essai'!$A$4:$K$1367,9,)</f>
        <v>N2-b3</v>
      </c>
      <c r="Q31" s="311" t="str">
        <f aca="false">VLOOKUP(CONCATENATE($B30,"-",Q$8),'[1]liste complet essai'!$A$4:$K$1367,9,)</f>
        <v>N2-b3</v>
      </c>
      <c r="R31" s="311" t="str">
        <f aca="false">VLOOKUP(CONCATENATE($B30,"-",R$8),'[1]liste complet essai'!$A$4:$K$1367,9,)</f>
        <v>N2-b3</v>
      </c>
      <c r="S31" s="311" t="str">
        <f aca="false">VLOOKUP(CONCATENATE($B30,"-",S$8),'[1]liste complet essai'!$A$4:$K$1367,9,)</f>
        <v>N2-b3</v>
      </c>
      <c r="T31" s="311" t="str">
        <f aca="false">VLOOKUP(CONCATENATE($B30,"-",T$8),'[1]liste complet essai'!$A$4:$K$1367,9,)</f>
        <v>N2-b3</v>
      </c>
      <c r="U31" s="311" t="str">
        <f aca="false">VLOOKUP(CONCATENATE($B30,"-",U$8),'[1]liste complet essai'!$A$4:$K$1367,9,)</f>
        <v>N2-b3</v>
      </c>
      <c r="V31" s="311" t="str">
        <f aca="false">VLOOKUP(CONCATENATE($B30,"-",V$8),'[1]liste complet essai'!$A$4:$K$1367,9,)</f>
        <v>N2-b3</v>
      </c>
      <c r="W31" s="311" t="str">
        <f aca="false">VLOOKUP(CONCATENATE($B30,"-",W$8),'[1]liste complet essai'!$A$4:$K$1367,9,)</f>
        <v>N2-b3</v>
      </c>
      <c r="X31" s="311" t="str">
        <f aca="false">VLOOKUP(CONCATENATE($B30,"-",X$8),'[1]liste complet essai'!$A$4:$K$1367,9,)</f>
        <v>N2-b3</v>
      </c>
      <c r="Y31" s="311" t="str">
        <f aca="false">VLOOKUP(CONCATENATE($B30,"-",Y$8),'[1]liste complet essai'!$A$4:$K$1367,9,)</f>
        <v>N2-b3</v>
      </c>
      <c r="Z31" s="311" t="str">
        <f aca="false">VLOOKUP(CONCATENATE($B30,"-",Z$8),'[1]liste complet essai'!$A$4:$K$1367,9,)</f>
        <v>N2-b3</v>
      </c>
      <c r="AA31" s="311" t="str">
        <f aca="false">VLOOKUP(CONCATENATE($B30,"-",AA$8),'[1]liste complet essai'!$A$4:$K$1367,9,)</f>
        <v>N2-b3</v>
      </c>
      <c r="AB31" s="311" t="str">
        <f aca="false">VLOOKUP(CONCATENATE($B30,"-",AB$8),'[1]liste complet essai'!$A$4:$K$1367,9,)</f>
        <v>N2-b3</v>
      </c>
      <c r="AC31" s="311" t="str">
        <f aca="false">VLOOKUP(CONCATENATE($B30,"-",AC$8),'[1]liste complet essai'!$A$4:$K$1367,9,)</f>
        <v>N2-b3</v>
      </c>
      <c r="AD31" s="311" t="str">
        <f aca="false">VLOOKUP(CONCATENATE($B30,"-",AD$8),'[1]liste complet essai'!$A$4:$K$1367,9,)</f>
        <v>N2-b3</v>
      </c>
      <c r="AE31" s="311" t="str">
        <f aca="false">VLOOKUP(CONCATENATE($B30,"-",AE$8),'[1]liste complet essai'!$A$4:$K$1367,9,)</f>
        <v>N2-b3</v>
      </c>
      <c r="AF31" s="339"/>
      <c r="AI31" s="302"/>
      <c r="AJ31" s="347"/>
      <c r="AK31" s="309"/>
      <c r="AL31" s="324"/>
      <c r="AM31" s="311" t="str">
        <f aca="false">VLOOKUP(CONCATENATE($AI30,"-",AM$8),'[1]liste complet essai'!$A$4:$K$1367,9,)</f>
        <v>N2-b1</v>
      </c>
      <c r="AN31" s="311" t="str">
        <f aca="false">VLOOKUP(CONCATENATE($AI30,"-",AN$8),'[1]liste complet essai'!$A$4:$K$1367,9,)</f>
        <v>N2-b1</v>
      </c>
      <c r="AO31" s="311" t="str">
        <f aca="false">VLOOKUP(CONCATENATE($AI30,"-",AO$8),'[1]liste complet essai'!$A$4:$K$1367,9,)</f>
        <v>N2-b1</v>
      </c>
      <c r="AP31" s="311" t="str">
        <f aca="false">VLOOKUP(CONCATENATE($AI30,"-",AP$8),'[1]liste complet essai'!$A$4:$K$1367,9,)</f>
        <v>N2-b1</v>
      </c>
      <c r="AQ31" s="311" t="str">
        <f aca="false">VLOOKUP(CONCATENATE($AI30,"-",AQ$8),'[1]liste complet essai'!$A$4:$K$1367,9,)</f>
        <v>N2-b1</v>
      </c>
      <c r="AR31" s="311" t="str">
        <f aca="false">VLOOKUP(CONCATENATE($AI30,"-",AR$8),'[1]liste complet essai'!$A$4:$K$1367,9,)</f>
        <v>N2-b1</v>
      </c>
      <c r="AS31" s="311" t="str">
        <f aca="false">VLOOKUP(CONCATENATE($AI30,"-",AS$8),'[1]liste complet essai'!$A$4:$K$1367,9,)</f>
        <v>N2-b1</v>
      </c>
      <c r="AT31" s="311" t="str">
        <f aca="false">VLOOKUP(CONCATENATE($AI30,"-",AT$8),'[1]liste complet essai'!$A$4:$K$1367,9,)</f>
        <v>N2-b1</v>
      </c>
      <c r="AU31" s="311" t="str">
        <f aca="false">VLOOKUP(CONCATENATE($AI30,"-",AU$8),'[1]liste complet essai'!$A$4:$K$1367,9,)</f>
        <v>N2-b1</v>
      </c>
      <c r="AV31" s="311" t="str">
        <f aca="false">VLOOKUP(CONCATENATE($AI30,"-",AV$8),'[1]liste complet essai'!$A$4:$K$1367,9,)</f>
        <v>N2-b1</v>
      </c>
      <c r="AW31" s="311" t="str">
        <f aca="false">VLOOKUP(CONCATENATE($AI30,"-",AW$8),'[1]liste complet essai'!$A$4:$K$1367,9,)</f>
        <v>N2-b1</v>
      </c>
      <c r="AX31" s="311" t="str">
        <f aca="false">VLOOKUP(CONCATENATE($AI30,"-",AX$8),'[1]liste complet essai'!$A$4:$K$1367,9,)</f>
        <v>N2-b1</v>
      </c>
      <c r="AY31" s="311" t="str">
        <f aca="false">VLOOKUP(CONCATENATE($AI30,"-",AY$8),'[1]liste complet essai'!$A$4:$K$1367,9,)</f>
        <v>N2-b1</v>
      </c>
      <c r="AZ31" s="311" t="str">
        <f aca="false">VLOOKUP(CONCATENATE($AI30,"-",AZ$8),'[1]liste complet essai'!$A$4:$K$1367,9,)</f>
        <v>N2-b1</v>
      </c>
      <c r="BA31" s="311" t="str">
        <f aca="false">VLOOKUP(CONCATENATE($AI30,"-",BA$8),'[1]liste complet essai'!$A$4:$K$1367,9,)</f>
        <v>N2-b1</v>
      </c>
      <c r="BB31" s="311" t="str">
        <f aca="false">VLOOKUP(CONCATENATE($AI30,"-",BB$8),'[1]liste complet essai'!$A$4:$K$1367,9,)</f>
        <v>N2-b1</v>
      </c>
      <c r="BC31" s="311" t="str">
        <f aca="false">VLOOKUP(CONCATENATE($AI30,"-",BC$8),'[1]liste complet essai'!$A$4:$K$1367,9,)</f>
        <v>N2-b1</v>
      </c>
      <c r="BD31" s="311" t="str">
        <f aca="false">VLOOKUP(CONCATENATE($AI30,"-",BD$8),'[1]liste complet essai'!$A$4:$K$1367,9,)</f>
        <v>N2-b1</v>
      </c>
      <c r="BE31" s="311" t="str">
        <f aca="false">VLOOKUP(CONCATENATE($AI30,"-",BE$8),'[1]liste complet essai'!$A$4:$K$1367,9,)</f>
        <v>N2-b1</v>
      </c>
      <c r="BF31" s="311" t="str">
        <f aca="false">VLOOKUP(CONCATENATE($AI30,"-",BF$8),'[1]liste complet essai'!$A$4:$K$1367,9,)</f>
        <v>N2-b1</v>
      </c>
      <c r="BG31" s="311" t="str">
        <f aca="false">VLOOKUP(CONCATENATE($AI30,"-",BG$8),'[1]liste complet essai'!$A$4:$K$1367,9,)</f>
        <v>N2-b1</v>
      </c>
      <c r="BH31" s="311" t="str">
        <f aca="false">VLOOKUP(CONCATENATE($AI30,"-",BH$8),'[1]liste complet essai'!$A$4:$K$1367,9,)</f>
        <v>N2-b1</v>
      </c>
      <c r="BI31" s="311" t="str">
        <f aca="false">VLOOKUP(CONCATENATE($AI30,"-",BI$8),'[1]liste complet essai'!$A$4:$K$1367,9,)</f>
        <v>N2-b1</v>
      </c>
      <c r="BJ31" s="311" t="str">
        <f aca="false">VLOOKUP(CONCATENATE($AI30,"-",BJ$8),'[1]liste complet essai'!$A$4:$K$1367,9,)</f>
        <v>N2-b1</v>
      </c>
      <c r="BK31" s="311" t="str">
        <f aca="false">VLOOKUP(CONCATENATE($AI30,"-",BK$8),'[1]liste complet essai'!$A$4:$K$1367,9,)</f>
        <v>N2-b1</v>
      </c>
      <c r="BL31" s="311" t="str">
        <f aca="false">VLOOKUP(CONCATENATE($AI30,"-",BL$8),'[1]liste complet essai'!$A$4:$K$1367,9,)</f>
        <v>N2-b1</v>
      </c>
      <c r="BM31" s="311" t="str">
        <f aca="false">VLOOKUP(CONCATENATE($AI30,"-",BM$8),'[1]liste complet essai'!$A$4:$K$1367,9,)</f>
        <v>N2-b1</v>
      </c>
      <c r="BN31" s="311" t="str">
        <f aca="false">VLOOKUP(CONCATENATE($AI30,"-",BN$8),'[1]liste complet essai'!$A$4:$K$1367,9,)</f>
        <v>N2-b1</v>
      </c>
      <c r="BO31" s="311" t="str">
        <f aca="false">VLOOKUP(CONCATENATE($AI30,"-",BO$8),'[1]liste complet essai'!$A$4:$K$1367,9,)</f>
        <v>N2-b1</v>
      </c>
      <c r="BP31" s="327" t="str">
        <f aca="false">VLOOKUP(CONCATENATE($AI30,"-",BP$8),'[1]liste complet essai'!$A$4:$K$1367,9,)</f>
        <v>N2-b1</v>
      </c>
      <c r="BQ31" s="311" t="str">
        <f aca="false">VLOOKUP(CONCATENATE($AI30,"-",BQ$8),'[1]liste complet essai'!$A$4:$K$1367,9,)</f>
        <v>N2-b1</v>
      </c>
      <c r="BR31" s="311" t="str">
        <f aca="false">VLOOKUP(CONCATENATE($AI30,"-",BR$8),'[1]liste complet essai'!$A$4:$K$1367,9,)</f>
        <v>N2-b1</v>
      </c>
      <c r="BS31" s="310"/>
      <c r="BT31" s="310"/>
      <c r="BU31" s="310"/>
      <c r="BV31" s="310"/>
      <c r="BW31" s="310"/>
      <c r="BX31" s="310"/>
      <c r="BY31" s="310"/>
      <c r="BZ31" s="310"/>
      <c r="CA31" s="310"/>
      <c r="CB31" s="310"/>
      <c r="CC31" s="308" t="str">
        <f aca="false">VLOOKUP(CONCATENATE($AI30,"-",CC$8),'[1]liste complet essai'!$A$4:$K$1367,9,)</f>
        <v>N1-b2</v>
      </c>
      <c r="CD31" s="308" t="str">
        <f aca="false">VLOOKUP(CONCATENATE($AI30,"-",CD$8),'[1]liste complet essai'!$A$4:$K$1367,9,)</f>
        <v>N1-b2</v>
      </c>
      <c r="CE31" s="308" t="str">
        <f aca="false">VLOOKUP(CONCATENATE($AI30,"-",CE$8),'[1]liste complet essai'!$A$4:$K$1367,9,)</f>
        <v>N1-b2</v>
      </c>
      <c r="CF31" s="308" t="str">
        <f aca="false">VLOOKUP(CONCATENATE($AI30,"-",CF$8),'[1]liste complet essai'!$A$4:$K$1367,9,)</f>
        <v>N1-b2</v>
      </c>
      <c r="CG31" s="308" t="str">
        <f aca="false">VLOOKUP(CONCATENATE($AI30,"-",CG$8),'[1]liste complet essai'!$A$4:$K$1367,9,)</f>
        <v>N1-b2</v>
      </c>
      <c r="CH31" s="308" t="str">
        <f aca="false">VLOOKUP(CONCATENATE($AI30,"-",CH$8),'[1]liste complet essai'!$A$4:$K$1367,9,)</f>
        <v>N1-b2</v>
      </c>
      <c r="CI31" s="308" t="str">
        <f aca="false">VLOOKUP(CONCATENATE($AI30,"-",CI$8),'[1]liste complet essai'!$A$4:$K$1367,9,)</f>
        <v>N1-b2</v>
      </c>
      <c r="CJ31" s="308" t="str">
        <f aca="false">VLOOKUP(CONCATENATE($AI30,"-",CJ$8),'[1]liste complet essai'!$A$4:$K$1367,9,)</f>
        <v>N1-b2</v>
      </c>
      <c r="CK31" s="308" t="str">
        <f aca="false">VLOOKUP(CONCATENATE($AI30,"-",CK$8),'[1]liste complet essai'!$A$4:$K$1367,9,)</f>
        <v>N1-b2</v>
      </c>
      <c r="CL31" s="308" t="str">
        <f aca="false">VLOOKUP(CONCATENATE($AI30,"-",CL$8),'[1]liste complet essai'!$A$4:$K$1367,9,)</f>
        <v>N1-b2</v>
      </c>
      <c r="CM31" s="308" t="str">
        <f aca="false">VLOOKUP(CONCATENATE($AI30,"-",CM$8),'[1]liste complet essai'!$A$4:$K$1367,9,)</f>
        <v>N1-b2</v>
      </c>
      <c r="CN31" s="308" t="str">
        <f aca="false">VLOOKUP(CONCATENATE($AI30,"-",CN$8),'[1]liste complet essai'!$A$4:$K$1367,9,)</f>
        <v>N1-b2</v>
      </c>
      <c r="CO31" s="308" t="str">
        <f aca="false">VLOOKUP(CONCATENATE($AI30,"-",CO$8),'[1]liste complet essai'!$A$4:$K$1367,9,)</f>
        <v>N1-b2</v>
      </c>
      <c r="CP31" s="308" t="str">
        <f aca="false">VLOOKUP(CONCATENATE($AI30,"-",CP$8),'[1]liste complet essai'!$A$4:$K$1367,9,)</f>
        <v>N1-b2</v>
      </c>
      <c r="CQ31" s="308" t="str">
        <f aca="false">VLOOKUP(CONCATENATE($AI30,"-",CQ$8),'[1]liste complet essai'!$A$4:$K$1367,9,)</f>
        <v>N1-b2</v>
      </c>
      <c r="CR31" s="308" t="str">
        <f aca="false">VLOOKUP(CONCATENATE($AI30,"-",CR$8),'[1]liste complet essai'!$A$4:$K$1367,9,)</f>
        <v>N1-b2</v>
      </c>
      <c r="CS31" s="308" t="str">
        <f aca="false">VLOOKUP(CONCATENATE($AI30,"-",CS$8),'[1]liste complet essai'!$A$4:$K$1367,9,)</f>
        <v>N1-b2</v>
      </c>
      <c r="CT31" s="308" t="str">
        <f aca="false">VLOOKUP(CONCATENATE($AI30,"-",CT$8),'[1]liste complet essai'!$A$4:$K$1367,9,)</f>
        <v>N1-b2</v>
      </c>
      <c r="CU31" s="308" t="str">
        <f aca="false">VLOOKUP(CONCATENATE($AI30,"-",CU$8),'[1]liste complet essai'!$A$4:$K$1367,9,)</f>
        <v>N1-b2</v>
      </c>
      <c r="CV31" s="308" t="str">
        <f aca="false">VLOOKUP(CONCATENATE($AI30,"-",CV$8),'[1]liste complet essai'!$A$4:$K$1367,9,)</f>
        <v>N1-b2</v>
      </c>
      <c r="CW31" s="308" t="str">
        <f aca="false">VLOOKUP(CONCATENATE($AI30,"-",CW$8),'[1]liste complet essai'!$A$4:$K$1367,9,)</f>
        <v>N1-b2</v>
      </c>
      <c r="CX31" s="298" t="str">
        <f aca="false">VLOOKUP(CONCATENATE($AI30,"-",CX$8),'[1]liste complet essai'!$A$4:$K$1367,9,)</f>
        <v>N1-b2</v>
      </c>
      <c r="CY31" s="308" t="str">
        <f aca="false">VLOOKUP(CONCATENATE($AI30,"-",CY$8),'[1]liste complet essai'!$A$4:$K$1367,9,)</f>
        <v>N1-b2</v>
      </c>
      <c r="CZ31" s="308" t="str">
        <f aca="false">VLOOKUP(CONCATENATE($AI30,"-",CZ$8),'[1]liste complet essai'!$A$4:$K$1367,9,)</f>
        <v>N1-b2</v>
      </c>
      <c r="DA31" s="308" t="str">
        <f aca="false">VLOOKUP(CONCATENATE($AI30,"-",DA$8),'[1]liste complet essai'!$A$4:$K$1367,9,)</f>
        <v>N1-b2</v>
      </c>
      <c r="DB31" s="308" t="str">
        <f aca="false">VLOOKUP(CONCATENATE($AI30,"-",DB$8),'[1]liste complet essai'!$A$4:$K$1367,9,)</f>
        <v>N1-b2</v>
      </c>
      <c r="DC31" s="308" t="str">
        <f aca="false">VLOOKUP(CONCATENATE($AI30,"-",DC$8),'[1]liste complet essai'!$A$4:$K$1367,9,)</f>
        <v>N1-b2</v>
      </c>
      <c r="DD31" s="308" t="str">
        <f aca="false">VLOOKUP(CONCATENATE($AI30,"-",DD$8),'[1]liste complet essai'!$A$4:$K$1367,9,)</f>
        <v>N1-b2</v>
      </c>
      <c r="DE31" s="308" t="str">
        <f aca="false">VLOOKUP(CONCATENATE($AI30,"-",DE$8),'[1]liste complet essai'!$A$4:$K$1367,9,)</f>
        <v>N1-b2</v>
      </c>
      <c r="DF31" s="308" t="str">
        <f aca="false">VLOOKUP(CONCATENATE($AI30,"-",DF$8),'[1]liste complet essai'!$A$4:$K$1367,9,)</f>
        <v>N1-b2</v>
      </c>
      <c r="DG31" s="308" t="str">
        <f aca="false">VLOOKUP(CONCATENATE($AI30,"-",DG$8),'[1]liste complet essai'!$A$4:$K$1367,9,)</f>
        <v>N1-b2</v>
      </c>
      <c r="DH31" s="308" t="str">
        <f aca="false">VLOOKUP(CONCATENATE($AI30,"-",DH$8),'[1]liste complet essai'!$A$4:$K$1367,9,)</f>
        <v>N1-b2</v>
      </c>
      <c r="DI31" s="349"/>
      <c r="DJ31" s="340"/>
      <c r="DK31" s="350"/>
    </row>
    <row r="32" customFormat="false" ht="12" hidden="false" customHeight="false" outlineLevel="0" collapsed="false">
      <c r="B32" s="293"/>
      <c r="C32" s="337"/>
      <c r="D32" s="307"/>
      <c r="E32" s="324"/>
      <c r="F32" s="311" t="str">
        <f aca="false">VLOOKUP(CONCATENATE($B30,"-",F$8),'[1]liste complet essai'!$A$4:$K$1367,5,)</f>
        <v>G-067</v>
      </c>
      <c r="G32" s="311" t="str">
        <f aca="false">VLOOKUP(CONCATENATE($B30,"-",G$8),'[1]liste complet essai'!$A$4:$K$1367,5,)</f>
        <v>G-027</v>
      </c>
      <c r="H32" s="311" t="str">
        <f aca="false">VLOOKUP(CONCATENATE($B30,"-",H$8),'[1]liste complet essai'!$A$4:$K$1367,5,)</f>
        <v>G-069</v>
      </c>
      <c r="I32" s="311" t="str">
        <f aca="false">VLOOKUP(CONCATENATE($B30,"-",I$8),'[1]liste complet essai'!$A$4:$K$1367,5,)</f>
        <v>G-042</v>
      </c>
      <c r="J32" s="311" t="str">
        <f aca="false">VLOOKUP(CONCATENATE($B30,"-",J$8),'[1]liste complet essai'!$A$4:$K$1367,5,)</f>
        <v>G-114</v>
      </c>
      <c r="K32" s="311" t="str">
        <f aca="false">VLOOKUP(CONCATENATE($B30,"-",K$8),'[1]liste complet essai'!$A$4:$K$1367,5,)</f>
        <v>G-101</v>
      </c>
      <c r="L32" s="311" t="str">
        <f aca="false">VLOOKUP(CONCATENATE($B30,"-",L$8),'[1]liste complet essai'!$A$4:$K$1367,5,)</f>
        <v>G-003</v>
      </c>
      <c r="M32" s="311" t="str">
        <f aca="false">VLOOKUP(CONCATENATE($B30,"-",M$8),'[1]liste complet essai'!$A$4:$K$1367,5,)</f>
        <v>G-058</v>
      </c>
      <c r="N32" s="312" t="str">
        <f aca="false">VLOOKUP(CONCATENATE($B30,"-",N$8),'[1]liste complet essai'!$A$4:$K$1367,5,)</f>
        <v>G-001</v>
      </c>
      <c r="O32" s="311" t="str">
        <f aca="false">VLOOKUP(CONCATENATE($B30,"-",O$8),'[1]liste complet essai'!$A$4:$K$1367,5,)</f>
        <v>G-043</v>
      </c>
      <c r="P32" s="311" t="str">
        <f aca="false">VLOOKUP(CONCATENATE($B30,"-",P$8),'[1]liste complet essai'!$A$4:$K$1367,5,)</f>
        <v>G-016</v>
      </c>
      <c r="Q32" s="311" t="str">
        <f aca="false">VLOOKUP(CONCATENATE($B30,"-",Q$8),'[1]liste complet essai'!$A$4:$K$1367,5,)</f>
        <v>G-022</v>
      </c>
      <c r="R32" s="312" t="str">
        <f aca="false">VLOOKUP(CONCATENATE($B30,"-",R$8),'[1]liste complet essai'!$A$4:$K$1367,5,)</f>
        <v>G-002</v>
      </c>
      <c r="S32" s="311" t="str">
        <f aca="false">VLOOKUP(CONCATENATE($B30,"-",S$8),'[1]liste complet essai'!$A$4:$K$1367,5,)</f>
        <v>G-020</v>
      </c>
      <c r="T32" s="311" t="str">
        <f aca="false">VLOOKUP(CONCATENATE($B30,"-",T$8),'[1]liste complet essai'!$A$4:$K$1367,5,)</f>
        <v>G-062</v>
      </c>
      <c r="U32" s="311" t="str">
        <f aca="false">VLOOKUP(CONCATENATE($B30,"-",U$8),'[1]liste complet essai'!$A$4:$K$1367,5,)</f>
        <v>G-093</v>
      </c>
      <c r="V32" s="311" t="str">
        <f aca="false">VLOOKUP(CONCATENATE($B30,"-",V$8),'[1]liste complet essai'!$A$4:$K$1367,5,)</f>
        <v>G-070</v>
      </c>
      <c r="W32" s="311" t="str">
        <f aca="false">VLOOKUP(CONCATENATE($B30,"-",W$8),'[1]liste complet essai'!$A$4:$K$1367,5,)</f>
        <v>G-100</v>
      </c>
      <c r="X32" s="311" t="str">
        <f aca="false">VLOOKUP(CONCATENATE($B30,"-",X$8),'[1]liste complet essai'!$A$4:$K$1367,5,)</f>
        <v>G-108</v>
      </c>
      <c r="Y32" s="311" t="str">
        <f aca="false">VLOOKUP(CONCATENATE($B30,"-",Y$8),'[1]liste complet essai'!$A$4:$K$1367,5,)</f>
        <v>G-037</v>
      </c>
      <c r="Z32" s="311" t="str">
        <f aca="false">VLOOKUP(CONCATENATE($B30,"-",Z$8),'[1]liste complet essai'!$A$4:$K$1367,5,)</f>
        <v>G-029</v>
      </c>
      <c r="AA32" s="311" t="str">
        <f aca="false">VLOOKUP(CONCATENATE($B30,"-",AA$8),'[1]liste complet essai'!$A$4:$K$1367,5,)</f>
        <v>G-097</v>
      </c>
      <c r="AB32" s="311" t="str">
        <f aca="false">VLOOKUP(CONCATENATE($B30,"-",AB$8),'[1]liste complet essai'!$A$4:$K$1367,5,)</f>
        <v>G-045</v>
      </c>
      <c r="AC32" s="311" t="str">
        <f aca="false">VLOOKUP(CONCATENATE($B30,"-",AC$8),'[1]liste complet essai'!$A$4:$K$1367,5,)</f>
        <v>G-056</v>
      </c>
      <c r="AD32" s="311" t="str">
        <f aca="false">VLOOKUP(CONCATENATE($B30,"-",AD$8),'[1]liste complet essai'!$A$4:$K$1367,5,)</f>
        <v>G-028</v>
      </c>
      <c r="AE32" s="311" t="str">
        <f aca="false">VLOOKUP(CONCATENATE($B30,"-",AE$8),'[1]liste complet essai'!$A$4:$K$1367,5,)</f>
        <v>G-090</v>
      </c>
      <c r="AF32" s="339"/>
      <c r="AI32" s="302"/>
      <c r="AJ32" s="347"/>
      <c r="AK32" s="309"/>
      <c r="AL32" s="324"/>
      <c r="AM32" s="311" t="str">
        <f aca="false">VLOOKUP(CONCATENATE($AI30,"-",AM$8),'[1]liste complet essai'!$A$4:$K$1367,5,)</f>
        <v>G-115</v>
      </c>
      <c r="AN32" s="311" t="str">
        <f aca="false">VLOOKUP(CONCATENATE($AI30,"-",AN$8),'[1]liste complet essai'!$A$4:$K$1367,5,)</f>
        <v>G-055</v>
      </c>
      <c r="AO32" s="311" t="str">
        <f aca="false">VLOOKUP(CONCATENATE($AI30,"-",AO$8),'[1]liste complet essai'!$A$4:$K$1367,5,)</f>
        <v>G-025</v>
      </c>
      <c r="AP32" s="311" t="str">
        <f aca="false">VLOOKUP(CONCATENATE($AI30,"-",AP$8),'[1]liste complet essai'!$A$4:$K$1367,5,)</f>
        <v>G-105</v>
      </c>
      <c r="AQ32" s="311" t="str">
        <f aca="false">VLOOKUP(CONCATENATE($AI30,"-",AQ$8),'[1]liste complet essai'!$A$4:$K$1367,5,)</f>
        <v>G-040</v>
      </c>
      <c r="AR32" s="311" t="str">
        <f aca="false">VLOOKUP(CONCATENATE($AI30,"-",AR$8),'[1]liste complet essai'!$A$4:$K$1367,5,)</f>
        <v>G-023</v>
      </c>
      <c r="AS32" s="311" t="str">
        <f aca="false">VLOOKUP(CONCATENATE($AI30,"-",AS$8),'[1]liste complet essai'!$A$4:$K$1367,5,)</f>
        <v>G-037</v>
      </c>
      <c r="AT32" s="311" t="str">
        <f aca="false">VLOOKUP(CONCATENATE($AI30,"-",AT$8),'[1]liste complet essai'!$A$4:$K$1367,5,)</f>
        <v>G-096</v>
      </c>
      <c r="AU32" s="311" t="str">
        <f aca="false">VLOOKUP(CONCATENATE($AI30,"-",AU$8),'[1]liste complet essai'!$A$4:$K$1367,5,)</f>
        <v>G-027</v>
      </c>
      <c r="AV32" s="311" t="str">
        <f aca="false">VLOOKUP(CONCATENATE($AI30,"-",AV$8),'[1]liste complet essai'!$A$4:$K$1367,5,)</f>
        <v>G-007</v>
      </c>
      <c r="AW32" s="311" t="str">
        <f aca="false">VLOOKUP(CONCATENATE($AI30,"-",AW$8),'[1]liste complet essai'!$A$4:$K$1367,5,)</f>
        <v>G-106</v>
      </c>
      <c r="AX32" s="311" t="str">
        <f aca="false">VLOOKUP(CONCATENATE($AI30,"-",AX$8),'[1]liste complet essai'!$A$4:$K$1367,5,)</f>
        <v>G-005</v>
      </c>
      <c r="AY32" s="311" t="str">
        <f aca="false">VLOOKUP(CONCATENATE($AI30,"-",AY$8),'[1]liste complet essai'!$A$4:$K$1367,5,)</f>
        <v>G-012</v>
      </c>
      <c r="AZ32" s="311" t="str">
        <f aca="false">VLOOKUP(CONCATENATE($AI30,"-",AZ$8),'[1]liste complet essai'!$A$4:$K$1367,5,)</f>
        <v>G-080</v>
      </c>
      <c r="BA32" s="311" t="str">
        <f aca="false">VLOOKUP(CONCATENATE($AI30,"-",BA$8),'[1]liste complet essai'!$A$4:$K$1367,5,)</f>
        <v>G-004</v>
      </c>
      <c r="BB32" s="311" t="str">
        <f aca="false">VLOOKUP(CONCATENATE($AI30,"-",BB$8),'[1]liste complet essai'!$A$4:$K$1367,5,)</f>
        <v>G-031</v>
      </c>
      <c r="BC32" s="311" t="str">
        <f aca="false">VLOOKUP(CONCATENATE($AI30,"-",BC$8),'[1]liste complet essai'!$A$4:$K$1367,5,)</f>
        <v>G-059</v>
      </c>
      <c r="BD32" s="311" t="str">
        <f aca="false">VLOOKUP(CONCATENATE($AI30,"-",BD$8),'[1]liste complet essai'!$A$4:$K$1367,5,)</f>
        <v>G-043</v>
      </c>
      <c r="BE32" s="311" t="str">
        <f aca="false">VLOOKUP(CONCATENATE($AI30,"-",BE$8),'[1]liste complet essai'!$A$4:$K$1367,5,)</f>
        <v>G-003</v>
      </c>
      <c r="BF32" s="311" t="str">
        <f aca="false">VLOOKUP(CONCATENATE($AI30,"-",BF$8),'[1]liste complet essai'!$A$4:$K$1367,5,)</f>
        <v>G-039</v>
      </c>
      <c r="BG32" s="311" t="str">
        <f aca="false">VLOOKUP(CONCATENATE($AI30,"-",BG$8),'[1]liste complet essai'!$A$4:$K$1367,5,)</f>
        <v>G-062</v>
      </c>
      <c r="BH32" s="311" t="str">
        <f aca="false">VLOOKUP(CONCATENATE($AI30,"-",BH$8),'[1]liste complet essai'!$A$4:$K$1367,5,)</f>
        <v>G-057</v>
      </c>
      <c r="BI32" s="311" t="str">
        <f aca="false">VLOOKUP(CONCATENATE($AI30,"-",BI$8),'[1]liste complet essai'!$A$4:$K$1367,5,)</f>
        <v>G-006</v>
      </c>
      <c r="BJ32" s="311" t="str">
        <f aca="false">VLOOKUP(CONCATENATE($AI30,"-",BJ$8),'[1]liste complet essai'!$A$4:$K$1367,5,)</f>
        <v>G-094</v>
      </c>
      <c r="BK32" s="311" t="str">
        <f aca="false">VLOOKUP(CONCATENATE($AI30,"-",BK$8),'[1]liste complet essai'!$A$4:$K$1367,5,)</f>
        <v>G-019</v>
      </c>
      <c r="BL32" s="311" t="str">
        <f aca="false">VLOOKUP(CONCATENATE($AI30,"-",BL$8),'[1]liste complet essai'!$A$4:$K$1367,5,)</f>
        <v>G-077</v>
      </c>
      <c r="BM32" s="311" t="str">
        <f aca="false">VLOOKUP(CONCATENATE($AI30,"-",BM$8),'[1]liste complet essai'!$A$4:$K$1367,5,)</f>
        <v>G-071</v>
      </c>
      <c r="BN32" s="311" t="str">
        <f aca="false">VLOOKUP(CONCATENATE($AI30,"-",BN$8),'[1]liste complet essai'!$A$4:$K$1367,5,)</f>
        <v>G-056</v>
      </c>
      <c r="BO32" s="311" t="str">
        <f aca="false">VLOOKUP(CONCATENATE($AI30,"-",BO$8),'[1]liste complet essai'!$A$4:$K$1367,5,)</f>
        <v>G-050</v>
      </c>
      <c r="BP32" s="312" t="str">
        <f aca="false">VLOOKUP(CONCATENATE($AI30,"-",BP$8),'[1]liste complet essai'!$A$4:$K$1367,5,)</f>
        <v>G-001</v>
      </c>
      <c r="BQ32" s="311" t="str">
        <f aca="false">VLOOKUP(CONCATENATE($AI30,"-",BQ$8),'[1]liste complet essai'!$A$4:$K$1367,5,)</f>
        <v>G-013</v>
      </c>
      <c r="BR32" s="311" t="str">
        <f aca="false">VLOOKUP(CONCATENATE($AI30,"-",BR$8),'[1]liste complet essai'!$A$4:$K$1367,5,)</f>
        <v>G-041</v>
      </c>
      <c r="BS32" s="310"/>
      <c r="BT32" s="310"/>
      <c r="BU32" s="310"/>
      <c r="BV32" s="310"/>
      <c r="BW32" s="310"/>
      <c r="BX32" s="310"/>
      <c r="BY32" s="310"/>
      <c r="BZ32" s="310"/>
      <c r="CA32" s="310"/>
      <c r="CB32" s="310"/>
      <c r="CC32" s="308" t="str">
        <f aca="false">VLOOKUP(CONCATENATE($AI30,"-",CC$8),'[1]liste complet essai'!$A$4:$K$1367,5,)</f>
        <v>G-012</v>
      </c>
      <c r="CD32" s="308" t="str">
        <f aca="false">VLOOKUP(CONCATENATE($AI30,"-",CD$8),'[1]liste complet essai'!$A$4:$K$1367,5,)</f>
        <v>G-009</v>
      </c>
      <c r="CE32" s="308" t="str">
        <f aca="false">VLOOKUP(CONCATENATE($AI30,"-",CE$8),'[1]liste complet essai'!$A$4:$K$1367,5,)</f>
        <v>G-077</v>
      </c>
      <c r="CF32" s="308" t="str">
        <f aca="false">VLOOKUP(CONCATENATE($AI30,"-",CF$8),'[1]liste complet essai'!$A$4:$K$1367,5,)</f>
        <v>G-037</v>
      </c>
      <c r="CG32" s="308" t="str">
        <f aca="false">VLOOKUP(CONCATENATE($AI30,"-",CG$8),'[1]liste complet essai'!$A$4:$K$1367,5,)</f>
        <v>G-030</v>
      </c>
      <c r="CH32" s="308" t="str">
        <f aca="false">VLOOKUP(CONCATENATE($AI30,"-",CH$8),'[1]liste complet essai'!$A$4:$K$1367,5,)</f>
        <v>G-073</v>
      </c>
      <c r="CI32" s="308" t="str">
        <f aca="false">VLOOKUP(CONCATENATE($AI30,"-",CI$8),'[1]liste complet essai'!$A$4:$K$1367,5,)</f>
        <v>G-094</v>
      </c>
      <c r="CJ32" s="308" t="str">
        <f aca="false">VLOOKUP(CONCATENATE($AI30,"-",CJ$8),'[1]liste complet essai'!$A$4:$K$1367,5,)</f>
        <v>G-122</v>
      </c>
      <c r="CK32" s="308" t="str">
        <f aca="false">VLOOKUP(CONCATENATE($AI30,"-",CK$8),'[1]liste complet essai'!$A$4:$K$1367,5,)</f>
        <v>G-057</v>
      </c>
      <c r="CL32" s="308" t="str">
        <f aca="false">VLOOKUP(CONCATENATE($AI30,"-",CL$8),'[1]liste complet essai'!$A$4:$K$1367,5,)</f>
        <v>G-113</v>
      </c>
      <c r="CM32" s="308" t="str">
        <f aca="false">VLOOKUP(CONCATENATE($AI30,"-",CM$8),'[1]liste complet essai'!$A$4:$K$1367,5,)</f>
        <v>G-008</v>
      </c>
      <c r="CN32" s="308" t="str">
        <f aca="false">VLOOKUP(CONCATENATE($AI30,"-",CN$8),'[1]liste complet essai'!$A$4:$K$1367,5,)</f>
        <v>G-095</v>
      </c>
      <c r="CO32" s="308" t="str">
        <f aca="false">VLOOKUP(CONCATENATE($AI30,"-",CO$8),'[1]liste complet essai'!$A$4:$K$1367,5,)</f>
        <v>G-023</v>
      </c>
      <c r="CP32" s="308" t="str">
        <f aca="false">VLOOKUP(CONCATENATE($AI30,"-",CP$8),'[1]liste complet essai'!$A$4:$K$1367,5,)</f>
        <v>G-066</v>
      </c>
      <c r="CQ32" s="308" t="str">
        <f aca="false">VLOOKUP(CONCATENATE($AI30,"-",CQ$8),'[1]liste complet essai'!$A$4:$K$1367,5,)</f>
        <v>G-005</v>
      </c>
      <c r="CR32" s="308" t="str">
        <f aca="false">VLOOKUP(CONCATENATE($AI30,"-",CR$8),'[1]liste complet essai'!$A$4:$K$1367,5,)</f>
        <v>G-080</v>
      </c>
      <c r="CS32" s="308" t="str">
        <f aca="false">VLOOKUP(CONCATENATE($AI30,"-",CS$8),'[1]liste complet essai'!$A$4:$K$1367,5,)</f>
        <v>G-033</v>
      </c>
      <c r="CT32" s="308" t="str">
        <f aca="false">VLOOKUP(CONCATENATE($AI30,"-",CT$8),'[1]liste complet essai'!$A$4:$K$1367,5,)</f>
        <v>G-070</v>
      </c>
      <c r="CU32" s="308" t="str">
        <f aca="false">VLOOKUP(CONCATENATE($AI30,"-",CU$8),'[1]liste complet essai'!$A$4:$K$1367,5,)</f>
        <v>G-043</v>
      </c>
      <c r="CV32" s="308" t="str">
        <f aca="false">VLOOKUP(CONCATENATE($AI30,"-",CV$8),'[1]liste complet essai'!$A$4:$K$1367,5,)</f>
        <v>G-039</v>
      </c>
      <c r="CW32" s="308" t="str">
        <f aca="false">VLOOKUP(CONCATENATE($AI30,"-",CW$8),'[1]liste complet essai'!$A$4:$K$1367,5,)</f>
        <v>G-014</v>
      </c>
      <c r="CX32" s="312" t="str">
        <f aca="false">VLOOKUP(CONCATENATE($AI30,"-",CX$8),'[1]liste complet essai'!$A$4:$K$1367,5,)</f>
        <v>G-001</v>
      </c>
      <c r="CY32" s="308" t="str">
        <f aca="false">VLOOKUP(CONCATENATE($AI30,"-",CY$8),'[1]liste complet essai'!$A$4:$K$1367,5,)</f>
        <v>G-118</v>
      </c>
      <c r="CZ32" s="308" t="str">
        <f aca="false">VLOOKUP(CONCATENATE($AI30,"-",CZ$8),'[1]liste complet essai'!$A$4:$K$1367,5,)</f>
        <v>G-031</v>
      </c>
      <c r="DA32" s="308" t="str">
        <f aca="false">VLOOKUP(CONCATENATE($AI30,"-",DA$8),'[1]liste complet essai'!$A$4:$K$1367,5,)</f>
        <v>G-025</v>
      </c>
      <c r="DB32" s="308" t="str">
        <f aca="false">VLOOKUP(CONCATENATE($AI30,"-",DB$8),'[1]liste complet essai'!$A$4:$K$1367,5,)</f>
        <v>G-036</v>
      </c>
      <c r="DC32" s="308" t="str">
        <f aca="false">VLOOKUP(CONCATENATE($AI30,"-",DC$8),'[1]liste complet essai'!$A$4:$K$1367,5,)</f>
        <v>G-034</v>
      </c>
      <c r="DD32" s="308" t="str">
        <f aca="false">VLOOKUP(CONCATENATE($AI30,"-",DD$8),'[1]liste complet essai'!$A$4:$K$1367,5,)</f>
        <v>G-103</v>
      </c>
      <c r="DE32" s="308" t="str">
        <f aca="false">VLOOKUP(CONCATENATE($AI30,"-",DE$8),'[1]liste complet essai'!$A$4:$K$1367,5,)</f>
        <v>G-045</v>
      </c>
      <c r="DF32" s="308" t="str">
        <f aca="false">VLOOKUP(CONCATENATE($AI30,"-",DF$8),'[1]liste complet essai'!$A$4:$K$1367,5,)</f>
        <v>G-053</v>
      </c>
      <c r="DG32" s="308" t="str">
        <f aca="false">VLOOKUP(CONCATENATE($AI30,"-",DG$8),'[1]liste complet essai'!$A$4:$K$1367,5,)</f>
        <v>G-044</v>
      </c>
      <c r="DH32" s="308" t="str">
        <f aca="false">VLOOKUP(CONCATENATE($AI30,"-",DH$8),'[1]liste complet essai'!$A$4:$K$1367,5,)</f>
        <v>G-101</v>
      </c>
      <c r="DI32" s="349"/>
      <c r="DJ32" s="340"/>
      <c r="DK32" s="350"/>
    </row>
    <row r="33" customFormat="false" ht="12" hidden="false" customHeight="false" outlineLevel="0" collapsed="false">
      <c r="B33" s="293"/>
      <c r="C33" s="337"/>
      <c r="D33" s="314"/>
      <c r="E33" s="324"/>
      <c r="F33" s="311" t="str">
        <f aca="false">VLOOKUP(CONCATENATE($B30,"-",F$8),'[1]liste complet essai'!$A$4:$K$1367,1,)</f>
        <v>20-65</v>
      </c>
      <c r="G33" s="311" t="str">
        <f aca="false">VLOOKUP(CONCATENATE($B30,"-",G$8),'[1]liste complet essai'!$A$4:$K$1367,1,)</f>
        <v>20-66</v>
      </c>
      <c r="H33" s="311" t="str">
        <f aca="false">VLOOKUP(CONCATENATE($B30,"-",H$8),'[1]liste complet essai'!$A$4:$K$1367,1,)</f>
        <v>20-67</v>
      </c>
      <c r="I33" s="311" t="str">
        <f aca="false">VLOOKUP(CONCATENATE($B30,"-",I$8),'[1]liste complet essai'!$A$4:$K$1367,1,)</f>
        <v>20-68</v>
      </c>
      <c r="J33" s="311" t="str">
        <f aca="false">VLOOKUP(CONCATENATE($B30,"-",J$8),'[1]liste complet essai'!$A$4:$K$1367,1,)</f>
        <v>20-69</v>
      </c>
      <c r="K33" s="311" t="str">
        <f aca="false">VLOOKUP(CONCATENATE($B30,"-",K$8),'[1]liste complet essai'!$A$4:$K$1367,1,)</f>
        <v>20-70</v>
      </c>
      <c r="L33" s="311" t="str">
        <f aca="false">VLOOKUP(CONCATENATE($B30,"-",L$8),'[1]liste complet essai'!$A$4:$K$1367,1,)</f>
        <v>20-71</v>
      </c>
      <c r="M33" s="311" t="str">
        <f aca="false">VLOOKUP(CONCATENATE($B30,"-",M$8),'[1]liste complet essai'!$A$4:$K$1367,1,)</f>
        <v>20-72</v>
      </c>
      <c r="N33" s="328" t="str">
        <f aca="false">VLOOKUP(CONCATENATE($B30,"-",N$8),'[1]liste complet essai'!$A$4:$K$1367,1,)</f>
        <v>20-73</v>
      </c>
      <c r="O33" s="311" t="str">
        <f aca="false">VLOOKUP(CONCATENATE($B30,"-",O$8),'[1]liste complet essai'!$A$4:$K$1367,1,)</f>
        <v>20-74</v>
      </c>
      <c r="P33" s="311" t="str">
        <f aca="false">VLOOKUP(CONCATENATE($B30,"-",P$8),'[1]liste complet essai'!$A$4:$K$1367,1,)</f>
        <v>20-75</v>
      </c>
      <c r="Q33" s="311" t="str">
        <f aca="false">VLOOKUP(CONCATENATE($B30,"-",Q$8),'[1]liste complet essai'!$A$4:$K$1367,1,)</f>
        <v>20-76</v>
      </c>
      <c r="R33" s="325" t="str">
        <f aca="false">VLOOKUP(CONCATENATE($B30,"-",R$8),'[1]liste complet essai'!$A$4:$K$1367,1,)</f>
        <v>20-77</v>
      </c>
      <c r="S33" s="311" t="str">
        <f aca="false">VLOOKUP(CONCATENATE($B30,"-",S$8),'[1]liste complet essai'!$A$4:$K$1367,1,)</f>
        <v>20-78</v>
      </c>
      <c r="T33" s="311" t="str">
        <f aca="false">VLOOKUP(CONCATENATE($B30,"-",T$8),'[1]liste complet essai'!$A$4:$K$1367,1,)</f>
        <v>20-79</v>
      </c>
      <c r="U33" s="311" t="str">
        <f aca="false">VLOOKUP(CONCATENATE($B30,"-",U$8),'[1]liste complet essai'!$A$4:$K$1367,1,)</f>
        <v>20-80</v>
      </c>
      <c r="V33" s="311" t="str">
        <f aca="false">VLOOKUP(CONCATENATE($B30,"-",V$8),'[1]liste complet essai'!$A$4:$K$1367,1,)</f>
        <v>20-81</v>
      </c>
      <c r="W33" s="311" t="str">
        <f aca="false">VLOOKUP(CONCATENATE($B30,"-",W$8),'[1]liste complet essai'!$A$4:$K$1367,1,)</f>
        <v>20-82</v>
      </c>
      <c r="X33" s="311" t="str">
        <f aca="false">VLOOKUP(CONCATENATE($B30,"-",X$8),'[1]liste complet essai'!$A$4:$K$1367,1,)</f>
        <v>20-83</v>
      </c>
      <c r="Y33" s="311" t="str">
        <f aca="false">VLOOKUP(CONCATENATE($B30,"-",Y$8),'[1]liste complet essai'!$A$4:$K$1367,1,)</f>
        <v>20-84</v>
      </c>
      <c r="Z33" s="311" t="str">
        <f aca="false">VLOOKUP(CONCATENATE($B30,"-",Z$8),'[1]liste complet essai'!$A$4:$K$1367,1,)</f>
        <v>20-85</v>
      </c>
      <c r="AA33" s="311" t="str">
        <f aca="false">VLOOKUP(CONCATENATE($B30,"-",AA$8),'[1]liste complet essai'!$A$4:$K$1367,1,)</f>
        <v>20-86</v>
      </c>
      <c r="AB33" s="311" t="str">
        <f aca="false">VLOOKUP(CONCATENATE($B30,"-",AB$8),'[1]liste complet essai'!$A$4:$K$1367,1,)</f>
        <v>20-87</v>
      </c>
      <c r="AC33" s="311" t="str">
        <f aca="false">VLOOKUP(CONCATENATE($B30,"-",AC$8),'[1]liste complet essai'!$A$4:$K$1367,1,)</f>
        <v>20-88</v>
      </c>
      <c r="AD33" s="311" t="str">
        <f aca="false">VLOOKUP(CONCATENATE($B30,"-",AD$8),'[1]liste complet essai'!$A$4:$K$1367,1,)</f>
        <v>20-89</v>
      </c>
      <c r="AE33" s="311" t="str">
        <f aca="false">VLOOKUP(CONCATENATE($B30,"-",AE$8),'[1]liste complet essai'!$A$4:$K$1367,1,)</f>
        <v>20-90</v>
      </c>
      <c r="AF33" s="339"/>
      <c r="AI33" s="302"/>
      <c r="AJ33" s="347"/>
      <c r="AK33" s="317"/>
      <c r="AL33" s="324"/>
      <c r="AM33" s="325" t="str">
        <f aca="false">VLOOKUP(CONCATENATE($AI30,"-",AM$8),'[1]liste complet essai'!$A$4:$K$1367,1,)</f>
        <v>06-01</v>
      </c>
      <c r="AN33" s="325" t="str">
        <f aca="false">VLOOKUP(CONCATENATE($AI30,"-",AN$8),'[1]liste complet essai'!$A$4:$K$1367,1,)</f>
        <v>06-02</v>
      </c>
      <c r="AO33" s="325" t="str">
        <f aca="false">VLOOKUP(CONCATENATE($AI30,"-",AO$8),'[1]liste complet essai'!$A$4:$K$1367,1,)</f>
        <v>06-03</v>
      </c>
      <c r="AP33" s="325" t="str">
        <f aca="false">VLOOKUP(CONCATENATE($AI30,"-",AP$8),'[1]liste complet essai'!$A$4:$K$1367,1,)</f>
        <v>06-04</v>
      </c>
      <c r="AQ33" s="325" t="str">
        <f aca="false">VLOOKUP(CONCATENATE($AI30,"-",AQ$8),'[1]liste complet essai'!$A$4:$K$1367,1,)</f>
        <v>06-05</v>
      </c>
      <c r="AR33" s="325" t="str">
        <f aca="false">VLOOKUP(CONCATENATE($AI30,"-",AR$8),'[1]liste complet essai'!$A$4:$K$1367,1,)</f>
        <v>06-06</v>
      </c>
      <c r="AS33" s="325" t="str">
        <f aca="false">VLOOKUP(CONCATENATE($AI30,"-",AS$8),'[1]liste complet essai'!$A$4:$K$1367,1,)</f>
        <v>06-07</v>
      </c>
      <c r="AT33" s="325" t="str">
        <f aca="false">VLOOKUP(CONCATENATE($AI30,"-",AT$8),'[1]liste complet essai'!$A$4:$K$1367,1,)</f>
        <v>06-08</v>
      </c>
      <c r="AU33" s="325" t="str">
        <f aca="false">VLOOKUP(CONCATENATE($AI30,"-",AU$8),'[1]liste complet essai'!$A$4:$K$1367,1,)</f>
        <v>06-09</v>
      </c>
      <c r="AV33" s="325" t="str">
        <f aca="false">VLOOKUP(CONCATENATE($AI30,"-",AV$8),'[1]liste complet essai'!$A$4:$K$1367,1,)</f>
        <v>06-10</v>
      </c>
      <c r="AW33" s="325" t="str">
        <f aca="false">VLOOKUP(CONCATENATE($AI30,"-",AW$8),'[1]liste complet essai'!$A$4:$K$1367,1,)</f>
        <v>06-11</v>
      </c>
      <c r="AX33" s="325" t="str">
        <f aca="false">VLOOKUP(CONCATENATE($AI30,"-",AX$8),'[1]liste complet essai'!$A$4:$K$1367,1,)</f>
        <v>06-12</v>
      </c>
      <c r="AY33" s="325" t="str">
        <f aca="false">VLOOKUP(CONCATENATE($AI30,"-",AY$8),'[1]liste complet essai'!$A$4:$K$1367,1,)</f>
        <v>06-13</v>
      </c>
      <c r="AZ33" s="325" t="str">
        <f aca="false">VLOOKUP(CONCATENATE($AI30,"-",AZ$8),'[1]liste complet essai'!$A$4:$K$1367,1,)</f>
        <v>06-14</v>
      </c>
      <c r="BA33" s="325" t="str">
        <f aca="false">VLOOKUP(CONCATENATE($AI30,"-",BA$8),'[1]liste complet essai'!$A$4:$K$1367,1,)</f>
        <v>06-15</v>
      </c>
      <c r="BB33" s="325" t="str">
        <f aca="false">VLOOKUP(CONCATENATE($AI30,"-",BB$8),'[1]liste complet essai'!$A$4:$K$1367,1,)</f>
        <v>06-16</v>
      </c>
      <c r="BC33" s="325" t="str">
        <f aca="false">VLOOKUP(CONCATENATE($AI30,"-",BC$8),'[1]liste complet essai'!$A$4:$K$1367,1,)</f>
        <v>06-17</v>
      </c>
      <c r="BD33" s="325" t="str">
        <f aca="false">VLOOKUP(CONCATENATE($AI30,"-",BD$8),'[1]liste complet essai'!$A$4:$K$1367,1,)</f>
        <v>06-18</v>
      </c>
      <c r="BE33" s="325" t="str">
        <f aca="false">VLOOKUP(CONCATENATE($AI30,"-",BE$8),'[1]liste complet essai'!$A$4:$K$1367,1,)</f>
        <v>06-19</v>
      </c>
      <c r="BF33" s="325" t="str">
        <f aca="false">VLOOKUP(CONCATENATE($AI30,"-",BF$8),'[1]liste complet essai'!$A$4:$K$1367,1,)</f>
        <v>06-20</v>
      </c>
      <c r="BG33" s="325" t="str">
        <f aca="false">VLOOKUP(CONCATENATE($AI30,"-",BG$8),'[1]liste complet essai'!$A$4:$K$1367,1,)</f>
        <v>06-21</v>
      </c>
      <c r="BH33" s="325" t="str">
        <f aca="false">VLOOKUP(CONCATENATE($AI30,"-",BH$8),'[1]liste complet essai'!$A$4:$K$1367,1,)</f>
        <v>06-22</v>
      </c>
      <c r="BI33" s="325" t="str">
        <f aca="false">VLOOKUP(CONCATENATE($AI30,"-",BI$8),'[1]liste complet essai'!$A$4:$K$1367,1,)</f>
        <v>06-23</v>
      </c>
      <c r="BJ33" s="325" t="str">
        <f aca="false">VLOOKUP(CONCATENATE($AI30,"-",BJ$8),'[1]liste complet essai'!$A$4:$K$1367,1,)</f>
        <v>06-24</v>
      </c>
      <c r="BK33" s="325" t="str">
        <f aca="false">VLOOKUP(CONCATENATE($AI30,"-",BK$8),'[1]liste complet essai'!$A$4:$K$1367,1,)</f>
        <v>06-25</v>
      </c>
      <c r="BL33" s="325" t="str">
        <f aca="false">VLOOKUP(CONCATENATE($AI30,"-",BL$8),'[1]liste complet essai'!$A$4:$K$1367,1,)</f>
        <v>06-26</v>
      </c>
      <c r="BM33" s="325" t="str">
        <f aca="false">VLOOKUP(CONCATENATE($AI30,"-",BM$8),'[1]liste complet essai'!$A$4:$K$1367,1,)</f>
        <v>06-27</v>
      </c>
      <c r="BN33" s="325" t="str">
        <f aca="false">VLOOKUP(CONCATENATE($AI30,"-",BN$8),'[1]liste complet essai'!$A$4:$K$1367,1,)</f>
        <v>06-28</v>
      </c>
      <c r="BO33" s="325" t="str">
        <f aca="false">VLOOKUP(CONCATENATE($AI30,"-",BO$8),'[1]liste complet essai'!$A$4:$K$1367,1,)</f>
        <v>06-29</v>
      </c>
      <c r="BP33" s="329" t="str">
        <f aca="false">VLOOKUP(CONCATENATE($AI30,"-",BP$8),'[1]liste complet essai'!$A$4:$K$1367,1,)</f>
        <v>06-30</v>
      </c>
      <c r="BQ33" s="325" t="str">
        <f aca="false">VLOOKUP(CONCATENATE($AI30,"-",BQ$8),'[1]liste complet essai'!$A$4:$K$1367,1,)</f>
        <v>06-31</v>
      </c>
      <c r="BR33" s="325" t="str">
        <f aca="false">VLOOKUP(CONCATENATE($AI30,"-",BR$8),'[1]liste complet essai'!$A$4:$K$1367,1,)</f>
        <v>06-32</v>
      </c>
      <c r="BS33" s="310"/>
      <c r="BT33" s="310"/>
      <c r="BU33" s="310"/>
      <c r="BV33" s="310"/>
      <c r="BW33" s="310"/>
      <c r="BX33" s="310"/>
      <c r="BY33" s="310"/>
      <c r="BZ33" s="310"/>
      <c r="CA33" s="310"/>
      <c r="CB33" s="310"/>
      <c r="CC33" s="315" t="str">
        <f aca="false">VLOOKUP(CONCATENATE($AI30,"-",CC$8),'[1]liste complet essai'!$A$4:$K$1367,1,)</f>
        <v>06-33</v>
      </c>
      <c r="CD33" s="315" t="str">
        <f aca="false">VLOOKUP(CONCATENATE($AI30,"-",CD$8),'[1]liste complet essai'!$A$4:$K$1367,1,)</f>
        <v>06-34</v>
      </c>
      <c r="CE33" s="315" t="str">
        <f aca="false">VLOOKUP(CONCATENATE($AI30,"-",CE$8),'[1]liste complet essai'!$A$4:$K$1367,1,)</f>
        <v>06-35</v>
      </c>
      <c r="CF33" s="315" t="str">
        <f aca="false">VLOOKUP(CONCATENATE($AI30,"-",CF$8),'[1]liste complet essai'!$A$4:$K$1367,1,)</f>
        <v>06-36</v>
      </c>
      <c r="CG33" s="315" t="str">
        <f aca="false">VLOOKUP(CONCATENATE($AI30,"-",CG$8),'[1]liste complet essai'!$A$4:$K$1367,1,)</f>
        <v>06-37</v>
      </c>
      <c r="CH33" s="315" t="str">
        <f aca="false">VLOOKUP(CONCATENATE($AI30,"-",CH$8),'[1]liste complet essai'!$A$4:$K$1367,1,)</f>
        <v>06-38</v>
      </c>
      <c r="CI33" s="315" t="str">
        <f aca="false">VLOOKUP(CONCATENATE($AI30,"-",CI$8),'[1]liste complet essai'!$A$4:$K$1367,1,)</f>
        <v>06-39</v>
      </c>
      <c r="CJ33" s="315" t="str">
        <f aca="false">VLOOKUP(CONCATENATE($AI30,"-",CJ$8),'[1]liste complet essai'!$A$4:$K$1367,1,)</f>
        <v>06-40</v>
      </c>
      <c r="CK33" s="315" t="str">
        <f aca="false">VLOOKUP(CONCATENATE($AI30,"-",CK$8),'[1]liste complet essai'!$A$4:$K$1367,1,)</f>
        <v>06-41</v>
      </c>
      <c r="CL33" s="315" t="str">
        <f aca="false">VLOOKUP(CONCATENATE($AI30,"-",CL$8),'[1]liste complet essai'!$A$4:$K$1367,1,)</f>
        <v>06-42</v>
      </c>
      <c r="CM33" s="315" t="str">
        <f aca="false">VLOOKUP(CONCATENATE($AI30,"-",CM$8),'[1]liste complet essai'!$A$4:$K$1367,1,)</f>
        <v>06-43</v>
      </c>
      <c r="CN33" s="315" t="str">
        <f aca="false">VLOOKUP(CONCATENATE($AI30,"-",CN$8),'[1]liste complet essai'!$A$4:$K$1367,1,)</f>
        <v>06-44</v>
      </c>
      <c r="CO33" s="315" t="str">
        <f aca="false">VLOOKUP(CONCATENATE($AI30,"-",CO$8),'[1]liste complet essai'!$A$4:$K$1367,1,)</f>
        <v>06-45</v>
      </c>
      <c r="CP33" s="315" t="str">
        <f aca="false">VLOOKUP(CONCATENATE($AI30,"-",CP$8),'[1]liste complet essai'!$A$4:$K$1367,1,)</f>
        <v>06-46</v>
      </c>
      <c r="CQ33" s="315" t="str">
        <f aca="false">VLOOKUP(CONCATENATE($AI30,"-",CQ$8),'[1]liste complet essai'!$A$4:$K$1367,1,)</f>
        <v>06-47</v>
      </c>
      <c r="CR33" s="315" t="str">
        <f aca="false">VLOOKUP(CONCATENATE($AI30,"-",CR$8),'[1]liste complet essai'!$A$4:$K$1367,1,)</f>
        <v>06-48</v>
      </c>
      <c r="CS33" s="315" t="str">
        <f aca="false">VLOOKUP(CONCATENATE($AI30,"-",CS$8),'[1]liste complet essai'!$A$4:$K$1367,1,)</f>
        <v>06-49</v>
      </c>
      <c r="CT33" s="315" t="str">
        <f aca="false">VLOOKUP(CONCATENATE($AI30,"-",CT$8),'[1]liste complet essai'!$A$4:$K$1367,1,)</f>
        <v>06-50</v>
      </c>
      <c r="CU33" s="315" t="str">
        <f aca="false">VLOOKUP(CONCATENATE($AI30,"-",CU$8),'[1]liste complet essai'!$A$4:$K$1367,1,)</f>
        <v>06-51</v>
      </c>
      <c r="CV33" s="315" t="str">
        <f aca="false">VLOOKUP(CONCATENATE($AI30,"-",CV$8),'[1]liste complet essai'!$A$4:$K$1367,1,)</f>
        <v>06-52</v>
      </c>
      <c r="CW33" s="315" t="str">
        <f aca="false">VLOOKUP(CONCATENATE($AI30,"-",CW$8),'[1]liste complet essai'!$A$4:$K$1367,1,)</f>
        <v>06-53</v>
      </c>
      <c r="CX33" s="298" t="str">
        <f aca="false">VLOOKUP(CONCATENATE($AI30,"-",CX$8),'[1]liste complet essai'!$A$4:$K$1367,1,)</f>
        <v>06-54</v>
      </c>
      <c r="CY33" s="315" t="str">
        <f aca="false">VLOOKUP(CONCATENATE($AI30,"-",CY$8),'[1]liste complet essai'!$A$4:$K$1367,1,)</f>
        <v>06-55</v>
      </c>
      <c r="CZ33" s="315" t="str">
        <f aca="false">VLOOKUP(CONCATENATE($AI30,"-",CZ$8),'[1]liste complet essai'!$A$4:$K$1367,1,)</f>
        <v>06-56</v>
      </c>
      <c r="DA33" s="315" t="str">
        <f aca="false">VLOOKUP(CONCATENATE($AI30,"-",DA$8),'[1]liste complet essai'!$A$4:$K$1367,1,)</f>
        <v>06-57</v>
      </c>
      <c r="DB33" s="315" t="str">
        <f aca="false">VLOOKUP(CONCATENATE($AI30,"-",DB$8),'[1]liste complet essai'!$A$4:$K$1367,1,)</f>
        <v>06-58</v>
      </c>
      <c r="DC33" s="315" t="str">
        <f aca="false">VLOOKUP(CONCATENATE($AI30,"-",DC$8),'[1]liste complet essai'!$A$4:$K$1367,1,)</f>
        <v>06-59</v>
      </c>
      <c r="DD33" s="315" t="str">
        <f aca="false">VLOOKUP(CONCATENATE($AI30,"-",DD$8),'[1]liste complet essai'!$A$4:$K$1367,1,)</f>
        <v>06-60</v>
      </c>
      <c r="DE33" s="315" t="str">
        <f aca="false">VLOOKUP(CONCATENATE($AI30,"-",DE$8),'[1]liste complet essai'!$A$4:$K$1367,1,)</f>
        <v>06-61</v>
      </c>
      <c r="DF33" s="315" t="str">
        <f aca="false">VLOOKUP(CONCATENATE($AI30,"-",DF$8),'[1]liste complet essai'!$A$4:$K$1367,1,)</f>
        <v>06-62</v>
      </c>
      <c r="DG33" s="315" t="str">
        <f aca="false">VLOOKUP(CONCATENATE($AI30,"-",DG$8),'[1]liste complet essai'!$A$4:$K$1367,1,)</f>
        <v>06-63</v>
      </c>
      <c r="DH33" s="315" t="str">
        <f aca="false">VLOOKUP(CONCATENATE($AI30,"-",DH$8),'[1]liste complet essai'!$A$4:$K$1367,1,)</f>
        <v>06-64</v>
      </c>
      <c r="DI33" s="349"/>
      <c r="DJ33" s="346"/>
      <c r="DK33" s="350"/>
    </row>
    <row r="34" customFormat="false" ht="12" hidden="false" customHeight="false" outlineLevel="0" collapsed="false">
      <c r="B34" s="293" t="n">
        <v>21</v>
      </c>
      <c r="C34" s="347" t="s">
        <v>8122</v>
      </c>
      <c r="D34" s="319"/>
      <c r="E34" s="324" t="s">
        <v>8122</v>
      </c>
      <c r="F34" s="300" t="str">
        <f aca="false">VLOOKUP(CONCATENATE($B34,"-",F$8),'[1]liste complet essai'!$A$4:$K$1367,4,)</f>
        <v>AM</v>
      </c>
      <c r="G34" s="323" t="str">
        <f aca="false">VLOOKUP(CONCATENATE($B34,"-",G$8),'[1]liste complet essai'!$A$4:$K$1367,4,)</f>
        <v>AM</v>
      </c>
      <c r="H34" s="323" t="str">
        <f aca="false">VLOOKUP(CONCATENATE($B34,"-",H$8),'[1]liste complet essai'!$A$4:$K$1367,4,)</f>
        <v>AM</v>
      </c>
      <c r="I34" s="323" t="str">
        <f aca="false">VLOOKUP(CONCATENATE($B34,"-",I$8),'[1]liste complet essai'!$A$4:$K$1367,4,)</f>
        <v>AM</v>
      </c>
      <c r="J34" s="323" t="str">
        <f aca="false">VLOOKUP(CONCATENATE($B34,"-",J$8),'[1]liste complet essai'!$A$4:$K$1367,4,)</f>
        <v>AM</v>
      </c>
      <c r="K34" s="323" t="str">
        <f aca="false">VLOOKUP(CONCATENATE($B34,"-",K$8),'[1]liste complet essai'!$A$4:$K$1367,4,)</f>
        <v>AM</v>
      </c>
      <c r="L34" s="323" t="str">
        <f aca="false">VLOOKUP(CONCATENATE($B34,"-",L$8),'[1]liste complet essai'!$A$4:$K$1367,4,)</f>
        <v>AM</v>
      </c>
      <c r="M34" s="323" t="str">
        <f aca="false">VLOOKUP(CONCATENATE($B34,"-",M$8),'[1]liste complet essai'!$A$4:$K$1367,4,)</f>
        <v>AM</v>
      </c>
      <c r="N34" s="323" t="str">
        <f aca="false">VLOOKUP(CONCATENATE($B34,"-",N$8),'[1]liste complet essai'!$A$4:$K$1367,4,)</f>
        <v>AM</v>
      </c>
      <c r="O34" s="298" t="str">
        <f aca="false">VLOOKUP(CONCATENATE($B34,"-",O$8),'[1]liste complet essai'!$A$4:$K$1367,4,)</f>
        <v>AM</v>
      </c>
      <c r="P34" s="323" t="str">
        <f aca="false">VLOOKUP(CONCATENATE($B34,"-",P$8),'[1]liste complet essai'!$A$4:$K$1367,4,)</f>
        <v>AM</v>
      </c>
      <c r="Q34" s="323" t="str">
        <f aca="false">VLOOKUP(CONCATENATE($B34,"-",Q$8),'[1]liste complet essai'!$A$4:$K$1367,4,)</f>
        <v>AM</v>
      </c>
      <c r="R34" s="323" t="str">
        <f aca="false">VLOOKUP(CONCATENATE($B34,"-",R$8),'[1]liste complet essai'!$A$4:$K$1367,4,)</f>
        <v>AM</v>
      </c>
      <c r="S34" s="323" t="str">
        <f aca="false">VLOOKUP(CONCATENATE($B34,"-",S$8),'[1]liste complet essai'!$A$4:$K$1367,4,)</f>
        <v>AM</v>
      </c>
      <c r="T34" s="323" t="str">
        <f aca="false">VLOOKUP(CONCATENATE($B34,"-",T$8),'[1]liste complet essai'!$A$4:$K$1367,4,)</f>
        <v>AM</v>
      </c>
      <c r="U34" s="323" t="str">
        <f aca="false">VLOOKUP(CONCATENATE($B34,"-",U$8),'[1]liste complet essai'!$A$4:$K$1367,4,)</f>
        <v>AM</v>
      </c>
      <c r="V34" s="323" t="str">
        <f aca="false">VLOOKUP(CONCATENATE($B34,"-",V$8),'[1]liste complet essai'!$A$4:$K$1367,4,)</f>
        <v>AM</v>
      </c>
      <c r="W34" s="323" t="str">
        <f aca="false">VLOOKUP(CONCATENATE($B34,"-",W$8),'[1]liste complet essai'!$A$4:$K$1367,4,)</f>
        <v>AM</v>
      </c>
      <c r="X34" s="323" t="str">
        <f aca="false">VLOOKUP(CONCATENATE($B34,"-",X$8),'[1]liste complet essai'!$A$4:$K$1367,4,)</f>
        <v>AM</v>
      </c>
      <c r="Y34" s="323" t="str">
        <f aca="false">VLOOKUP(CONCATENATE($B34,"-",Y$8),'[1]liste complet essai'!$A$4:$K$1367,4,)</f>
        <v>AM</v>
      </c>
      <c r="Z34" s="323" t="str">
        <f aca="false">VLOOKUP(CONCATENATE($B34,"-",Z$8),'[1]liste complet essai'!$A$4:$K$1367,4,)</f>
        <v>AM</v>
      </c>
      <c r="AA34" s="323" t="str">
        <f aca="false">VLOOKUP(CONCATENATE($B34,"-",AA$8),'[1]liste complet essai'!$A$4:$K$1367,4,)</f>
        <v>AM</v>
      </c>
      <c r="AB34" s="323" t="str">
        <f aca="false">VLOOKUP(CONCATENATE($B34,"-",AB$8),'[1]liste complet essai'!$A$4:$K$1367,4,)</f>
        <v>AM</v>
      </c>
      <c r="AC34" s="323" t="str">
        <f aca="false">VLOOKUP(CONCATENATE($B34,"-",AC$8),'[1]liste complet essai'!$A$4:$K$1367,4,)</f>
        <v>AM</v>
      </c>
      <c r="AD34" s="323" t="str">
        <f aca="false">VLOOKUP(CONCATENATE($B34,"-",AD$8),'[1]liste complet essai'!$A$4:$K$1367,4,)</f>
        <v>AM</v>
      </c>
      <c r="AE34" s="298" t="str">
        <f aca="false">VLOOKUP(CONCATENATE($B34,"-",AE$8),'[1]liste complet essai'!$A$4:$K$1367,4,)</f>
        <v>AM</v>
      </c>
      <c r="AF34" s="339" t="s">
        <v>8122</v>
      </c>
      <c r="AI34" s="302" t="s">
        <v>8130</v>
      </c>
      <c r="AJ34" s="337" t="s">
        <v>8122</v>
      </c>
      <c r="AK34" s="322"/>
      <c r="AL34" s="324" t="s">
        <v>8122</v>
      </c>
      <c r="AM34" s="323" t="str">
        <f aca="false">VLOOKUP(CONCATENATE($AI34,"-",AM$8),'[1]liste complet essai'!$A$4:$K$1367,4,)</f>
        <v>AM</v>
      </c>
      <c r="AN34" s="323" t="str">
        <f aca="false">VLOOKUP(CONCATENATE($AI34,"-",AN$8),'[1]liste complet essai'!$A$4:$K$1367,4,)</f>
        <v>AM</v>
      </c>
      <c r="AO34" s="323" t="str">
        <f aca="false">VLOOKUP(CONCATENATE($AI34,"-",AO$8),'[1]liste complet essai'!$A$4:$K$1367,4,)</f>
        <v>AM</v>
      </c>
      <c r="AP34" s="323" t="str">
        <f aca="false">VLOOKUP(CONCATENATE($AI34,"-",AP$8),'[1]liste complet essai'!$A$4:$K$1367,4,)</f>
        <v>AM</v>
      </c>
      <c r="AQ34" s="323" t="str">
        <f aca="false">VLOOKUP(CONCATENATE($AI34,"-",AQ$8),'[1]liste complet essai'!$A$4:$K$1367,4,)</f>
        <v>AM</v>
      </c>
      <c r="AR34" s="300" t="str">
        <f aca="false">VLOOKUP(CONCATENATE($AI34,"-",AR$8),'[1]liste complet essai'!$A$4:$K$1367,4,)</f>
        <v>AM</v>
      </c>
      <c r="AS34" s="323" t="str">
        <f aca="false">VLOOKUP(CONCATENATE($AI34,"-",AS$8),'[1]liste complet essai'!$A$4:$K$1367,4,)</f>
        <v>AM</v>
      </c>
      <c r="AT34" s="323" t="str">
        <f aca="false">VLOOKUP(CONCATENATE($AI34,"-",AT$8),'[1]liste complet essai'!$A$4:$K$1367,4,)</f>
        <v>AM</v>
      </c>
      <c r="AU34" s="323" t="str">
        <f aca="false">VLOOKUP(CONCATENATE($AI34,"-",AU$8),'[1]liste complet essai'!$A$4:$K$1367,4,)</f>
        <v>AM</v>
      </c>
      <c r="AV34" s="323" t="str">
        <f aca="false">VLOOKUP(CONCATENATE($AI34,"-",AV$8),'[1]liste complet essai'!$A$4:$K$1367,4,)</f>
        <v>AM</v>
      </c>
      <c r="AW34" s="323" t="str">
        <f aca="false">VLOOKUP(CONCATENATE($AI34,"-",AW$8),'[1]liste complet essai'!$A$4:$K$1367,4,)</f>
        <v>AM</v>
      </c>
      <c r="AX34" s="323" t="str">
        <f aca="false">VLOOKUP(CONCATENATE($AI34,"-",AX$8),'[1]liste complet essai'!$A$4:$K$1367,4,)</f>
        <v>AM</v>
      </c>
      <c r="AY34" s="323" t="str">
        <f aca="false">VLOOKUP(CONCATENATE($AI34,"-",AY$8),'[1]liste complet essai'!$A$4:$K$1367,4,)</f>
        <v>AM</v>
      </c>
      <c r="AZ34" s="323" t="str">
        <f aca="false">VLOOKUP(CONCATENATE($AI34,"-",AZ$8),'[1]liste complet essai'!$A$4:$K$1367,4,)</f>
        <v>AM</v>
      </c>
      <c r="BA34" s="323" t="str">
        <f aca="false">VLOOKUP(CONCATENATE($AI34,"-",BA$8),'[1]liste complet essai'!$A$4:$K$1367,4,)</f>
        <v>AM</v>
      </c>
      <c r="BB34" s="323" t="str">
        <f aca="false">VLOOKUP(CONCATENATE($AI34,"-",BB$8),'[1]liste complet essai'!$A$4:$K$1367,4,)</f>
        <v>AM</v>
      </c>
      <c r="BC34" s="323" t="str">
        <f aca="false">VLOOKUP(CONCATENATE($AI34,"-",BC$8),'[1]liste complet essai'!$A$4:$K$1367,4,)</f>
        <v>AM</v>
      </c>
      <c r="BD34" s="323" t="str">
        <f aca="false">VLOOKUP(CONCATENATE($AI34,"-",BD$8),'[1]liste complet essai'!$A$4:$K$1367,4,)</f>
        <v>AM</v>
      </c>
      <c r="BE34" s="323" t="str">
        <f aca="false">VLOOKUP(CONCATENATE($AI34,"-",BE$8),'[1]liste complet essai'!$A$4:$K$1367,4,)</f>
        <v>AM</v>
      </c>
      <c r="BF34" s="323" t="str">
        <f aca="false">VLOOKUP(CONCATENATE($AI34,"-",BF$8),'[1]liste complet essai'!$A$4:$K$1367,4,)</f>
        <v>AM</v>
      </c>
      <c r="BG34" s="323" t="str">
        <f aca="false">VLOOKUP(CONCATENATE($AI34,"-",BG$8),'[1]liste complet essai'!$A$4:$K$1367,4,)</f>
        <v>AM</v>
      </c>
      <c r="BH34" s="323" t="str">
        <f aca="false">VLOOKUP(CONCATENATE($AI34,"-",BH$8),'[1]liste complet essai'!$A$4:$K$1367,4,)</f>
        <v>AM</v>
      </c>
      <c r="BI34" s="323" t="str">
        <f aca="false">VLOOKUP(CONCATENATE($AI34,"-",BI$8),'[1]liste complet essai'!$A$4:$K$1367,4,)</f>
        <v>AM</v>
      </c>
      <c r="BJ34" s="323" t="str">
        <f aca="false">VLOOKUP(CONCATENATE($AI34,"-",BJ$8),'[1]liste complet essai'!$A$4:$K$1367,4,)</f>
        <v>AM</v>
      </c>
      <c r="BK34" s="323" t="str">
        <f aca="false">VLOOKUP(CONCATENATE($AI34,"-",BK$8),'[1]liste complet essai'!$A$4:$K$1367,4,)</f>
        <v>AM</v>
      </c>
      <c r="BL34" s="323" t="str">
        <f aca="false">VLOOKUP(CONCATENATE($AI34,"-",BL$8),'[1]liste complet essai'!$A$4:$K$1367,4,)</f>
        <v>AM</v>
      </c>
      <c r="BM34" s="323" t="str">
        <f aca="false">VLOOKUP(CONCATENATE($AI34,"-",BM$8),'[1]liste complet essai'!$A$4:$K$1367,4,)</f>
        <v>AM</v>
      </c>
      <c r="BN34" s="323" t="str">
        <f aca="false">VLOOKUP(CONCATENATE($AI34,"-",BN$8),'[1]liste complet essai'!$A$4:$K$1367,4,)</f>
        <v>AM</v>
      </c>
      <c r="BO34" s="323" t="str">
        <f aca="false">VLOOKUP(CONCATENATE($AI34,"-",BO$8),'[1]liste complet essai'!$A$4:$K$1367,4,)</f>
        <v>AM</v>
      </c>
      <c r="BP34" s="323" t="str">
        <f aca="false">VLOOKUP(CONCATENATE($AI34,"-",BP$8),'[1]liste complet essai'!$A$4:$K$1367,4,)</f>
        <v>AM</v>
      </c>
      <c r="BQ34" s="323" t="str">
        <f aca="false">VLOOKUP(CONCATENATE($AI34,"-",BQ$8),'[1]liste complet essai'!$A$4:$K$1367,4,)</f>
        <v>AM</v>
      </c>
      <c r="BR34" s="323" t="str">
        <f aca="false">VLOOKUP(CONCATENATE($AI34,"-",BR$8),'[1]liste complet essai'!$A$4:$K$1367,4,)</f>
        <v>AM</v>
      </c>
      <c r="BS34" s="310"/>
      <c r="BT34" s="310"/>
      <c r="BU34" s="310"/>
      <c r="BV34" s="310"/>
      <c r="BW34" s="310"/>
      <c r="BX34" s="310"/>
      <c r="BY34" s="310"/>
      <c r="BZ34" s="310"/>
      <c r="CA34" s="310"/>
      <c r="CB34" s="310"/>
      <c r="CC34" s="299" t="str">
        <f aca="false">VLOOKUP(CONCATENATE($AI34,"-",CC$8),'[1]liste complet essai'!$A$4:$K$1367,4,)</f>
        <v>AM</v>
      </c>
      <c r="CD34" s="299" t="str">
        <f aca="false">VLOOKUP(CONCATENATE($AI34,"-",CD$8),'[1]liste complet essai'!$A$4:$K$1367,4,)</f>
        <v>AM</v>
      </c>
      <c r="CE34" s="299" t="str">
        <f aca="false">VLOOKUP(CONCATENATE($AI34,"-",CE$8),'[1]liste complet essai'!$A$4:$K$1367,4,)</f>
        <v>AM</v>
      </c>
      <c r="CF34" s="299" t="str">
        <f aca="false">VLOOKUP(CONCATENATE($AI34,"-",CF$8),'[1]liste complet essai'!$A$4:$K$1367,4,)</f>
        <v>AM</v>
      </c>
      <c r="CG34" s="299" t="str">
        <f aca="false">VLOOKUP(CONCATENATE($AI34,"-",CG$8),'[1]liste complet essai'!$A$4:$K$1367,4,)</f>
        <v>AM</v>
      </c>
      <c r="CH34" s="299" t="str">
        <f aca="false">VLOOKUP(CONCATENATE($AI34,"-",CH$8),'[1]liste complet essai'!$A$4:$K$1367,4,)</f>
        <v>AM</v>
      </c>
      <c r="CI34" s="299" t="str">
        <f aca="false">VLOOKUP(CONCATENATE($AI34,"-",CI$8),'[1]liste complet essai'!$A$4:$K$1367,4,)</f>
        <v>AM</v>
      </c>
      <c r="CJ34" s="299" t="str">
        <f aca="false">VLOOKUP(CONCATENATE($AI34,"-",CJ$8),'[1]liste complet essai'!$A$4:$K$1367,4,)</f>
        <v>AM</v>
      </c>
      <c r="CK34" s="299" t="str">
        <f aca="false">VLOOKUP(CONCATENATE($AI34,"-",CK$8),'[1]liste complet essai'!$A$4:$K$1367,4,)</f>
        <v>AM</v>
      </c>
      <c r="CL34" s="299" t="str">
        <f aca="false">VLOOKUP(CONCATENATE($AI34,"-",CL$8),'[1]liste complet essai'!$A$4:$K$1367,4,)</f>
        <v>AM</v>
      </c>
      <c r="CM34" s="299" t="str">
        <f aca="false">VLOOKUP(CONCATENATE($AI34,"-",CM$8),'[1]liste complet essai'!$A$4:$K$1367,4,)</f>
        <v>AM</v>
      </c>
      <c r="CN34" s="299" t="str">
        <f aca="false">VLOOKUP(CONCATENATE($AI34,"-",CN$8),'[1]liste complet essai'!$A$4:$K$1367,4,)</f>
        <v>AM</v>
      </c>
      <c r="CO34" s="299" t="str">
        <f aca="false">VLOOKUP(CONCATENATE($AI34,"-",CO$8),'[1]liste complet essai'!$A$4:$K$1367,4,)</f>
        <v>AM</v>
      </c>
      <c r="CP34" s="299" t="str">
        <f aca="false">VLOOKUP(CONCATENATE($AI34,"-",CP$8),'[1]liste complet essai'!$A$4:$K$1367,4,)</f>
        <v>AM</v>
      </c>
      <c r="CQ34" s="299" t="str">
        <f aca="false">VLOOKUP(CONCATENATE($AI34,"-",CQ$8),'[1]liste complet essai'!$A$4:$K$1367,4,)</f>
        <v>AM</v>
      </c>
      <c r="CR34" s="299" t="str">
        <f aca="false">VLOOKUP(CONCATENATE($AI34,"-",CR$8),'[1]liste complet essai'!$A$4:$K$1367,4,)</f>
        <v>AM</v>
      </c>
      <c r="CS34" s="323" t="str">
        <f aca="false">VLOOKUP(CONCATENATE($AI34,"-",CS$8),'[1]liste complet essai'!$A$4:$K$1367,4,)</f>
        <v>AM</v>
      </c>
      <c r="CT34" s="299" t="str">
        <f aca="false">VLOOKUP(CONCATENATE($AI34,"-",CT$8),'[1]liste complet essai'!$A$4:$K$1367,4,)</f>
        <v>AM</v>
      </c>
      <c r="CU34" s="300" t="str">
        <f aca="false">VLOOKUP(CONCATENATE($AI34,"-",CU$8),'[1]liste complet essai'!$A$4:$K$1367,4,)</f>
        <v>AM</v>
      </c>
      <c r="CV34" s="299" t="str">
        <f aca="false">VLOOKUP(CONCATENATE($AI34,"-",CV$8),'[1]liste complet essai'!$A$4:$K$1367,4,)</f>
        <v>AM</v>
      </c>
      <c r="CW34" s="299" t="str">
        <f aca="false">VLOOKUP(CONCATENATE($AI34,"-",CW$8),'[1]liste complet essai'!$A$4:$K$1367,4,)</f>
        <v>AM</v>
      </c>
      <c r="CX34" s="299" t="str">
        <f aca="false">VLOOKUP(CONCATENATE($AI34,"-",CX$8),'[1]liste complet essai'!$A$4:$K$1367,4,)</f>
        <v>AM</v>
      </c>
      <c r="CY34" s="299" t="str">
        <f aca="false">VLOOKUP(CONCATENATE($AI34,"-",CY$8),'[1]liste complet essai'!$A$4:$K$1367,4,)</f>
        <v>AM</v>
      </c>
      <c r="CZ34" s="299" t="str">
        <f aca="false">VLOOKUP(CONCATENATE($AI34,"-",CZ$8),'[1]liste complet essai'!$A$4:$K$1367,4,)</f>
        <v>AM</v>
      </c>
      <c r="DA34" s="299" t="str">
        <f aca="false">VLOOKUP(CONCATENATE($AI34,"-",DA$8),'[1]liste complet essai'!$A$4:$K$1367,4,)</f>
        <v>AM</v>
      </c>
      <c r="DB34" s="299" t="str">
        <f aca="false">VLOOKUP(CONCATENATE($AI34,"-",DB$8),'[1]liste complet essai'!$A$4:$K$1367,4,)</f>
        <v>AM</v>
      </c>
      <c r="DC34" s="299" t="str">
        <f aca="false">VLOOKUP(CONCATENATE($AI34,"-",DC$8),'[1]liste complet essai'!$A$4:$K$1367,4,)</f>
        <v>AM</v>
      </c>
      <c r="DD34" s="299" t="str">
        <f aca="false">VLOOKUP(CONCATENATE($AI34,"-",DD$8),'[1]liste complet essai'!$A$4:$K$1367,4,)</f>
        <v>AM</v>
      </c>
      <c r="DE34" s="299" t="str">
        <f aca="false">VLOOKUP(CONCATENATE($AI34,"-",DE$8),'[1]liste complet essai'!$A$4:$K$1367,4,)</f>
        <v>AM</v>
      </c>
      <c r="DF34" s="299" t="str">
        <f aca="false">VLOOKUP(CONCATENATE($AI34,"-",DF$8),'[1]liste complet essai'!$A$4:$K$1367,4,)</f>
        <v>AM</v>
      </c>
      <c r="DG34" s="299" t="str">
        <f aca="false">VLOOKUP(CONCATENATE($AI34,"-",DG$8),'[1]liste complet essai'!$A$4:$K$1367,4,)</f>
        <v>AM</v>
      </c>
      <c r="DH34" s="299" t="str">
        <f aca="false">VLOOKUP(CONCATENATE($AI34,"-",DH$8),'[1]liste complet essai'!$A$4:$K$1367,4,)</f>
        <v>AM</v>
      </c>
      <c r="DI34" s="324" t="s">
        <v>8122</v>
      </c>
      <c r="DJ34" s="338"/>
      <c r="DK34" s="339" t="s">
        <v>8122</v>
      </c>
    </row>
    <row r="35" customFormat="false" ht="12" hidden="false" customHeight="false" outlineLevel="0" collapsed="false">
      <c r="B35" s="293"/>
      <c r="C35" s="347"/>
      <c r="D35" s="307"/>
      <c r="E35" s="324"/>
      <c r="F35" s="285" t="str">
        <f aca="false">VLOOKUP(CONCATENATE($B34,"-",F$8),'[1]liste complet essai'!$A$4:$K$1367,9,)</f>
        <v>N2-b3</v>
      </c>
      <c r="G35" s="311" t="str">
        <f aca="false">VLOOKUP(CONCATENATE($B34,"-",G$8),'[1]liste complet essai'!$A$4:$K$1367,9,)</f>
        <v>N2-b3</v>
      </c>
      <c r="H35" s="311" t="str">
        <f aca="false">VLOOKUP(CONCATENATE($B34,"-",H$8),'[1]liste complet essai'!$A$4:$K$1367,9,)</f>
        <v>N2-b3</v>
      </c>
      <c r="I35" s="311" t="str">
        <f aca="false">VLOOKUP(CONCATENATE($B34,"-",I$8),'[1]liste complet essai'!$A$4:$K$1367,9,)</f>
        <v>N2-b3</v>
      </c>
      <c r="J35" s="311" t="str">
        <f aca="false">VLOOKUP(CONCATENATE($B34,"-",J$8),'[1]liste complet essai'!$A$4:$K$1367,9,)</f>
        <v>N2-b3</v>
      </c>
      <c r="K35" s="311" t="str">
        <f aca="false">VLOOKUP(CONCATENATE($B34,"-",K$8),'[1]liste complet essai'!$A$4:$K$1367,9,)</f>
        <v>N2-b3</v>
      </c>
      <c r="L35" s="311" t="str">
        <f aca="false">VLOOKUP(CONCATENATE($B34,"-",L$8),'[1]liste complet essai'!$A$4:$K$1367,9,)</f>
        <v>N2-b3</v>
      </c>
      <c r="M35" s="311" t="str">
        <f aca="false">VLOOKUP(CONCATENATE($B34,"-",M$8),'[1]liste complet essai'!$A$4:$K$1367,9,)</f>
        <v>N2-b3</v>
      </c>
      <c r="N35" s="311" t="str">
        <f aca="false">VLOOKUP(CONCATENATE($B34,"-",N$8),'[1]liste complet essai'!$A$4:$K$1367,9,)</f>
        <v>N2-b3</v>
      </c>
      <c r="O35" s="298" t="str">
        <f aca="false">VLOOKUP(CONCATENATE($B34,"-",O$8),'[1]liste complet essai'!$A$4:$K$1367,9,)</f>
        <v>N2-b3</v>
      </c>
      <c r="P35" s="311" t="str">
        <f aca="false">VLOOKUP(CONCATENATE($B34,"-",P$8),'[1]liste complet essai'!$A$4:$K$1367,9,)</f>
        <v>N2-b3</v>
      </c>
      <c r="Q35" s="311" t="str">
        <f aca="false">VLOOKUP(CONCATENATE($B34,"-",Q$8),'[1]liste complet essai'!$A$4:$K$1367,9,)</f>
        <v>N2-b3</v>
      </c>
      <c r="R35" s="311" t="str">
        <f aca="false">VLOOKUP(CONCATENATE($B34,"-",R$8),'[1]liste complet essai'!$A$4:$K$1367,9,)</f>
        <v>N2-b3</v>
      </c>
      <c r="S35" s="311" t="str">
        <f aca="false">VLOOKUP(CONCATENATE($B34,"-",S$8),'[1]liste complet essai'!$A$4:$K$1367,9,)</f>
        <v>N2-b3</v>
      </c>
      <c r="T35" s="311" t="str">
        <f aca="false">VLOOKUP(CONCATENATE($B34,"-",T$8),'[1]liste complet essai'!$A$4:$K$1367,9,)</f>
        <v>N2-b3</v>
      </c>
      <c r="U35" s="311" t="str">
        <f aca="false">VLOOKUP(CONCATENATE($B34,"-",U$8),'[1]liste complet essai'!$A$4:$K$1367,9,)</f>
        <v>N2-b3</v>
      </c>
      <c r="V35" s="311" t="str">
        <f aca="false">VLOOKUP(CONCATENATE($B34,"-",V$8),'[1]liste complet essai'!$A$4:$K$1367,9,)</f>
        <v>N2-b3</v>
      </c>
      <c r="W35" s="311" t="str">
        <f aca="false">VLOOKUP(CONCATENATE($B34,"-",W$8),'[1]liste complet essai'!$A$4:$K$1367,9,)</f>
        <v>N2-b3</v>
      </c>
      <c r="X35" s="311" t="str">
        <f aca="false">VLOOKUP(CONCATENATE($B34,"-",X$8),'[1]liste complet essai'!$A$4:$K$1367,9,)</f>
        <v>N2-b3</v>
      </c>
      <c r="Y35" s="311" t="str">
        <f aca="false">VLOOKUP(CONCATENATE($B34,"-",Y$8),'[1]liste complet essai'!$A$4:$K$1367,9,)</f>
        <v>N2-b3</v>
      </c>
      <c r="Z35" s="311" t="str">
        <f aca="false">VLOOKUP(CONCATENATE($B34,"-",Z$8),'[1]liste complet essai'!$A$4:$K$1367,9,)</f>
        <v>N2-b3</v>
      </c>
      <c r="AA35" s="311" t="str">
        <f aca="false">VLOOKUP(CONCATENATE($B34,"-",AA$8),'[1]liste complet essai'!$A$4:$K$1367,9,)</f>
        <v>N2-b3</v>
      </c>
      <c r="AB35" s="311" t="str">
        <f aca="false">VLOOKUP(CONCATENATE($B34,"-",AB$8),'[1]liste complet essai'!$A$4:$K$1367,9,)</f>
        <v>N2-b3</v>
      </c>
      <c r="AC35" s="311" t="str">
        <f aca="false">VLOOKUP(CONCATENATE($B34,"-",AC$8),'[1]liste complet essai'!$A$4:$K$1367,9,)</f>
        <v>N2-b3</v>
      </c>
      <c r="AD35" s="311" t="str">
        <f aca="false">VLOOKUP(CONCATENATE($B34,"-",AD$8),'[1]liste complet essai'!$A$4:$K$1367,9,)</f>
        <v>N2-b3</v>
      </c>
      <c r="AE35" s="298" t="str">
        <f aca="false">VLOOKUP(CONCATENATE($B34,"-",AE$8),'[1]liste complet essai'!$A$4:$K$1367,9,)</f>
        <v>N2-b3</v>
      </c>
      <c r="AF35" s="339"/>
      <c r="AI35" s="302"/>
      <c r="AJ35" s="337"/>
      <c r="AK35" s="309"/>
      <c r="AL35" s="324"/>
      <c r="AM35" s="311" t="str">
        <f aca="false">VLOOKUP(CONCATENATE($AI34,"-",AM$8),'[1]liste complet essai'!$A$4:$K$1367,9,)</f>
        <v>N2-b1</v>
      </c>
      <c r="AN35" s="311" t="str">
        <f aca="false">VLOOKUP(CONCATENATE($AI34,"-",AN$8),'[1]liste complet essai'!$A$4:$K$1367,9,)</f>
        <v>N2-b1</v>
      </c>
      <c r="AO35" s="311" t="str">
        <f aca="false">VLOOKUP(CONCATENATE($AI34,"-",AO$8),'[1]liste complet essai'!$A$4:$K$1367,9,)</f>
        <v>N2-b1</v>
      </c>
      <c r="AP35" s="311" t="str">
        <f aca="false">VLOOKUP(CONCATENATE($AI34,"-",AP$8),'[1]liste complet essai'!$A$4:$K$1367,9,)</f>
        <v>N2-b1</v>
      </c>
      <c r="AQ35" s="311" t="str">
        <f aca="false">VLOOKUP(CONCATENATE($AI34,"-",AQ$8),'[1]liste complet essai'!$A$4:$K$1367,9,)</f>
        <v>N2-b1</v>
      </c>
      <c r="AR35" s="285" t="str">
        <f aca="false">VLOOKUP(CONCATENATE($AI34,"-",AR$8),'[1]liste complet essai'!$A$4:$K$1367,9,)</f>
        <v>N2-b1</v>
      </c>
      <c r="AS35" s="311" t="str">
        <f aca="false">VLOOKUP(CONCATENATE($AI34,"-",AS$8),'[1]liste complet essai'!$A$4:$K$1367,9,)</f>
        <v>N2-b1</v>
      </c>
      <c r="AT35" s="311" t="str">
        <f aca="false">VLOOKUP(CONCATENATE($AI34,"-",AT$8),'[1]liste complet essai'!$A$4:$K$1367,9,)</f>
        <v>N2-b1</v>
      </c>
      <c r="AU35" s="311" t="str">
        <f aca="false">VLOOKUP(CONCATENATE($AI34,"-",AU$8),'[1]liste complet essai'!$A$4:$K$1367,9,)</f>
        <v>N2-b1</v>
      </c>
      <c r="AV35" s="311" t="str">
        <f aca="false">VLOOKUP(CONCATENATE($AI34,"-",AV$8),'[1]liste complet essai'!$A$4:$K$1367,9,)</f>
        <v>N2-b1</v>
      </c>
      <c r="AW35" s="311" t="str">
        <f aca="false">VLOOKUP(CONCATENATE($AI34,"-",AW$8),'[1]liste complet essai'!$A$4:$K$1367,9,)</f>
        <v>N2-b1</v>
      </c>
      <c r="AX35" s="311" t="str">
        <f aca="false">VLOOKUP(CONCATENATE($AI34,"-",AX$8),'[1]liste complet essai'!$A$4:$K$1367,9,)</f>
        <v>N2-b1</v>
      </c>
      <c r="AY35" s="311" t="str">
        <f aca="false">VLOOKUP(CONCATENATE($AI34,"-",AY$8),'[1]liste complet essai'!$A$4:$K$1367,9,)</f>
        <v>N2-b1</v>
      </c>
      <c r="AZ35" s="311" t="str">
        <f aca="false">VLOOKUP(CONCATENATE($AI34,"-",AZ$8),'[1]liste complet essai'!$A$4:$K$1367,9,)</f>
        <v>N2-b1</v>
      </c>
      <c r="BA35" s="311" t="str">
        <f aca="false">VLOOKUP(CONCATENATE($AI34,"-",BA$8),'[1]liste complet essai'!$A$4:$K$1367,9,)</f>
        <v>N2-b1</v>
      </c>
      <c r="BB35" s="311" t="str">
        <f aca="false">VLOOKUP(CONCATENATE($AI34,"-",BB$8),'[1]liste complet essai'!$A$4:$K$1367,9,)</f>
        <v>N2-b1</v>
      </c>
      <c r="BC35" s="311" t="str">
        <f aca="false">VLOOKUP(CONCATENATE($AI34,"-",BC$8),'[1]liste complet essai'!$A$4:$K$1367,9,)</f>
        <v>N2-b1</v>
      </c>
      <c r="BD35" s="311" t="str">
        <f aca="false">VLOOKUP(CONCATENATE($AI34,"-",BD$8),'[1]liste complet essai'!$A$4:$K$1367,9,)</f>
        <v>N2-b1</v>
      </c>
      <c r="BE35" s="311" t="str">
        <f aca="false">VLOOKUP(CONCATENATE($AI34,"-",BE$8),'[1]liste complet essai'!$A$4:$K$1367,9,)</f>
        <v>N2-b1</v>
      </c>
      <c r="BF35" s="311" t="str">
        <f aca="false">VLOOKUP(CONCATENATE($AI34,"-",BF$8),'[1]liste complet essai'!$A$4:$K$1367,9,)</f>
        <v>N2-b1</v>
      </c>
      <c r="BG35" s="311" t="str">
        <f aca="false">VLOOKUP(CONCATENATE($AI34,"-",BG$8),'[1]liste complet essai'!$A$4:$K$1367,9,)</f>
        <v>N2-b1</v>
      </c>
      <c r="BH35" s="311" t="str">
        <f aca="false">VLOOKUP(CONCATENATE($AI34,"-",BH$8),'[1]liste complet essai'!$A$4:$K$1367,9,)</f>
        <v>N2-b1</v>
      </c>
      <c r="BI35" s="311" t="str">
        <f aca="false">VLOOKUP(CONCATENATE($AI34,"-",BI$8),'[1]liste complet essai'!$A$4:$K$1367,9,)</f>
        <v>N2-b1</v>
      </c>
      <c r="BJ35" s="311" t="str">
        <f aca="false">VLOOKUP(CONCATENATE($AI34,"-",BJ$8),'[1]liste complet essai'!$A$4:$K$1367,9,)</f>
        <v>N2-b1</v>
      </c>
      <c r="BK35" s="311" t="str">
        <f aca="false">VLOOKUP(CONCATENATE($AI34,"-",BK$8),'[1]liste complet essai'!$A$4:$K$1367,9,)</f>
        <v>N2-b1</v>
      </c>
      <c r="BL35" s="311" t="str">
        <f aca="false">VLOOKUP(CONCATENATE($AI34,"-",BL$8),'[1]liste complet essai'!$A$4:$K$1367,9,)</f>
        <v>N2-b1</v>
      </c>
      <c r="BM35" s="311" t="str">
        <f aca="false">VLOOKUP(CONCATENATE($AI34,"-",BM$8),'[1]liste complet essai'!$A$4:$K$1367,9,)</f>
        <v>N2-b1</v>
      </c>
      <c r="BN35" s="311" t="str">
        <f aca="false">VLOOKUP(CONCATENATE($AI34,"-",BN$8),'[1]liste complet essai'!$A$4:$K$1367,9,)</f>
        <v>N2-b1</v>
      </c>
      <c r="BO35" s="311" t="str">
        <f aca="false">VLOOKUP(CONCATENATE($AI34,"-",BO$8),'[1]liste complet essai'!$A$4:$K$1367,9,)</f>
        <v>N2-b1</v>
      </c>
      <c r="BP35" s="311" t="str">
        <f aca="false">VLOOKUP(CONCATENATE($AI34,"-",BP$8),'[1]liste complet essai'!$A$4:$K$1367,9,)</f>
        <v>N2-b1</v>
      </c>
      <c r="BQ35" s="311" t="str">
        <f aca="false">VLOOKUP(CONCATENATE($AI34,"-",BQ$8),'[1]liste complet essai'!$A$4:$K$1367,9,)</f>
        <v>N2-b1</v>
      </c>
      <c r="BR35" s="311" t="str">
        <f aca="false">VLOOKUP(CONCATENATE($AI34,"-",BR$8),'[1]liste complet essai'!$A$4:$K$1367,9,)</f>
        <v>N2-b1</v>
      </c>
      <c r="BS35" s="310"/>
      <c r="BT35" s="310"/>
      <c r="BU35" s="310"/>
      <c r="BV35" s="310"/>
      <c r="BW35" s="310"/>
      <c r="BX35" s="310"/>
      <c r="BY35" s="310"/>
      <c r="BZ35" s="310"/>
      <c r="CA35" s="310"/>
      <c r="CB35" s="310"/>
      <c r="CC35" s="308" t="str">
        <f aca="false">VLOOKUP(CONCATENATE($AI34,"-",CC$8),'[1]liste complet essai'!$A$4:$K$1367,9,)</f>
        <v>N1-b2</v>
      </c>
      <c r="CD35" s="308" t="str">
        <f aca="false">VLOOKUP(CONCATENATE($AI34,"-",CD$8),'[1]liste complet essai'!$A$4:$K$1367,9,)</f>
        <v>N1-b2</v>
      </c>
      <c r="CE35" s="308" t="str">
        <f aca="false">VLOOKUP(CONCATENATE($AI34,"-",CE$8),'[1]liste complet essai'!$A$4:$K$1367,9,)</f>
        <v>N1-b2</v>
      </c>
      <c r="CF35" s="308" t="str">
        <f aca="false">VLOOKUP(CONCATENATE($AI34,"-",CF$8),'[1]liste complet essai'!$A$4:$K$1367,9,)</f>
        <v>N1-b2</v>
      </c>
      <c r="CG35" s="308" t="str">
        <f aca="false">VLOOKUP(CONCATENATE($AI34,"-",CG$8),'[1]liste complet essai'!$A$4:$K$1367,9,)</f>
        <v>N1-b2</v>
      </c>
      <c r="CH35" s="308" t="str">
        <f aca="false">VLOOKUP(CONCATENATE($AI34,"-",CH$8),'[1]liste complet essai'!$A$4:$K$1367,9,)</f>
        <v>N1-b2</v>
      </c>
      <c r="CI35" s="308" t="str">
        <f aca="false">VLOOKUP(CONCATENATE($AI34,"-",CI$8),'[1]liste complet essai'!$A$4:$K$1367,9,)</f>
        <v>N1-b2</v>
      </c>
      <c r="CJ35" s="308" t="str">
        <f aca="false">VLOOKUP(CONCATENATE($AI34,"-",CJ$8),'[1]liste complet essai'!$A$4:$K$1367,9,)</f>
        <v>N1-b2</v>
      </c>
      <c r="CK35" s="308" t="str">
        <f aca="false">VLOOKUP(CONCATENATE($AI34,"-",CK$8),'[1]liste complet essai'!$A$4:$K$1367,9,)</f>
        <v>N1-b2</v>
      </c>
      <c r="CL35" s="308" t="str">
        <f aca="false">VLOOKUP(CONCATENATE($AI34,"-",CL$8),'[1]liste complet essai'!$A$4:$K$1367,9,)</f>
        <v>N1-b2</v>
      </c>
      <c r="CM35" s="308" t="str">
        <f aca="false">VLOOKUP(CONCATENATE($AI34,"-",CM$8),'[1]liste complet essai'!$A$4:$K$1367,9,)</f>
        <v>N1-b2</v>
      </c>
      <c r="CN35" s="308" t="str">
        <f aca="false">VLOOKUP(CONCATENATE($AI34,"-",CN$8),'[1]liste complet essai'!$A$4:$K$1367,9,)</f>
        <v>N1-b2</v>
      </c>
      <c r="CO35" s="308" t="str">
        <f aca="false">VLOOKUP(CONCATENATE($AI34,"-",CO$8),'[1]liste complet essai'!$A$4:$K$1367,9,)</f>
        <v>N1-b2</v>
      </c>
      <c r="CP35" s="308" t="str">
        <f aca="false">VLOOKUP(CONCATENATE($AI34,"-",CP$8),'[1]liste complet essai'!$A$4:$K$1367,9,)</f>
        <v>N1-b2</v>
      </c>
      <c r="CQ35" s="308" t="str">
        <f aca="false">VLOOKUP(CONCATENATE($AI34,"-",CQ$8),'[1]liste complet essai'!$A$4:$K$1367,9,)</f>
        <v>N1-b2</v>
      </c>
      <c r="CR35" s="308" t="str">
        <f aca="false">VLOOKUP(CONCATENATE($AI34,"-",CR$8),'[1]liste complet essai'!$A$4:$K$1367,9,)</f>
        <v>N1-b2</v>
      </c>
      <c r="CS35" s="311" t="str">
        <f aca="false">VLOOKUP(CONCATENATE($AI34,"-",CS$8),'[1]liste complet essai'!$A$4:$K$1367,9,)</f>
        <v>N1-b2</v>
      </c>
      <c r="CT35" s="308" t="str">
        <f aca="false">VLOOKUP(CONCATENATE($AI34,"-",CT$8),'[1]liste complet essai'!$A$4:$K$1367,9,)</f>
        <v>N1-b2</v>
      </c>
      <c r="CU35" s="285" t="str">
        <f aca="false">VLOOKUP(CONCATENATE($AI34,"-",CU$8),'[1]liste complet essai'!$A$4:$K$1367,9,)</f>
        <v>N1-b2</v>
      </c>
      <c r="CV35" s="308" t="str">
        <f aca="false">VLOOKUP(CONCATENATE($AI34,"-",CV$8),'[1]liste complet essai'!$A$4:$K$1367,9,)</f>
        <v>N1-b2</v>
      </c>
      <c r="CW35" s="308" t="str">
        <f aca="false">VLOOKUP(CONCATENATE($AI34,"-",CW$8),'[1]liste complet essai'!$A$4:$K$1367,9,)</f>
        <v>N1-b2</v>
      </c>
      <c r="CX35" s="308" t="str">
        <f aca="false">VLOOKUP(CONCATENATE($AI34,"-",CX$8),'[1]liste complet essai'!$A$4:$K$1367,9,)</f>
        <v>N1-b2</v>
      </c>
      <c r="CY35" s="308" t="str">
        <f aca="false">VLOOKUP(CONCATENATE($AI34,"-",CY$8),'[1]liste complet essai'!$A$4:$K$1367,9,)</f>
        <v>N1-b2</v>
      </c>
      <c r="CZ35" s="308" t="str">
        <f aca="false">VLOOKUP(CONCATENATE($AI34,"-",CZ$8),'[1]liste complet essai'!$A$4:$K$1367,9,)</f>
        <v>N1-b2</v>
      </c>
      <c r="DA35" s="308" t="str">
        <f aca="false">VLOOKUP(CONCATENATE($AI34,"-",DA$8),'[1]liste complet essai'!$A$4:$K$1367,9,)</f>
        <v>N1-b2</v>
      </c>
      <c r="DB35" s="308" t="str">
        <f aca="false">VLOOKUP(CONCATENATE($AI34,"-",DB$8),'[1]liste complet essai'!$A$4:$K$1367,9,)</f>
        <v>N1-b2</v>
      </c>
      <c r="DC35" s="308" t="str">
        <f aca="false">VLOOKUP(CONCATENATE($AI34,"-",DC$8),'[1]liste complet essai'!$A$4:$K$1367,9,)</f>
        <v>N1-b2</v>
      </c>
      <c r="DD35" s="308" t="str">
        <f aca="false">VLOOKUP(CONCATENATE($AI34,"-",DD$8),'[1]liste complet essai'!$A$4:$K$1367,9,)</f>
        <v>N1-b2</v>
      </c>
      <c r="DE35" s="308" t="str">
        <f aca="false">VLOOKUP(CONCATENATE($AI34,"-",DE$8),'[1]liste complet essai'!$A$4:$K$1367,9,)</f>
        <v>N1-b2</v>
      </c>
      <c r="DF35" s="308" t="str">
        <f aca="false">VLOOKUP(CONCATENATE($AI34,"-",DF$8),'[1]liste complet essai'!$A$4:$K$1367,9,)</f>
        <v>N1-b2</v>
      </c>
      <c r="DG35" s="308" t="str">
        <f aca="false">VLOOKUP(CONCATENATE($AI34,"-",DG$8),'[1]liste complet essai'!$A$4:$K$1367,9,)</f>
        <v>N1-b2</v>
      </c>
      <c r="DH35" s="308" t="str">
        <f aca="false">VLOOKUP(CONCATENATE($AI34,"-",DH$8),'[1]liste complet essai'!$A$4:$K$1367,9,)</f>
        <v>N1-b2</v>
      </c>
      <c r="DI35" s="324"/>
      <c r="DJ35" s="340"/>
      <c r="DK35" s="339"/>
    </row>
    <row r="36" customFormat="false" ht="12" hidden="false" customHeight="false" outlineLevel="0" collapsed="false">
      <c r="B36" s="293"/>
      <c r="C36" s="347"/>
      <c r="D36" s="307"/>
      <c r="E36" s="324"/>
      <c r="F36" s="312" t="str">
        <f aca="false">VLOOKUP(CONCATENATE($B34,"-",F$8),'[1]liste complet essai'!$A$4:$K$1367,5,)</f>
        <v>G-002</v>
      </c>
      <c r="G36" s="311" t="str">
        <f aca="false">VLOOKUP(CONCATENATE($B34,"-",G$8),'[1]liste complet essai'!$A$4:$K$1367,5,)</f>
        <v>G-041</v>
      </c>
      <c r="H36" s="311" t="str">
        <f aca="false">VLOOKUP(CONCATENATE($B34,"-",H$8),'[1]liste complet essai'!$A$4:$K$1367,5,)</f>
        <v>G-044</v>
      </c>
      <c r="I36" s="311" t="str">
        <f aca="false">VLOOKUP(CONCATENATE($B34,"-",I$8),'[1]liste complet essai'!$A$4:$K$1367,5,)</f>
        <v>G-032</v>
      </c>
      <c r="J36" s="311" t="str">
        <f aca="false">VLOOKUP(CONCATENATE($B34,"-",J$8),'[1]liste complet essai'!$A$4:$K$1367,5,)</f>
        <v>G-104</v>
      </c>
      <c r="K36" s="311" t="str">
        <f aca="false">VLOOKUP(CONCATENATE($B34,"-",K$8),'[1]liste complet essai'!$A$4:$K$1367,5,)</f>
        <v>G-116</v>
      </c>
      <c r="L36" s="311" t="str">
        <f aca="false">VLOOKUP(CONCATENATE($B34,"-",L$8),'[1]liste complet essai'!$A$4:$K$1367,5,)</f>
        <v>G-075</v>
      </c>
      <c r="M36" s="311" t="str">
        <f aca="false">VLOOKUP(CONCATENATE($B34,"-",M$8),'[1]liste complet essai'!$A$4:$K$1367,5,)</f>
        <v>G-086</v>
      </c>
      <c r="N36" s="311" t="str">
        <f aca="false">VLOOKUP(CONCATENATE($B34,"-",N$8),'[1]liste complet essai'!$A$4:$K$1367,5,)</f>
        <v>G-021</v>
      </c>
      <c r="O36" s="312" t="str">
        <f aca="false">VLOOKUP(CONCATENATE($B34,"-",O$8),'[1]liste complet essai'!$A$4:$K$1367,5,)</f>
        <v>G-001</v>
      </c>
      <c r="P36" s="311" t="str">
        <f aca="false">VLOOKUP(CONCATENATE($B34,"-",P$8),'[1]liste complet essai'!$A$4:$K$1367,5,)</f>
        <v>G-074</v>
      </c>
      <c r="Q36" s="311" t="str">
        <f aca="false">VLOOKUP(CONCATENATE($B34,"-",Q$8),'[1]liste complet essai'!$A$4:$K$1367,5,)</f>
        <v>G-050</v>
      </c>
      <c r="R36" s="312" t="str">
        <f aca="false">VLOOKUP(CONCATENATE($B34,"-",R$8),'[1]liste complet essai'!$A$4:$K$1367,5,)</f>
        <v>G-001</v>
      </c>
      <c r="S36" s="311" t="str">
        <f aca="false">VLOOKUP(CONCATENATE($B34,"-",S$8),'[1]liste complet essai'!$A$4:$K$1367,5,)</f>
        <v>G-026</v>
      </c>
      <c r="T36" s="311" t="str">
        <f aca="false">VLOOKUP(CONCATENATE($B34,"-",T$8),'[1]liste complet essai'!$A$4:$K$1367,5,)</f>
        <v>G-030</v>
      </c>
      <c r="U36" s="311" t="str">
        <f aca="false">VLOOKUP(CONCATENATE($B34,"-",U$8),'[1]liste complet essai'!$A$4:$K$1367,5,)</f>
        <v>G-122</v>
      </c>
      <c r="V36" s="311" t="str">
        <f aca="false">VLOOKUP(CONCATENATE($B34,"-",V$8),'[1]liste complet essai'!$A$4:$K$1367,5,)</f>
        <v>G-053</v>
      </c>
      <c r="W36" s="311" t="str">
        <f aca="false">VLOOKUP(CONCATENATE($B34,"-",W$8),'[1]liste complet essai'!$A$4:$K$1367,5,)</f>
        <v>G-034</v>
      </c>
      <c r="X36" s="311" t="str">
        <f aca="false">VLOOKUP(CONCATENATE($B34,"-",X$8),'[1]liste complet essai'!$A$4:$K$1367,5,)</f>
        <v>G-084</v>
      </c>
      <c r="Y36" s="311" t="str">
        <f aca="false">VLOOKUP(CONCATENATE($B34,"-",Y$8),'[1]liste complet essai'!$A$4:$K$1367,5,)</f>
        <v>G-066</v>
      </c>
      <c r="Z36" s="311" t="str">
        <f aca="false">VLOOKUP(CONCATENATE($B34,"-",Z$8),'[1]liste complet essai'!$A$4:$K$1367,5,)</f>
        <v>G-009</v>
      </c>
      <c r="AA36" s="311" t="str">
        <f aca="false">VLOOKUP(CONCATENATE($B34,"-",AA$8),'[1]liste complet essai'!$A$4:$K$1367,5,)</f>
        <v>G-048</v>
      </c>
      <c r="AB36" s="311" t="str">
        <f aca="false">VLOOKUP(CONCATENATE($B34,"-",AB$8),'[1]liste complet essai'!$A$4:$K$1367,5,)</f>
        <v>G-121</v>
      </c>
      <c r="AC36" s="311" t="str">
        <f aca="false">VLOOKUP(CONCATENATE($B34,"-",AC$8),'[1]liste complet essai'!$A$4:$K$1367,5,)</f>
        <v>G-092</v>
      </c>
      <c r="AD36" s="311" t="str">
        <f aca="false">VLOOKUP(CONCATENATE($B34,"-",AD$8),'[1]liste complet essai'!$A$4:$K$1367,5,)</f>
        <v>G-019</v>
      </c>
      <c r="AE36" s="312" t="str">
        <f aca="false">VLOOKUP(CONCATENATE($B34,"-",AE$8),'[1]liste complet essai'!$A$4:$K$1367,5,)</f>
        <v>G-002</v>
      </c>
      <c r="AF36" s="339"/>
      <c r="AI36" s="302"/>
      <c r="AJ36" s="337"/>
      <c r="AK36" s="309"/>
      <c r="AL36" s="324"/>
      <c r="AM36" s="311" t="str">
        <f aca="false">VLOOKUP(CONCATENATE($AI34,"-",AM$8),'[1]liste complet essai'!$A$4:$K$1367,5,)</f>
        <v>G-058</v>
      </c>
      <c r="AN36" s="311" t="str">
        <f aca="false">VLOOKUP(CONCATENATE($AI34,"-",AN$8),'[1]liste complet essai'!$A$4:$K$1367,5,)</f>
        <v>G-076</v>
      </c>
      <c r="AO36" s="311" t="str">
        <f aca="false">VLOOKUP(CONCATENATE($AI34,"-",AO$8),'[1]liste complet essai'!$A$4:$K$1367,5,)</f>
        <v>G-032</v>
      </c>
      <c r="AP36" s="311" t="str">
        <f aca="false">VLOOKUP(CONCATENATE($AI34,"-",AP$8),'[1]liste complet essai'!$A$4:$K$1367,5,)</f>
        <v>G-082</v>
      </c>
      <c r="AQ36" s="311" t="str">
        <f aca="false">VLOOKUP(CONCATENATE($AI34,"-",AQ$8),'[1]liste complet essai'!$A$4:$K$1367,5,)</f>
        <v>G-052</v>
      </c>
      <c r="AR36" s="312" t="str">
        <f aca="false">VLOOKUP(CONCATENATE($AI34,"-",AR$8),'[1]liste complet essai'!$A$4:$K$1367,5,)</f>
        <v>G-001</v>
      </c>
      <c r="AS36" s="311" t="str">
        <f aca="false">VLOOKUP(CONCATENATE($AI34,"-",AS$8),'[1]liste complet essai'!$A$4:$K$1367,5,)</f>
        <v>G-065</v>
      </c>
      <c r="AT36" s="311" t="str">
        <f aca="false">VLOOKUP(CONCATENATE($AI34,"-",AT$8),'[1]liste complet essai'!$A$4:$K$1367,5,)</f>
        <v>G-034</v>
      </c>
      <c r="AU36" s="311" t="str">
        <f aca="false">VLOOKUP(CONCATENATE($AI34,"-",AU$8),'[1]liste complet essai'!$A$4:$K$1367,5,)</f>
        <v>G-075</v>
      </c>
      <c r="AV36" s="311" t="str">
        <f aca="false">VLOOKUP(CONCATENATE($AI34,"-",AV$8),'[1]liste complet essai'!$A$4:$K$1367,5,)</f>
        <v>G-099</v>
      </c>
      <c r="AW36" s="311" t="str">
        <f aca="false">VLOOKUP(CONCATENATE($AI34,"-",AW$8),'[1]liste complet essai'!$A$4:$K$1367,5,)</f>
        <v>G-024</v>
      </c>
      <c r="AX36" s="311" t="str">
        <f aca="false">VLOOKUP(CONCATENATE($AI34,"-",AX$8),'[1]liste complet essai'!$A$4:$K$1367,5,)</f>
        <v>G-060</v>
      </c>
      <c r="AY36" s="311" t="str">
        <f aca="false">VLOOKUP(CONCATENATE($AI34,"-",AY$8),'[1]liste complet essai'!$A$4:$K$1367,5,)</f>
        <v>G-048</v>
      </c>
      <c r="AZ36" s="311" t="str">
        <f aca="false">VLOOKUP(CONCATENATE($AI34,"-",AZ$8),'[1]liste complet essai'!$A$4:$K$1367,5,)</f>
        <v>G-101</v>
      </c>
      <c r="BA36" s="311" t="str">
        <f aca="false">VLOOKUP(CONCATENATE($AI34,"-",BA$8),'[1]liste complet essai'!$A$4:$K$1367,5,)</f>
        <v>G-028</v>
      </c>
      <c r="BB36" s="311" t="str">
        <f aca="false">VLOOKUP(CONCATENATE($AI34,"-",BB$8),'[1]liste complet essai'!$A$4:$K$1367,5,)</f>
        <v>G-035</v>
      </c>
      <c r="BC36" s="311" t="str">
        <f aca="false">VLOOKUP(CONCATENATE($AI34,"-",BC$8),'[1]liste complet essai'!$A$4:$K$1367,5,)</f>
        <v>G-015</v>
      </c>
      <c r="BD36" s="311" t="str">
        <f aca="false">VLOOKUP(CONCATENATE($AI34,"-",BD$8),'[1]liste complet essai'!$A$4:$K$1367,5,)</f>
        <v>G-104</v>
      </c>
      <c r="BE36" s="311" t="str">
        <f aca="false">VLOOKUP(CONCATENATE($AI34,"-",BE$8),'[1]liste complet essai'!$A$4:$K$1367,5,)</f>
        <v>G-114</v>
      </c>
      <c r="BF36" s="311" t="str">
        <f aca="false">VLOOKUP(CONCATENATE($AI34,"-",BF$8),'[1]liste complet essai'!$A$4:$K$1367,5,)</f>
        <v>G-100</v>
      </c>
      <c r="BG36" s="311" t="str">
        <f aca="false">VLOOKUP(CONCATENATE($AI34,"-",BG$8),'[1]liste complet essai'!$A$4:$K$1367,5,)</f>
        <v>G-045</v>
      </c>
      <c r="BH36" s="311" t="str">
        <f aca="false">VLOOKUP(CONCATENATE($AI34,"-",BH$8),'[1]liste complet essai'!$A$4:$K$1367,5,)</f>
        <v>G-018</v>
      </c>
      <c r="BI36" s="311" t="str">
        <f aca="false">VLOOKUP(CONCATENATE($AI34,"-",BI$8),'[1]liste complet essai'!$A$4:$K$1367,5,)</f>
        <v>G-103</v>
      </c>
      <c r="BJ36" s="311" t="str">
        <f aca="false">VLOOKUP(CONCATENATE($AI34,"-",BJ$8),'[1]liste complet essai'!$A$4:$K$1367,5,)</f>
        <v>G-113</v>
      </c>
      <c r="BK36" s="311" t="str">
        <f aca="false">VLOOKUP(CONCATENATE($AI34,"-",BK$8),'[1]liste complet essai'!$A$4:$K$1367,5,)</f>
        <v>G-073</v>
      </c>
      <c r="BL36" s="311" t="str">
        <f aca="false">VLOOKUP(CONCATENATE($AI34,"-",BL$8),'[1]liste complet essai'!$A$4:$K$1367,5,)</f>
        <v>G-091</v>
      </c>
      <c r="BM36" s="311" t="str">
        <f aca="false">VLOOKUP(CONCATENATE($AI34,"-",BM$8),'[1]liste complet essai'!$A$4:$K$1367,5,)</f>
        <v>G-078</v>
      </c>
      <c r="BN36" s="311" t="str">
        <f aca="false">VLOOKUP(CONCATENATE($AI34,"-",BN$8),'[1]liste complet essai'!$A$4:$K$1367,5,)</f>
        <v>G-017</v>
      </c>
      <c r="BO36" s="311" t="str">
        <f aca="false">VLOOKUP(CONCATENATE($AI34,"-",BO$8),'[1]liste complet essai'!$A$4:$K$1367,5,)</f>
        <v>G-107</v>
      </c>
      <c r="BP36" s="311" t="str">
        <f aca="false">VLOOKUP(CONCATENATE($AI34,"-",BP$8),'[1]liste complet essai'!$A$4:$K$1367,5,)</f>
        <v>G-030</v>
      </c>
      <c r="BQ36" s="311" t="str">
        <f aca="false">VLOOKUP(CONCATENATE($AI34,"-",BQ$8),'[1]liste complet essai'!$A$4:$K$1367,5,)</f>
        <v>G-074</v>
      </c>
      <c r="BR36" s="311" t="str">
        <f aca="false">VLOOKUP(CONCATENATE($AI34,"-",BR$8),'[1]liste complet essai'!$A$4:$K$1367,5,)</f>
        <v>G-090</v>
      </c>
      <c r="BS36" s="310"/>
      <c r="BT36" s="310"/>
      <c r="BU36" s="310"/>
      <c r="BV36" s="310"/>
      <c r="BW36" s="310"/>
      <c r="BX36" s="310"/>
      <c r="BY36" s="310"/>
      <c r="BZ36" s="310"/>
      <c r="CA36" s="310"/>
      <c r="CB36" s="310"/>
      <c r="CC36" s="308" t="str">
        <f aca="false">VLOOKUP(CONCATENATE($AI34,"-",CC$8),'[1]liste complet essai'!$A$4:$K$1367,5,)</f>
        <v>G-064</v>
      </c>
      <c r="CD36" s="308" t="str">
        <f aca="false">VLOOKUP(CONCATENATE($AI34,"-",CD$8),'[1]liste complet essai'!$A$4:$K$1367,5,)</f>
        <v>G-027</v>
      </c>
      <c r="CE36" s="308" t="str">
        <f aca="false">VLOOKUP(CONCATENATE($AI34,"-",CE$8),'[1]liste complet essai'!$A$4:$K$1367,5,)</f>
        <v>G-097</v>
      </c>
      <c r="CF36" s="308" t="str">
        <f aca="false">VLOOKUP(CONCATENATE($AI34,"-",CF$8),'[1]liste complet essai'!$A$4:$K$1367,5,)</f>
        <v>G-056</v>
      </c>
      <c r="CG36" s="308" t="str">
        <f aca="false">VLOOKUP(CONCATENATE($AI34,"-",CG$8),'[1]liste complet essai'!$A$4:$K$1367,5,)</f>
        <v>G-069</v>
      </c>
      <c r="CH36" s="308" t="str">
        <f aca="false">VLOOKUP(CONCATENATE($AI34,"-",CH$8),'[1]liste complet essai'!$A$4:$K$1367,5,)</f>
        <v>G-086</v>
      </c>
      <c r="CI36" s="308" t="str">
        <f aca="false">VLOOKUP(CONCATENATE($AI34,"-",CI$8),'[1]liste complet essai'!$A$4:$K$1367,5,)</f>
        <v>G-092</v>
      </c>
      <c r="CJ36" s="308" t="str">
        <f aca="false">VLOOKUP(CONCATENATE($AI34,"-",CJ$8),'[1]liste complet essai'!$A$4:$K$1367,5,)</f>
        <v>G-111</v>
      </c>
      <c r="CK36" s="308" t="str">
        <f aca="false">VLOOKUP(CONCATENATE($AI34,"-",CK$8),'[1]liste complet essai'!$A$4:$K$1367,5,)</f>
        <v>G-081</v>
      </c>
      <c r="CL36" s="308" t="str">
        <f aca="false">VLOOKUP(CONCATENATE($AI34,"-",CL$8),'[1]liste complet essai'!$A$4:$K$1367,5,)</f>
        <v>G-065</v>
      </c>
      <c r="CM36" s="308" t="str">
        <f aca="false">VLOOKUP(CONCATENATE($AI34,"-",CM$8),'[1]liste complet essai'!$A$4:$K$1367,5,)</f>
        <v>G-076</v>
      </c>
      <c r="CN36" s="308" t="str">
        <f aca="false">VLOOKUP(CONCATENATE($AI34,"-",CN$8),'[1]liste complet essai'!$A$4:$K$1367,5,)</f>
        <v>G-098</v>
      </c>
      <c r="CO36" s="308" t="str">
        <f aca="false">VLOOKUP(CONCATENATE($AI34,"-",CO$8),'[1]liste complet essai'!$A$4:$K$1367,5,)</f>
        <v>G-024</v>
      </c>
      <c r="CP36" s="308" t="str">
        <f aca="false">VLOOKUP(CONCATENATE($AI34,"-",CP$8),'[1]liste complet essai'!$A$4:$K$1367,5,)</f>
        <v>G-016</v>
      </c>
      <c r="CQ36" s="308" t="str">
        <f aca="false">VLOOKUP(CONCATENATE($AI34,"-",CQ$8),'[1]liste complet essai'!$A$4:$K$1367,5,)</f>
        <v>G-090</v>
      </c>
      <c r="CR36" s="308" t="str">
        <f aca="false">VLOOKUP(CONCATENATE($AI34,"-",CR$8),'[1]liste complet essai'!$A$4:$K$1367,5,)</f>
        <v>G-004</v>
      </c>
      <c r="CS36" s="313" t="str">
        <f aca="false">VLOOKUP(CONCATENATE($AI34,"-",CS$8),'[1]liste complet essai'!$A$4:$K$1367,5,)</f>
        <v>G-001</v>
      </c>
      <c r="CT36" s="308" t="str">
        <f aca="false">VLOOKUP(CONCATENATE($AI34,"-",CT$8),'[1]liste complet essai'!$A$4:$K$1367,5,)</f>
        <v>G-083</v>
      </c>
      <c r="CU36" s="313" t="str">
        <f aca="false">VLOOKUP(CONCATENATE($AI34,"-",CU$8),'[1]liste complet essai'!$A$4:$K$1367,5,)</f>
        <v>G-002</v>
      </c>
      <c r="CV36" s="308" t="str">
        <f aca="false">VLOOKUP(CONCATENATE($AI34,"-",CV$8),'[1]liste complet essai'!$A$4:$K$1367,5,)</f>
        <v>G-121</v>
      </c>
      <c r="CW36" s="308" t="str">
        <f aca="false">VLOOKUP(CONCATENATE($AI34,"-",CW$8),'[1]liste complet essai'!$A$4:$K$1367,5,)</f>
        <v>G-085</v>
      </c>
      <c r="CX36" s="308" t="str">
        <f aca="false">VLOOKUP(CONCATENATE($AI34,"-",CX$8),'[1]liste complet essai'!$A$4:$K$1367,5,)</f>
        <v>G-062</v>
      </c>
      <c r="CY36" s="308" t="str">
        <f aca="false">VLOOKUP(CONCATENATE($AI34,"-",CY$8),'[1]liste complet essai'!$A$4:$K$1367,5,)</f>
        <v>G-042</v>
      </c>
      <c r="CZ36" s="308" t="str">
        <f aca="false">VLOOKUP(CONCATENATE($AI34,"-",CZ$8),'[1]liste complet essai'!$A$4:$K$1367,5,)</f>
        <v>G-019</v>
      </c>
      <c r="DA36" s="308" t="str">
        <f aca="false">VLOOKUP(CONCATENATE($AI34,"-",DA$8),'[1]liste complet essai'!$A$4:$K$1367,5,)</f>
        <v>G-017</v>
      </c>
      <c r="DB36" s="308" t="str">
        <f aca="false">VLOOKUP(CONCATENATE($AI34,"-",DB$8),'[1]liste complet essai'!$A$4:$K$1367,5,)</f>
        <v>G-035</v>
      </c>
      <c r="DC36" s="308" t="str">
        <f aca="false">VLOOKUP(CONCATENATE($AI34,"-",DC$8),'[1]liste complet essai'!$A$4:$K$1367,5,)</f>
        <v>G-116</v>
      </c>
      <c r="DD36" s="308" t="str">
        <f aca="false">VLOOKUP(CONCATENATE($AI34,"-",DD$8),'[1]liste complet essai'!$A$4:$K$1367,5,)</f>
        <v>G-028</v>
      </c>
      <c r="DE36" s="308" t="str">
        <f aca="false">VLOOKUP(CONCATENATE($AI34,"-",DE$8),'[1]liste complet essai'!$A$4:$K$1367,5,)</f>
        <v>G-079</v>
      </c>
      <c r="DF36" s="308" t="str">
        <f aca="false">VLOOKUP(CONCATENATE($AI34,"-",DF$8),'[1]liste complet essai'!$A$4:$K$1367,5,)</f>
        <v>G-088</v>
      </c>
      <c r="DG36" s="308" t="str">
        <f aca="false">VLOOKUP(CONCATENATE($AI34,"-",DG$8),'[1]liste complet essai'!$A$4:$K$1367,5,)</f>
        <v>G-106</v>
      </c>
      <c r="DH36" s="308" t="str">
        <f aca="false">VLOOKUP(CONCATENATE($AI34,"-",DH$8),'[1]liste complet essai'!$A$4:$K$1367,5,)</f>
        <v>G-006</v>
      </c>
      <c r="DI36" s="324"/>
      <c r="DJ36" s="340"/>
      <c r="DK36" s="339"/>
    </row>
    <row r="37" customFormat="false" ht="13.5" hidden="false" customHeight="true" outlineLevel="0" collapsed="false">
      <c r="B37" s="293"/>
      <c r="C37" s="347"/>
      <c r="D37" s="314"/>
      <c r="E37" s="324"/>
      <c r="F37" s="325" t="str">
        <f aca="false">VLOOKUP(CONCATENATE($B34,"-",F$8),'[1]liste complet essai'!$A$4:$K$1367,1,)</f>
        <v>21-65</v>
      </c>
      <c r="G37" s="325" t="str">
        <f aca="false">VLOOKUP(CONCATENATE($B34,"-",G$8),'[1]liste complet essai'!$A$4:$K$1367,1,)</f>
        <v>21-66</v>
      </c>
      <c r="H37" s="325" t="str">
        <f aca="false">VLOOKUP(CONCATENATE($B34,"-",H$8),'[1]liste complet essai'!$A$4:$K$1367,1,)</f>
        <v>21-67</v>
      </c>
      <c r="I37" s="325" t="str">
        <f aca="false">VLOOKUP(CONCATENATE($B34,"-",I$8),'[1]liste complet essai'!$A$4:$K$1367,1,)</f>
        <v>21-68</v>
      </c>
      <c r="J37" s="325" t="str">
        <f aca="false">VLOOKUP(CONCATENATE($B34,"-",J$8),'[1]liste complet essai'!$A$4:$K$1367,1,)</f>
        <v>21-69</v>
      </c>
      <c r="K37" s="325" t="str">
        <f aca="false">VLOOKUP(CONCATENATE($B34,"-",K$8),'[1]liste complet essai'!$A$4:$K$1367,1,)</f>
        <v>21-70</v>
      </c>
      <c r="L37" s="325" t="str">
        <f aca="false">VLOOKUP(CONCATENATE($B34,"-",L$8),'[1]liste complet essai'!$A$4:$K$1367,1,)</f>
        <v>21-71</v>
      </c>
      <c r="M37" s="325" t="str">
        <f aca="false">VLOOKUP(CONCATENATE($B34,"-",M$8),'[1]liste complet essai'!$A$4:$K$1367,1,)</f>
        <v>21-72</v>
      </c>
      <c r="N37" s="325" t="str">
        <f aca="false">VLOOKUP(CONCATENATE($B34,"-",N$8),'[1]liste complet essai'!$A$4:$K$1367,1,)</f>
        <v>21-73</v>
      </c>
      <c r="O37" s="298" t="str">
        <f aca="false">VLOOKUP(CONCATENATE($B34,"-",O$8),'[1]liste complet essai'!$A$4:$K$1367,1,)</f>
        <v>21-74</v>
      </c>
      <c r="P37" s="325" t="str">
        <f aca="false">VLOOKUP(CONCATENATE($B34,"-",P$8),'[1]liste complet essai'!$A$4:$K$1367,1,)</f>
        <v>21-75</v>
      </c>
      <c r="Q37" s="325" t="str">
        <f aca="false">VLOOKUP(CONCATENATE($B34,"-",Q$8),'[1]liste complet essai'!$A$4:$K$1367,1,)</f>
        <v>21-76</v>
      </c>
      <c r="R37" s="325" t="str">
        <f aca="false">VLOOKUP(CONCATENATE($B34,"-",R$8),'[1]liste complet essai'!$A$4:$K$1367,1,)</f>
        <v>21-77</v>
      </c>
      <c r="S37" s="325" t="str">
        <f aca="false">VLOOKUP(CONCATENATE($B34,"-",S$8),'[1]liste complet essai'!$A$4:$K$1367,1,)</f>
        <v>21-78</v>
      </c>
      <c r="T37" s="325" t="str">
        <f aca="false">VLOOKUP(CONCATENATE($B34,"-",T$8),'[1]liste complet essai'!$A$4:$K$1367,1,)</f>
        <v>21-79</v>
      </c>
      <c r="U37" s="325" t="str">
        <f aca="false">VLOOKUP(CONCATENATE($B34,"-",U$8),'[1]liste complet essai'!$A$4:$K$1367,1,)</f>
        <v>21-80</v>
      </c>
      <c r="V37" s="325" t="str">
        <f aca="false">VLOOKUP(CONCATENATE($B34,"-",V$8),'[1]liste complet essai'!$A$4:$K$1367,1,)</f>
        <v>21-81</v>
      </c>
      <c r="W37" s="325" t="str">
        <f aca="false">VLOOKUP(CONCATENATE($B34,"-",W$8),'[1]liste complet essai'!$A$4:$K$1367,1,)</f>
        <v>21-82</v>
      </c>
      <c r="X37" s="325" t="str">
        <f aca="false">VLOOKUP(CONCATENATE($B34,"-",X$8),'[1]liste complet essai'!$A$4:$K$1367,1,)</f>
        <v>21-83</v>
      </c>
      <c r="Y37" s="325" t="str">
        <f aca="false">VLOOKUP(CONCATENATE($B34,"-",Y$8),'[1]liste complet essai'!$A$4:$K$1367,1,)</f>
        <v>21-84</v>
      </c>
      <c r="Z37" s="325" t="str">
        <f aca="false">VLOOKUP(CONCATENATE($B34,"-",Z$8),'[1]liste complet essai'!$A$4:$K$1367,1,)</f>
        <v>21-85</v>
      </c>
      <c r="AA37" s="325" t="str">
        <f aca="false">VLOOKUP(CONCATENATE($B34,"-",AA$8),'[1]liste complet essai'!$A$4:$K$1367,1,)</f>
        <v>21-86</v>
      </c>
      <c r="AB37" s="325" t="str">
        <f aca="false">VLOOKUP(CONCATENATE($B34,"-",AB$8),'[1]liste complet essai'!$A$4:$K$1367,1,)</f>
        <v>21-87</v>
      </c>
      <c r="AC37" s="325" t="str">
        <f aca="false">VLOOKUP(CONCATENATE($B34,"-",AC$8),'[1]liste complet essai'!$A$4:$K$1367,1,)</f>
        <v>21-88</v>
      </c>
      <c r="AD37" s="325" t="str">
        <f aca="false">VLOOKUP(CONCATENATE($B34,"-",AD$8),'[1]liste complet essai'!$A$4:$K$1367,1,)</f>
        <v>21-89</v>
      </c>
      <c r="AE37" s="298" t="str">
        <f aca="false">VLOOKUP(CONCATENATE($B34,"-",AE$8),'[1]liste complet essai'!$A$4:$K$1367,1,)</f>
        <v>21-90</v>
      </c>
      <c r="AF37" s="339"/>
      <c r="AI37" s="302"/>
      <c r="AJ37" s="337"/>
      <c r="AK37" s="317"/>
      <c r="AL37" s="324"/>
      <c r="AM37" s="325" t="str">
        <f aca="false">VLOOKUP(CONCATENATE($AI34,"-",AM$8),'[1]liste complet essai'!$A$4:$K$1367,1,)</f>
        <v>07-01</v>
      </c>
      <c r="AN37" s="325" t="str">
        <f aca="false">VLOOKUP(CONCATENATE($AI34,"-",AN$8),'[1]liste complet essai'!$A$4:$K$1367,1,)</f>
        <v>07-02</v>
      </c>
      <c r="AO37" s="325" t="str">
        <f aca="false">VLOOKUP(CONCATENATE($AI34,"-",AO$8),'[1]liste complet essai'!$A$4:$K$1367,1,)</f>
        <v>07-03</v>
      </c>
      <c r="AP37" s="325" t="str">
        <f aca="false">VLOOKUP(CONCATENATE($AI34,"-",AP$8),'[1]liste complet essai'!$A$4:$K$1367,1,)</f>
        <v>07-04</v>
      </c>
      <c r="AQ37" s="325" t="str">
        <f aca="false">VLOOKUP(CONCATENATE($AI34,"-",AQ$8),'[1]liste complet essai'!$A$4:$K$1367,1,)</f>
        <v>07-05</v>
      </c>
      <c r="AR37" s="312" t="str">
        <f aca="false">VLOOKUP(CONCATENATE($AI34,"-",AR$8),'[1]liste complet essai'!$A$4:$K$1367,1,)</f>
        <v>07-06</v>
      </c>
      <c r="AS37" s="325" t="str">
        <f aca="false">VLOOKUP(CONCATENATE($AI34,"-",AS$8),'[1]liste complet essai'!$A$4:$K$1367,1,)</f>
        <v>07-07</v>
      </c>
      <c r="AT37" s="325" t="str">
        <f aca="false">VLOOKUP(CONCATENATE($AI34,"-",AT$8),'[1]liste complet essai'!$A$4:$K$1367,1,)</f>
        <v>07-08</v>
      </c>
      <c r="AU37" s="325" t="str">
        <f aca="false">VLOOKUP(CONCATENATE($AI34,"-",AU$8),'[1]liste complet essai'!$A$4:$K$1367,1,)</f>
        <v>07-09</v>
      </c>
      <c r="AV37" s="325" t="str">
        <f aca="false">VLOOKUP(CONCATENATE($AI34,"-",AV$8),'[1]liste complet essai'!$A$4:$K$1367,1,)</f>
        <v>07-10</v>
      </c>
      <c r="AW37" s="325" t="str">
        <f aca="false">VLOOKUP(CONCATENATE($AI34,"-",AW$8),'[1]liste complet essai'!$A$4:$K$1367,1,)</f>
        <v>07-11</v>
      </c>
      <c r="AX37" s="325" t="str">
        <f aca="false">VLOOKUP(CONCATENATE($AI34,"-",AX$8),'[1]liste complet essai'!$A$4:$K$1367,1,)</f>
        <v>07-12</v>
      </c>
      <c r="AY37" s="325" t="str">
        <f aca="false">VLOOKUP(CONCATENATE($AI34,"-",AY$8),'[1]liste complet essai'!$A$4:$K$1367,1,)</f>
        <v>07-13</v>
      </c>
      <c r="AZ37" s="325" t="str">
        <f aca="false">VLOOKUP(CONCATENATE($AI34,"-",AZ$8),'[1]liste complet essai'!$A$4:$K$1367,1,)</f>
        <v>07-14</v>
      </c>
      <c r="BA37" s="325" t="str">
        <f aca="false">VLOOKUP(CONCATENATE($AI34,"-",BA$8),'[1]liste complet essai'!$A$4:$K$1367,1,)</f>
        <v>07-15</v>
      </c>
      <c r="BB37" s="325" t="str">
        <f aca="false">VLOOKUP(CONCATENATE($AI34,"-",BB$8),'[1]liste complet essai'!$A$4:$K$1367,1,)</f>
        <v>07-16</v>
      </c>
      <c r="BC37" s="325" t="str">
        <f aca="false">VLOOKUP(CONCATENATE($AI34,"-",BC$8),'[1]liste complet essai'!$A$4:$K$1367,1,)</f>
        <v>07-17</v>
      </c>
      <c r="BD37" s="325" t="str">
        <f aca="false">VLOOKUP(CONCATENATE($AI34,"-",BD$8),'[1]liste complet essai'!$A$4:$K$1367,1,)</f>
        <v>07-18</v>
      </c>
      <c r="BE37" s="325" t="str">
        <f aca="false">VLOOKUP(CONCATENATE($AI34,"-",BE$8),'[1]liste complet essai'!$A$4:$K$1367,1,)</f>
        <v>07-19</v>
      </c>
      <c r="BF37" s="325" t="str">
        <f aca="false">VLOOKUP(CONCATENATE($AI34,"-",BF$8),'[1]liste complet essai'!$A$4:$K$1367,1,)</f>
        <v>07-20</v>
      </c>
      <c r="BG37" s="325" t="str">
        <f aca="false">VLOOKUP(CONCATENATE($AI34,"-",BG$8),'[1]liste complet essai'!$A$4:$K$1367,1,)</f>
        <v>07-21</v>
      </c>
      <c r="BH37" s="325" t="str">
        <f aca="false">VLOOKUP(CONCATENATE($AI34,"-",BH$8),'[1]liste complet essai'!$A$4:$K$1367,1,)</f>
        <v>07-22</v>
      </c>
      <c r="BI37" s="325" t="str">
        <f aca="false">VLOOKUP(CONCATENATE($AI34,"-",BI$8),'[1]liste complet essai'!$A$4:$K$1367,1,)</f>
        <v>07-23</v>
      </c>
      <c r="BJ37" s="325" t="str">
        <f aca="false">VLOOKUP(CONCATENATE($AI34,"-",BJ$8),'[1]liste complet essai'!$A$4:$K$1367,1,)</f>
        <v>07-24</v>
      </c>
      <c r="BK37" s="325" t="str">
        <f aca="false">VLOOKUP(CONCATENATE($AI34,"-",BK$8),'[1]liste complet essai'!$A$4:$K$1367,1,)</f>
        <v>07-25</v>
      </c>
      <c r="BL37" s="325" t="str">
        <f aca="false">VLOOKUP(CONCATENATE($AI34,"-",BL$8),'[1]liste complet essai'!$A$4:$K$1367,1,)</f>
        <v>07-26</v>
      </c>
      <c r="BM37" s="325" t="str">
        <f aca="false">VLOOKUP(CONCATENATE($AI34,"-",BM$8),'[1]liste complet essai'!$A$4:$K$1367,1,)</f>
        <v>07-27</v>
      </c>
      <c r="BN37" s="325" t="str">
        <f aca="false">VLOOKUP(CONCATENATE($AI34,"-",BN$8),'[1]liste complet essai'!$A$4:$K$1367,1,)</f>
        <v>07-28</v>
      </c>
      <c r="BO37" s="325" t="str">
        <f aca="false">VLOOKUP(CONCATENATE($AI34,"-",BO$8),'[1]liste complet essai'!$A$4:$K$1367,1,)</f>
        <v>07-29</v>
      </c>
      <c r="BP37" s="325" t="str">
        <f aca="false">VLOOKUP(CONCATENATE($AI34,"-",BP$8),'[1]liste complet essai'!$A$4:$K$1367,1,)</f>
        <v>07-30</v>
      </c>
      <c r="BQ37" s="325" t="str">
        <f aca="false">VLOOKUP(CONCATENATE($AI34,"-",BQ$8),'[1]liste complet essai'!$A$4:$K$1367,1,)</f>
        <v>07-31</v>
      </c>
      <c r="BR37" s="325" t="str">
        <f aca="false">VLOOKUP(CONCATENATE($AI34,"-",BR$8),'[1]liste complet essai'!$A$4:$K$1367,1,)</f>
        <v>07-32</v>
      </c>
      <c r="BS37" s="310"/>
      <c r="BT37" s="310"/>
      <c r="BU37" s="310"/>
      <c r="BV37" s="310"/>
      <c r="BW37" s="310"/>
      <c r="BX37" s="310"/>
      <c r="BY37" s="310"/>
      <c r="BZ37" s="310"/>
      <c r="CA37" s="310"/>
      <c r="CB37" s="310"/>
      <c r="CC37" s="315" t="str">
        <f aca="false">VLOOKUP(CONCATENATE($AI34,"-",CC$8),'[1]liste complet essai'!$A$4:$K$1367,1,)</f>
        <v>07-33</v>
      </c>
      <c r="CD37" s="315" t="str">
        <f aca="false">VLOOKUP(CONCATENATE($AI34,"-",CD$8),'[1]liste complet essai'!$A$4:$K$1367,1,)</f>
        <v>07-34</v>
      </c>
      <c r="CE37" s="315" t="str">
        <f aca="false">VLOOKUP(CONCATENATE($AI34,"-",CE$8),'[1]liste complet essai'!$A$4:$K$1367,1,)</f>
        <v>07-35</v>
      </c>
      <c r="CF37" s="315" t="str">
        <f aca="false">VLOOKUP(CONCATENATE($AI34,"-",CF$8),'[1]liste complet essai'!$A$4:$K$1367,1,)</f>
        <v>07-36</v>
      </c>
      <c r="CG37" s="315" t="str">
        <f aca="false">VLOOKUP(CONCATENATE($AI34,"-",CG$8),'[1]liste complet essai'!$A$4:$K$1367,1,)</f>
        <v>07-37</v>
      </c>
      <c r="CH37" s="315" t="str">
        <f aca="false">VLOOKUP(CONCATENATE($AI34,"-",CH$8),'[1]liste complet essai'!$A$4:$K$1367,1,)</f>
        <v>07-38</v>
      </c>
      <c r="CI37" s="315" t="str">
        <f aca="false">VLOOKUP(CONCATENATE($AI34,"-",CI$8),'[1]liste complet essai'!$A$4:$K$1367,1,)</f>
        <v>07-39</v>
      </c>
      <c r="CJ37" s="315" t="str">
        <f aca="false">VLOOKUP(CONCATENATE($AI34,"-",CJ$8),'[1]liste complet essai'!$A$4:$K$1367,1,)</f>
        <v>07-40</v>
      </c>
      <c r="CK37" s="315" t="str">
        <f aca="false">VLOOKUP(CONCATENATE($AI34,"-",CK$8),'[1]liste complet essai'!$A$4:$K$1367,1,)</f>
        <v>07-41</v>
      </c>
      <c r="CL37" s="315" t="str">
        <f aca="false">VLOOKUP(CONCATENATE($AI34,"-",CL$8),'[1]liste complet essai'!$A$4:$K$1367,1,)</f>
        <v>07-42</v>
      </c>
      <c r="CM37" s="315" t="str">
        <f aca="false">VLOOKUP(CONCATENATE($AI34,"-",CM$8),'[1]liste complet essai'!$A$4:$K$1367,1,)</f>
        <v>07-43</v>
      </c>
      <c r="CN37" s="315" t="str">
        <f aca="false">VLOOKUP(CONCATENATE($AI34,"-",CN$8),'[1]liste complet essai'!$A$4:$K$1367,1,)</f>
        <v>07-44</v>
      </c>
      <c r="CO37" s="315" t="str">
        <f aca="false">VLOOKUP(CONCATENATE($AI34,"-",CO$8),'[1]liste complet essai'!$A$4:$K$1367,1,)</f>
        <v>07-45</v>
      </c>
      <c r="CP37" s="315" t="str">
        <f aca="false">VLOOKUP(CONCATENATE($AI34,"-",CP$8),'[1]liste complet essai'!$A$4:$K$1367,1,)</f>
        <v>07-46</v>
      </c>
      <c r="CQ37" s="315" t="str">
        <f aca="false">VLOOKUP(CONCATENATE($AI34,"-",CQ$8),'[1]liste complet essai'!$A$4:$K$1367,1,)</f>
        <v>07-47</v>
      </c>
      <c r="CR37" s="315" t="str">
        <f aca="false">VLOOKUP(CONCATENATE($AI34,"-",CR$8),'[1]liste complet essai'!$A$4:$K$1367,1,)</f>
        <v>07-48</v>
      </c>
      <c r="CS37" s="325" t="str">
        <f aca="false">VLOOKUP(CONCATENATE($AI34,"-",CS$8),'[1]liste complet essai'!$A$4:$K$1367,1,)</f>
        <v>07-49</v>
      </c>
      <c r="CT37" s="315" t="str">
        <f aca="false">VLOOKUP(CONCATENATE($AI34,"-",CT$8),'[1]liste complet essai'!$A$4:$K$1367,1,)</f>
        <v>07-50</v>
      </c>
      <c r="CU37" s="328" t="str">
        <f aca="false">VLOOKUP(CONCATENATE($AI34,"-",CU$8),'[1]liste complet essai'!$A$4:$K$1367,1,)</f>
        <v>07-51</v>
      </c>
      <c r="CV37" s="315" t="str">
        <f aca="false">VLOOKUP(CONCATENATE($AI34,"-",CV$8),'[1]liste complet essai'!$A$4:$K$1367,1,)</f>
        <v>07-52</v>
      </c>
      <c r="CW37" s="315" t="str">
        <f aca="false">VLOOKUP(CONCATENATE($AI34,"-",CW$8),'[1]liste complet essai'!$A$4:$K$1367,1,)</f>
        <v>07-53</v>
      </c>
      <c r="CX37" s="315" t="str">
        <f aca="false">VLOOKUP(CONCATENATE($AI34,"-",CX$8),'[1]liste complet essai'!$A$4:$K$1367,1,)</f>
        <v>07-54</v>
      </c>
      <c r="CY37" s="315" t="str">
        <f aca="false">VLOOKUP(CONCATENATE($AI34,"-",CY$8),'[1]liste complet essai'!$A$4:$K$1367,1,)</f>
        <v>07-55</v>
      </c>
      <c r="CZ37" s="315" t="str">
        <f aca="false">VLOOKUP(CONCATENATE($AI34,"-",CZ$8),'[1]liste complet essai'!$A$4:$K$1367,1,)</f>
        <v>07-56</v>
      </c>
      <c r="DA37" s="315" t="str">
        <f aca="false">VLOOKUP(CONCATENATE($AI34,"-",DA$8),'[1]liste complet essai'!$A$4:$K$1367,1,)</f>
        <v>07-57</v>
      </c>
      <c r="DB37" s="315" t="str">
        <f aca="false">VLOOKUP(CONCATENATE($AI34,"-",DB$8),'[1]liste complet essai'!$A$4:$K$1367,1,)</f>
        <v>07-58</v>
      </c>
      <c r="DC37" s="315" t="str">
        <f aca="false">VLOOKUP(CONCATENATE($AI34,"-",DC$8),'[1]liste complet essai'!$A$4:$K$1367,1,)</f>
        <v>07-59</v>
      </c>
      <c r="DD37" s="315" t="str">
        <f aca="false">VLOOKUP(CONCATENATE($AI34,"-",DD$8),'[1]liste complet essai'!$A$4:$K$1367,1,)</f>
        <v>07-60</v>
      </c>
      <c r="DE37" s="315" t="str">
        <f aca="false">VLOOKUP(CONCATENATE($AI34,"-",DE$8),'[1]liste complet essai'!$A$4:$K$1367,1,)</f>
        <v>07-61</v>
      </c>
      <c r="DF37" s="315" t="str">
        <f aca="false">VLOOKUP(CONCATENATE($AI34,"-",DF$8),'[1]liste complet essai'!$A$4:$K$1367,1,)</f>
        <v>07-62</v>
      </c>
      <c r="DG37" s="315" t="str">
        <f aca="false">VLOOKUP(CONCATENATE($AI34,"-",DG$8),'[1]liste complet essai'!$A$4:$K$1367,1,)</f>
        <v>07-63</v>
      </c>
      <c r="DH37" s="315" t="str">
        <f aca="false">VLOOKUP(CONCATENATE($AI34,"-",DH$8),'[1]liste complet essai'!$A$4:$K$1367,1,)</f>
        <v>07-64</v>
      </c>
      <c r="DI37" s="324"/>
      <c r="DJ37" s="346"/>
      <c r="DK37" s="339"/>
    </row>
    <row r="38" customFormat="false" ht="12" hidden="false" customHeight="false" outlineLevel="0" collapsed="false">
      <c r="B38" s="293" t="n">
        <v>22</v>
      </c>
      <c r="C38" s="347" t="s">
        <v>8122</v>
      </c>
      <c r="D38" s="319"/>
      <c r="E38" s="324" t="s">
        <v>8122</v>
      </c>
      <c r="F38" s="311" t="str">
        <f aca="false">VLOOKUP(CONCATENATE($B38,"-",F$8),'[1]liste complet essai'!$A$4:$K$1367,4,)</f>
        <v>AM</v>
      </c>
      <c r="G38" s="311" t="str">
        <f aca="false">VLOOKUP(CONCATENATE($B38,"-",G$8),'[1]liste complet essai'!$A$4:$K$1367,4,)</f>
        <v>AM</v>
      </c>
      <c r="H38" s="311" t="str">
        <f aca="false">VLOOKUP(CONCATENATE($B38,"-",H$8),'[1]liste complet essai'!$A$4:$K$1367,4,)</f>
        <v>AM</v>
      </c>
      <c r="I38" s="311" t="str">
        <f aca="false">VLOOKUP(CONCATENATE($B38,"-",I$8),'[1]liste complet essai'!$A$4:$K$1367,4,)</f>
        <v>AM</v>
      </c>
      <c r="J38" s="311" t="str">
        <f aca="false">VLOOKUP(CONCATENATE($B38,"-",J$8),'[1]liste complet essai'!$A$4:$K$1367,4,)</f>
        <v>AM</v>
      </c>
      <c r="K38" s="311" t="str">
        <f aca="false">VLOOKUP(CONCATENATE($B38,"-",K$8),'[1]liste complet essai'!$A$4:$K$1367,4,)</f>
        <v>AM</v>
      </c>
      <c r="L38" s="311" t="str">
        <f aca="false">VLOOKUP(CONCATENATE($B38,"-",L$8),'[1]liste complet essai'!$A$4:$K$1367,4,)</f>
        <v>AM</v>
      </c>
      <c r="M38" s="311" t="str">
        <f aca="false">VLOOKUP(CONCATENATE($B38,"-",M$8),'[1]liste complet essai'!$A$4:$K$1367,4,)</f>
        <v>AM</v>
      </c>
      <c r="N38" s="311" t="str">
        <f aca="false">VLOOKUP(CONCATENATE($B38,"-",N$8),'[1]liste complet essai'!$A$4:$K$1367,4,)</f>
        <v>AM</v>
      </c>
      <c r="O38" s="311" t="str">
        <f aca="false">VLOOKUP(CONCATENATE($B38,"-",O$8),'[1]liste complet essai'!$A$4:$K$1367,4,)</f>
        <v>AM</v>
      </c>
      <c r="P38" s="311" t="str">
        <f aca="false">VLOOKUP(CONCATENATE($B38,"-",P$8),'[1]liste complet essai'!$A$4:$K$1367,4,)</f>
        <v>AM</v>
      </c>
      <c r="Q38" s="311" t="str">
        <f aca="false">VLOOKUP(CONCATENATE($B38,"-",Q$8),'[1]liste complet essai'!$A$4:$K$1367,4,)</f>
        <v>AM</v>
      </c>
      <c r="R38" s="311" t="str">
        <f aca="false">VLOOKUP(CONCATENATE($B38,"-",R$8),'[1]liste complet essai'!$A$4:$K$1367,4,)</f>
        <v>AM</v>
      </c>
      <c r="S38" s="311" t="str">
        <f aca="false">VLOOKUP(CONCATENATE($B38,"-",S$8),'[1]liste complet essai'!$A$4:$K$1367,4,)</f>
        <v>AM</v>
      </c>
      <c r="T38" s="311" t="str">
        <f aca="false">VLOOKUP(CONCATENATE($B38,"-",T$8),'[1]liste complet essai'!$A$4:$K$1367,4,)</f>
        <v>AM</v>
      </c>
      <c r="U38" s="311" t="str">
        <f aca="false">VLOOKUP(CONCATENATE($B38,"-",U$8),'[1]liste complet essai'!$A$4:$K$1367,4,)</f>
        <v>AM</v>
      </c>
      <c r="V38" s="311" t="str">
        <f aca="false">VLOOKUP(CONCATENATE($B38,"-",V$8),'[1]liste complet essai'!$A$4:$K$1367,4,)</f>
        <v>AM</v>
      </c>
      <c r="W38" s="311" t="str">
        <f aca="false">VLOOKUP(CONCATENATE($B38,"-",W$8),'[1]liste complet essai'!$A$4:$K$1367,4,)</f>
        <v>AM</v>
      </c>
      <c r="X38" s="311" t="str">
        <f aca="false">VLOOKUP(CONCATENATE($B38,"-",X$8),'[1]liste complet essai'!$A$4:$K$1367,4,)</f>
        <v>AM</v>
      </c>
      <c r="Y38" s="311" t="str">
        <f aca="false">VLOOKUP(CONCATENATE($B38,"-",Y$8),'[1]liste complet essai'!$A$4:$K$1367,4,)</f>
        <v>AM</v>
      </c>
      <c r="Z38" s="311" t="str">
        <f aca="false">VLOOKUP(CONCATENATE($B38,"-",Z$8),'[1]liste complet essai'!$A$4:$K$1367,4,)</f>
        <v>AM</v>
      </c>
      <c r="AA38" s="311" t="str">
        <f aca="false">VLOOKUP(CONCATENATE($B38,"-",AA$8),'[1]liste complet essai'!$A$4:$K$1367,4,)</f>
        <v>AM</v>
      </c>
      <c r="AB38" s="311" t="str">
        <f aca="false">VLOOKUP(CONCATENATE($B38,"-",AB$8),'[1]liste complet essai'!$A$4:$K$1367,4,)</f>
        <v>AM</v>
      </c>
      <c r="AC38" s="311" t="str">
        <f aca="false">VLOOKUP(CONCATENATE($B38,"-",AC$8),'[1]liste complet essai'!$A$4:$K$1367,4,)</f>
        <v>AM</v>
      </c>
      <c r="AD38" s="311" t="str">
        <f aca="false">VLOOKUP(CONCATENATE($B38,"-",AD$8),'[1]liste complet essai'!$A$4:$K$1367,4,)</f>
        <v>AM</v>
      </c>
      <c r="AE38" s="311" t="str">
        <f aca="false">VLOOKUP(CONCATENATE($B38,"-",AE$8),'[1]liste complet essai'!$A$4:$K$1367,4,)</f>
        <v>AM</v>
      </c>
      <c r="AF38" s="339" t="s">
        <v>8122</v>
      </c>
      <c r="AI38" s="302" t="s">
        <v>8131</v>
      </c>
      <c r="AJ38" s="351" t="s">
        <v>8122</v>
      </c>
      <c r="AK38" s="322"/>
      <c r="AL38" s="352" t="s">
        <v>8122</v>
      </c>
      <c r="AM38" s="323" t="str">
        <f aca="false">VLOOKUP(CONCATENATE($AI38,"-",AM$8),'[1]liste complet essai'!$A$4:$K$1367,4,)</f>
        <v>AM</v>
      </c>
      <c r="AN38" s="323" t="str">
        <f aca="false">VLOOKUP(CONCATENATE($AI38,"-",AN$8),'[1]liste complet essai'!$A$4:$K$1367,4,)</f>
        <v>AM</v>
      </c>
      <c r="AO38" s="323" t="str">
        <f aca="false">VLOOKUP(CONCATENATE($AI38,"-",AO$8),'[1]liste complet essai'!$A$4:$K$1367,4,)</f>
        <v>AM</v>
      </c>
      <c r="AP38" s="323" t="str">
        <f aca="false">VLOOKUP(CONCATENATE($AI38,"-",AP$8),'[1]liste complet essai'!$A$4:$K$1367,4,)</f>
        <v>AM</v>
      </c>
      <c r="AQ38" s="323" t="str">
        <f aca="false">VLOOKUP(CONCATENATE($AI38,"-",AQ$8),'[1]liste complet essai'!$A$4:$K$1367,4,)</f>
        <v>AM</v>
      </c>
      <c r="AR38" s="323" t="str">
        <f aca="false">VLOOKUP(CONCATENATE($AI38,"-",AR$8),'[1]liste complet essai'!$A$4:$K$1367,4,)</f>
        <v>AM</v>
      </c>
      <c r="AS38" s="323" t="str">
        <f aca="false">VLOOKUP(CONCATENATE($AI38,"-",AS$8),'[1]liste complet essai'!$A$4:$K$1367,4,)</f>
        <v>AM</v>
      </c>
      <c r="AT38" s="323" t="str">
        <f aca="false">VLOOKUP(CONCATENATE($AI38,"-",AT$8),'[1]liste complet essai'!$A$4:$K$1367,4,)</f>
        <v>AM</v>
      </c>
      <c r="AU38" s="323" t="str">
        <f aca="false">VLOOKUP(CONCATENATE($AI38,"-",AU$8),'[1]liste complet essai'!$A$4:$K$1367,4,)</f>
        <v>AM</v>
      </c>
      <c r="AV38" s="323" t="str">
        <f aca="false">VLOOKUP(CONCATENATE($AI38,"-",AV$8),'[1]liste complet essai'!$A$4:$K$1367,4,)</f>
        <v>AM</v>
      </c>
      <c r="AW38" s="348" t="str">
        <f aca="false">VLOOKUP(CONCATENATE($AI38,"-",AW$8),'[1]liste complet essai'!$A$4:$K$1367,4,)</f>
        <v>AM</v>
      </c>
      <c r="AX38" s="323" t="str">
        <f aca="false">VLOOKUP(CONCATENATE($AI38,"-",AX$8),'[1]liste complet essai'!$A$4:$K$1367,4,)</f>
        <v>AM</v>
      </c>
      <c r="AY38" s="323" t="str">
        <f aca="false">VLOOKUP(CONCATENATE($AI38,"-",AY$8),'[1]liste complet essai'!$A$4:$K$1367,4,)</f>
        <v>AM</v>
      </c>
      <c r="AZ38" s="323" t="str">
        <f aca="false">VLOOKUP(CONCATENATE($AI38,"-",AZ$8),'[1]liste complet essai'!$A$4:$K$1367,4,)</f>
        <v>AM</v>
      </c>
      <c r="BA38" s="323" t="str">
        <f aca="false">VLOOKUP(CONCATENATE($AI38,"-",BA$8),'[1]liste complet essai'!$A$4:$K$1367,4,)</f>
        <v>AM</v>
      </c>
      <c r="BB38" s="323" t="str">
        <f aca="false">VLOOKUP(CONCATENATE($AI38,"-",BB$8),'[1]liste complet essai'!$A$4:$K$1367,4,)</f>
        <v>AM</v>
      </c>
      <c r="BC38" s="323" t="str">
        <f aca="false">VLOOKUP(CONCATENATE($AI38,"-",BC$8),'[1]liste complet essai'!$A$4:$K$1367,4,)</f>
        <v>AM</v>
      </c>
      <c r="BD38" s="323" t="str">
        <f aca="false">VLOOKUP(CONCATENATE($AI38,"-",BD$8),'[1]liste complet essai'!$A$4:$K$1367,4,)</f>
        <v>AM</v>
      </c>
      <c r="BE38" s="323" t="str">
        <f aca="false">VLOOKUP(CONCATENATE($AI38,"-",BE$8),'[1]liste complet essai'!$A$4:$K$1367,4,)</f>
        <v>AM</v>
      </c>
      <c r="BF38" s="323" t="str">
        <f aca="false">VLOOKUP(CONCATENATE($AI38,"-",BF$8),'[1]liste complet essai'!$A$4:$K$1367,4,)</f>
        <v>AM</v>
      </c>
      <c r="BG38" s="323" t="str">
        <f aca="false">VLOOKUP(CONCATENATE($AI38,"-",BG$8),'[1]liste complet essai'!$A$4:$K$1367,4,)</f>
        <v>AM</v>
      </c>
      <c r="BH38" s="323" t="str">
        <f aca="false">VLOOKUP(CONCATENATE($AI38,"-",BH$8),'[1]liste complet essai'!$A$4:$K$1367,4,)</f>
        <v>AM</v>
      </c>
      <c r="BI38" s="323" t="str">
        <f aca="false">VLOOKUP(CONCATENATE($AI38,"-",BI$8),'[1]liste complet essai'!$A$4:$K$1367,4,)</f>
        <v>AM</v>
      </c>
      <c r="BJ38" s="323" t="str">
        <f aca="false">VLOOKUP(CONCATENATE($AI38,"-",BJ$8),'[1]liste complet essai'!$A$4:$K$1367,4,)</f>
        <v>AM</v>
      </c>
      <c r="BK38" s="323" t="str">
        <f aca="false">VLOOKUP(CONCATENATE($AI38,"-",BK$8),'[1]liste complet essai'!$A$4:$K$1367,4,)</f>
        <v>AM</v>
      </c>
      <c r="BL38" s="323" t="str">
        <f aca="false">VLOOKUP(CONCATENATE($AI38,"-",BL$8),'[1]liste complet essai'!$A$4:$K$1367,4,)</f>
        <v>AM</v>
      </c>
      <c r="BM38" s="323" t="str">
        <f aca="false">VLOOKUP(CONCATENATE($AI38,"-",BM$8),'[1]liste complet essai'!$A$4:$K$1367,4,)</f>
        <v>AM</v>
      </c>
      <c r="BN38" s="323" t="str">
        <f aca="false">VLOOKUP(CONCATENATE($AI38,"-",BN$8),'[1]liste complet essai'!$A$4:$K$1367,4,)</f>
        <v>AM</v>
      </c>
      <c r="BO38" s="323" t="str">
        <f aca="false">VLOOKUP(CONCATENATE($AI38,"-",BO$8),'[1]liste complet essai'!$A$4:$K$1367,4,)</f>
        <v>AM</v>
      </c>
      <c r="BP38" s="323" t="str">
        <f aca="false">VLOOKUP(CONCATENATE($AI38,"-",BP$8),'[1]liste complet essai'!$A$4:$K$1367,4,)</f>
        <v>AM</v>
      </c>
      <c r="BQ38" s="300" t="str">
        <f aca="false">VLOOKUP(CONCATENATE($AI38,"-",BQ$8),'[1]liste complet essai'!$A$4:$K$1367,4,)</f>
        <v>AM</v>
      </c>
      <c r="BR38" s="323" t="str">
        <f aca="false">VLOOKUP(CONCATENATE($AI38,"-",BR$8),'[1]liste complet essai'!$A$4:$K$1367,4,)</f>
        <v>AM</v>
      </c>
      <c r="BS38" s="310"/>
      <c r="BT38" s="310"/>
      <c r="BU38" s="310"/>
      <c r="BV38" s="310"/>
      <c r="BW38" s="310"/>
      <c r="BX38" s="310"/>
      <c r="BY38" s="310"/>
      <c r="BZ38" s="310"/>
      <c r="CA38" s="310"/>
      <c r="CB38" s="310"/>
      <c r="CC38" s="299" t="str">
        <f aca="false">VLOOKUP(CONCATENATE($AI38,"-",CC$8),'[1]liste complet essai'!$A$4:$K$1367,4,)</f>
        <v>AM</v>
      </c>
      <c r="CD38" s="299" t="str">
        <f aca="false">VLOOKUP(CONCATENATE($AI38,"-",CD$8),'[1]liste complet essai'!$A$4:$K$1367,4,)</f>
        <v>AM</v>
      </c>
      <c r="CE38" s="299" t="str">
        <f aca="false">VLOOKUP(CONCATENATE($AI38,"-",CE$8),'[1]liste complet essai'!$A$4:$K$1367,4,)</f>
        <v>AM</v>
      </c>
      <c r="CF38" s="299" t="str">
        <f aca="false">VLOOKUP(CONCATENATE($AI38,"-",CF$8),'[1]liste complet essai'!$A$4:$K$1367,4,)</f>
        <v>AM</v>
      </c>
      <c r="CG38" s="299" t="str">
        <f aca="false">VLOOKUP(CONCATENATE($AI38,"-",CG$8),'[1]liste complet essai'!$A$4:$K$1367,4,)</f>
        <v>AM</v>
      </c>
      <c r="CH38" s="299" t="str">
        <f aca="false">VLOOKUP(CONCATENATE($AI38,"-",CH$8),'[1]liste complet essai'!$A$4:$K$1367,4,)</f>
        <v>AM</v>
      </c>
      <c r="CI38" s="299" t="str">
        <f aca="false">VLOOKUP(CONCATENATE($AI38,"-",CI$8),'[1]liste complet essai'!$A$4:$K$1367,4,)</f>
        <v>AM</v>
      </c>
      <c r="CJ38" s="299" t="str">
        <f aca="false">VLOOKUP(CONCATENATE($AI38,"-",CJ$8),'[1]liste complet essai'!$A$4:$K$1367,4,)</f>
        <v>AM</v>
      </c>
      <c r="CK38" s="299" t="str">
        <f aca="false">VLOOKUP(CONCATENATE($AI38,"-",CK$8),'[1]liste complet essai'!$A$4:$K$1367,4,)</f>
        <v>AM</v>
      </c>
      <c r="CL38" s="299" t="str">
        <f aca="false">VLOOKUP(CONCATENATE($AI38,"-",CL$8),'[1]liste complet essai'!$A$4:$K$1367,4,)</f>
        <v>AM</v>
      </c>
      <c r="CM38" s="299" t="str">
        <f aca="false">VLOOKUP(CONCATENATE($AI38,"-",CM$8),'[1]liste complet essai'!$A$4:$K$1367,4,)</f>
        <v>AM</v>
      </c>
      <c r="CN38" s="299" t="str">
        <f aca="false">VLOOKUP(CONCATENATE($AI38,"-",CN$8),'[1]liste complet essai'!$A$4:$K$1367,4,)</f>
        <v>AM</v>
      </c>
      <c r="CO38" s="299" t="str">
        <f aca="false">VLOOKUP(CONCATENATE($AI38,"-",CO$8),'[1]liste complet essai'!$A$4:$K$1367,4,)</f>
        <v>AM</v>
      </c>
      <c r="CP38" s="299" t="str">
        <f aca="false">VLOOKUP(CONCATENATE($AI38,"-",CP$8),'[1]liste complet essai'!$A$4:$K$1367,4,)</f>
        <v>AM</v>
      </c>
      <c r="CQ38" s="299" t="str">
        <f aca="false">VLOOKUP(CONCATENATE($AI38,"-",CQ$8),'[1]liste complet essai'!$A$4:$K$1367,4,)</f>
        <v>AM</v>
      </c>
      <c r="CR38" s="299" t="str">
        <f aca="false">VLOOKUP(CONCATENATE($AI38,"-",CR$8),'[1]liste complet essai'!$A$4:$K$1367,4,)</f>
        <v>AM</v>
      </c>
      <c r="CS38" s="323" t="str">
        <f aca="false">VLOOKUP(CONCATENATE($AI38,"-",CS$8),'[1]liste complet essai'!$A$4:$K$1367,4,)</f>
        <v>AM</v>
      </c>
      <c r="CT38" s="299" t="str">
        <f aca="false">VLOOKUP(CONCATENATE($AI38,"-",CT$8),'[1]liste complet essai'!$A$4:$K$1367,4,)</f>
        <v>AM</v>
      </c>
      <c r="CU38" s="299" t="str">
        <f aca="false">VLOOKUP(CONCATENATE($AI38,"-",CU$8),'[1]liste complet essai'!$A$4:$K$1367,4,)</f>
        <v>AM</v>
      </c>
      <c r="CV38" s="299" t="str">
        <f aca="false">VLOOKUP(CONCATENATE($AI38,"-",CV$8),'[1]liste complet essai'!$A$4:$K$1367,4,)</f>
        <v>AM</v>
      </c>
      <c r="CW38" s="299" t="str">
        <f aca="false">VLOOKUP(CONCATENATE($AI38,"-",CW$8),'[1]liste complet essai'!$A$4:$K$1367,4,)</f>
        <v>AM</v>
      </c>
      <c r="CX38" s="299" t="str">
        <f aca="false">VLOOKUP(CONCATENATE($AI38,"-",CX$8),'[1]liste complet essai'!$A$4:$K$1367,4,)</f>
        <v>AM</v>
      </c>
      <c r="CY38" s="299" t="str">
        <f aca="false">VLOOKUP(CONCATENATE($AI38,"-",CY$8),'[1]liste complet essai'!$A$4:$K$1367,4,)</f>
        <v>AM</v>
      </c>
      <c r="CZ38" s="299" t="str">
        <f aca="false">VLOOKUP(CONCATENATE($AI38,"-",CZ$8),'[1]liste complet essai'!$A$4:$K$1367,4,)</f>
        <v>AM</v>
      </c>
      <c r="DA38" s="299" t="str">
        <f aca="false">VLOOKUP(CONCATENATE($AI38,"-",DA$8),'[1]liste complet essai'!$A$4:$K$1367,4,)</f>
        <v>AM</v>
      </c>
      <c r="DB38" s="299" t="str">
        <f aca="false">VLOOKUP(CONCATENATE($AI38,"-",DB$8),'[1]liste complet essai'!$A$4:$K$1367,4,)</f>
        <v>AM</v>
      </c>
      <c r="DC38" s="299" t="str">
        <f aca="false">VLOOKUP(CONCATENATE($AI38,"-",DC$8),'[1]liste complet essai'!$A$4:$K$1367,4,)</f>
        <v>AM</v>
      </c>
      <c r="DD38" s="299" t="str">
        <f aca="false">VLOOKUP(CONCATENATE($AI38,"-",DD$8),'[1]liste complet essai'!$A$4:$K$1367,4,)</f>
        <v>AM</v>
      </c>
      <c r="DE38" s="299" t="str">
        <f aca="false">VLOOKUP(CONCATENATE($AI38,"-",DE$8),'[1]liste complet essai'!$A$4:$K$1367,4,)</f>
        <v>AM</v>
      </c>
      <c r="DF38" s="299" t="str">
        <f aca="false">VLOOKUP(CONCATENATE($AI38,"-",DF$8),'[1]liste complet essai'!$A$4:$K$1367,4,)</f>
        <v>AM</v>
      </c>
      <c r="DG38" s="299" t="str">
        <f aca="false">VLOOKUP(CONCATENATE($AI38,"-",DG$8),'[1]liste complet essai'!$A$4:$K$1367,4,)</f>
        <v>AM</v>
      </c>
      <c r="DH38" s="299" t="str">
        <f aca="false">VLOOKUP(CONCATENATE($AI38,"-",DH$8),'[1]liste complet essai'!$A$4:$K$1367,4,)</f>
        <v>AM</v>
      </c>
      <c r="DI38" s="352" t="s">
        <v>8122</v>
      </c>
      <c r="DJ38" s="338"/>
      <c r="DK38" s="353" t="s">
        <v>8122</v>
      </c>
    </row>
    <row r="39" customFormat="false" ht="12" hidden="false" customHeight="false" outlineLevel="0" collapsed="false">
      <c r="B39" s="293"/>
      <c r="C39" s="347"/>
      <c r="D39" s="307"/>
      <c r="E39" s="324"/>
      <c r="F39" s="311" t="str">
        <f aca="false">VLOOKUP(CONCATENATE($B38,"-",F$8),'[1]liste complet essai'!$A$4:$K$1367,9,)</f>
        <v>N2-b3</v>
      </c>
      <c r="G39" s="311" t="str">
        <f aca="false">VLOOKUP(CONCATENATE($B38,"-",G$8),'[1]liste complet essai'!$A$4:$K$1367,9,)</f>
        <v>N2-b3</v>
      </c>
      <c r="H39" s="311" t="str">
        <f aca="false">VLOOKUP(CONCATENATE($B38,"-",H$8),'[1]liste complet essai'!$A$4:$K$1367,9,)</f>
        <v>N2-b3</v>
      </c>
      <c r="I39" s="311" t="str">
        <f aca="false">VLOOKUP(CONCATENATE($B38,"-",I$8),'[1]liste complet essai'!$A$4:$K$1367,9,)</f>
        <v>N2-b3</v>
      </c>
      <c r="J39" s="311" t="str">
        <f aca="false">VLOOKUP(CONCATENATE($B38,"-",J$8),'[1]liste complet essai'!$A$4:$K$1367,9,)</f>
        <v>N2-b3</v>
      </c>
      <c r="K39" s="311" t="str">
        <f aca="false">VLOOKUP(CONCATENATE($B38,"-",K$8),'[1]liste complet essai'!$A$4:$K$1367,9,)</f>
        <v>N2-b3</v>
      </c>
      <c r="L39" s="311" t="str">
        <f aca="false">VLOOKUP(CONCATENATE($B38,"-",L$8),'[1]liste complet essai'!$A$4:$K$1367,9,)</f>
        <v>N2-b3</v>
      </c>
      <c r="M39" s="311" t="str">
        <f aca="false">VLOOKUP(CONCATENATE($B38,"-",M$8),'[1]liste complet essai'!$A$4:$K$1367,9,)</f>
        <v>N2-b3</v>
      </c>
      <c r="N39" s="311" t="str">
        <f aca="false">VLOOKUP(CONCATENATE($B38,"-",N$8),'[1]liste complet essai'!$A$4:$K$1367,9,)</f>
        <v>N2-b3</v>
      </c>
      <c r="O39" s="311" t="str">
        <f aca="false">VLOOKUP(CONCATENATE($B38,"-",O$8),'[1]liste complet essai'!$A$4:$K$1367,9,)</f>
        <v>N2-b3</v>
      </c>
      <c r="P39" s="311" t="str">
        <f aca="false">VLOOKUP(CONCATENATE($B38,"-",P$8),'[1]liste complet essai'!$A$4:$K$1367,9,)</f>
        <v>N2-b3</v>
      </c>
      <c r="Q39" s="311" t="str">
        <f aca="false">VLOOKUP(CONCATENATE($B38,"-",Q$8),'[1]liste complet essai'!$A$4:$K$1367,9,)</f>
        <v>N2-b3</v>
      </c>
      <c r="R39" s="311" t="str">
        <f aca="false">VLOOKUP(CONCATENATE($B38,"-",R$8),'[1]liste complet essai'!$A$4:$K$1367,9,)</f>
        <v>N2-b3</v>
      </c>
      <c r="S39" s="311" t="str">
        <f aca="false">VLOOKUP(CONCATENATE($B38,"-",S$8),'[1]liste complet essai'!$A$4:$K$1367,9,)</f>
        <v>N2-b3</v>
      </c>
      <c r="T39" s="311" t="str">
        <f aca="false">VLOOKUP(CONCATENATE($B38,"-",T$8),'[1]liste complet essai'!$A$4:$K$1367,9,)</f>
        <v>N2-b3</v>
      </c>
      <c r="U39" s="311" t="str">
        <f aca="false">VLOOKUP(CONCATENATE($B38,"-",U$8),'[1]liste complet essai'!$A$4:$K$1367,9,)</f>
        <v>N2-b3</v>
      </c>
      <c r="V39" s="311" t="str">
        <f aca="false">VLOOKUP(CONCATENATE($B38,"-",V$8),'[1]liste complet essai'!$A$4:$K$1367,9,)</f>
        <v>N2-b3</v>
      </c>
      <c r="W39" s="311" t="str">
        <f aca="false">VLOOKUP(CONCATENATE($B38,"-",W$8),'[1]liste complet essai'!$A$4:$K$1367,9,)</f>
        <v>N2-b3</v>
      </c>
      <c r="X39" s="311" t="str">
        <f aca="false">VLOOKUP(CONCATENATE($B38,"-",X$8),'[1]liste complet essai'!$A$4:$K$1367,9,)</f>
        <v>N2-b3</v>
      </c>
      <c r="Y39" s="311" t="str">
        <f aca="false">VLOOKUP(CONCATENATE($B38,"-",Y$8),'[1]liste complet essai'!$A$4:$K$1367,9,)</f>
        <v>N2-b3</v>
      </c>
      <c r="Z39" s="311" t="str">
        <f aca="false">VLOOKUP(CONCATENATE($B38,"-",Z$8),'[1]liste complet essai'!$A$4:$K$1367,9,)</f>
        <v>N2-b3</v>
      </c>
      <c r="AA39" s="311" t="str">
        <f aca="false">VLOOKUP(CONCATENATE($B38,"-",AA$8),'[1]liste complet essai'!$A$4:$K$1367,9,)</f>
        <v>N2-b3</v>
      </c>
      <c r="AB39" s="311" t="str">
        <f aca="false">VLOOKUP(CONCATENATE($B38,"-",AB$8),'[1]liste complet essai'!$A$4:$K$1367,9,)</f>
        <v>N2-b3</v>
      </c>
      <c r="AC39" s="311" t="str">
        <f aca="false">VLOOKUP(CONCATENATE($B38,"-",AC$8),'[1]liste complet essai'!$A$4:$K$1367,9,)</f>
        <v>N2-b3</v>
      </c>
      <c r="AD39" s="311" t="str">
        <f aca="false">VLOOKUP(CONCATENATE($B38,"-",AD$8),'[1]liste complet essai'!$A$4:$K$1367,9,)</f>
        <v>N2-b3</v>
      </c>
      <c r="AE39" s="311" t="str">
        <f aca="false">VLOOKUP(CONCATENATE($B38,"-",AE$8),'[1]liste complet essai'!$A$4:$K$1367,9,)</f>
        <v>N2-b3</v>
      </c>
      <c r="AF39" s="339"/>
      <c r="AI39" s="302"/>
      <c r="AJ39" s="351"/>
      <c r="AK39" s="309"/>
      <c r="AL39" s="352"/>
      <c r="AM39" s="311" t="str">
        <f aca="false">VLOOKUP(CONCATENATE($AI38,"-",AM$8),'[1]liste complet essai'!$A$4:$K$1367,9,)</f>
        <v>N2-b1</v>
      </c>
      <c r="AN39" s="311" t="str">
        <f aca="false">VLOOKUP(CONCATENATE($AI38,"-",AN$8),'[1]liste complet essai'!$A$4:$K$1367,9,)</f>
        <v>N2-b1</v>
      </c>
      <c r="AO39" s="311" t="str">
        <f aca="false">VLOOKUP(CONCATENATE($AI38,"-",AO$8),'[1]liste complet essai'!$A$4:$K$1367,9,)</f>
        <v>N2-b1</v>
      </c>
      <c r="AP39" s="311" t="str">
        <f aca="false">VLOOKUP(CONCATENATE($AI38,"-",AP$8),'[1]liste complet essai'!$A$4:$K$1367,9,)</f>
        <v>N2-b1</v>
      </c>
      <c r="AQ39" s="311" t="str">
        <f aca="false">VLOOKUP(CONCATENATE($AI38,"-",AQ$8),'[1]liste complet essai'!$A$4:$K$1367,9,)</f>
        <v>N2-b1</v>
      </c>
      <c r="AR39" s="311" t="str">
        <f aca="false">VLOOKUP(CONCATENATE($AI38,"-",AR$8),'[1]liste complet essai'!$A$4:$K$1367,9,)</f>
        <v>N2-b1</v>
      </c>
      <c r="AS39" s="311" t="str">
        <f aca="false">VLOOKUP(CONCATENATE($AI38,"-",AS$8),'[1]liste complet essai'!$A$4:$K$1367,9,)</f>
        <v>N2-b1</v>
      </c>
      <c r="AT39" s="311" t="str">
        <f aca="false">VLOOKUP(CONCATENATE($AI38,"-",AT$8),'[1]liste complet essai'!$A$4:$K$1367,9,)</f>
        <v>N2-b1</v>
      </c>
      <c r="AU39" s="311" t="str">
        <f aca="false">VLOOKUP(CONCATENATE($AI38,"-",AU$8),'[1]liste complet essai'!$A$4:$K$1367,9,)</f>
        <v>N2-b1</v>
      </c>
      <c r="AV39" s="311" t="str">
        <f aca="false">VLOOKUP(CONCATENATE($AI38,"-",AV$8),'[1]liste complet essai'!$A$4:$K$1367,9,)</f>
        <v>N2-b1</v>
      </c>
      <c r="AW39" s="327" t="str">
        <f aca="false">VLOOKUP(CONCATENATE($AI38,"-",AW$8),'[1]liste complet essai'!$A$4:$K$1367,9,)</f>
        <v>N2-b1</v>
      </c>
      <c r="AX39" s="311" t="str">
        <f aca="false">VLOOKUP(CONCATENATE($AI38,"-",AX$8),'[1]liste complet essai'!$A$4:$K$1367,9,)</f>
        <v>N2-b1</v>
      </c>
      <c r="AY39" s="311" t="str">
        <f aca="false">VLOOKUP(CONCATENATE($AI38,"-",AY$8),'[1]liste complet essai'!$A$4:$K$1367,9,)</f>
        <v>N2-b1</v>
      </c>
      <c r="AZ39" s="311" t="str">
        <f aca="false">VLOOKUP(CONCATENATE($AI38,"-",AZ$8),'[1]liste complet essai'!$A$4:$K$1367,9,)</f>
        <v>N2-b1</v>
      </c>
      <c r="BA39" s="311" t="str">
        <f aca="false">VLOOKUP(CONCATENATE($AI38,"-",BA$8),'[1]liste complet essai'!$A$4:$K$1367,9,)</f>
        <v>N2-b1</v>
      </c>
      <c r="BB39" s="311" t="str">
        <f aca="false">VLOOKUP(CONCATENATE($AI38,"-",BB$8),'[1]liste complet essai'!$A$4:$K$1367,9,)</f>
        <v>N2-b1</v>
      </c>
      <c r="BC39" s="311" t="str">
        <f aca="false">VLOOKUP(CONCATENATE($AI38,"-",BC$8),'[1]liste complet essai'!$A$4:$K$1367,9,)</f>
        <v>N2-b1</v>
      </c>
      <c r="BD39" s="311" t="str">
        <f aca="false">VLOOKUP(CONCATENATE($AI38,"-",BD$8),'[1]liste complet essai'!$A$4:$K$1367,9,)</f>
        <v>N2-b1</v>
      </c>
      <c r="BE39" s="311" t="str">
        <f aca="false">VLOOKUP(CONCATENATE($AI38,"-",BE$8),'[1]liste complet essai'!$A$4:$K$1367,9,)</f>
        <v>N2-b1</v>
      </c>
      <c r="BF39" s="311" t="str">
        <f aca="false">VLOOKUP(CONCATENATE($AI38,"-",BF$8),'[1]liste complet essai'!$A$4:$K$1367,9,)</f>
        <v>N2-b1</v>
      </c>
      <c r="BG39" s="311" t="str">
        <f aca="false">VLOOKUP(CONCATENATE($AI38,"-",BG$8),'[1]liste complet essai'!$A$4:$K$1367,9,)</f>
        <v>N2-b1</v>
      </c>
      <c r="BH39" s="311" t="str">
        <f aca="false">VLOOKUP(CONCATENATE($AI38,"-",BH$8),'[1]liste complet essai'!$A$4:$K$1367,9,)</f>
        <v>N2-b1</v>
      </c>
      <c r="BI39" s="311" t="str">
        <f aca="false">VLOOKUP(CONCATENATE($AI38,"-",BI$8),'[1]liste complet essai'!$A$4:$K$1367,9,)</f>
        <v>N2-b1</v>
      </c>
      <c r="BJ39" s="311" t="str">
        <f aca="false">VLOOKUP(CONCATENATE($AI38,"-",BJ$8),'[1]liste complet essai'!$A$4:$K$1367,9,)</f>
        <v>N2-b1</v>
      </c>
      <c r="BK39" s="311" t="str">
        <f aca="false">VLOOKUP(CONCATENATE($AI38,"-",BK$8),'[1]liste complet essai'!$A$4:$K$1367,9,)</f>
        <v>N2-b1</v>
      </c>
      <c r="BL39" s="311" t="str">
        <f aca="false">VLOOKUP(CONCATENATE($AI38,"-",BL$8),'[1]liste complet essai'!$A$4:$K$1367,9,)</f>
        <v>N2-b1</v>
      </c>
      <c r="BM39" s="311" t="str">
        <f aca="false">VLOOKUP(CONCATENATE($AI38,"-",BM$8),'[1]liste complet essai'!$A$4:$K$1367,9,)</f>
        <v>N2-b1</v>
      </c>
      <c r="BN39" s="311" t="str">
        <f aca="false">VLOOKUP(CONCATENATE($AI38,"-",BN$8),'[1]liste complet essai'!$A$4:$K$1367,9,)</f>
        <v>N2-b1</v>
      </c>
      <c r="BO39" s="311" t="str">
        <f aca="false">VLOOKUP(CONCATENATE($AI38,"-",BO$8),'[1]liste complet essai'!$A$4:$K$1367,9,)</f>
        <v>N2-b1</v>
      </c>
      <c r="BP39" s="311" t="str">
        <f aca="false">VLOOKUP(CONCATENATE($AI38,"-",BP$8),'[1]liste complet essai'!$A$4:$K$1367,9,)</f>
        <v>N2-b1</v>
      </c>
      <c r="BQ39" s="285" t="str">
        <f aca="false">VLOOKUP(CONCATENATE($AI38,"-",BQ$8),'[1]liste complet essai'!$A$4:$K$1367,9,)</f>
        <v>N2-b1</v>
      </c>
      <c r="BR39" s="311" t="str">
        <f aca="false">VLOOKUP(CONCATENATE($AI38,"-",BR$8),'[1]liste complet essai'!$A$4:$K$1367,9,)</f>
        <v>N2-b1</v>
      </c>
      <c r="BS39" s="310"/>
      <c r="BT39" s="310"/>
      <c r="BU39" s="310"/>
      <c r="BV39" s="310"/>
      <c r="BW39" s="310"/>
      <c r="BX39" s="310"/>
      <c r="BY39" s="310"/>
      <c r="BZ39" s="310"/>
      <c r="CA39" s="310"/>
      <c r="CB39" s="310"/>
      <c r="CC39" s="308" t="str">
        <f aca="false">VLOOKUP(CONCATENATE($AI38,"-",CC$8),'[1]liste complet essai'!$A$4:$K$1367,9,)</f>
        <v>N1-b2</v>
      </c>
      <c r="CD39" s="308" t="str">
        <f aca="false">VLOOKUP(CONCATENATE($AI38,"-",CD$8),'[1]liste complet essai'!$A$4:$K$1367,9,)</f>
        <v>N1-b2</v>
      </c>
      <c r="CE39" s="308" t="str">
        <f aca="false">VLOOKUP(CONCATENATE($AI38,"-",CE$8),'[1]liste complet essai'!$A$4:$K$1367,9,)</f>
        <v>N1-b2</v>
      </c>
      <c r="CF39" s="308" t="str">
        <f aca="false">VLOOKUP(CONCATENATE($AI38,"-",CF$8),'[1]liste complet essai'!$A$4:$K$1367,9,)</f>
        <v>N1-b2</v>
      </c>
      <c r="CG39" s="308" t="str">
        <f aca="false">VLOOKUP(CONCATENATE($AI38,"-",CG$8),'[1]liste complet essai'!$A$4:$K$1367,9,)</f>
        <v>N1-b2</v>
      </c>
      <c r="CH39" s="308" t="str">
        <f aca="false">VLOOKUP(CONCATENATE($AI38,"-",CH$8),'[1]liste complet essai'!$A$4:$K$1367,9,)</f>
        <v>N1-b2</v>
      </c>
      <c r="CI39" s="308" t="str">
        <f aca="false">VLOOKUP(CONCATENATE($AI38,"-",CI$8),'[1]liste complet essai'!$A$4:$K$1367,9,)</f>
        <v>N1-b2</v>
      </c>
      <c r="CJ39" s="308" t="str">
        <f aca="false">VLOOKUP(CONCATENATE($AI38,"-",CJ$8),'[1]liste complet essai'!$A$4:$K$1367,9,)</f>
        <v>N1-b2</v>
      </c>
      <c r="CK39" s="308" t="str">
        <f aca="false">VLOOKUP(CONCATENATE($AI38,"-",CK$8),'[1]liste complet essai'!$A$4:$K$1367,9,)</f>
        <v>N1-b2</v>
      </c>
      <c r="CL39" s="308" t="str">
        <f aca="false">VLOOKUP(CONCATENATE($AI38,"-",CL$8),'[1]liste complet essai'!$A$4:$K$1367,9,)</f>
        <v>N1-b2</v>
      </c>
      <c r="CM39" s="308" t="str">
        <f aca="false">VLOOKUP(CONCATENATE($AI38,"-",CM$8),'[1]liste complet essai'!$A$4:$K$1367,9,)</f>
        <v>N1-b2</v>
      </c>
      <c r="CN39" s="308" t="str">
        <f aca="false">VLOOKUP(CONCATENATE($AI38,"-",CN$8),'[1]liste complet essai'!$A$4:$K$1367,9,)</f>
        <v>N1-b2</v>
      </c>
      <c r="CO39" s="308" t="str">
        <f aca="false">VLOOKUP(CONCATENATE($AI38,"-",CO$8),'[1]liste complet essai'!$A$4:$K$1367,9,)</f>
        <v>N1-b2</v>
      </c>
      <c r="CP39" s="308" t="str">
        <f aca="false">VLOOKUP(CONCATENATE($AI38,"-",CP$8),'[1]liste complet essai'!$A$4:$K$1367,9,)</f>
        <v>N1-b2</v>
      </c>
      <c r="CQ39" s="308" t="str">
        <f aca="false">VLOOKUP(CONCATENATE($AI38,"-",CQ$8),'[1]liste complet essai'!$A$4:$K$1367,9,)</f>
        <v>N1-b2</v>
      </c>
      <c r="CR39" s="308" t="str">
        <f aca="false">VLOOKUP(CONCATENATE($AI38,"-",CR$8),'[1]liste complet essai'!$A$4:$K$1367,9,)</f>
        <v>N1-b2</v>
      </c>
      <c r="CS39" s="311" t="str">
        <f aca="false">VLOOKUP(CONCATENATE($AI38,"-",CS$8),'[1]liste complet essai'!$A$4:$K$1367,9,)</f>
        <v>N1-b2</v>
      </c>
      <c r="CT39" s="308" t="str">
        <f aca="false">VLOOKUP(CONCATENATE($AI38,"-",CT$8),'[1]liste complet essai'!$A$4:$K$1367,9,)</f>
        <v>N1-b2</v>
      </c>
      <c r="CU39" s="308" t="str">
        <f aca="false">VLOOKUP(CONCATENATE($AI38,"-",CU$8),'[1]liste complet essai'!$A$4:$K$1367,9,)</f>
        <v>N1-b2</v>
      </c>
      <c r="CV39" s="308" t="str">
        <f aca="false">VLOOKUP(CONCATENATE($AI38,"-",CV$8),'[1]liste complet essai'!$A$4:$K$1367,9,)</f>
        <v>N1-b2</v>
      </c>
      <c r="CW39" s="308" t="str">
        <f aca="false">VLOOKUP(CONCATENATE($AI38,"-",CW$8),'[1]liste complet essai'!$A$4:$K$1367,9,)</f>
        <v>N1-b2</v>
      </c>
      <c r="CX39" s="308" t="str">
        <f aca="false">VLOOKUP(CONCATENATE($AI38,"-",CX$8),'[1]liste complet essai'!$A$4:$K$1367,9,)</f>
        <v>N1-b2</v>
      </c>
      <c r="CY39" s="308" t="str">
        <f aca="false">VLOOKUP(CONCATENATE($AI38,"-",CY$8),'[1]liste complet essai'!$A$4:$K$1367,9,)</f>
        <v>N1-b2</v>
      </c>
      <c r="CZ39" s="308" t="str">
        <f aca="false">VLOOKUP(CONCATENATE($AI38,"-",CZ$8),'[1]liste complet essai'!$A$4:$K$1367,9,)</f>
        <v>N1-b2</v>
      </c>
      <c r="DA39" s="308" t="str">
        <f aca="false">VLOOKUP(CONCATENATE($AI38,"-",DA$8),'[1]liste complet essai'!$A$4:$K$1367,9,)</f>
        <v>N1-b2</v>
      </c>
      <c r="DB39" s="308" t="str">
        <f aca="false">VLOOKUP(CONCATENATE($AI38,"-",DB$8),'[1]liste complet essai'!$A$4:$K$1367,9,)</f>
        <v>N1-b2</v>
      </c>
      <c r="DC39" s="308" t="str">
        <f aca="false">VLOOKUP(CONCATENATE($AI38,"-",DC$8),'[1]liste complet essai'!$A$4:$K$1367,9,)</f>
        <v>N1-b2</v>
      </c>
      <c r="DD39" s="308" t="str">
        <f aca="false">VLOOKUP(CONCATENATE($AI38,"-",DD$8),'[1]liste complet essai'!$A$4:$K$1367,9,)</f>
        <v>N1-b2</v>
      </c>
      <c r="DE39" s="308" t="str">
        <f aca="false">VLOOKUP(CONCATENATE($AI38,"-",DE$8),'[1]liste complet essai'!$A$4:$K$1367,9,)</f>
        <v>N1-b2</v>
      </c>
      <c r="DF39" s="308" t="str">
        <f aca="false">VLOOKUP(CONCATENATE($AI38,"-",DF$8),'[1]liste complet essai'!$A$4:$K$1367,9,)</f>
        <v>N1-b2</v>
      </c>
      <c r="DG39" s="308" t="str">
        <f aca="false">VLOOKUP(CONCATENATE($AI38,"-",DG$8),'[1]liste complet essai'!$A$4:$K$1367,9,)</f>
        <v>N1-b2</v>
      </c>
      <c r="DH39" s="308" t="str">
        <f aca="false">VLOOKUP(CONCATENATE($AI38,"-",DH$8),'[1]liste complet essai'!$A$4:$K$1367,9,)</f>
        <v>N1-b2</v>
      </c>
      <c r="DI39" s="352"/>
      <c r="DJ39" s="340"/>
      <c r="DK39" s="353"/>
    </row>
    <row r="40" customFormat="false" ht="12" hidden="false" customHeight="false" outlineLevel="0" collapsed="false">
      <c r="B40" s="293"/>
      <c r="C40" s="347"/>
      <c r="D40" s="307"/>
      <c r="E40" s="324"/>
      <c r="F40" s="311" t="str">
        <f aca="false">VLOOKUP(CONCATENATE($B38,"-",F$8),'[1]liste complet essai'!$A$4:$K$1367,5,)</f>
        <v>G-073</v>
      </c>
      <c r="G40" s="311" t="str">
        <f aca="false">VLOOKUP(CONCATENATE($B38,"-",G$8),'[1]liste complet essai'!$A$4:$K$1367,5,)</f>
        <v>G-055</v>
      </c>
      <c r="H40" s="311" t="str">
        <f aca="false">VLOOKUP(CONCATENATE($B38,"-",H$8),'[1]liste complet essai'!$A$4:$K$1367,5,)</f>
        <v>G-039</v>
      </c>
      <c r="I40" s="311" t="str">
        <f aca="false">VLOOKUP(CONCATENATE($B38,"-",I$8),'[1]liste complet essai'!$A$4:$K$1367,5,)</f>
        <v>G-109</v>
      </c>
      <c r="J40" s="311" t="str">
        <f aca="false">VLOOKUP(CONCATENATE($B38,"-",J$8),'[1]liste complet essai'!$A$4:$K$1367,5,)</f>
        <v>G-049</v>
      </c>
      <c r="K40" s="311" t="str">
        <f aca="false">VLOOKUP(CONCATENATE($B38,"-",K$8),'[1]liste complet essai'!$A$4:$K$1367,5,)</f>
        <v>G-014</v>
      </c>
      <c r="L40" s="311" t="str">
        <f aca="false">VLOOKUP(CONCATENATE($B38,"-",L$8),'[1]liste complet essai'!$A$4:$K$1367,5,)</f>
        <v>G-087</v>
      </c>
      <c r="M40" s="311" t="str">
        <f aca="false">VLOOKUP(CONCATENATE($B38,"-",M$8),'[1]liste complet essai'!$A$4:$K$1367,5,)</f>
        <v>G-103</v>
      </c>
      <c r="N40" s="311" t="str">
        <f aca="false">VLOOKUP(CONCATENATE($B38,"-",N$8),'[1]liste complet essai'!$A$4:$K$1367,5,)</f>
        <v>G-007</v>
      </c>
      <c r="O40" s="311" t="str">
        <f aca="false">VLOOKUP(CONCATENATE($B38,"-",O$8),'[1]liste complet essai'!$A$4:$K$1367,5,)</f>
        <v>G-102</v>
      </c>
      <c r="P40" s="311" t="str">
        <f aca="false">VLOOKUP(CONCATENATE($B38,"-",P$8),'[1]liste complet essai'!$A$4:$K$1367,5,)</f>
        <v>G-113</v>
      </c>
      <c r="Q40" s="311" t="str">
        <f aca="false">VLOOKUP(CONCATENATE($B38,"-",Q$8),'[1]liste complet essai'!$A$4:$K$1367,5,)</f>
        <v>G-107</v>
      </c>
      <c r="R40" s="311" t="str">
        <f aca="false">VLOOKUP(CONCATENATE($B38,"-",R$8),'[1]liste complet essai'!$A$4:$K$1367,5,)</f>
        <v>G-112</v>
      </c>
      <c r="S40" s="312" t="str">
        <f aca="false">VLOOKUP(CONCATENATE($B38,"-",S$8),'[1]liste complet essai'!$A$4:$K$1367,5,)</f>
        <v>G-002</v>
      </c>
      <c r="T40" s="311" t="str">
        <f aca="false">VLOOKUP(CONCATENATE($B38,"-",T$8),'[1]liste complet essai'!$A$4:$K$1367,5,)</f>
        <v>G-060</v>
      </c>
      <c r="U40" s="311" t="str">
        <f aca="false">VLOOKUP(CONCATENATE($B38,"-",U$8),'[1]liste complet essai'!$A$4:$K$1367,5,)</f>
        <v>G-081</v>
      </c>
      <c r="V40" s="311" t="str">
        <f aca="false">VLOOKUP(CONCATENATE($B38,"-",V$8),'[1]liste complet essai'!$A$4:$K$1367,5,)</f>
        <v>G-071</v>
      </c>
      <c r="W40" s="311" t="str">
        <f aca="false">VLOOKUP(CONCATENATE($B38,"-",W$8),'[1]liste complet essai'!$A$4:$K$1367,5,)</f>
        <v>G-061</v>
      </c>
      <c r="X40" s="311" t="str">
        <f aca="false">VLOOKUP(CONCATENATE($B38,"-",X$8),'[1]liste complet essai'!$A$4:$K$1367,5,)</f>
        <v>G-057</v>
      </c>
      <c r="Y40" s="311" t="str">
        <f aca="false">VLOOKUP(CONCATENATE($B38,"-",Y$8),'[1]liste complet essai'!$A$4:$K$1367,5,)</f>
        <v>G-111</v>
      </c>
      <c r="Z40" s="311" t="str">
        <f aca="false">VLOOKUP(CONCATENATE($B38,"-",Z$8),'[1]liste complet essai'!$A$4:$K$1367,5,)</f>
        <v>G-076</v>
      </c>
      <c r="AA40" s="311" t="str">
        <f aca="false">VLOOKUP(CONCATENATE($B38,"-",AA$8),'[1]liste complet essai'!$A$4:$K$1367,5,)</f>
        <v>G-025</v>
      </c>
      <c r="AB40" s="311" t="str">
        <f aca="false">VLOOKUP(CONCATENATE($B38,"-",AB$8),'[1]liste complet essai'!$A$4:$K$1367,5,)</f>
        <v>G-036</v>
      </c>
      <c r="AC40" s="311" t="str">
        <f aca="false">VLOOKUP(CONCATENATE($B38,"-",AC$8),'[1]liste complet essai'!$A$4:$K$1367,5,)</f>
        <v>G-004</v>
      </c>
      <c r="AD40" s="311" t="str">
        <f aca="false">VLOOKUP(CONCATENATE($B38,"-",AD$8),'[1]liste complet essai'!$A$4:$K$1367,5,)</f>
        <v>G-096</v>
      </c>
      <c r="AE40" s="311" t="str">
        <f aca="false">VLOOKUP(CONCATENATE($B38,"-",AE$8),'[1]liste complet essai'!$A$4:$K$1367,5,)</f>
        <v>G-115</v>
      </c>
      <c r="AF40" s="339"/>
      <c r="AI40" s="302"/>
      <c r="AJ40" s="351"/>
      <c r="AK40" s="309"/>
      <c r="AL40" s="352"/>
      <c r="AM40" s="311" t="str">
        <f aca="false">VLOOKUP(CONCATENATE($AI38,"-",AM$8),'[1]liste complet essai'!$A$4:$K$1367,5,)</f>
        <v>G-029</v>
      </c>
      <c r="AN40" s="311" t="str">
        <f aca="false">VLOOKUP(CONCATENATE($AI38,"-",AN$8),'[1]liste complet essai'!$A$4:$K$1367,5,)</f>
        <v>G-097</v>
      </c>
      <c r="AO40" s="311" t="str">
        <f aca="false">VLOOKUP(CONCATENATE($AI38,"-",AO$8),'[1]liste complet essai'!$A$4:$K$1367,5,)</f>
        <v>G-109</v>
      </c>
      <c r="AP40" s="311" t="str">
        <f aca="false">VLOOKUP(CONCATENATE($AI38,"-",AP$8),'[1]liste complet essai'!$A$4:$K$1367,5,)</f>
        <v>G-088</v>
      </c>
      <c r="AQ40" s="311" t="str">
        <f aca="false">VLOOKUP(CONCATENATE($AI38,"-",AQ$8),'[1]liste complet essai'!$A$4:$K$1367,5,)</f>
        <v>G-112</v>
      </c>
      <c r="AR40" s="311" t="str">
        <f aca="false">VLOOKUP(CONCATENATE($AI38,"-",AR$8),'[1]liste complet essai'!$A$4:$K$1367,5,)</f>
        <v>G-026</v>
      </c>
      <c r="AS40" s="311" t="str">
        <f aca="false">VLOOKUP(CONCATENATE($AI38,"-",AS$8),'[1]liste complet essai'!$A$4:$K$1367,5,)</f>
        <v>G-067</v>
      </c>
      <c r="AT40" s="311" t="str">
        <f aca="false">VLOOKUP(CONCATENATE($AI38,"-",AT$8),'[1]liste complet essai'!$A$4:$K$1367,5,)</f>
        <v>G-084</v>
      </c>
      <c r="AU40" s="311" t="str">
        <f aca="false">VLOOKUP(CONCATENATE($AI38,"-",AU$8),'[1]liste complet essai'!$A$4:$K$1367,5,)</f>
        <v>G-089</v>
      </c>
      <c r="AV40" s="311" t="str">
        <f aca="false">VLOOKUP(CONCATENATE($AI38,"-",AV$8),'[1]liste complet essai'!$A$4:$K$1367,5,)</f>
        <v>G-016</v>
      </c>
      <c r="AW40" s="312" t="str">
        <f aca="false">VLOOKUP(CONCATENATE($AI38,"-",AW$8),'[1]liste complet essai'!$A$4:$K$1367,5,)</f>
        <v>G-002</v>
      </c>
      <c r="AX40" s="311" t="str">
        <f aca="false">VLOOKUP(CONCATENATE($AI38,"-",AX$8),'[1]liste complet essai'!$A$4:$K$1367,5,)</f>
        <v>G-108</v>
      </c>
      <c r="AY40" s="311" t="str">
        <f aca="false">VLOOKUP(CONCATENATE($AI38,"-",AY$8),'[1]liste complet essai'!$A$4:$K$1367,5,)</f>
        <v>G-098</v>
      </c>
      <c r="AZ40" s="311" t="str">
        <f aca="false">VLOOKUP(CONCATENATE($AI38,"-",AZ$8),'[1]liste complet essai'!$A$4:$K$1367,5,)</f>
        <v>G-085</v>
      </c>
      <c r="BA40" s="311" t="str">
        <f aca="false">VLOOKUP(CONCATENATE($AI38,"-",BA$8),'[1]liste complet essai'!$A$4:$K$1367,5,)</f>
        <v>G-086</v>
      </c>
      <c r="BB40" s="311" t="str">
        <f aca="false">VLOOKUP(CONCATENATE($AI38,"-",BB$8),'[1]liste complet essai'!$A$4:$K$1367,5,)</f>
        <v>G-011</v>
      </c>
      <c r="BC40" s="311" t="str">
        <f aca="false">VLOOKUP(CONCATENATE($AI38,"-",BC$8),'[1]liste complet essai'!$A$4:$K$1367,5,)</f>
        <v>G-066</v>
      </c>
      <c r="BD40" s="311" t="str">
        <f aca="false">VLOOKUP(CONCATENATE($AI38,"-",BD$8),'[1]liste complet essai'!$A$4:$K$1367,5,)</f>
        <v>G-087</v>
      </c>
      <c r="BE40" s="311" t="str">
        <f aca="false">VLOOKUP(CONCATENATE($AI38,"-",BE$8),'[1]liste complet essai'!$A$4:$K$1367,5,)</f>
        <v>G-102</v>
      </c>
      <c r="BF40" s="311" t="str">
        <f aca="false">VLOOKUP(CONCATENATE($AI38,"-",BF$8),'[1]liste complet essai'!$A$4:$K$1367,5,)</f>
        <v>G-093</v>
      </c>
      <c r="BG40" s="311" t="str">
        <f aca="false">VLOOKUP(CONCATENATE($AI38,"-",BG$8),'[1]liste complet essai'!$A$4:$K$1367,5,)</f>
        <v>G-053</v>
      </c>
      <c r="BH40" s="311" t="str">
        <f aca="false">VLOOKUP(CONCATENATE($AI38,"-",BH$8),'[1]liste complet essai'!$A$4:$K$1367,5,)</f>
        <v>G-124</v>
      </c>
      <c r="BI40" s="311" t="str">
        <f aca="false">VLOOKUP(CONCATENATE($AI38,"-",BI$8),'[1]liste complet essai'!$A$4:$K$1367,5,)</f>
        <v>G-069</v>
      </c>
      <c r="BJ40" s="311" t="str">
        <f aca="false">VLOOKUP(CONCATENATE($AI38,"-",BJ$8),'[1]liste complet essai'!$A$4:$K$1367,5,)</f>
        <v>G-047</v>
      </c>
      <c r="BK40" s="311" t="str">
        <f aca="false">VLOOKUP(CONCATENATE($AI38,"-",BK$8),'[1]liste complet essai'!$A$4:$K$1367,5,)</f>
        <v>G-033</v>
      </c>
      <c r="BL40" s="311" t="str">
        <f aca="false">VLOOKUP(CONCATENATE($AI38,"-",BL$8),'[1]liste complet essai'!$A$4:$K$1367,5,)</f>
        <v>G-042</v>
      </c>
      <c r="BM40" s="311" t="str">
        <f aca="false">VLOOKUP(CONCATENATE($AI38,"-",BM$8),'[1]liste complet essai'!$A$4:$K$1367,5,)</f>
        <v>G-010</v>
      </c>
      <c r="BN40" s="311" t="str">
        <f aca="false">VLOOKUP(CONCATENATE($AI38,"-",BN$8),'[1]liste complet essai'!$A$4:$K$1367,5,)</f>
        <v>G-044</v>
      </c>
      <c r="BO40" s="311" t="str">
        <f aca="false">VLOOKUP(CONCATENATE($AI38,"-",BO$8),'[1]liste complet essai'!$A$4:$K$1367,5,)</f>
        <v>G-111</v>
      </c>
      <c r="BP40" s="311" t="str">
        <f aca="false">VLOOKUP(CONCATENATE($AI38,"-",BP$8),'[1]liste complet essai'!$A$4:$K$1367,5,)</f>
        <v>G-079</v>
      </c>
      <c r="BQ40" s="313" t="str">
        <f aca="false">VLOOKUP(CONCATENATE($AI38,"-",BQ$8),'[1]liste complet essai'!$A$4:$K$1367,5,)</f>
        <v>G-002</v>
      </c>
      <c r="BR40" s="311" t="str">
        <f aca="false">VLOOKUP(CONCATENATE($AI38,"-",BR$8),'[1]liste complet essai'!$A$4:$K$1367,5,)</f>
        <v>G-046</v>
      </c>
      <c r="BS40" s="310"/>
      <c r="BT40" s="310"/>
      <c r="BU40" s="310"/>
      <c r="BV40" s="310"/>
      <c r="BW40" s="310"/>
      <c r="BX40" s="310"/>
      <c r="BY40" s="310"/>
      <c r="BZ40" s="310"/>
      <c r="CA40" s="310"/>
      <c r="CB40" s="310"/>
      <c r="CC40" s="308" t="str">
        <f aca="false">VLOOKUP(CONCATENATE($AI38,"-",CC$8),'[1]liste complet essai'!$A$4:$K$1367,5,)</f>
        <v>G-112</v>
      </c>
      <c r="CD40" s="308" t="str">
        <f aca="false">VLOOKUP(CONCATENATE($AI38,"-",CD$8),'[1]liste complet essai'!$A$4:$K$1367,5,)</f>
        <v>G-072</v>
      </c>
      <c r="CE40" s="308" t="str">
        <f aca="false">VLOOKUP(CONCATENATE($AI38,"-",CE$8),'[1]liste complet essai'!$A$4:$K$1367,5,)</f>
        <v>G-099</v>
      </c>
      <c r="CF40" s="308" t="str">
        <f aca="false">VLOOKUP(CONCATENATE($AI38,"-",CF$8),'[1]liste complet essai'!$A$4:$K$1367,5,)</f>
        <v>G-021</v>
      </c>
      <c r="CG40" s="308" t="str">
        <f aca="false">VLOOKUP(CONCATENATE($AI38,"-",CG$8),'[1]liste complet essai'!$A$4:$K$1367,5,)</f>
        <v>G-087</v>
      </c>
      <c r="CH40" s="308" t="str">
        <f aca="false">VLOOKUP(CONCATENATE($AI38,"-",CH$8),'[1]liste complet essai'!$A$4:$K$1367,5,)</f>
        <v>G-063</v>
      </c>
      <c r="CI40" s="308" t="str">
        <f aca="false">VLOOKUP(CONCATENATE($AI38,"-",CI$8),'[1]liste complet essai'!$A$4:$K$1367,5,)</f>
        <v>G-010</v>
      </c>
      <c r="CJ40" s="308" t="str">
        <f aca="false">VLOOKUP(CONCATENATE($AI38,"-",CJ$8),'[1]liste complet essai'!$A$4:$K$1367,5,)</f>
        <v>G-100</v>
      </c>
      <c r="CK40" s="308" t="str">
        <f aca="false">VLOOKUP(CONCATENATE($AI38,"-",CK$8),'[1]liste complet essai'!$A$4:$K$1367,5,)</f>
        <v>G-078</v>
      </c>
      <c r="CL40" s="308" t="str">
        <f aca="false">VLOOKUP(CONCATENATE($AI38,"-",CL$8),'[1]liste complet essai'!$A$4:$K$1367,5,)</f>
        <v>G-102</v>
      </c>
      <c r="CM40" s="308" t="str">
        <f aca="false">VLOOKUP(CONCATENATE($AI38,"-",CM$8),'[1]liste complet essai'!$A$4:$K$1367,5,)</f>
        <v>G-115</v>
      </c>
      <c r="CN40" s="308" t="str">
        <f aca="false">VLOOKUP(CONCATENATE($AI38,"-",CN$8),'[1]liste complet essai'!$A$4:$K$1367,5,)</f>
        <v>G-105</v>
      </c>
      <c r="CO40" s="308" t="str">
        <f aca="false">VLOOKUP(CONCATENATE($AI38,"-",CO$8),'[1]liste complet essai'!$A$4:$K$1367,5,)</f>
        <v>G-020</v>
      </c>
      <c r="CP40" s="308" t="str">
        <f aca="false">VLOOKUP(CONCATENATE($AI38,"-",CP$8),'[1]liste complet essai'!$A$4:$K$1367,5,)</f>
        <v>G-041</v>
      </c>
      <c r="CQ40" s="308" t="str">
        <f aca="false">VLOOKUP(CONCATENATE($AI38,"-",CQ$8),'[1]liste complet essai'!$A$4:$K$1367,5,)</f>
        <v>G-089</v>
      </c>
      <c r="CR40" s="308" t="str">
        <f aca="false">VLOOKUP(CONCATENATE($AI38,"-",CR$8),'[1]liste complet essai'!$A$4:$K$1367,5,)</f>
        <v>G-059</v>
      </c>
      <c r="CS40" s="313" t="str">
        <f aca="false">VLOOKUP(CONCATENATE($AI38,"-",CS$8),'[1]liste complet essai'!$A$4:$K$1367,5,)</f>
        <v>G-002</v>
      </c>
      <c r="CT40" s="308" t="str">
        <f aca="false">VLOOKUP(CONCATENATE($AI38,"-",CT$8),'[1]liste complet essai'!$A$4:$K$1367,5,)</f>
        <v>G-026</v>
      </c>
      <c r="CU40" s="308" t="str">
        <f aca="false">VLOOKUP(CONCATENATE($AI38,"-",CU$8),'[1]liste complet essai'!$A$4:$K$1367,5,)</f>
        <v>G-052</v>
      </c>
      <c r="CV40" s="308" t="str">
        <f aca="false">VLOOKUP(CONCATENATE($AI38,"-",CV$8),'[1]liste complet essai'!$A$4:$K$1367,5,)</f>
        <v>G-119</v>
      </c>
      <c r="CW40" s="308" t="str">
        <f aca="false">VLOOKUP(CONCATENATE($AI38,"-",CW$8),'[1]liste complet essai'!$A$4:$K$1367,5,)</f>
        <v>G-032</v>
      </c>
      <c r="CX40" s="308" t="str">
        <f aca="false">VLOOKUP(CONCATENATE($AI38,"-",CX$8),'[1]liste complet essai'!$A$4:$K$1367,5,)</f>
        <v>G-049</v>
      </c>
      <c r="CY40" s="308" t="str">
        <f aca="false">VLOOKUP(CONCATENATE($AI38,"-",CY$8),'[1]liste complet essai'!$A$4:$K$1367,5,)</f>
        <v>G-071</v>
      </c>
      <c r="CZ40" s="308" t="str">
        <f aca="false">VLOOKUP(CONCATENATE($AI38,"-",CZ$8),'[1]liste complet essai'!$A$4:$K$1367,5,)</f>
        <v>G-054</v>
      </c>
      <c r="DA40" s="308" t="str">
        <f aca="false">VLOOKUP(CONCATENATE($AI38,"-",DA$8),'[1]liste complet essai'!$A$4:$K$1367,5,)</f>
        <v>G-123</v>
      </c>
      <c r="DB40" s="308" t="str">
        <f aca="false">VLOOKUP(CONCATENATE($AI38,"-",DB$8),'[1]liste complet essai'!$A$4:$K$1367,5,)</f>
        <v>G-015</v>
      </c>
      <c r="DC40" s="308" t="str">
        <f aca="false">VLOOKUP(CONCATENATE($AI38,"-",DC$8),'[1]liste complet essai'!$A$4:$K$1367,5,)</f>
        <v>G-038</v>
      </c>
      <c r="DD40" s="308" t="str">
        <f aca="false">VLOOKUP(CONCATENATE($AI38,"-",DD$8),'[1]liste complet essai'!$A$4:$K$1367,5,)</f>
        <v>G-011</v>
      </c>
      <c r="DE40" s="308" t="str">
        <f aca="false">VLOOKUP(CONCATENATE($AI38,"-",DE$8),'[1]liste complet essai'!$A$4:$K$1367,5,)</f>
        <v>G-029</v>
      </c>
      <c r="DF40" s="308" t="str">
        <f aca="false">VLOOKUP(CONCATENATE($AI38,"-",DF$8),'[1]liste complet essai'!$A$4:$K$1367,5,)</f>
        <v>G-048</v>
      </c>
      <c r="DG40" s="308" t="str">
        <f aca="false">VLOOKUP(CONCATENATE($AI38,"-",DG$8),'[1]liste complet essai'!$A$4:$K$1367,5,)</f>
        <v>G-013</v>
      </c>
      <c r="DH40" s="308" t="str">
        <f aca="false">VLOOKUP(CONCATENATE($AI38,"-",DH$8),'[1]liste complet essai'!$A$4:$K$1367,5,)</f>
        <v>G-068</v>
      </c>
      <c r="DI40" s="352"/>
      <c r="DJ40" s="340"/>
      <c r="DK40" s="353"/>
    </row>
    <row r="41" customFormat="false" ht="12" hidden="false" customHeight="false" outlineLevel="0" collapsed="false">
      <c r="B41" s="293"/>
      <c r="C41" s="347"/>
      <c r="D41" s="314"/>
      <c r="E41" s="324"/>
      <c r="F41" s="311" t="str">
        <f aca="false">VLOOKUP(CONCATENATE($B38,"-",F$8),'[1]liste complet essai'!$A$4:$K$1367,1,)</f>
        <v>22-65</v>
      </c>
      <c r="G41" s="311" t="str">
        <f aca="false">VLOOKUP(CONCATENATE($B38,"-",G$8),'[1]liste complet essai'!$A$4:$K$1367,1,)</f>
        <v>22-66</v>
      </c>
      <c r="H41" s="311" t="str">
        <f aca="false">VLOOKUP(CONCATENATE($B38,"-",H$8),'[1]liste complet essai'!$A$4:$K$1367,1,)</f>
        <v>22-67</v>
      </c>
      <c r="I41" s="311" t="str">
        <f aca="false">VLOOKUP(CONCATENATE($B38,"-",I$8),'[1]liste complet essai'!$A$4:$K$1367,1,)</f>
        <v>22-68</v>
      </c>
      <c r="J41" s="311" t="str">
        <f aca="false">VLOOKUP(CONCATENATE($B38,"-",J$8),'[1]liste complet essai'!$A$4:$K$1367,1,)</f>
        <v>22-69</v>
      </c>
      <c r="K41" s="311" t="str">
        <f aca="false">VLOOKUP(CONCATENATE($B38,"-",K$8),'[1]liste complet essai'!$A$4:$K$1367,1,)</f>
        <v>22-70</v>
      </c>
      <c r="L41" s="311" t="str">
        <f aca="false">VLOOKUP(CONCATENATE($B38,"-",L$8),'[1]liste complet essai'!$A$4:$K$1367,1,)</f>
        <v>22-71</v>
      </c>
      <c r="M41" s="311" t="str">
        <f aca="false">VLOOKUP(CONCATENATE($B38,"-",M$8),'[1]liste complet essai'!$A$4:$K$1367,1,)</f>
        <v>22-72</v>
      </c>
      <c r="N41" s="311" t="str">
        <f aca="false">VLOOKUP(CONCATENATE($B38,"-",N$8),'[1]liste complet essai'!$A$4:$K$1367,1,)</f>
        <v>22-73</v>
      </c>
      <c r="O41" s="311" t="str">
        <f aca="false">VLOOKUP(CONCATENATE($B38,"-",O$8),'[1]liste complet essai'!$A$4:$K$1367,1,)</f>
        <v>22-74</v>
      </c>
      <c r="P41" s="311" t="str">
        <f aca="false">VLOOKUP(CONCATENATE($B38,"-",P$8),'[1]liste complet essai'!$A$4:$K$1367,1,)</f>
        <v>22-75</v>
      </c>
      <c r="Q41" s="311" t="str">
        <f aca="false">VLOOKUP(CONCATENATE($B38,"-",Q$8),'[1]liste complet essai'!$A$4:$K$1367,1,)</f>
        <v>22-76</v>
      </c>
      <c r="R41" s="311" t="str">
        <f aca="false">VLOOKUP(CONCATENATE($B38,"-",R$8),'[1]liste complet essai'!$A$4:$K$1367,1,)</f>
        <v>22-77</v>
      </c>
      <c r="S41" s="328" t="str">
        <f aca="false">VLOOKUP(CONCATENATE($B38,"-",S$8),'[1]liste complet essai'!$A$4:$K$1367,1,)</f>
        <v>22-78</v>
      </c>
      <c r="T41" s="311" t="str">
        <f aca="false">VLOOKUP(CONCATENATE($B38,"-",T$8),'[1]liste complet essai'!$A$4:$K$1367,1,)</f>
        <v>22-79</v>
      </c>
      <c r="U41" s="311" t="str">
        <f aca="false">VLOOKUP(CONCATENATE($B38,"-",U$8),'[1]liste complet essai'!$A$4:$K$1367,1,)</f>
        <v>22-80</v>
      </c>
      <c r="V41" s="311" t="str">
        <f aca="false">VLOOKUP(CONCATENATE($B38,"-",V$8),'[1]liste complet essai'!$A$4:$K$1367,1,)</f>
        <v>22-81</v>
      </c>
      <c r="W41" s="311" t="str">
        <f aca="false">VLOOKUP(CONCATENATE($B38,"-",W$8),'[1]liste complet essai'!$A$4:$K$1367,1,)</f>
        <v>22-82</v>
      </c>
      <c r="X41" s="311" t="str">
        <f aca="false">VLOOKUP(CONCATENATE($B38,"-",X$8),'[1]liste complet essai'!$A$4:$K$1367,1,)</f>
        <v>22-83</v>
      </c>
      <c r="Y41" s="311" t="str">
        <f aca="false">VLOOKUP(CONCATENATE($B38,"-",Y$8),'[1]liste complet essai'!$A$4:$K$1367,1,)</f>
        <v>22-84</v>
      </c>
      <c r="Z41" s="311" t="str">
        <f aca="false">VLOOKUP(CONCATENATE($B38,"-",Z$8),'[1]liste complet essai'!$A$4:$K$1367,1,)</f>
        <v>22-85</v>
      </c>
      <c r="AA41" s="311" t="str">
        <f aca="false">VLOOKUP(CONCATENATE($B38,"-",AA$8),'[1]liste complet essai'!$A$4:$K$1367,1,)</f>
        <v>22-86</v>
      </c>
      <c r="AB41" s="311" t="str">
        <f aca="false">VLOOKUP(CONCATENATE($B38,"-",AB$8),'[1]liste complet essai'!$A$4:$K$1367,1,)</f>
        <v>22-87</v>
      </c>
      <c r="AC41" s="311" t="str">
        <f aca="false">VLOOKUP(CONCATENATE($B38,"-",AC$8),'[1]liste complet essai'!$A$4:$K$1367,1,)</f>
        <v>22-88</v>
      </c>
      <c r="AD41" s="311" t="str">
        <f aca="false">VLOOKUP(CONCATENATE($B38,"-",AD$8),'[1]liste complet essai'!$A$4:$K$1367,1,)</f>
        <v>22-89</v>
      </c>
      <c r="AE41" s="311" t="str">
        <f aca="false">VLOOKUP(CONCATENATE($B38,"-",AE$8),'[1]liste complet essai'!$A$4:$K$1367,1,)</f>
        <v>22-90</v>
      </c>
      <c r="AF41" s="339"/>
      <c r="AI41" s="302"/>
      <c r="AJ41" s="351"/>
      <c r="AK41" s="354"/>
      <c r="AL41" s="352"/>
      <c r="AM41" s="355" t="str">
        <f aca="false">VLOOKUP(CONCATENATE($AI38,"-",AM$8),'[1]liste complet essai'!$A$4:$K$1367,1,)</f>
        <v>08-01</v>
      </c>
      <c r="AN41" s="355" t="str">
        <f aca="false">VLOOKUP(CONCATENATE($AI38,"-",AN$8),'[1]liste complet essai'!$A$4:$K$1367,1,)</f>
        <v>08-02</v>
      </c>
      <c r="AO41" s="355" t="str">
        <f aca="false">VLOOKUP(CONCATENATE($AI38,"-",AO$8),'[1]liste complet essai'!$A$4:$K$1367,1,)</f>
        <v>08-03</v>
      </c>
      <c r="AP41" s="355" t="str">
        <f aca="false">VLOOKUP(CONCATENATE($AI38,"-",AP$8),'[1]liste complet essai'!$A$4:$K$1367,1,)</f>
        <v>08-04</v>
      </c>
      <c r="AQ41" s="355" t="str">
        <f aca="false">VLOOKUP(CONCATENATE($AI38,"-",AQ$8),'[1]liste complet essai'!$A$4:$K$1367,1,)</f>
        <v>08-05</v>
      </c>
      <c r="AR41" s="355" t="str">
        <f aca="false">VLOOKUP(CONCATENATE($AI38,"-",AR$8),'[1]liste complet essai'!$A$4:$K$1367,1,)</f>
        <v>08-06</v>
      </c>
      <c r="AS41" s="355" t="str">
        <f aca="false">VLOOKUP(CONCATENATE($AI38,"-",AS$8),'[1]liste complet essai'!$A$4:$K$1367,1,)</f>
        <v>08-07</v>
      </c>
      <c r="AT41" s="355" t="str">
        <f aca="false">VLOOKUP(CONCATENATE($AI38,"-",AT$8),'[1]liste complet essai'!$A$4:$K$1367,1,)</f>
        <v>08-08</v>
      </c>
      <c r="AU41" s="355" t="str">
        <f aca="false">VLOOKUP(CONCATENATE($AI38,"-",AU$8),'[1]liste complet essai'!$A$4:$K$1367,1,)</f>
        <v>08-09</v>
      </c>
      <c r="AV41" s="355" t="str">
        <f aca="false">VLOOKUP(CONCATENATE($AI38,"-",AV$8),'[1]liste complet essai'!$A$4:$K$1367,1,)</f>
        <v>08-10</v>
      </c>
      <c r="AW41" s="356" t="str">
        <f aca="false">VLOOKUP(CONCATENATE($AI38,"-",AW$8),'[1]liste complet essai'!$A$4:$K$1367,1,)</f>
        <v>08-11</v>
      </c>
      <c r="AX41" s="355" t="str">
        <f aca="false">VLOOKUP(CONCATENATE($AI38,"-",AX$8),'[1]liste complet essai'!$A$4:$K$1367,1,)</f>
        <v>08-12</v>
      </c>
      <c r="AY41" s="355" t="str">
        <f aca="false">VLOOKUP(CONCATENATE($AI38,"-",AY$8),'[1]liste complet essai'!$A$4:$K$1367,1,)</f>
        <v>08-13</v>
      </c>
      <c r="AZ41" s="355" t="str">
        <f aca="false">VLOOKUP(CONCATENATE($AI38,"-",AZ$8),'[1]liste complet essai'!$A$4:$K$1367,1,)</f>
        <v>08-14</v>
      </c>
      <c r="BA41" s="355" t="str">
        <f aca="false">VLOOKUP(CONCATENATE($AI38,"-",BA$8),'[1]liste complet essai'!$A$4:$K$1367,1,)</f>
        <v>08-15</v>
      </c>
      <c r="BB41" s="355" t="str">
        <f aca="false">VLOOKUP(CONCATENATE($AI38,"-",BB$8),'[1]liste complet essai'!$A$4:$K$1367,1,)</f>
        <v>08-16</v>
      </c>
      <c r="BC41" s="355" t="str">
        <f aca="false">VLOOKUP(CONCATENATE($AI38,"-",BC$8),'[1]liste complet essai'!$A$4:$K$1367,1,)</f>
        <v>08-17</v>
      </c>
      <c r="BD41" s="355" t="str">
        <f aca="false">VLOOKUP(CONCATENATE($AI38,"-",BD$8),'[1]liste complet essai'!$A$4:$K$1367,1,)</f>
        <v>08-18</v>
      </c>
      <c r="BE41" s="355" t="str">
        <f aca="false">VLOOKUP(CONCATENATE($AI38,"-",BE$8),'[1]liste complet essai'!$A$4:$K$1367,1,)</f>
        <v>08-19</v>
      </c>
      <c r="BF41" s="355" t="str">
        <f aca="false">VLOOKUP(CONCATENATE($AI38,"-",BF$8),'[1]liste complet essai'!$A$4:$K$1367,1,)</f>
        <v>08-20</v>
      </c>
      <c r="BG41" s="355" t="str">
        <f aca="false">VLOOKUP(CONCATENATE($AI38,"-",BG$8),'[1]liste complet essai'!$A$4:$K$1367,1,)</f>
        <v>08-21</v>
      </c>
      <c r="BH41" s="355" t="str">
        <f aca="false">VLOOKUP(CONCATENATE($AI38,"-",BH$8),'[1]liste complet essai'!$A$4:$K$1367,1,)</f>
        <v>08-22</v>
      </c>
      <c r="BI41" s="355" t="str">
        <f aca="false">VLOOKUP(CONCATENATE($AI38,"-",BI$8),'[1]liste complet essai'!$A$4:$K$1367,1,)</f>
        <v>08-23</v>
      </c>
      <c r="BJ41" s="355" t="str">
        <f aca="false">VLOOKUP(CONCATENATE($AI38,"-",BJ$8),'[1]liste complet essai'!$A$4:$K$1367,1,)</f>
        <v>08-24</v>
      </c>
      <c r="BK41" s="355" t="str">
        <f aca="false">VLOOKUP(CONCATENATE($AI38,"-",BK$8),'[1]liste complet essai'!$A$4:$K$1367,1,)</f>
        <v>08-25</v>
      </c>
      <c r="BL41" s="355" t="str">
        <f aca="false">VLOOKUP(CONCATENATE($AI38,"-",BL$8),'[1]liste complet essai'!$A$4:$K$1367,1,)</f>
        <v>08-26</v>
      </c>
      <c r="BM41" s="355" t="str">
        <f aca="false">VLOOKUP(CONCATENATE($AI38,"-",BM$8),'[1]liste complet essai'!$A$4:$K$1367,1,)</f>
        <v>08-27</v>
      </c>
      <c r="BN41" s="355" t="str">
        <f aca="false">VLOOKUP(CONCATENATE($AI38,"-",BN$8),'[1]liste complet essai'!$A$4:$K$1367,1,)</f>
        <v>08-28</v>
      </c>
      <c r="BO41" s="355" t="str">
        <f aca="false">VLOOKUP(CONCATENATE($AI38,"-",BO$8),'[1]liste complet essai'!$A$4:$K$1367,1,)</f>
        <v>08-29</v>
      </c>
      <c r="BP41" s="355" t="str">
        <f aca="false">VLOOKUP(CONCATENATE($AI38,"-",BP$8),'[1]liste complet essai'!$A$4:$K$1367,1,)</f>
        <v>08-30</v>
      </c>
      <c r="BQ41" s="316" t="str">
        <f aca="false">VLOOKUP(CONCATENATE($AI38,"-",BQ$8),'[1]liste complet essai'!$A$4:$K$1367,1,)</f>
        <v>08-31</v>
      </c>
      <c r="BR41" s="355" t="str">
        <f aca="false">VLOOKUP(CONCATENATE($AI38,"-",BR$8),'[1]liste complet essai'!$A$4:$K$1367,1,)</f>
        <v>08-32</v>
      </c>
      <c r="BS41" s="357"/>
      <c r="BT41" s="357"/>
      <c r="BU41" s="357"/>
      <c r="BV41" s="357"/>
      <c r="BW41" s="357"/>
      <c r="BX41" s="357"/>
      <c r="BY41" s="357"/>
      <c r="BZ41" s="357"/>
      <c r="CA41" s="357"/>
      <c r="CB41" s="357"/>
      <c r="CC41" s="358" t="str">
        <f aca="false">VLOOKUP(CONCATENATE($AI38,"-",CC$8),'[1]liste complet essai'!$A$4:$K$1367,1,)</f>
        <v>08-33</v>
      </c>
      <c r="CD41" s="358" t="str">
        <f aca="false">VLOOKUP(CONCATENATE($AI38,"-",CD$8),'[1]liste complet essai'!$A$4:$K$1367,1,)</f>
        <v>08-34</v>
      </c>
      <c r="CE41" s="358" t="str">
        <f aca="false">VLOOKUP(CONCATENATE($AI38,"-",CE$8),'[1]liste complet essai'!$A$4:$K$1367,1,)</f>
        <v>08-35</v>
      </c>
      <c r="CF41" s="358" t="str">
        <f aca="false">VLOOKUP(CONCATENATE($AI38,"-",CF$8),'[1]liste complet essai'!$A$4:$K$1367,1,)</f>
        <v>08-36</v>
      </c>
      <c r="CG41" s="358" t="str">
        <f aca="false">VLOOKUP(CONCATENATE($AI38,"-",CG$8),'[1]liste complet essai'!$A$4:$K$1367,1,)</f>
        <v>08-37</v>
      </c>
      <c r="CH41" s="358" t="str">
        <f aca="false">VLOOKUP(CONCATENATE($AI38,"-",CH$8),'[1]liste complet essai'!$A$4:$K$1367,1,)</f>
        <v>08-38</v>
      </c>
      <c r="CI41" s="358" t="str">
        <f aca="false">VLOOKUP(CONCATENATE($AI38,"-",CI$8),'[1]liste complet essai'!$A$4:$K$1367,1,)</f>
        <v>08-39</v>
      </c>
      <c r="CJ41" s="358" t="str">
        <f aca="false">VLOOKUP(CONCATENATE($AI38,"-",CJ$8),'[1]liste complet essai'!$A$4:$K$1367,1,)</f>
        <v>08-40</v>
      </c>
      <c r="CK41" s="358" t="str">
        <f aca="false">VLOOKUP(CONCATENATE($AI38,"-",CK$8),'[1]liste complet essai'!$A$4:$K$1367,1,)</f>
        <v>08-41</v>
      </c>
      <c r="CL41" s="358" t="str">
        <f aca="false">VLOOKUP(CONCATENATE($AI38,"-",CL$8),'[1]liste complet essai'!$A$4:$K$1367,1,)</f>
        <v>08-42</v>
      </c>
      <c r="CM41" s="358" t="str">
        <f aca="false">VLOOKUP(CONCATENATE($AI38,"-",CM$8),'[1]liste complet essai'!$A$4:$K$1367,1,)</f>
        <v>08-43</v>
      </c>
      <c r="CN41" s="358" t="str">
        <f aca="false">VLOOKUP(CONCATENATE($AI38,"-",CN$8),'[1]liste complet essai'!$A$4:$K$1367,1,)</f>
        <v>08-44</v>
      </c>
      <c r="CO41" s="358" t="str">
        <f aca="false">VLOOKUP(CONCATENATE($AI38,"-",CO$8),'[1]liste complet essai'!$A$4:$K$1367,1,)</f>
        <v>08-45</v>
      </c>
      <c r="CP41" s="358" t="str">
        <f aca="false">VLOOKUP(CONCATENATE($AI38,"-",CP$8),'[1]liste complet essai'!$A$4:$K$1367,1,)</f>
        <v>08-46</v>
      </c>
      <c r="CQ41" s="358" t="str">
        <f aca="false">VLOOKUP(CONCATENATE($AI38,"-",CQ$8),'[1]liste complet essai'!$A$4:$K$1367,1,)</f>
        <v>08-47</v>
      </c>
      <c r="CR41" s="358" t="str">
        <f aca="false">VLOOKUP(CONCATENATE($AI38,"-",CR$8),'[1]liste complet essai'!$A$4:$K$1367,1,)</f>
        <v>08-48</v>
      </c>
      <c r="CS41" s="355" t="str">
        <f aca="false">VLOOKUP(CONCATENATE($AI38,"-",CS$8),'[1]liste complet essai'!$A$4:$K$1367,1,)</f>
        <v>08-49</v>
      </c>
      <c r="CT41" s="358" t="str">
        <f aca="false">VLOOKUP(CONCATENATE($AI38,"-",CT$8),'[1]liste complet essai'!$A$4:$K$1367,1,)</f>
        <v>08-50</v>
      </c>
      <c r="CU41" s="358" t="str">
        <f aca="false">VLOOKUP(CONCATENATE($AI38,"-",CU$8),'[1]liste complet essai'!$A$4:$K$1367,1,)</f>
        <v>08-51</v>
      </c>
      <c r="CV41" s="358" t="str">
        <f aca="false">VLOOKUP(CONCATENATE($AI38,"-",CV$8),'[1]liste complet essai'!$A$4:$K$1367,1,)</f>
        <v>08-52</v>
      </c>
      <c r="CW41" s="358" t="str">
        <f aca="false">VLOOKUP(CONCATENATE($AI38,"-",CW$8),'[1]liste complet essai'!$A$4:$K$1367,1,)</f>
        <v>08-53</v>
      </c>
      <c r="CX41" s="358" t="str">
        <f aca="false">VLOOKUP(CONCATENATE($AI38,"-",CX$8),'[1]liste complet essai'!$A$4:$K$1367,1,)</f>
        <v>08-54</v>
      </c>
      <c r="CY41" s="358" t="str">
        <f aca="false">VLOOKUP(CONCATENATE($AI38,"-",CY$8),'[1]liste complet essai'!$A$4:$K$1367,1,)</f>
        <v>08-55</v>
      </c>
      <c r="CZ41" s="358" t="str">
        <f aca="false">VLOOKUP(CONCATENATE($AI38,"-",CZ$8),'[1]liste complet essai'!$A$4:$K$1367,1,)</f>
        <v>08-56</v>
      </c>
      <c r="DA41" s="358" t="str">
        <f aca="false">VLOOKUP(CONCATENATE($AI38,"-",DA$8),'[1]liste complet essai'!$A$4:$K$1367,1,)</f>
        <v>08-57</v>
      </c>
      <c r="DB41" s="358" t="str">
        <f aca="false">VLOOKUP(CONCATENATE($AI38,"-",DB$8),'[1]liste complet essai'!$A$4:$K$1367,1,)</f>
        <v>08-58</v>
      </c>
      <c r="DC41" s="358" t="str">
        <f aca="false">VLOOKUP(CONCATENATE($AI38,"-",DC$8),'[1]liste complet essai'!$A$4:$K$1367,1,)</f>
        <v>08-59</v>
      </c>
      <c r="DD41" s="358" t="str">
        <f aca="false">VLOOKUP(CONCATENATE($AI38,"-",DD$8),'[1]liste complet essai'!$A$4:$K$1367,1,)</f>
        <v>08-60</v>
      </c>
      <c r="DE41" s="358" t="str">
        <f aca="false">VLOOKUP(CONCATENATE($AI38,"-",DE$8),'[1]liste complet essai'!$A$4:$K$1367,1,)</f>
        <v>08-61</v>
      </c>
      <c r="DF41" s="358" t="str">
        <f aca="false">VLOOKUP(CONCATENATE($AI38,"-",DF$8),'[1]liste complet essai'!$A$4:$K$1367,1,)</f>
        <v>08-62</v>
      </c>
      <c r="DG41" s="358" t="str">
        <f aca="false">VLOOKUP(CONCATENATE($AI38,"-",DG$8),'[1]liste complet essai'!$A$4:$K$1367,1,)</f>
        <v>08-63</v>
      </c>
      <c r="DH41" s="358" t="str">
        <f aca="false">VLOOKUP(CONCATENATE($AI38,"-",DH$8),'[1]liste complet essai'!$A$4:$K$1367,1,)</f>
        <v>08-64</v>
      </c>
      <c r="DI41" s="352"/>
      <c r="DJ41" s="359"/>
      <c r="DK41" s="353"/>
    </row>
    <row r="42" customFormat="false" ht="12" hidden="false" customHeight="false" outlineLevel="0" collapsed="false">
      <c r="B42" s="293" t="n">
        <v>23</v>
      </c>
      <c r="C42" s="337" t="s">
        <v>8122</v>
      </c>
      <c r="D42" s="319"/>
      <c r="E42" s="324" t="s">
        <v>8122</v>
      </c>
      <c r="F42" s="323" t="str">
        <f aca="false">VLOOKUP(CONCATENATE($B42,"-",F$8),'[1]liste complet essai'!$A$4:$K$1367,4,)</f>
        <v>AM</v>
      </c>
      <c r="G42" s="323" t="str">
        <f aca="false">VLOOKUP(CONCATENATE($B42,"-",G$8),'[1]liste complet essai'!$A$4:$K$1367,4,)</f>
        <v>AM</v>
      </c>
      <c r="H42" s="323" t="str">
        <f aca="false">VLOOKUP(CONCATENATE($B42,"-",H$8),'[1]liste complet essai'!$A$4:$K$1367,4,)</f>
        <v>AM</v>
      </c>
      <c r="I42" s="323" t="str">
        <f aca="false">VLOOKUP(CONCATENATE($B42,"-",I$8),'[1]liste complet essai'!$A$4:$K$1367,4,)</f>
        <v>AM</v>
      </c>
      <c r="J42" s="323" t="str">
        <f aca="false">VLOOKUP(CONCATENATE($B42,"-",J$8),'[1]liste complet essai'!$A$4:$K$1367,4,)</f>
        <v>AM</v>
      </c>
      <c r="K42" s="323" t="str">
        <f aca="false">VLOOKUP(CONCATENATE($B42,"-",K$8),'[1]liste complet essai'!$A$4:$K$1367,4,)</f>
        <v>AM</v>
      </c>
      <c r="L42" s="323" t="str">
        <f aca="false">VLOOKUP(CONCATENATE($B42,"-",L$8),'[1]liste complet essai'!$A$4:$K$1367,4,)</f>
        <v>AM</v>
      </c>
      <c r="M42" s="323" t="str">
        <f aca="false">VLOOKUP(CONCATENATE($B42,"-",M$8),'[1]liste complet essai'!$A$4:$K$1367,4,)</f>
        <v>AM</v>
      </c>
      <c r="N42" s="323" t="str">
        <f aca="false">VLOOKUP(CONCATENATE($B42,"-",N$8),'[1]liste complet essai'!$A$4:$K$1367,4,)</f>
        <v>AM</v>
      </c>
      <c r="O42" s="323" t="str">
        <f aca="false">VLOOKUP(CONCATENATE($B42,"-",O$8),'[1]liste complet essai'!$A$4:$K$1367,4,)</f>
        <v>AM</v>
      </c>
      <c r="P42" s="323" t="str">
        <f aca="false">VLOOKUP(CONCATENATE($B42,"-",P$8),'[1]liste complet essai'!$A$4:$K$1367,4,)</f>
        <v>AM</v>
      </c>
      <c r="Q42" s="323" t="str">
        <f aca="false">VLOOKUP(CONCATENATE($B42,"-",Q$8),'[1]liste complet essai'!$A$4:$K$1367,4,)</f>
        <v>AM</v>
      </c>
      <c r="R42" s="323" t="str">
        <f aca="false">VLOOKUP(CONCATENATE($B42,"-",R$8),'[1]liste complet essai'!$A$4:$K$1367,4,)</f>
        <v>AM</v>
      </c>
      <c r="S42" s="323" t="str">
        <f aca="false">VLOOKUP(CONCATENATE($B42,"-",S$8),'[1]liste complet essai'!$A$4:$K$1367,4,)</f>
        <v>AM</v>
      </c>
      <c r="T42" s="323" t="str">
        <f aca="false">VLOOKUP(CONCATENATE($B42,"-",T$8),'[1]liste complet essai'!$A$4:$K$1367,4,)</f>
        <v>AM</v>
      </c>
      <c r="U42" s="323" t="str">
        <f aca="false">VLOOKUP(CONCATENATE($B42,"-",U$8),'[1]liste complet essai'!$A$4:$K$1367,4,)</f>
        <v>AM</v>
      </c>
      <c r="V42" s="323" t="str">
        <f aca="false">VLOOKUP(CONCATENATE($B42,"-",V$8),'[1]liste complet essai'!$A$4:$K$1367,4,)</f>
        <v>AM</v>
      </c>
      <c r="W42" s="323" t="str">
        <f aca="false">VLOOKUP(CONCATENATE($B42,"-",W$8),'[1]liste complet essai'!$A$4:$K$1367,4,)</f>
        <v>AM</v>
      </c>
      <c r="X42" s="323" t="str">
        <f aca="false">VLOOKUP(CONCATENATE($B42,"-",X$8),'[1]liste complet essai'!$A$4:$K$1367,4,)</f>
        <v>AM</v>
      </c>
      <c r="Y42" s="323" t="str">
        <f aca="false">VLOOKUP(CONCATENATE($B42,"-",Y$8),'[1]liste complet essai'!$A$4:$K$1367,4,)</f>
        <v>AM</v>
      </c>
      <c r="Z42" s="323" t="str">
        <f aca="false">VLOOKUP(CONCATENATE($B42,"-",Z$8),'[1]liste complet essai'!$A$4:$K$1367,4,)</f>
        <v>AM</v>
      </c>
      <c r="AA42" s="323" t="str">
        <f aca="false">VLOOKUP(CONCATENATE($B42,"-",AA$8),'[1]liste complet essai'!$A$4:$K$1367,4,)</f>
        <v>AM</v>
      </c>
      <c r="AB42" s="323" t="str">
        <f aca="false">VLOOKUP(CONCATENATE($B42,"-",AB$8),'[1]liste complet essai'!$A$4:$K$1367,4,)</f>
        <v>AM</v>
      </c>
      <c r="AC42" s="323" t="str">
        <f aca="false">VLOOKUP(CONCATENATE($B42,"-",AC$8),'[1]liste complet essai'!$A$4:$K$1367,4,)</f>
        <v>AM</v>
      </c>
      <c r="AD42" s="300" t="str">
        <f aca="false">VLOOKUP(CONCATENATE($B42,"-",AD$8),'[1]liste complet essai'!$A$4:$K$1367,4,)</f>
        <v>AM</v>
      </c>
      <c r="AE42" s="323" t="str">
        <f aca="false">VLOOKUP(CONCATENATE($B42,"-",AE$8),'[1]liste complet essai'!$A$4:$K$1367,4,)</f>
        <v>AM</v>
      </c>
      <c r="AF42" s="339" t="s">
        <v>8122</v>
      </c>
      <c r="AJ42" s="360"/>
      <c r="AK42" s="361"/>
      <c r="AL42" s="360"/>
      <c r="AM42" s="360"/>
      <c r="AN42" s="360"/>
      <c r="AO42" s="360"/>
      <c r="AP42" s="360"/>
      <c r="AQ42" s="360"/>
      <c r="AR42" s="360"/>
      <c r="AS42" s="360"/>
      <c r="AT42" s="360"/>
      <c r="AU42" s="360"/>
      <c r="AV42" s="360"/>
      <c r="AW42" s="360"/>
      <c r="AX42" s="360"/>
      <c r="AY42" s="360"/>
      <c r="AZ42" s="360"/>
      <c r="BA42" s="360"/>
      <c r="BB42" s="360"/>
      <c r="BC42" s="360"/>
      <c r="BD42" s="360"/>
      <c r="BE42" s="360"/>
      <c r="BF42" s="360"/>
      <c r="BG42" s="360"/>
      <c r="BH42" s="360"/>
      <c r="BI42" s="360"/>
      <c r="BJ42" s="360"/>
      <c r="BK42" s="360"/>
      <c r="BL42" s="360"/>
      <c r="BM42" s="360"/>
      <c r="BN42" s="360"/>
      <c r="BO42" s="360"/>
      <c r="BP42" s="360"/>
      <c r="BQ42" s="360"/>
      <c r="BR42" s="360"/>
      <c r="BS42" s="362"/>
      <c r="BT42" s="362"/>
      <c r="BU42" s="362"/>
      <c r="BV42" s="362"/>
      <c r="BW42" s="362"/>
      <c r="BX42" s="362"/>
      <c r="BY42" s="362"/>
      <c r="BZ42" s="362"/>
      <c r="CA42" s="362"/>
      <c r="CB42" s="362"/>
      <c r="CC42" s="360"/>
      <c r="CD42" s="360"/>
      <c r="CE42" s="360"/>
      <c r="CF42" s="360"/>
      <c r="CG42" s="360"/>
      <c r="CH42" s="360"/>
      <c r="CI42" s="360"/>
      <c r="CJ42" s="360"/>
      <c r="CK42" s="360"/>
      <c r="CL42" s="360"/>
      <c r="CM42" s="360"/>
      <c r="CN42" s="360"/>
      <c r="CO42" s="360"/>
      <c r="CP42" s="360"/>
      <c r="CQ42" s="360"/>
      <c r="CR42" s="360"/>
      <c r="CS42" s="360"/>
      <c r="CT42" s="360"/>
      <c r="CU42" s="360"/>
      <c r="CV42" s="360"/>
      <c r="CW42" s="360"/>
      <c r="CX42" s="360"/>
      <c r="CY42" s="360"/>
      <c r="CZ42" s="360"/>
      <c r="DA42" s="360"/>
      <c r="DB42" s="360"/>
      <c r="DC42" s="360"/>
      <c r="DD42" s="360"/>
      <c r="DE42" s="360"/>
      <c r="DF42" s="360"/>
      <c r="DG42" s="360"/>
      <c r="DH42" s="360"/>
      <c r="DI42" s="360"/>
      <c r="DJ42" s="361"/>
      <c r="DK42" s="360"/>
    </row>
    <row r="43" customFormat="false" ht="12" hidden="false" customHeight="false" outlineLevel="0" collapsed="false">
      <c r="B43" s="293"/>
      <c r="C43" s="337"/>
      <c r="D43" s="307"/>
      <c r="E43" s="324"/>
      <c r="F43" s="311" t="str">
        <f aca="false">VLOOKUP(CONCATENATE($B42,"-",F$8),'[1]liste complet essai'!$A$4:$K$1367,9,)</f>
        <v>N2-b3</v>
      </c>
      <c r="G43" s="311" t="str">
        <f aca="false">VLOOKUP(CONCATENATE($B42,"-",G$8),'[1]liste complet essai'!$A$4:$K$1367,9,)</f>
        <v>N2-b3</v>
      </c>
      <c r="H43" s="311" t="str">
        <f aca="false">VLOOKUP(CONCATENATE($B42,"-",H$8),'[1]liste complet essai'!$A$4:$K$1367,9,)</f>
        <v>N2-b3</v>
      </c>
      <c r="I43" s="311" t="str">
        <f aca="false">VLOOKUP(CONCATENATE($B42,"-",I$8),'[1]liste complet essai'!$A$4:$K$1367,9,)</f>
        <v>N2-b3</v>
      </c>
      <c r="J43" s="311" t="str">
        <f aca="false">VLOOKUP(CONCATENATE($B42,"-",J$8),'[1]liste complet essai'!$A$4:$K$1367,9,)</f>
        <v>N2-b3</v>
      </c>
      <c r="K43" s="311" t="str">
        <f aca="false">VLOOKUP(CONCATENATE($B42,"-",K$8),'[1]liste complet essai'!$A$4:$K$1367,9,)</f>
        <v>N2-b3</v>
      </c>
      <c r="L43" s="311" t="str">
        <f aca="false">VLOOKUP(CONCATENATE($B42,"-",L$8),'[1]liste complet essai'!$A$4:$K$1367,9,)</f>
        <v>N2-b3</v>
      </c>
      <c r="M43" s="311" t="str">
        <f aca="false">VLOOKUP(CONCATENATE($B42,"-",M$8),'[1]liste complet essai'!$A$4:$K$1367,9,)</f>
        <v>N2-b3</v>
      </c>
      <c r="N43" s="311" t="str">
        <f aca="false">VLOOKUP(CONCATENATE($B42,"-",N$8),'[1]liste complet essai'!$A$4:$K$1367,9,)</f>
        <v>N2-b3</v>
      </c>
      <c r="O43" s="311" t="str">
        <f aca="false">VLOOKUP(CONCATENATE($B42,"-",O$8),'[1]liste complet essai'!$A$4:$K$1367,9,)</f>
        <v>N2-b3</v>
      </c>
      <c r="P43" s="311" t="str">
        <f aca="false">VLOOKUP(CONCATENATE($B42,"-",P$8),'[1]liste complet essai'!$A$4:$K$1367,9,)</f>
        <v>N2-b3</v>
      </c>
      <c r="Q43" s="311" t="str">
        <f aca="false">VLOOKUP(CONCATENATE($B42,"-",Q$8),'[1]liste complet essai'!$A$4:$K$1367,9,)</f>
        <v>N2-b3</v>
      </c>
      <c r="R43" s="311" t="str">
        <f aca="false">VLOOKUP(CONCATENATE($B42,"-",R$8),'[1]liste complet essai'!$A$4:$K$1367,9,)</f>
        <v>N2-b3</v>
      </c>
      <c r="S43" s="311" t="str">
        <f aca="false">VLOOKUP(CONCATENATE($B42,"-",S$8),'[1]liste complet essai'!$A$4:$K$1367,9,)</f>
        <v>N2-b3</v>
      </c>
      <c r="T43" s="311" t="str">
        <f aca="false">VLOOKUP(CONCATENATE($B42,"-",T$8),'[1]liste complet essai'!$A$4:$K$1367,9,)</f>
        <v>N2-b3</v>
      </c>
      <c r="U43" s="311" t="str">
        <f aca="false">VLOOKUP(CONCATENATE($B42,"-",U$8),'[1]liste complet essai'!$A$4:$K$1367,9,)</f>
        <v>N2-b3</v>
      </c>
      <c r="V43" s="311" t="str">
        <f aca="false">VLOOKUP(CONCATENATE($B42,"-",V$8),'[1]liste complet essai'!$A$4:$K$1367,9,)</f>
        <v>N2-b3</v>
      </c>
      <c r="W43" s="311" t="str">
        <f aca="false">VLOOKUP(CONCATENATE($B42,"-",W$8),'[1]liste complet essai'!$A$4:$K$1367,9,)</f>
        <v>N2-b3</v>
      </c>
      <c r="X43" s="311" t="str">
        <f aca="false">VLOOKUP(CONCATENATE($B42,"-",X$8),'[1]liste complet essai'!$A$4:$K$1367,9,)</f>
        <v>N2-b3</v>
      </c>
      <c r="Y43" s="311" t="str">
        <f aca="false">VLOOKUP(CONCATENATE($B42,"-",Y$8),'[1]liste complet essai'!$A$4:$K$1367,9,)</f>
        <v>N2-b3</v>
      </c>
      <c r="Z43" s="311" t="str">
        <f aca="false">VLOOKUP(CONCATENATE($B42,"-",Z$8),'[1]liste complet essai'!$A$4:$K$1367,9,)</f>
        <v>N2-b3</v>
      </c>
      <c r="AA43" s="311" t="str">
        <f aca="false">VLOOKUP(CONCATENATE($B42,"-",AA$8),'[1]liste complet essai'!$A$4:$K$1367,9,)</f>
        <v>N2-b3</v>
      </c>
      <c r="AB43" s="311" t="str">
        <f aca="false">VLOOKUP(CONCATENATE($B42,"-",AB$8),'[1]liste complet essai'!$A$4:$K$1367,9,)</f>
        <v>N2-b3</v>
      </c>
      <c r="AC43" s="311" t="str">
        <f aca="false">VLOOKUP(CONCATENATE($B42,"-",AC$8),'[1]liste complet essai'!$A$4:$K$1367,9,)</f>
        <v>N2-b3</v>
      </c>
      <c r="AD43" s="285" t="str">
        <f aca="false">VLOOKUP(CONCATENATE($B42,"-",AD$8),'[1]liste complet essai'!$A$4:$K$1367,9,)</f>
        <v>N2-b3</v>
      </c>
      <c r="AE43" s="311" t="str">
        <f aca="false">VLOOKUP(CONCATENATE($B42,"-",AE$8),'[1]liste complet essai'!$A$4:$K$1367,9,)</f>
        <v>N2-b3</v>
      </c>
      <c r="AF43" s="339"/>
      <c r="AI43" s="363" t="s">
        <v>8132</v>
      </c>
      <c r="AJ43" s="364" t="s">
        <v>8122</v>
      </c>
      <c r="AK43" s="303"/>
      <c r="AL43" s="365" t="s">
        <v>8122</v>
      </c>
      <c r="AM43" s="366" t="str">
        <f aca="false">VLOOKUP(CONCATENATE($AI43,"-",AM$8),'[1]liste complet essai'!$A$4:$K$1367,4,)</f>
        <v>DK</v>
      </c>
      <c r="AN43" s="367" t="str">
        <f aca="false">VLOOKUP(CONCATENATE($AI43,"-",AN$8),'[1]liste complet essai'!$A$4:$K$1367,4,)</f>
        <v>DK</v>
      </c>
      <c r="AO43" s="367" t="str">
        <f aca="false">VLOOKUP(CONCATENATE($AI43,"-",AO$8),'[1]liste complet essai'!$A$4:$K$1367,4,)</f>
        <v>DK</v>
      </c>
      <c r="AP43" s="367" t="str">
        <f aca="false">VLOOKUP(CONCATENATE($AI43,"-",AP$8),'[1]liste complet essai'!$A$4:$K$1367,4,)</f>
        <v>DK</v>
      </c>
      <c r="AQ43" s="367" t="str">
        <f aca="false">VLOOKUP(CONCATENATE($AI43,"-",AQ$8),'[1]liste complet essai'!$A$4:$K$1367,4,)</f>
        <v>DK</v>
      </c>
      <c r="AR43" s="367" t="str">
        <f aca="false">VLOOKUP(CONCATENATE($AI43,"-",AR$8),'[1]liste complet essai'!$A$4:$K$1367,4,)</f>
        <v>DK</v>
      </c>
      <c r="AS43" s="367" t="str">
        <f aca="false">VLOOKUP(CONCATENATE($AI43,"-",AS$8),'[1]liste complet essai'!$A$4:$K$1367,4,)</f>
        <v>DK</v>
      </c>
      <c r="AT43" s="367" t="str">
        <f aca="false">VLOOKUP(CONCATENATE($AI43,"-",AT$8),'[1]liste complet essai'!$A$4:$K$1367,4,)</f>
        <v>DK</v>
      </c>
      <c r="AU43" s="366" t="str">
        <f aca="false">VLOOKUP(CONCATENATE($AI43,"-",AU$8),'[1]liste complet essai'!$A$4:$K$1367,4,)</f>
        <v>DK</v>
      </c>
      <c r="AV43" s="367" t="str">
        <f aca="false">VLOOKUP(CONCATENATE($AI43,"-",AV$8),'[1]liste complet essai'!$A$4:$K$1367,4,)</f>
        <v>DK</v>
      </c>
      <c r="AW43" s="367" t="str">
        <f aca="false">VLOOKUP(CONCATENATE($AI43,"-",AW$8),'[1]liste complet essai'!$A$4:$K$1367,4,)</f>
        <v>DK</v>
      </c>
      <c r="AX43" s="367" t="str">
        <f aca="false">VLOOKUP(CONCATENATE($AI43,"-",AX$8),'[1]liste complet essai'!$A$4:$K$1367,4,)</f>
        <v>DK</v>
      </c>
      <c r="AY43" s="367" t="str">
        <f aca="false">VLOOKUP(CONCATENATE($AI43,"-",AY$8),'[1]liste complet essai'!$A$4:$K$1367,4,)</f>
        <v>DK</v>
      </c>
      <c r="AZ43" s="367" t="str">
        <f aca="false">VLOOKUP(CONCATENATE($AI43,"-",AZ$8),'[1]liste complet essai'!$A$4:$K$1367,4,)</f>
        <v>DK</v>
      </c>
      <c r="BA43" s="367" t="str">
        <f aca="false">VLOOKUP(CONCATENATE($AI43,"-",BA$8),'[1]liste complet essai'!$A$4:$K$1367,4,)</f>
        <v>DK</v>
      </c>
      <c r="BB43" s="368" t="str">
        <f aca="false">VLOOKUP(CONCATENATE($AI43,"-",BB$8),'[1]liste complet essai'!$A$4:$K$1367,4,)</f>
        <v>DK</v>
      </c>
      <c r="BC43" s="367" t="str">
        <f aca="false">VLOOKUP(CONCATENATE($AI43,"-",BC$8),'[1]liste complet essai'!$A$4:$K$1367,4,)</f>
        <v>DK</v>
      </c>
      <c r="BD43" s="367" t="str">
        <f aca="false">VLOOKUP(CONCATENATE($AI43,"-",BD$8),'[1]liste complet essai'!$A$4:$K$1367,4,)</f>
        <v>DK</v>
      </c>
      <c r="BE43" s="367" t="str">
        <f aca="false">VLOOKUP(CONCATENATE($AI43,"-",BE$8),'[1]liste complet essai'!$A$4:$K$1367,4,)</f>
        <v>DK</v>
      </c>
      <c r="BF43" s="367" t="str">
        <f aca="false">VLOOKUP(CONCATENATE($AI43,"-",BF$8),'[1]liste complet essai'!$A$4:$K$1367,4,)</f>
        <v>DK</v>
      </c>
      <c r="BG43" s="367" t="str">
        <f aca="false">VLOOKUP(CONCATENATE($AI43,"-",BG$8),'[1]liste complet essai'!$A$4:$K$1367,4,)</f>
        <v>DK</v>
      </c>
      <c r="BH43" s="367" t="str">
        <f aca="false">VLOOKUP(CONCATENATE($AI43,"-",BH$8),'[1]liste complet essai'!$A$4:$K$1367,4,)</f>
        <v>DK</v>
      </c>
      <c r="BI43" s="367" t="str">
        <f aca="false">VLOOKUP(CONCATENATE($AI43,"-",BI$8),'[1]liste complet essai'!$A$4:$K$1367,4,)</f>
        <v>DK</v>
      </c>
      <c r="BJ43" s="367" t="str">
        <f aca="false">VLOOKUP(CONCATENATE($AI43,"-",BJ$8),'[1]liste complet essai'!$A$4:$K$1367,4,)</f>
        <v>DK</v>
      </c>
      <c r="BK43" s="368" t="str">
        <f aca="false">VLOOKUP(CONCATENATE($AI43,"-",BK$8),'[1]liste complet essai'!$A$4:$K$1367,4,)</f>
        <v>DK</v>
      </c>
      <c r="BL43" s="367" t="str">
        <f aca="false">VLOOKUP(CONCATENATE($AI43,"-",BL$8),'[1]liste complet essai'!$A$4:$K$1367,4,)</f>
        <v>DK</v>
      </c>
      <c r="BM43" s="367" t="str">
        <f aca="false">VLOOKUP(CONCATENATE($AI43,"-",BM$8),'[1]liste complet essai'!$A$4:$K$1367,4,)</f>
        <v>DK</v>
      </c>
      <c r="BN43" s="367" t="str">
        <f aca="false">VLOOKUP(CONCATENATE($AI43,"-",BN$8),'[1]liste complet essai'!$A$4:$K$1367,4,)</f>
        <v>DK</v>
      </c>
      <c r="BO43" s="367" t="str">
        <f aca="false">VLOOKUP(CONCATENATE($AI43,"-",BO$8),'[1]liste complet essai'!$A$4:$K$1367,4,)</f>
        <v>DK</v>
      </c>
      <c r="BP43" s="367" t="str">
        <f aca="false">VLOOKUP(CONCATENATE($AI43,"-",BP$8),'[1]liste complet essai'!$A$4:$K$1367,4,)</f>
        <v>DK</v>
      </c>
      <c r="BQ43" s="367" t="str">
        <f aca="false">VLOOKUP(CONCATENATE($AI43,"-",BQ$8),'[1]liste complet essai'!$A$4:$K$1367,4,)</f>
        <v>DK</v>
      </c>
      <c r="BR43" s="367" t="str">
        <f aca="false">VLOOKUP(CONCATENATE($AI43,"-",BR$8),'[1]liste complet essai'!$A$4:$K$1367,4,)</f>
        <v>DK</v>
      </c>
      <c r="BS43" s="369"/>
      <c r="BT43" s="369"/>
      <c r="BU43" s="369"/>
      <c r="BV43" s="369"/>
      <c r="BW43" s="369"/>
      <c r="BX43" s="369"/>
      <c r="BY43" s="369"/>
      <c r="BZ43" s="369"/>
      <c r="CA43" s="369"/>
      <c r="CB43" s="369"/>
      <c r="CC43" s="367" t="str">
        <f aca="false">VLOOKUP(CONCATENATE($AI43,"-",CC$8),'[1]liste complet essai'!$A$4:$K$1367,4,)</f>
        <v>DK</v>
      </c>
      <c r="CD43" s="367" t="str">
        <f aca="false">VLOOKUP(CONCATENATE($AI43,"-",CD$8),'[1]liste complet essai'!$A$4:$K$1367,4,)</f>
        <v>DK</v>
      </c>
      <c r="CE43" s="367" t="str">
        <f aca="false">VLOOKUP(CONCATENATE($AI43,"-",CE$8),'[1]liste complet essai'!$A$4:$K$1367,4,)</f>
        <v>DK</v>
      </c>
      <c r="CF43" s="367" t="str">
        <f aca="false">VLOOKUP(CONCATENATE($AI43,"-",CF$8),'[1]liste complet essai'!$A$4:$K$1367,4,)</f>
        <v>DK</v>
      </c>
      <c r="CG43" s="367" t="str">
        <f aca="false">VLOOKUP(CONCATENATE($AI43,"-",CG$8),'[1]liste complet essai'!$A$4:$K$1367,4,)</f>
        <v>DK</v>
      </c>
      <c r="CH43" s="367" t="str">
        <f aca="false">VLOOKUP(CONCATENATE($AI43,"-",CH$8),'[1]liste complet essai'!$A$4:$K$1367,4,)</f>
        <v>DK</v>
      </c>
      <c r="CI43" s="367" t="str">
        <f aca="false">VLOOKUP(CONCATENATE($AI43,"-",CI$8),'[1]liste complet essai'!$A$4:$K$1367,4,)</f>
        <v>DK</v>
      </c>
      <c r="CJ43" s="367" t="str">
        <f aca="false">VLOOKUP(CONCATENATE($AI43,"-",CJ$8),'[1]liste complet essai'!$A$4:$K$1367,4,)</f>
        <v>DK</v>
      </c>
      <c r="CK43" s="367" t="str">
        <f aca="false">VLOOKUP(CONCATENATE($AI43,"-",CK$8),'[1]liste complet essai'!$A$4:$K$1367,4,)</f>
        <v>DK</v>
      </c>
      <c r="CL43" s="367" t="str">
        <f aca="false">VLOOKUP(CONCATENATE($AI43,"-",CL$8),'[1]liste complet essai'!$A$4:$K$1367,4,)</f>
        <v>DK</v>
      </c>
      <c r="CM43" s="367" t="str">
        <f aca="false">VLOOKUP(CONCATENATE($AI43,"-",CM$8),'[1]liste complet essai'!$A$4:$K$1367,4,)</f>
        <v>DK</v>
      </c>
      <c r="CN43" s="367" t="str">
        <f aca="false">VLOOKUP(CONCATENATE($AI43,"-",CN$8),'[1]liste complet essai'!$A$4:$K$1367,4,)</f>
        <v>DK</v>
      </c>
      <c r="CO43" s="367" t="str">
        <f aca="false">VLOOKUP(CONCATENATE($AI43,"-",CO$8),'[1]liste complet essai'!$A$4:$K$1367,4,)</f>
        <v>DK</v>
      </c>
      <c r="CP43" s="367" t="str">
        <f aca="false">VLOOKUP(CONCATENATE($AI43,"-",CP$8),'[1]liste complet essai'!$A$4:$K$1367,4,)</f>
        <v>DK</v>
      </c>
      <c r="CQ43" s="367" t="str">
        <f aca="false">VLOOKUP(CONCATENATE($AI43,"-",CQ$8),'[1]liste complet essai'!$A$4:$K$1367,4,)</f>
        <v>DK</v>
      </c>
      <c r="CR43" s="368" t="str">
        <f aca="false">VLOOKUP(CONCATENATE($AI43,"-",CR$8),'[1]liste complet essai'!$A$4:$K$1367,4,)</f>
        <v>DK</v>
      </c>
      <c r="CS43" s="367" t="str">
        <f aca="false">VLOOKUP(CONCATENATE($AI43,"-",CS$8),'[1]liste complet essai'!$A$4:$K$1367,4,)</f>
        <v>DK</v>
      </c>
      <c r="CT43" s="367" t="str">
        <f aca="false">VLOOKUP(CONCATENATE($AI43,"-",CT$8),'[1]liste complet essai'!$A$4:$K$1367,4,)</f>
        <v>DK</v>
      </c>
      <c r="CU43" s="367" t="str">
        <f aca="false">VLOOKUP(CONCATENATE($AI43,"-",CU$8),'[1]liste complet essai'!$A$4:$K$1367,4,)</f>
        <v>DK</v>
      </c>
      <c r="CV43" s="367" t="str">
        <f aca="false">VLOOKUP(CONCATENATE($AI43,"-",CV$8),'[1]liste complet essai'!$A$4:$K$1367,4,)</f>
        <v>DK</v>
      </c>
      <c r="CW43" s="367" t="str">
        <f aca="false">VLOOKUP(CONCATENATE($AI43,"-",CW$8),'[1]liste complet essai'!$A$4:$K$1367,4,)</f>
        <v>DK</v>
      </c>
      <c r="CX43" s="367" t="str">
        <f aca="false">VLOOKUP(CONCATENATE($AI43,"-",CX$8),'[1]liste complet essai'!$A$4:$K$1367,4,)</f>
        <v>DK</v>
      </c>
      <c r="CY43" s="367" t="str">
        <f aca="false">VLOOKUP(CONCATENATE($AI43,"-",CY$8),'[1]liste complet essai'!$A$4:$K$1367,4,)</f>
        <v>DK</v>
      </c>
      <c r="CZ43" s="367" t="str">
        <f aca="false">VLOOKUP(CONCATENATE($AI43,"-",CZ$8),'[1]liste complet essai'!$A$4:$K$1367,4,)</f>
        <v>DK</v>
      </c>
      <c r="DA43" s="367" t="str">
        <f aca="false">VLOOKUP(CONCATENATE($AI43,"-",DA$8),'[1]liste complet essai'!$A$4:$K$1367,4,)</f>
        <v>DK</v>
      </c>
      <c r="DB43" s="367" t="str">
        <f aca="false">VLOOKUP(CONCATENATE($AI43,"-",DB$8),'[1]liste complet essai'!$A$4:$K$1367,4,)</f>
        <v>DK</v>
      </c>
      <c r="DC43" s="367" t="str">
        <f aca="false">VLOOKUP(CONCATENATE($AI43,"-",DC$8),'[1]liste complet essai'!$A$4:$K$1367,4,)</f>
        <v>DK</v>
      </c>
      <c r="DD43" s="367" t="str">
        <f aca="false">VLOOKUP(CONCATENATE($AI43,"-",DD$8),'[1]liste complet essai'!$A$4:$K$1367,4,)</f>
        <v>DK</v>
      </c>
      <c r="DE43" s="367" t="str">
        <f aca="false">VLOOKUP(CONCATENATE($AI43,"-",DE$8),'[1]liste complet essai'!$A$4:$K$1367,4,)</f>
        <v>DK</v>
      </c>
      <c r="DF43" s="367" t="str">
        <f aca="false">VLOOKUP(CONCATENATE($AI43,"-",DF$8),'[1]liste complet essai'!$A$4:$K$1367,4,)</f>
        <v>DK</v>
      </c>
      <c r="DG43" s="367" t="str">
        <f aca="false">VLOOKUP(CONCATENATE($AI43,"-",DG$8),'[1]liste complet essai'!$A$4:$K$1367,4,)</f>
        <v>DK</v>
      </c>
      <c r="DH43" s="367" t="str">
        <f aca="false">VLOOKUP(CONCATENATE($AI43,"-",DH$8),'[1]liste complet essai'!$A$4:$K$1367,4,)</f>
        <v>DK</v>
      </c>
      <c r="DI43" s="370" t="s">
        <v>8122</v>
      </c>
      <c r="DJ43" s="303"/>
      <c r="DK43" s="371" t="s">
        <v>8122</v>
      </c>
    </row>
    <row r="44" customFormat="false" ht="12" hidden="false" customHeight="false" outlineLevel="0" collapsed="false">
      <c r="B44" s="293"/>
      <c r="C44" s="337"/>
      <c r="D44" s="307"/>
      <c r="E44" s="324"/>
      <c r="F44" s="311" t="str">
        <f aca="false">VLOOKUP(CONCATENATE($B42,"-",F$8),'[1]liste complet essai'!$A$4:$K$1367,5,)</f>
        <v>G-091</v>
      </c>
      <c r="G44" s="311" t="str">
        <f aca="false">VLOOKUP(CONCATENATE($B42,"-",G$8),'[1]liste complet essai'!$A$4:$K$1367,5,)</f>
        <v>G-118</v>
      </c>
      <c r="H44" s="311" t="str">
        <f aca="false">VLOOKUP(CONCATENATE($B42,"-",H$8),'[1]liste complet essai'!$A$4:$K$1367,5,)</f>
        <v>G-054</v>
      </c>
      <c r="I44" s="311" t="str">
        <f aca="false">VLOOKUP(CONCATENATE($B42,"-",I$8),'[1]liste complet essai'!$A$4:$K$1367,5,)</f>
        <v>G-095</v>
      </c>
      <c r="J44" s="311" t="str">
        <f aca="false">VLOOKUP(CONCATENATE($B42,"-",J$8),'[1]liste complet essai'!$A$4:$K$1367,5,)</f>
        <v>G-047</v>
      </c>
      <c r="K44" s="311" t="str">
        <f aca="false">VLOOKUP(CONCATENATE($B42,"-",K$8),'[1]liste complet essai'!$A$4:$K$1367,5,)</f>
        <v>G-059</v>
      </c>
      <c r="L44" s="311" t="str">
        <f aca="false">VLOOKUP(CONCATENATE($B42,"-",L$8),'[1]liste complet essai'!$A$4:$K$1367,5,)</f>
        <v>G-031</v>
      </c>
      <c r="M44" s="311" t="str">
        <f aca="false">VLOOKUP(CONCATENATE($B42,"-",M$8),'[1]liste complet essai'!$A$4:$K$1367,5,)</f>
        <v>G-024</v>
      </c>
      <c r="N44" s="311" t="str">
        <f aca="false">VLOOKUP(CONCATENATE($B42,"-",N$8),'[1]liste complet essai'!$A$4:$K$1367,5,)</f>
        <v>G-006</v>
      </c>
      <c r="O44" s="311" t="str">
        <f aca="false">VLOOKUP(CONCATENATE($B42,"-",O$8),'[1]liste complet essai'!$A$4:$K$1367,5,)</f>
        <v>G-079</v>
      </c>
      <c r="P44" s="311" t="str">
        <f aca="false">VLOOKUP(CONCATENATE($B42,"-",P$8),'[1]liste complet essai'!$A$4:$K$1367,5,)</f>
        <v>G-046</v>
      </c>
      <c r="Q44" s="311" t="str">
        <f aca="false">VLOOKUP(CONCATENATE($B42,"-",Q$8),'[1]liste complet essai'!$A$4:$K$1367,5,)</f>
        <v>G-094</v>
      </c>
      <c r="R44" s="311" t="str">
        <f aca="false">VLOOKUP(CONCATENATE($B42,"-",R$8),'[1]liste complet essai'!$A$4:$K$1367,5,)</f>
        <v>G-013</v>
      </c>
      <c r="S44" s="311" t="str">
        <f aca="false">VLOOKUP(CONCATENATE($B42,"-",S$8),'[1]liste complet essai'!$A$4:$K$1367,5,)</f>
        <v>G-033</v>
      </c>
      <c r="T44" s="311" t="str">
        <f aca="false">VLOOKUP(CONCATENATE($B42,"-",T$8),'[1]liste complet essai'!$A$4:$K$1367,5,)</f>
        <v>G-098</v>
      </c>
      <c r="U44" s="311" t="str">
        <f aca="false">VLOOKUP(CONCATENATE($B42,"-",U$8),'[1]liste complet essai'!$A$4:$K$1367,5,)</f>
        <v>G-052</v>
      </c>
      <c r="V44" s="311" t="str">
        <f aca="false">VLOOKUP(CONCATENATE($B42,"-",V$8),'[1]liste complet essai'!$A$4:$K$1367,5,)</f>
        <v>G-106</v>
      </c>
      <c r="W44" s="311" t="str">
        <f aca="false">VLOOKUP(CONCATENATE($B42,"-",W$8),'[1]liste complet essai'!$A$4:$K$1367,5,)</f>
        <v>G-123</v>
      </c>
      <c r="X44" s="311" t="str">
        <f aca="false">VLOOKUP(CONCATENATE($B42,"-",X$8),'[1]liste complet essai'!$A$4:$K$1367,5,)</f>
        <v>G-078</v>
      </c>
      <c r="Y44" s="311" t="str">
        <f aca="false">VLOOKUP(CONCATENATE($B42,"-",Y$8),'[1]liste complet essai'!$A$4:$K$1367,5,)</f>
        <v>G-068</v>
      </c>
      <c r="Z44" s="311" t="str">
        <f aca="false">VLOOKUP(CONCATENATE($B42,"-",Z$8),'[1]liste complet essai'!$A$4:$K$1367,5,)</f>
        <v>G-012</v>
      </c>
      <c r="AA44" s="311" t="str">
        <f aca="false">VLOOKUP(CONCATENATE($B42,"-",AA$8),'[1]liste complet essai'!$A$4:$K$1367,5,)</f>
        <v>G-080</v>
      </c>
      <c r="AB44" s="311" t="str">
        <f aca="false">VLOOKUP(CONCATENATE($B42,"-",AB$8),'[1]liste complet essai'!$A$4:$K$1367,5,)</f>
        <v>G-120</v>
      </c>
      <c r="AC44" s="311" t="str">
        <f aca="false">VLOOKUP(CONCATENATE($B42,"-",AC$8),'[1]liste complet essai'!$A$4:$K$1367,5,)</f>
        <v>G-051</v>
      </c>
      <c r="AD44" s="312" t="str">
        <f aca="false">VLOOKUP(CONCATENATE($B42,"-",AD$8),'[1]liste complet essai'!$A$4:$K$1367,5,)</f>
        <v>G-001</v>
      </c>
      <c r="AE44" s="311" t="str">
        <f aca="false">VLOOKUP(CONCATENATE($B42,"-",AE$8),'[1]liste complet essai'!$A$4:$K$1367,5,)</f>
        <v>G-088</v>
      </c>
      <c r="AF44" s="339"/>
      <c r="AI44" s="363"/>
      <c r="AJ44" s="364"/>
      <c r="AK44" s="309"/>
      <c r="AL44" s="365"/>
      <c r="AM44" s="366" t="str">
        <f aca="false">VLOOKUP(CONCATENATE($AI43,"-",AM$8),'[1]liste complet essai'!$A$4:$K$1367,9,)</f>
        <v>N2-b1</v>
      </c>
      <c r="AN44" s="372" t="str">
        <f aca="false">VLOOKUP(CONCATENATE($AI43,"-",AN$8),'[1]liste complet essai'!$A$4:$K$1367,9,)</f>
        <v>N2-b1</v>
      </c>
      <c r="AO44" s="372" t="str">
        <f aca="false">VLOOKUP(CONCATENATE($AI43,"-",AO$8),'[1]liste complet essai'!$A$4:$K$1367,9,)</f>
        <v>N2-b1</v>
      </c>
      <c r="AP44" s="372" t="str">
        <f aca="false">VLOOKUP(CONCATENATE($AI43,"-",AP$8),'[1]liste complet essai'!$A$4:$K$1367,9,)</f>
        <v>N2-b1</v>
      </c>
      <c r="AQ44" s="372" t="str">
        <f aca="false">VLOOKUP(CONCATENATE($AI43,"-",AQ$8),'[1]liste complet essai'!$A$4:$K$1367,9,)</f>
        <v>N2-b1</v>
      </c>
      <c r="AR44" s="372" t="str">
        <f aca="false">VLOOKUP(CONCATENATE($AI43,"-",AR$8),'[1]liste complet essai'!$A$4:$K$1367,9,)</f>
        <v>N2-b1</v>
      </c>
      <c r="AS44" s="372" t="str">
        <f aca="false">VLOOKUP(CONCATENATE($AI43,"-",AS$8),'[1]liste complet essai'!$A$4:$K$1367,9,)</f>
        <v>N2-b1</v>
      </c>
      <c r="AT44" s="372" t="str">
        <f aca="false">VLOOKUP(CONCATENATE($AI43,"-",AT$8),'[1]liste complet essai'!$A$4:$K$1367,9,)</f>
        <v>N2-b1</v>
      </c>
      <c r="AU44" s="366" t="str">
        <f aca="false">VLOOKUP(CONCATENATE($AI43,"-",AU$8),'[1]liste complet essai'!$A$4:$K$1367,9,)</f>
        <v>N2-b1</v>
      </c>
      <c r="AV44" s="372" t="str">
        <f aca="false">VLOOKUP(CONCATENATE($AI43,"-",AV$8),'[1]liste complet essai'!$A$4:$K$1367,9,)</f>
        <v>N2-b1</v>
      </c>
      <c r="AW44" s="372" t="str">
        <f aca="false">VLOOKUP(CONCATENATE($AI43,"-",AW$8),'[1]liste complet essai'!$A$4:$K$1367,9,)</f>
        <v>N2-b1</v>
      </c>
      <c r="AX44" s="372" t="str">
        <f aca="false">VLOOKUP(CONCATENATE($AI43,"-",AX$8),'[1]liste complet essai'!$A$4:$K$1367,9,)</f>
        <v>N2-b1</v>
      </c>
      <c r="AY44" s="372" t="str">
        <f aca="false">VLOOKUP(CONCATENATE($AI43,"-",AY$8),'[1]liste complet essai'!$A$4:$K$1367,9,)</f>
        <v>N2-b1</v>
      </c>
      <c r="AZ44" s="372" t="str">
        <f aca="false">VLOOKUP(CONCATENATE($AI43,"-",AZ$8),'[1]liste complet essai'!$A$4:$K$1367,9,)</f>
        <v>N2-b1</v>
      </c>
      <c r="BA44" s="372" t="str">
        <f aca="false">VLOOKUP(CONCATENATE($AI43,"-",BA$8),'[1]liste complet essai'!$A$4:$K$1367,9,)</f>
        <v>N2-b1</v>
      </c>
      <c r="BB44" s="373" t="str">
        <f aca="false">VLOOKUP(CONCATENATE($AI43,"-",BB$8),'[1]liste complet essai'!$A$4:$K$1367,9,)</f>
        <v>N2-b1</v>
      </c>
      <c r="BC44" s="372" t="str">
        <f aca="false">VLOOKUP(CONCATENATE($AI43,"-",BC$8),'[1]liste complet essai'!$A$4:$K$1367,9,)</f>
        <v>N2-b1</v>
      </c>
      <c r="BD44" s="372" t="str">
        <f aca="false">VLOOKUP(CONCATENATE($AI43,"-",BD$8),'[1]liste complet essai'!$A$4:$K$1367,9,)</f>
        <v>N2-b1</v>
      </c>
      <c r="BE44" s="372" t="str">
        <f aca="false">VLOOKUP(CONCATENATE($AI43,"-",BE$8),'[1]liste complet essai'!$A$4:$K$1367,9,)</f>
        <v>N2-b1</v>
      </c>
      <c r="BF44" s="372" t="str">
        <f aca="false">VLOOKUP(CONCATENATE($AI43,"-",BF$8),'[1]liste complet essai'!$A$4:$K$1367,9,)</f>
        <v>N2-b1</v>
      </c>
      <c r="BG44" s="372" t="str">
        <f aca="false">VLOOKUP(CONCATENATE($AI43,"-",BG$8),'[1]liste complet essai'!$A$4:$K$1367,9,)</f>
        <v>N2-b1</v>
      </c>
      <c r="BH44" s="372" t="str">
        <f aca="false">VLOOKUP(CONCATENATE($AI43,"-",BH$8),'[1]liste complet essai'!$A$4:$K$1367,9,)</f>
        <v>N2-b1</v>
      </c>
      <c r="BI44" s="372" t="str">
        <f aca="false">VLOOKUP(CONCATENATE($AI43,"-",BI$8),'[1]liste complet essai'!$A$4:$K$1367,9,)</f>
        <v>N2-b1</v>
      </c>
      <c r="BJ44" s="372" t="str">
        <f aca="false">VLOOKUP(CONCATENATE($AI43,"-",BJ$8),'[1]liste complet essai'!$A$4:$K$1367,9,)</f>
        <v>N2-b1</v>
      </c>
      <c r="BK44" s="373" t="str">
        <f aca="false">VLOOKUP(CONCATENATE($AI43,"-",BK$8),'[1]liste complet essai'!$A$4:$K$1367,9,)</f>
        <v>N2-b1</v>
      </c>
      <c r="BL44" s="372" t="str">
        <f aca="false">VLOOKUP(CONCATENATE($AI43,"-",BL$8),'[1]liste complet essai'!$A$4:$K$1367,9,)</f>
        <v>N2-b1</v>
      </c>
      <c r="BM44" s="372" t="str">
        <f aca="false">VLOOKUP(CONCATENATE($AI43,"-",BM$8),'[1]liste complet essai'!$A$4:$K$1367,9,)</f>
        <v>N2-b1</v>
      </c>
      <c r="BN44" s="372" t="str">
        <f aca="false">VLOOKUP(CONCATENATE($AI43,"-",BN$8),'[1]liste complet essai'!$A$4:$K$1367,9,)</f>
        <v>N2-b1</v>
      </c>
      <c r="BO44" s="372" t="str">
        <f aca="false">VLOOKUP(CONCATENATE($AI43,"-",BO$8),'[1]liste complet essai'!$A$4:$K$1367,9,)</f>
        <v>N2-b1</v>
      </c>
      <c r="BP44" s="372" t="str">
        <f aca="false">VLOOKUP(CONCATENATE($AI43,"-",BP$8),'[1]liste complet essai'!$A$4:$K$1367,9,)</f>
        <v>N2-b1</v>
      </c>
      <c r="BQ44" s="372" t="str">
        <f aca="false">VLOOKUP(CONCATENATE($AI43,"-",BQ$8),'[1]liste complet essai'!$A$4:$K$1367,9,)</f>
        <v>N2-b1</v>
      </c>
      <c r="BR44" s="372" t="str">
        <f aca="false">VLOOKUP(CONCATENATE($AI43,"-",BR$8),'[1]liste complet essai'!$A$4:$K$1367,9,)</f>
        <v>N2-b1</v>
      </c>
      <c r="BS44" s="374"/>
      <c r="BT44" s="374"/>
      <c r="BU44" s="374"/>
      <c r="BV44" s="374"/>
      <c r="BW44" s="374"/>
      <c r="BX44" s="374"/>
      <c r="BY44" s="374"/>
      <c r="BZ44" s="374"/>
      <c r="CA44" s="374"/>
      <c r="CB44" s="374"/>
      <c r="CC44" s="372" t="str">
        <f aca="false">VLOOKUP(CONCATENATE($AI43,"-",CC$8),'[1]liste complet essai'!$A$4:$K$1367,9,)</f>
        <v>N2-b2</v>
      </c>
      <c r="CD44" s="372" t="str">
        <f aca="false">VLOOKUP(CONCATENATE($AI43,"-",CD$8),'[1]liste complet essai'!$A$4:$K$1367,9,)</f>
        <v>N2-b2</v>
      </c>
      <c r="CE44" s="372" t="str">
        <f aca="false">VLOOKUP(CONCATENATE($AI43,"-",CE$8),'[1]liste complet essai'!$A$4:$K$1367,9,)</f>
        <v>N2-b2</v>
      </c>
      <c r="CF44" s="372" t="str">
        <f aca="false">VLOOKUP(CONCATENATE($AI43,"-",CF$8),'[1]liste complet essai'!$A$4:$K$1367,9,)</f>
        <v>N2-b2</v>
      </c>
      <c r="CG44" s="372" t="str">
        <f aca="false">VLOOKUP(CONCATENATE($AI43,"-",CG$8),'[1]liste complet essai'!$A$4:$K$1367,9,)</f>
        <v>N2-b2</v>
      </c>
      <c r="CH44" s="372" t="str">
        <f aca="false">VLOOKUP(CONCATENATE($AI43,"-",CH$8),'[1]liste complet essai'!$A$4:$K$1367,9,)</f>
        <v>N2-b2</v>
      </c>
      <c r="CI44" s="372" t="str">
        <f aca="false">VLOOKUP(CONCATENATE($AI43,"-",CI$8),'[1]liste complet essai'!$A$4:$K$1367,9,)</f>
        <v>N2-b2</v>
      </c>
      <c r="CJ44" s="372" t="str">
        <f aca="false">VLOOKUP(CONCATENATE($AI43,"-",CJ$8),'[1]liste complet essai'!$A$4:$K$1367,9,)</f>
        <v>N2-b2</v>
      </c>
      <c r="CK44" s="372" t="str">
        <f aca="false">VLOOKUP(CONCATENATE($AI43,"-",CK$8),'[1]liste complet essai'!$A$4:$K$1367,9,)</f>
        <v>N2-b2</v>
      </c>
      <c r="CL44" s="372" t="str">
        <f aca="false">VLOOKUP(CONCATENATE($AI43,"-",CL$8),'[1]liste complet essai'!$A$4:$K$1367,9,)</f>
        <v>N2-b2</v>
      </c>
      <c r="CM44" s="372" t="str">
        <f aca="false">VLOOKUP(CONCATENATE($AI43,"-",CM$8),'[1]liste complet essai'!$A$4:$K$1367,9,)</f>
        <v>N2-b2</v>
      </c>
      <c r="CN44" s="372" t="str">
        <f aca="false">VLOOKUP(CONCATENATE($AI43,"-",CN$8),'[1]liste complet essai'!$A$4:$K$1367,9,)</f>
        <v>N2-b2</v>
      </c>
      <c r="CO44" s="372" t="str">
        <f aca="false">VLOOKUP(CONCATENATE($AI43,"-",CO$8),'[1]liste complet essai'!$A$4:$K$1367,9,)</f>
        <v>N2-b2</v>
      </c>
      <c r="CP44" s="372" t="str">
        <f aca="false">VLOOKUP(CONCATENATE($AI43,"-",CP$8),'[1]liste complet essai'!$A$4:$K$1367,9,)</f>
        <v>N2-b2</v>
      </c>
      <c r="CQ44" s="372" t="str">
        <f aca="false">VLOOKUP(CONCATENATE($AI43,"-",CQ$8),'[1]liste complet essai'!$A$4:$K$1367,9,)</f>
        <v>N2-b2</v>
      </c>
      <c r="CR44" s="373" t="str">
        <f aca="false">VLOOKUP(CONCATENATE($AI43,"-",CR$8),'[1]liste complet essai'!$A$4:$K$1367,9,)</f>
        <v>N2-b2</v>
      </c>
      <c r="CS44" s="372" t="str">
        <f aca="false">VLOOKUP(CONCATENATE($AI43,"-",CS$8),'[1]liste complet essai'!$A$4:$K$1367,9,)</f>
        <v>N2-b2</v>
      </c>
      <c r="CT44" s="372" t="str">
        <f aca="false">VLOOKUP(CONCATENATE($AI43,"-",CT$8),'[1]liste complet essai'!$A$4:$K$1367,9,)</f>
        <v>N2-b2</v>
      </c>
      <c r="CU44" s="372" t="str">
        <f aca="false">VLOOKUP(CONCATENATE($AI43,"-",CU$8),'[1]liste complet essai'!$A$4:$K$1367,9,)</f>
        <v>N2-b2</v>
      </c>
      <c r="CV44" s="372" t="str">
        <f aca="false">VLOOKUP(CONCATENATE($AI43,"-",CV$8),'[1]liste complet essai'!$A$4:$K$1367,9,)</f>
        <v>N2-b2</v>
      </c>
      <c r="CW44" s="372" t="str">
        <f aca="false">VLOOKUP(CONCATENATE($AI43,"-",CW$8),'[1]liste complet essai'!$A$4:$K$1367,9,)</f>
        <v>N2-b2</v>
      </c>
      <c r="CX44" s="372" t="str">
        <f aca="false">VLOOKUP(CONCATENATE($AI43,"-",CX$8),'[1]liste complet essai'!$A$4:$K$1367,9,)</f>
        <v>N2-b2</v>
      </c>
      <c r="CY44" s="372" t="str">
        <f aca="false">VLOOKUP(CONCATENATE($AI43,"-",CY$8),'[1]liste complet essai'!$A$4:$K$1367,9,)</f>
        <v>N2-b2</v>
      </c>
      <c r="CZ44" s="372" t="str">
        <f aca="false">VLOOKUP(CONCATENATE($AI43,"-",CZ$8),'[1]liste complet essai'!$A$4:$K$1367,9,)</f>
        <v>N2-b2</v>
      </c>
      <c r="DA44" s="372" t="str">
        <f aca="false">VLOOKUP(CONCATENATE($AI43,"-",DA$8),'[1]liste complet essai'!$A$4:$K$1367,9,)</f>
        <v>N2-b2</v>
      </c>
      <c r="DB44" s="372" t="str">
        <f aca="false">VLOOKUP(CONCATENATE($AI43,"-",DB$8),'[1]liste complet essai'!$A$4:$K$1367,9,)</f>
        <v>N2-b2</v>
      </c>
      <c r="DC44" s="372" t="str">
        <f aca="false">VLOOKUP(CONCATENATE($AI43,"-",DC$8),'[1]liste complet essai'!$A$4:$K$1367,9,)</f>
        <v>N2-b2</v>
      </c>
      <c r="DD44" s="372" t="str">
        <f aca="false">VLOOKUP(CONCATENATE($AI43,"-",DD$8),'[1]liste complet essai'!$A$4:$K$1367,9,)</f>
        <v>N2-b2</v>
      </c>
      <c r="DE44" s="372" t="str">
        <f aca="false">VLOOKUP(CONCATENATE($AI43,"-",DE$8),'[1]liste complet essai'!$A$4:$K$1367,9,)</f>
        <v>N2-b2</v>
      </c>
      <c r="DF44" s="372" t="str">
        <f aca="false">VLOOKUP(CONCATENATE($AI43,"-",DF$8),'[1]liste complet essai'!$A$4:$K$1367,9,)</f>
        <v>N2-b2</v>
      </c>
      <c r="DG44" s="372" t="str">
        <f aca="false">VLOOKUP(CONCATENATE($AI43,"-",DG$8),'[1]liste complet essai'!$A$4:$K$1367,9,)</f>
        <v>N2-b2</v>
      </c>
      <c r="DH44" s="372" t="str">
        <f aca="false">VLOOKUP(CONCATENATE($AI43,"-",DH$8),'[1]liste complet essai'!$A$4:$K$1367,9,)</f>
        <v>N2-b2</v>
      </c>
      <c r="DI44" s="370"/>
      <c r="DJ44" s="309"/>
      <c r="DK44" s="371"/>
    </row>
    <row r="45" customFormat="false" ht="12" hidden="false" customHeight="false" outlineLevel="0" collapsed="false">
      <c r="B45" s="293"/>
      <c r="C45" s="337"/>
      <c r="D45" s="314"/>
      <c r="E45" s="324"/>
      <c r="F45" s="325" t="str">
        <f aca="false">VLOOKUP(CONCATENATE($B42,"-",F$8),'[1]liste complet essai'!$A$4:$K$1367,1,)</f>
        <v>23-65</v>
      </c>
      <c r="G45" s="325" t="str">
        <f aca="false">VLOOKUP(CONCATENATE($B42,"-",G$8),'[1]liste complet essai'!$A$4:$K$1367,1,)</f>
        <v>23-66</v>
      </c>
      <c r="H45" s="325" t="str">
        <f aca="false">VLOOKUP(CONCATENATE($B42,"-",H$8),'[1]liste complet essai'!$A$4:$K$1367,1,)</f>
        <v>23-67</v>
      </c>
      <c r="I45" s="325" t="str">
        <f aca="false">VLOOKUP(CONCATENATE($B42,"-",I$8),'[1]liste complet essai'!$A$4:$K$1367,1,)</f>
        <v>23-68</v>
      </c>
      <c r="J45" s="325" t="str">
        <f aca="false">VLOOKUP(CONCATENATE($B42,"-",J$8),'[1]liste complet essai'!$A$4:$K$1367,1,)</f>
        <v>23-69</v>
      </c>
      <c r="K45" s="325" t="str">
        <f aca="false">VLOOKUP(CONCATENATE($B42,"-",K$8),'[1]liste complet essai'!$A$4:$K$1367,1,)</f>
        <v>23-70</v>
      </c>
      <c r="L45" s="325" t="str">
        <f aca="false">VLOOKUP(CONCATENATE($B42,"-",L$8),'[1]liste complet essai'!$A$4:$K$1367,1,)</f>
        <v>23-71</v>
      </c>
      <c r="M45" s="325" t="str">
        <f aca="false">VLOOKUP(CONCATENATE($B42,"-",M$8),'[1]liste complet essai'!$A$4:$K$1367,1,)</f>
        <v>23-72</v>
      </c>
      <c r="N45" s="325" t="str">
        <f aca="false">VLOOKUP(CONCATENATE($B42,"-",N$8),'[1]liste complet essai'!$A$4:$K$1367,1,)</f>
        <v>23-73</v>
      </c>
      <c r="O45" s="325" t="str">
        <f aca="false">VLOOKUP(CONCATENATE($B42,"-",O$8),'[1]liste complet essai'!$A$4:$K$1367,1,)</f>
        <v>23-74</v>
      </c>
      <c r="P45" s="325" t="str">
        <f aca="false">VLOOKUP(CONCATENATE($B42,"-",P$8),'[1]liste complet essai'!$A$4:$K$1367,1,)</f>
        <v>23-75</v>
      </c>
      <c r="Q45" s="325" t="str">
        <f aca="false">VLOOKUP(CONCATENATE($B42,"-",Q$8),'[1]liste complet essai'!$A$4:$K$1367,1,)</f>
        <v>23-76</v>
      </c>
      <c r="R45" s="325" t="str">
        <f aca="false">VLOOKUP(CONCATENATE($B42,"-",R$8),'[1]liste complet essai'!$A$4:$K$1367,1,)</f>
        <v>23-77</v>
      </c>
      <c r="S45" s="325" t="str">
        <f aca="false">VLOOKUP(CONCATENATE($B42,"-",S$8),'[1]liste complet essai'!$A$4:$K$1367,1,)</f>
        <v>23-78</v>
      </c>
      <c r="T45" s="325" t="str">
        <f aca="false">VLOOKUP(CONCATENATE($B42,"-",T$8),'[1]liste complet essai'!$A$4:$K$1367,1,)</f>
        <v>23-79</v>
      </c>
      <c r="U45" s="325" t="str">
        <f aca="false">VLOOKUP(CONCATENATE($B42,"-",U$8),'[1]liste complet essai'!$A$4:$K$1367,1,)</f>
        <v>23-80</v>
      </c>
      <c r="V45" s="325" t="str">
        <f aca="false">VLOOKUP(CONCATENATE($B42,"-",V$8),'[1]liste complet essai'!$A$4:$K$1367,1,)</f>
        <v>23-81</v>
      </c>
      <c r="W45" s="325" t="str">
        <f aca="false">VLOOKUP(CONCATENATE($B42,"-",W$8),'[1]liste complet essai'!$A$4:$K$1367,1,)</f>
        <v>23-82</v>
      </c>
      <c r="X45" s="325" t="str">
        <f aca="false">VLOOKUP(CONCATENATE($B42,"-",X$8),'[1]liste complet essai'!$A$4:$K$1367,1,)</f>
        <v>23-83</v>
      </c>
      <c r="Y45" s="325" t="str">
        <f aca="false">VLOOKUP(CONCATENATE($B42,"-",Y$8),'[1]liste complet essai'!$A$4:$K$1367,1,)</f>
        <v>23-84</v>
      </c>
      <c r="Z45" s="325" t="str">
        <f aca="false">VLOOKUP(CONCATENATE($B42,"-",Z$8),'[1]liste complet essai'!$A$4:$K$1367,1,)</f>
        <v>23-85</v>
      </c>
      <c r="AA45" s="325" t="str">
        <f aca="false">VLOOKUP(CONCATENATE($B42,"-",AA$8),'[1]liste complet essai'!$A$4:$K$1367,1,)</f>
        <v>23-86</v>
      </c>
      <c r="AB45" s="325" t="str">
        <f aca="false">VLOOKUP(CONCATENATE($B42,"-",AB$8),'[1]liste complet essai'!$A$4:$K$1367,1,)</f>
        <v>23-87</v>
      </c>
      <c r="AC45" s="325" t="str">
        <f aca="false">VLOOKUP(CONCATENATE($B42,"-",AC$8),'[1]liste complet essai'!$A$4:$K$1367,1,)</f>
        <v>23-88</v>
      </c>
      <c r="AD45" s="325" t="str">
        <f aca="false">VLOOKUP(CONCATENATE($B42,"-",AD$8),'[1]liste complet essai'!$A$4:$K$1367,1,)</f>
        <v>23-89</v>
      </c>
      <c r="AE45" s="325" t="str">
        <f aca="false">VLOOKUP(CONCATENATE($B42,"-",AE$8),'[1]liste complet essai'!$A$4:$K$1367,1,)</f>
        <v>23-90</v>
      </c>
      <c r="AF45" s="339"/>
      <c r="AI45" s="363"/>
      <c r="AJ45" s="364"/>
      <c r="AK45" s="309"/>
      <c r="AL45" s="365"/>
      <c r="AM45" s="375" t="str">
        <f aca="false">VLOOKUP(CONCATENATE($AI43,"-",AM$8),'[1]liste complet essai'!$A$4:$K$1367,5,)</f>
        <v>G-126</v>
      </c>
      <c r="AN45" s="372" t="str">
        <f aca="false">VLOOKUP(CONCATENATE($AI43,"-",AN$8),'[1]liste complet essai'!$A$4:$K$1367,5,)</f>
        <v>G-147</v>
      </c>
      <c r="AO45" s="372" t="str">
        <f aca="false">VLOOKUP(CONCATENATE($AI43,"-",AO$8),'[1]liste complet essai'!$A$4:$K$1367,5,)</f>
        <v>G-208</v>
      </c>
      <c r="AP45" s="372" t="str">
        <f aca="false">VLOOKUP(CONCATENATE($AI43,"-",AP$8),'[1]liste complet essai'!$A$4:$K$1367,5,)</f>
        <v>G-134</v>
      </c>
      <c r="AQ45" s="372" t="str">
        <f aca="false">VLOOKUP(CONCATENATE($AI43,"-",AQ$8),'[1]liste complet essai'!$A$4:$K$1367,5,)</f>
        <v>G-141</v>
      </c>
      <c r="AR45" s="372" t="str">
        <f aca="false">VLOOKUP(CONCATENATE($AI43,"-",AR$8),'[1]liste complet essai'!$A$4:$K$1367,5,)</f>
        <v>G-150</v>
      </c>
      <c r="AS45" s="372" t="str">
        <f aca="false">VLOOKUP(CONCATENATE($AI43,"-",AS$8),'[1]liste complet essai'!$A$4:$K$1367,5,)</f>
        <v>G-153</v>
      </c>
      <c r="AT45" s="372" t="str">
        <f aca="false">VLOOKUP(CONCATENATE($AI43,"-",AT$8),'[1]liste complet essai'!$A$4:$K$1367,5,)</f>
        <v>G-211</v>
      </c>
      <c r="AU45" s="375" t="str">
        <f aca="false">VLOOKUP(CONCATENATE($AI43,"-",AU$8),'[1]liste complet essai'!$A$4:$K$1367,5,)</f>
        <v>G-125</v>
      </c>
      <c r="AV45" s="372" t="str">
        <f aca="false">VLOOKUP(CONCATENATE($AI43,"-",AV$8),'[1]liste complet essai'!$A$4:$K$1367,5,)</f>
        <v>G-162</v>
      </c>
      <c r="AW45" s="372" t="str">
        <f aca="false">VLOOKUP(CONCATENATE($AI43,"-",AW$8),'[1]liste complet essai'!$A$4:$K$1367,5,)</f>
        <v>G-184</v>
      </c>
      <c r="AX45" s="372" t="str">
        <f aca="false">VLOOKUP(CONCATENATE($AI43,"-",AX$8),'[1]liste complet essai'!$A$4:$K$1367,5,)</f>
        <v>G-198</v>
      </c>
      <c r="AY45" s="372" t="str">
        <f aca="false">VLOOKUP(CONCATENATE($AI43,"-",AY$8),'[1]liste complet essai'!$A$4:$K$1367,5,)</f>
        <v>G-174</v>
      </c>
      <c r="AZ45" s="372" t="str">
        <f aca="false">VLOOKUP(CONCATENATE($AI43,"-",AZ$8),'[1]liste complet essai'!$A$4:$K$1367,5,)</f>
        <v>G-186</v>
      </c>
      <c r="BA45" s="372" t="str">
        <f aca="false">VLOOKUP(CONCATENATE($AI43,"-",BA$8),'[1]liste complet essai'!$A$4:$K$1367,5,)</f>
        <v>G-215</v>
      </c>
      <c r="BB45" s="375" t="str">
        <f aca="false">VLOOKUP(CONCATENATE($AI43,"-",BB$8),'[1]liste complet essai'!$A$4:$K$1367,5,)</f>
        <v>G-126</v>
      </c>
      <c r="BC45" s="372" t="str">
        <f aca="false">VLOOKUP(CONCATENATE($AI43,"-",BC$8),'[1]liste complet essai'!$A$4:$K$1367,5,)</f>
        <v>G-132</v>
      </c>
      <c r="BD45" s="372" t="str">
        <f aca="false">VLOOKUP(CONCATENATE($AI43,"-",BD$8),'[1]liste complet essai'!$A$4:$K$1367,5,)</f>
        <v>G-187</v>
      </c>
      <c r="BE45" s="372" t="str">
        <f aca="false">VLOOKUP(CONCATENATE($AI43,"-",BE$8),'[1]liste complet essai'!$A$4:$K$1367,5,)</f>
        <v>G-167</v>
      </c>
      <c r="BF45" s="372" t="str">
        <f aca="false">VLOOKUP(CONCATENATE($AI43,"-",BF$8),'[1]liste complet essai'!$A$4:$K$1367,5,)</f>
        <v>G-140</v>
      </c>
      <c r="BG45" s="372" t="str">
        <f aca="false">VLOOKUP(CONCATENATE($AI43,"-",BG$8),'[1]liste complet essai'!$A$4:$K$1367,5,)</f>
        <v>G-142</v>
      </c>
      <c r="BH45" s="372" t="str">
        <f aca="false">VLOOKUP(CONCATENATE($AI43,"-",BH$8),'[1]liste complet essai'!$A$4:$K$1367,5,)</f>
        <v>G-194</v>
      </c>
      <c r="BI45" s="372" t="str">
        <f aca="false">VLOOKUP(CONCATENATE($AI43,"-",BI$8),'[1]liste complet essai'!$A$4:$K$1367,5,)</f>
        <v>G-176</v>
      </c>
      <c r="BJ45" s="372" t="str">
        <f aca="false">VLOOKUP(CONCATENATE($AI43,"-",BJ$8),'[1]liste complet essai'!$A$4:$K$1367,5,)</f>
        <v>G-188</v>
      </c>
      <c r="BK45" s="375" t="str">
        <f aca="false">VLOOKUP(CONCATENATE($AI43,"-",BK$8),'[1]liste complet essai'!$A$4:$K$1367,5,)</f>
        <v>G-125</v>
      </c>
      <c r="BL45" s="372" t="str">
        <f aca="false">VLOOKUP(CONCATENATE($AI43,"-",BL$8),'[1]liste complet essai'!$A$4:$K$1367,5,)</f>
        <v>G-185</v>
      </c>
      <c r="BM45" s="372" t="str">
        <f aca="false">VLOOKUP(CONCATENATE($AI43,"-",BM$8),'[1]liste complet essai'!$A$4:$K$1367,5,)</f>
        <v>G-154</v>
      </c>
      <c r="BN45" s="372" t="str">
        <f aca="false">VLOOKUP(CONCATENATE($AI43,"-",BN$8),'[1]liste complet essai'!$A$4:$K$1367,5,)</f>
        <v>G-145</v>
      </c>
      <c r="BO45" s="372" t="str">
        <f aca="false">VLOOKUP(CONCATENATE($AI43,"-",BO$8),'[1]liste complet essai'!$A$4:$K$1367,5,)</f>
        <v>G-169</v>
      </c>
      <c r="BP45" s="372" t="str">
        <f aca="false">VLOOKUP(CONCATENATE($AI43,"-",BP$8),'[1]liste complet essai'!$A$4:$K$1367,5,)</f>
        <v>G-210</v>
      </c>
      <c r="BQ45" s="375" t="str">
        <f aca="false">VLOOKUP(CONCATENATE($AI43,"-",BQ$8),'[1]liste complet essai'!$A$4:$K$1367,5,)</f>
        <v>G-125</v>
      </c>
      <c r="BR45" s="372" t="str">
        <f aca="false">VLOOKUP(CONCATENATE($AI43,"-",BR$8),'[1]liste complet essai'!$A$4:$K$1367,5,)</f>
        <v>G-133</v>
      </c>
      <c r="BS45" s="374"/>
      <c r="BT45" s="374"/>
      <c r="BU45" s="374"/>
      <c r="BV45" s="374"/>
      <c r="BW45" s="374"/>
      <c r="BX45" s="374"/>
      <c r="BY45" s="374"/>
      <c r="BZ45" s="374"/>
      <c r="CA45" s="374"/>
      <c r="CB45" s="374"/>
      <c r="CC45" s="372" t="str">
        <f aca="false">VLOOKUP(CONCATENATE($AI43,"-",CC$8),'[1]liste complet essai'!$A$4:$K$1367,5,)</f>
        <v>G-201</v>
      </c>
      <c r="CD45" s="372" t="str">
        <f aca="false">VLOOKUP(CONCATENATE($AI43,"-",CD$8),'[1]liste complet essai'!$A$4:$K$1367,5,)</f>
        <v>G-172</v>
      </c>
      <c r="CE45" s="372" t="str">
        <f aca="false">VLOOKUP(CONCATENATE($AI43,"-",CE$8),'[1]liste complet essai'!$A$4:$K$1367,5,)</f>
        <v>G-151</v>
      </c>
      <c r="CF45" s="372" t="str">
        <f aca="false">VLOOKUP(CONCATENATE($AI43,"-",CF$8),'[1]liste complet essai'!$A$4:$K$1367,5,)</f>
        <v>G-134</v>
      </c>
      <c r="CG45" s="372" t="str">
        <f aca="false">VLOOKUP(CONCATENATE($AI43,"-",CG$8),'[1]liste complet essai'!$A$4:$K$1367,5,)</f>
        <v>G-182</v>
      </c>
      <c r="CH45" s="372" t="str">
        <f aca="false">VLOOKUP(CONCATENATE($AI43,"-",CH$8),'[1]liste complet essai'!$A$4:$K$1367,5,)</f>
        <v>G-136</v>
      </c>
      <c r="CI45" s="372" t="str">
        <f aca="false">VLOOKUP(CONCATENATE($AI43,"-",CI$8),'[1]liste complet essai'!$A$4:$K$1367,5,)</f>
        <v>G-193</v>
      </c>
      <c r="CJ45" s="372" t="str">
        <f aca="false">VLOOKUP(CONCATENATE($AI43,"-",CJ$8),'[1]liste complet essai'!$A$4:$K$1367,5,)</f>
        <v>G-139</v>
      </c>
      <c r="CK45" s="372" t="str">
        <f aca="false">VLOOKUP(CONCATENATE($AI43,"-",CK$8),'[1]liste complet essai'!$A$4:$K$1367,5,)</f>
        <v>G-215</v>
      </c>
      <c r="CL45" s="372" t="str">
        <f aca="false">VLOOKUP(CONCATENATE($AI43,"-",CL$8),'[1]liste complet essai'!$A$4:$K$1367,5,)</f>
        <v>G-175</v>
      </c>
      <c r="CM45" s="372" t="str">
        <f aca="false">VLOOKUP(CONCATENATE($AI43,"-",CM$8),'[1]liste complet essai'!$A$4:$K$1367,5,)</f>
        <v>G-167</v>
      </c>
      <c r="CN45" s="372" t="str">
        <f aca="false">VLOOKUP(CONCATENATE($AI43,"-",CN$8),'[1]liste complet essai'!$A$4:$K$1367,5,)</f>
        <v>G-213</v>
      </c>
      <c r="CO45" s="372" t="str">
        <f aca="false">VLOOKUP(CONCATENATE($AI43,"-",CO$8),'[1]liste complet essai'!$A$4:$K$1367,5,)</f>
        <v>G-196</v>
      </c>
      <c r="CP45" s="372" t="str">
        <f aca="false">VLOOKUP(CONCATENATE($AI43,"-",CP$8),'[1]liste complet essai'!$A$4:$K$1367,5,)</f>
        <v>G-155</v>
      </c>
      <c r="CQ45" s="372" t="str">
        <f aca="false">VLOOKUP(CONCATENATE($AI43,"-",CQ$8),'[1]liste complet essai'!$A$4:$K$1367,5,)</f>
        <v>G-189</v>
      </c>
      <c r="CR45" s="376" t="str">
        <f aca="false">VLOOKUP(CONCATENATE($AI43,"-",CR$8),'[1]liste complet essai'!$A$4:$K$1367,5,)</f>
        <v>G-125</v>
      </c>
      <c r="CS45" s="372" t="str">
        <f aca="false">VLOOKUP(CONCATENATE($AI43,"-",CS$8),'[1]liste complet essai'!$A$4:$K$1367,5,)</f>
        <v>G-173</v>
      </c>
      <c r="CT45" s="372" t="str">
        <f aca="false">VLOOKUP(CONCATENATE($AI43,"-",CT$8),'[1]liste complet essai'!$A$4:$K$1367,5,)</f>
        <v>G-154</v>
      </c>
      <c r="CU45" s="372" t="str">
        <f aca="false">VLOOKUP(CONCATENATE($AI43,"-",CU$8),'[1]liste complet essai'!$A$4:$K$1367,5,)</f>
        <v>G-194</v>
      </c>
      <c r="CV45" s="372" t="str">
        <f aca="false">VLOOKUP(CONCATENATE($AI43,"-",CV$8),'[1]liste complet essai'!$A$4:$K$1367,5,)</f>
        <v>G-150</v>
      </c>
      <c r="CW45" s="372" t="str">
        <f aca="false">VLOOKUP(CONCATENATE($AI43,"-",CW$8),'[1]liste complet essai'!$A$4:$K$1367,5,)</f>
        <v>G-195</v>
      </c>
      <c r="CX45" s="372" t="str">
        <f aca="false">VLOOKUP(CONCATENATE($AI43,"-",CX$8),'[1]liste complet essai'!$A$4:$K$1367,5,)</f>
        <v>G-142</v>
      </c>
      <c r="CY45" s="372" t="str">
        <f aca="false">VLOOKUP(CONCATENATE($AI43,"-",CY$8),'[1]liste complet essai'!$A$4:$K$1367,5,)</f>
        <v>G-161</v>
      </c>
      <c r="CZ45" s="372" t="str">
        <f aca="false">VLOOKUP(CONCATENATE($AI43,"-",CZ$8),'[1]liste complet essai'!$A$4:$K$1367,5,)</f>
        <v>G-185</v>
      </c>
      <c r="DA45" s="372" t="str">
        <f aca="false">VLOOKUP(CONCATENATE($AI43,"-",DA$8),'[1]liste complet essai'!$A$4:$K$1367,5,)</f>
        <v>G-146</v>
      </c>
      <c r="DB45" s="372" t="str">
        <f aca="false">VLOOKUP(CONCATENATE($AI43,"-",DB$8),'[1]liste complet essai'!$A$4:$K$1367,5,)</f>
        <v>G-210</v>
      </c>
      <c r="DC45" s="372" t="str">
        <f aca="false">VLOOKUP(CONCATENATE($AI43,"-",DC$8),'[1]liste complet essai'!$A$4:$K$1367,5,)</f>
        <v>G-132</v>
      </c>
      <c r="DD45" s="372" t="str">
        <f aca="false">VLOOKUP(CONCATENATE($AI43,"-",DD$8),'[1]liste complet essai'!$A$4:$K$1367,5,)</f>
        <v>G-183</v>
      </c>
      <c r="DE45" s="372" t="str">
        <f aca="false">VLOOKUP(CONCATENATE($AI43,"-",DE$8),'[1]liste complet essai'!$A$4:$K$1367,5,)</f>
        <v>G-174</v>
      </c>
      <c r="DF45" s="372" t="str">
        <f aca="false">VLOOKUP(CONCATENATE($AI43,"-",DF$8),'[1]liste complet essai'!$A$4:$K$1367,5,)</f>
        <v>G-216</v>
      </c>
      <c r="DG45" s="372" t="str">
        <f aca="false">VLOOKUP(CONCATENATE($AI43,"-",DG$8),'[1]liste complet essai'!$A$4:$K$1367,5,)</f>
        <v>G-169</v>
      </c>
      <c r="DH45" s="372" t="str">
        <f aca="false">VLOOKUP(CONCATENATE($AI43,"-",DH$8),'[1]liste complet essai'!$A$4:$K$1367,5,)</f>
        <v>G-153</v>
      </c>
      <c r="DI45" s="370"/>
      <c r="DJ45" s="309"/>
      <c r="DK45" s="371"/>
    </row>
    <row r="46" customFormat="false" ht="14.25" hidden="false" customHeight="true" outlineLevel="0" collapsed="false">
      <c r="B46" s="293" t="n">
        <v>24</v>
      </c>
      <c r="C46" s="351" t="s">
        <v>8122</v>
      </c>
      <c r="D46" s="319"/>
      <c r="E46" s="352" t="s">
        <v>8122</v>
      </c>
      <c r="F46" s="311" t="str">
        <f aca="false">VLOOKUP(CONCATENATE($B46,"-",F$8),'[1]liste complet essai'!$A$4:$K$1367,4,)</f>
        <v>AM</v>
      </c>
      <c r="G46" s="311" t="str">
        <f aca="false">VLOOKUP(CONCATENATE($B46,"-",G$8),'[1]liste complet essai'!$A$4:$K$1367,4,)</f>
        <v>AM</v>
      </c>
      <c r="H46" s="311" t="str">
        <f aca="false">VLOOKUP(CONCATENATE($B46,"-",H$8),'[1]liste complet essai'!$A$4:$K$1367,4,)</f>
        <v>AM</v>
      </c>
      <c r="I46" s="311" t="str">
        <f aca="false">VLOOKUP(CONCATENATE($B46,"-",I$8),'[1]liste complet essai'!$A$4:$K$1367,4,)</f>
        <v>AM</v>
      </c>
      <c r="J46" s="311" t="str">
        <f aca="false">VLOOKUP(CONCATENATE($B46,"-",J$8),'[1]liste complet essai'!$A$4:$K$1367,4,)</f>
        <v>AM</v>
      </c>
      <c r="K46" s="311" t="str">
        <f aca="false">VLOOKUP(CONCATENATE($B46,"-",K$8),'[1]liste complet essai'!$A$4:$K$1367,4,)</f>
        <v>AM</v>
      </c>
      <c r="L46" s="311" t="str">
        <f aca="false">VLOOKUP(CONCATENATE($B46,"-",L$8),'[1]liste complet essai'!$A$4:$K$1367,4,)</f>
        <v>AM</v>
      </c>
      <c r="M46" s="311" t="str">
        <f aca="false">VLOOKUP(CONCATENATE($B46,"-",M$8),'[1]liste complet essai'!$A$4:$K$1367,4,)</f>
        <v>AM</v>
      </c>
      <c r="N46" s="311" t="str">
        <f aca="false">VLOOKUP(CONCATENATE($B46,"-",N$8),'[1]liste complet essai'!$A$4:$K$1367,4,)</f>
        <v>AM</v>
      </c>
      <c r="O46" s="311" t="str">
        <f aca="false">VLOOKUP(CONCATENATE($B46,"-",O$8),'[1]liste complet essai'!$A$4:$K$1367,4,)</f>
        <v>AM</v>
      </c>
      <c r="P46" s="311" t="str">
        <f aca="false">VLOOKUP(CONCATENATE($B46,"-",P$8),'[1]liste complet essai'!$A$4:$K$1367,4,)</f>
        <v>AM</v>
      </c>
      <c r="Q46" s="311" t="str">
        <f aca="false">VLOOKUP(CONCATENATE($B46,"-",Q$8),'[1]liste complet essai'!$A$4:$K$1367,4,)</f>
        <v>AM</v>
      </c>
      <c r="R46" s="311" t="str">
        <f aca="false">VLOOKUP(CONCATENATE($B46,"-",R$8),'[1]liste complet essai'!$A$4:$K$1367,4,)</f>
        <v>AM</v>
      </c>
      <c r="S46" s="311" t="str">
        <f aca="false">VLOOKUP(CONCATENATE($B46,"-",S$8),'[1]liste complet essai'!$A$4:$K$1367,4,)</f>
        <v>AM</v>
      </c>
      <c r="T46" s="311" t="str">
        <f aca="false">VLOOKUP(CONCATENATE($B46,"-",T$8),'[1]liste complet essai'!$A$4:$K$1367,4,)</f>
        <v>AM</v>
      </c>
      <c r="U46" s="311" t="str">
        <f aca="false">VLOOKUP(CONCATENATE($B46,"-",U$8),'[1]liste complet essai'!$A$4:$K$1367,4,)</f>
        <v>AM</v>
      </c>
      <c r="V46" s="311" t="str">
        <f aca="false">VLOOKUP(CONCATENATE($B46,"-",V$8),'[1]liste complet essai'!$A$4:$K$1367,4,)</f>
        <v>AM</v>
      </c>
      <c r="W46" s="311" t="str">
        <f aca="false">VLOOKUP(CONCATENATE($B46,"-",W$8),'[1]liste complet essai'!$A$4:$K$1367,4,)</f>
        <v>AM</v>
      </c>
      <c r="X46" s="311" t="str">
        <f aca="false">VLOOKUP(CONCATENATE($B46,"-",X$8),'[1]liste complet essai'!$A$4:$K$1367,4,)</f>
        <v>AM</v>
      </c>
      <c r="Y46" s="311" t="str">
        <f aca="false">VLOOKUP(CONCATENATE($B46,"-",Y$8),'[1]liste complet essai'!$A$4:$K$1367,4,)</f>
        <v>AM</v>
      </c>
      <c r="Z46" s="311" t="str">
        <f aca="false">VLOOKUP(CONCATENATE($B46,"-",Z$8),'[1]liste complet essai'!$A$4:$K$1367,4,)</f>
        <v>AM</v>
      </c>
      <c r="AA46" s="311" t="str">
        <f aca="false">VLOOKUP(CONCATENATE($B46,"-",AA$8),'[1]liste complet essai'!$A$4:$K$1367,4,)</f>
        <v>AM</v>
      </c>
      <c r="AB46" s="311" t="str">
        <f aca="false">VLOOKUP(CONCATENATE($B46,"-",AB$8),'[1]liste complet essai'!$A$4:$K$1367,4,)</f>
        <v>AM</v>
      </c>
      <c r="AC46" s="311" t="str">
        <f aca="false">VLOOKUP(CONCATENATE($B46,"-",AC$8),'[1]liste complet essai'!$A$4:$K$1367,4,)</f>
        <v>AM</v>
      </c>
      <c r="AD46" s="311" t="str">
        <f aca="false">VLOOKUP(CONCATENATE($B46,"-",AD$8),'[1]liste complet essai'!$A$4:$K$1367,4,)</f>
        <v>AM</v>
      </c>
      <c r="AE46" s="311" t="str">
        <f aca="false">VLOOKUP(CONCATENATE($B46,"-",AE$8),'[1]liste complet essai'!$A$4:$K$1367,4,)</f>
        <v>AM</v>
      </c>
      <c r="AF46" s="353" t="s">
        <v>8122</v>
      </c>
      <c r="AI46" s="363"/>
      <c r="AJ46" s="364"/>
      <c r="AK46" s="317"/>
      <c r="AL46" s="365"/>
      <c r="AM46" s="366" t="str">
        <f aca="false">VLOOKUP(CONCATENATE($AI43,"-",AM$8),'[1]liste complet essai'!$A$4:$K$1367,1,)</f>
        <v>09-01</v>
      </c>
      <c r="AN46" s="372" t="str">
        <f aca="false">VLOOKUP(CONCATENATE($AI43,"-",AN$8),'[1]liste complet essai'!$A$4:$K$1367,1,)</f>
        <v>09-02</v>
      </c>
      <c r="AO46" s="372" t="str">
        <f aca="false">VLOOKUP(CONCATENATE($AI43,"-",AO$8),'[1]liste complet essai'!$A$4:$K$1367,1,)</f>
        <v>09-03</v>
      </c>
      <c r="AP46" s="372" t="str">
        <f aca="false">VLOOKUP(CONCATENATE($AI43,"-",AP$8),'[1]liste complet essai'!$A$4:$K$1367,1,)</f>
        <v>09-04</v>
      </c>
      <c r="AQ46" s="372" t="str">
        <f aca="false">VLOOKUP(CONCATENATE($AI43,"-",AQ$8),'[1]liste complet essai'!$A$4:$K$1367,1,)</f>
        <v>09-05</v>
      </c>
      <c r="AR46" s="372" t="str">
        <f aca="false">VLOOKUP(CONCATENATE($AI43,"-",AR$8),'[1]liste complet essai'!$A$4:$K$1367,1,)</f>
        <v>09-06</v>
      </c>
      <c r="AS46" s="372" t="str">
        <f aca="false">VLOOKUP(CONCATENATE($AI43,"-",AS$8),'[1]liste complet essai'!$A$4:$K$1367,1,)</f>
        <v>09-07</v>
      </c>
      <c r="AT46" s="372" t="str">
        <f aca="false">VLOOKUP(CONCATENATE($AI43,"-",AT$8),'[1]liste complet essai'!$A$4:$K$1367,1,)</f>
        <v>09-08</v>
      </c>
      <c r="AU46" s="366" t="str">
        <f aca="false">VLOOKUP(CONCATENATE($AI43,"-",AU$8),'[1]liste complet essai'!$A$4:$K$1367,1,)</f>
        <v>09-09</v>
      </c>
      <c r="AV46" s="372" t="str">
        <f aca="false">VLOOKUP(CONCATENATE($AI43,"-",AV$8),'[1]liste complet essai'!$A$4:$K$1367,1,)</f>
        <v>09-10</v>
      </c>
      <c r="AW46" s="372" t="str">
        <f aca="false">VLOOKUP(CONCATENATE($AI43,"-",AW$8),'[1]liste complet essai'!$A$4:$K$1367,1,)</f>
        <v>09-11</v>
      </c>
      <c r="AX46" s="372" t="str">
        <f aca="false">VLOOKUP(CONCATENATE($AI43,"-",AX$8),'[1]liste complet essai'!$A$4:$K$1367,1,)</f>
        <v>09-12</v>
      </c>
      <c r="AY46" s="372" t="str">
        <f aca="false">VLOOKUP(CONCATENATE($AI43,"-",AY$8),'[1]liste complet essai'!$A$4:$K$1367,1,)</f>
        <v>09-13</v>
      </c>
      <c r="AZ46" s="372" t="str">
        <f aca="false">VLOOKUP(CONCATENATE($AI43,"-",AZ$8),'[1]liste complet essai'!$A$4:$K$1367,1,)</f>
        <v>09-14</v>
      </c>
      <c r="BA46" s="372" t="str">
        <f aca="false">VLOOKUP(CONCATENATE($AI43,"-",BA$8),'[1]liste complet essai'!$A$4:$K$1367,1,)</f>
        <v>09-15</v>
      </c>
      <c r="BB46" s="328" t="str">
        <f aca="false">VLOOKUP(CONCATENATE($AI43,"-",BB$8),'[1]liste complet essai'!$A$4:$K$1367,1,)</f>
        <v>09-16</v>
      </c>
      <c r="BC46" s="372" t="str">
        <f aca="false">VLOOKUP(CONCATENATE($AI43,"-",BC$8),'[1]liste complet essai'!$A$4:$K$1367,1,)</f>
        <v>09-17</v>
      </c>
      <c r="BD46" s="372" t="str">
        <f aca="false">VLOOKUP(CONCATENATE($AI43,"-",BD$8),'[1]liste complet essai'!$A$4:$K$1367,1,)</f>
        <v>09-18</v>
      </c>
      <c r="BE46" s="372" t="str">
        <f aca="false">VLOOKUP(CONCATENATE($AI43,"-",BE$8),'[1]liste complet essai'!$A$4:$K$1367,1,)</f>
        <v>09-19</v>
      </c>
      <c r="BF46" s="372" t="str">
        <f aca="false">VLOOKUP(CONCATENATE($AI43,"-",BF$8),'[1]liste complet essai'!$A$4:$K$1367,1,)</f>
        <v>09-20</v>
      </c>
      <c r="BG46" s="372" t="str">
        <f aca="false">VLOOKUP(CONCATENATE($AI43,"-",BG$8),'[1]liste complet essai'!$A$4:$K$1367,1,)</f>
        <v>09-21</v>
      </c>
      <c r="BH46" s="372" t="str">
        <f aca="false">VLOOKUP(CONCATENATE($AI43,"-",BH$8),'[1]liste complet essai'!$A$4:$K$1367,1,)</f>
        <v>09-22</v>
      </c>
      <c r="BI46" s="372" t="str">
        <f aca="false">VLOOKUP(CONCATENATE($AI43,"-",BI$8),'[1]liste complet essai'!$A$4:$K$1367,1,)</f>
        <v>09-23</v>
      </c>
      <c r="BJ46" s="372" t="str">
        <f aca="false">VLOOKUP(CONCATENATE($AI43,"-",BJ$8),'[1]liste complet essai'!$A$4:$K$1367,1,)</f>
        <v>09-24</v>
      </c>
      <c r="BK46" s="328" t="str">
        <f aca="false">VLOOKUP(CONCATENATE($AI43,"-",BK$8),'[1]liste complet essai'!$A$4:$K$1367,1,)</f>
        <v>09-25</v>
      </c>
      <c r="BL46" s="372" t="str">
        <f aca="false">VLOOKUP(CONCATENATE($AI43,"-",BL$8),'[1]liste complet essai'!$A$4:$K$1367,1,)</f>
        <v>09-26</v>
      </c>
      <c r="BM46" s="372" t="str">
        <f aca="false">VLOOKUP(CONCATENATE($AI43,"-",BM$8),'[1]liste complet essai'!$A$4:$K$1367,1,)</f>
        <v>09-27</v>
      </c>
      <c r="BN46" s="372" t="str">
        <f aca="false">VLOOKUP(CONCATENATE($AI43,"-",BN$8),'[1]liste complet essai'!$A$4:$K$1367,1,)</f>
        <v>09-28</v>
      </c>
      <c r="BO46" s="372" t="str">
        <f aca="false">VLOOKUP(CONCATENATE($AI43,"-",BO$8),'[1]liste complet essai'!$A$4:$K$1367,1,)</f>
        <v>09-29</v>
      </c>
      <c r="BP46" s="372" t="str">
        <f aca="false">VLOOKUP(CONCATENATE($AI43,"-",BP$8),'[1]liste complet essai'!$A$4:$K$1367,1,)</f>
        <v>09-30</v>
      </c>
      <c r="BQ46" s="372" t="str">
        <f aca="false">VLOOKUP(CONCATENATE($AI43,"-",BQ$8),'[1]liste complet essai'!$A$4:$K$1367,1,)</f>
        <v>09-31</v>
      </c>
      <c r="BR46" s="372" t="str">
        <f aca="false">VLOOKUP(CONCATENATE($AI43,"-",BR$8),'[1]liste complet essai'!$A$4:$K$1367,1,)</f>
        <v>09-32</v>
      </c>
      <c r="BS46" s="374"/>
      <c r="BT46" s="374"/>
      <c r="BU46" s="374"/>
      <c r="BV46" s="374"/>
      <c r="BW46" s="374"/>
      <c r="BX46" s="374"/>
      <c r="BY46" s="374"/>
      <c r="BZ46" s="374"/>
      <c r="CA46" s="374"/>
      <c r="CB46" s="374"/>
      <c r="CC46" s="372" t="str">
        <f aca="false">VLOOKUP(CONCATENATE($AI43,"-",CC$8),'[1]liste complet essai'!$A$4:$K$1367,1,)</f>
        <v>09-33</v>
      </c>
      <c r="CD46" s="372" t="str">
        <f aca="false">VLOOKUP(CONCATENATE($AI43,"-",CD$8),'[1]liste complet essai'!$A$4:$K$1367,1,)</f>
        <v>09-34</v>
      </c>
      <c r="CE46" s="372" t="str">
        <f aca="false">VLOOKUP(CONCATENATE($AI43,"-",CE$8),'[1]liste complet essai'!$A$4:$K$1367,1,)</f>
        <v>09-35</v>
      </c>
      <c r="CF46" s="372" t="str">
        <f aca="false">VLOOKUP(CONCATENATE($AI43,"-",CF$8),'[1]liste complet essai'!$A$4:$K$1367,1,)</f>
        <v>09-36</v>
      </c>
      <c r="CG46" s="372" t="str">
        <f aca="false">VLOOKUP(CONCATENATE($AI43,"-",CG$8),'[1]liste complet essai'!$A$4:$K$1367,1,)</f>
        <v>09-37</v>
      </c>
      <c r="CH46" s="372" t="str">
        <f aca="false">VLOOKUP(CONCATENATE($AI43,"-",CH$8),'[1]liste complet essai'!$A$4:$K$1367,1,)</f>
        <v>09-38</v>
      </c>
      <c r="CI46" s="372" t="str">
        <f aca="false">VLOOKUP(CONCATENATE($AI43,"-",CI$8),'[1]liste complet essai'!$A$4:$K$1367,1,)</f>
        <v>09-39</v>
      </c>
      <c r="CJ46" s="372" t="str">
        <f aca="false">VLOOKUP(CONCATENATE($AI43,"-",CJ$8),'[1]liste complet essai'!$A$4:$K$1367,1,)</f>
        <v>09-40</v>
      </c>
      <c r="CK46" s="372" t="str">
        <f aca="false">VLOOKUP(CONCATENATE($AI43,"-",CK$8),'[1]liste complet essai'!$A$4:$K$1367,1,)</f>
        <v>09-41</v>
      </c>
      <c r="CL46" s="372" t="str">
        <f aca="false">VLOOKUP(CONCATENATE($AI43,"-",CL$8),'[1]liste complet essai'!$A$4:$K$1367,1,)</f>
        <v>09-42</v>
      </c>
      <c r="CM46" s="372" t="str">
        <f aca="false">VLOOKUP(CONCATENATE($AI43,"-",CM$8),'[1]liste complet essai'!$A$4:$K$1367,1,)</f>
        <v>09-43</v>
      </c>
      <c r="CN46" s="372" t="str">
        <f aca="false">VLOOKUP(CONCATENATE($AI43,"-",CN$8),'[1]liste complet essai'!$A$4:$K$1367,1,)</f>
        <v>09-44</v>
      </c>
      <c r="CO46" s="372" t="str">
        <f aca="false">VLOOKUP(CONCATENATE($AI43,"-",CO$8),'[1]liste complet essai'!$A$4:$K$1367,1,)</f>
        <v>09-45</v>
      </c>
      <c r="CP46" s="372" t="str">
        <f aca="false">VLOOKUP(CONCATENATE($AI43,"-",CP$8),'[1]liste complet essai'!$A$4:$K$1367,1,)</f>
        <v>09-46</v>
      </c>
      <c r="CQ46" s="372" t="str">
        <f aca="false">VLOOKUP(CONCATENATE($AI43,"-",CQ$8),'[1]liste complet essai'!$A$4:$K$1367,1,)</f>
        <v>09-47</v>
      </c>
      <c r="CR46" s="316" t="str">
        <f aca="false">VLOOKUP(CONCATENATE($AI43,"-",CR$8),'[1]liste complet essai'!$A$4:$K$1367,1,)</f>
        <v>09-48</v>
      </c>
      <c r="CS46" s="372" t="str">
        <f aca="false">VLOOKUP(CONCATENATE($AI43,"-",CS$8),'[1]liste complet essai'!$A$4:$K$1367,1,)</f>
        <v>09-49</v>
      </c>
      <c r="CT46" s="372" t="str">
        <f aca="false">VLOOKUP(CONCATENATE($AI43,"-",CT$8),'[1]liste complet essai'!$A$4:$K$1367,1,)</f>
        <v>09-50</v>
      </c>
      <c r="CU46" s="372" t="str">
        <f aca="false">VLOOKUP(CONCATENATE($AI43,"-",CU$8),'[1]liste complet essai'!$A$4:$K$1367,1,)</f>
        <v>09-51</v>
      </c>
      <c r="CV46" s="372" t="str">
        <f aca="false">VLOOKUP(CONCATENATE($AI43,"-",CV$8),'[1]liste complet essai'!$A$4:$K$1367,1,)</f>
        <v>09-52</v>
      </c>
      <c r="CW46" s="372" t="str">
        <f aca="false">VLOOKUP(CONCATENATE($AI43,"-",CW$8),'[1]liste complet essai'!$A$4:$K$1367,1,)</f>
        <v>09-53</v>
      </c>
      <c r="CX46" s="372" t="str">
        <f aca="false">VLOOKUP(CONCATENATE($AI43,"-",CX$8),'[1]liste complet essai'!$A$4:$K$1367,1,)</f>
        <v>09-54</v>
      </c>
      <c r="CY46" s="372" t="str">
        <f aca="false">VLOOKUP(CONCATENATE($AI43,"-",CY$8),'[1]liste complet essai'!$A$4:$K$1367,1,)</f>
        <v>09-55</v>
      </c>
      <c r="CZ46" s="372" t="str">
        <f aca="false">VLOOKUP(CONCATENATE($AI43,"-",CZ$8),'[1]liste complet essai'!$A$4:$K$1367,1,)</f>
        <v>09-56</v>
      </c>
      <c r="DA46" s="372" t="str">
        <f aca="false">VLOOKUP(CONCATENATE($AI43,"-",DA$8),'[1]liste complet essai'!$A$4:$K$1367,1,)</f>
        <v>09-57</v>
      </c>
      <c r="DB46" s="372" t="str">
        <f aca="false">VLOOKUP(CONCATENATE($AI43,"-",DB$8),'[1]liste complet essai'!$A$4:$K$1367,1,)</f>
        <v>09-58</v>
      </c>
      <c r="DC46" s="372" t="str">
        <f aca="false">VLOOKUP(CONCATENATE($AI43,"-",DC$8),'[1]liste complet essai'!$A$4:$K$1367,1,)</f>
        <v>09-59</v>
      </c>
      <c r="DD46" s="372" t="str">
        <f aca="false">VLOOKUP(CONCATENATE($AI43,"-",DD$8),'[1]liste complet essai'!$A$4:$K$1367,1,)</f>
        <v>09-60</v>
      </c>
      <c r="DE46" s="372" t="str">
        <f aca="false">VLOOKUP(CONCATENATE($AI43,"-",DE$8),'[1]liste complet essai'!$A$4:$K$1367,1,)</f>
        <v>09-61</v>
      </c>
      <c r="DF46" s="372" t="str">
        <f aca="false">VLOOKUP(CONCATENATE($AI43,"-",DF$8),'[1]liste complet essai'!$A$4:$K$1367,1,)</f>
        <v>09-62</v>
      </c>
      <c r="DG46" s="372" t="str">
        <f aca="false">VLOOKUP(CONCATENATE($AI43,"-",DG$8),'[1]liste complet essai'!$A$4:$K$1367,1,)</f>
        <v>09-63</v>
      </c>
      <c r="DH46" s="372" t="str">
        <f aca="false">VLOOKUP(CONCATENATE($AI43,"-",DH$8),'[1]liste complet essai'!$A$4:$K$1367,1,)</f>
        <v>09-64</v>
      </c>
      <c r="DI46" s="370"/>
      <c r="DJ46" s="317"/>
      <c r="DK46" s="371"/>
    </row>
    <row r="47" customFormat="false" ht="12" hidden="false" customHeight="false" outlineLevel="0" collapsed="false">
      <c r="B47" s="293"/>
      <c r="C47" s="351"/>
      <c r="D47" s="307"/>
      <c r="E47" s="352"/>
      <c r="F47" s="311" t="str">
        <f aca="false">VLOOKUP(CONCATENATE($B46,"-",F$8),'[1]liste complet essai'!$A$4:$K$1367,9,)</f>
        <v>N2-b3</v>
      </c>
      <c r="G47" s="311" t="str">
        <f aca="false">VLOOKUP(CONCATENATE($B46,"-",G$8),'[1]liste complet essai'!$A$4:$K$1367,9,)</f>
        <v>N2-b3</v>
      </c>
      <c r="H47" s="311" t="str">
        <f aca="false">VLOOKUP(CONCATENATE($B46,"-",H$8),'[1]liste complet essai'!$A$4:$K$1367,9,)</f>
        <v>N2-b3</v>
      </c>
      <c r="I47" s="311" t="str">
        <f aca="false">VLOOKUP(CONCATENATE($B46,"-",I$8),'[1]liste complet essai'!$A$4:$K$1367,9,)</f>
        <v>N2-b3</v>
      </c>
      <c r="J47" s="311" t="str">
        <f aca="false">VLOOKUP(CONCATENATE($B46,"-",J$8),'[1]liste complet essai'!$A$4:$K$1367,9,)</f>
        <v>N2-b3</v>
      </c>
      <c r="K47" s="311" t="str">
        <f aca="false">VLOOKUP(CONCATENATE($B46,"-",K$8),'[1]liste complet essai'!$A$4:$K$1367,9,)</f>
        <v>N2-b3</v>
      </c>
      <c r="L47" s="311" t="str">
        <f aca="false">VLOOKUP(CONCATENATE($B46,"-",L$8),'[1]liste complet essai'!$A$4:$K$1367,9,)</f>
        <v>N2-b3</v>
      </c>
      <c r="M47" s="311" t="str">
        <f aca="false">VLOOKUP(CONCATENATE($B46,"-",M$8),'[1]liste complet essai'!$A$4:$K$1367,9,)</f>
        <v>N2-b3</v>
      </c>
      <c r="N47" s="311" t="str">
        <f aca="false">VLOOKUP(CONCATENATE($B46,"-",N$8),'[1]liste complet essai'!$A$4:$K$1367,9,)</f>
        <v>N2-b3</v>
      </c>
      <c r="O47" s="311" t="str">
        <f aca="false">VLOOKUP(CONCATENATE($B46,"-",O$8),'[1]liste complet essai'!$A$4:$K$1367,9,)</f>
        <v>N2-b3</v>
      </c>
      <c r="P47" s="311" t="str">
        <f aca="false">VLOOKUP(CONCATENATE($B46,"-",P$8),'[1]liste complet essai'!$A$4:$K$1367,9,)</f>
        <v>N2-b3</v>
      </c>
      <c r="Q47" s="311" t="str">
        <f aca="false">VLOOKUP(CONCATENATE($B46,"-",Q$8),'[1]liste complet essai'!$A$4:$K$1367,9,)</f>
        <v>N2-b3</v>
      </c>
      <c r="R47" s="311" t="str">
        <f aca="false">VLOOKUP(CONCATENATE($B46,"-",R$8),'[1]liste complet essai'!$A$4:$K$1367,9,)</f>
        <v>N2-b3</v>
      </c>
      <c r="S47" s="311" t="str">
        <f aca="false">VLOOKUP(CONCATENATE($B46,"-",S$8),'[1]liste complet essai'!$A$4:$K$1367,9,)</f>
        <v>N2-b3</v>
      </c>
      <c r="T47" s="311" t="str">
        <f aca="false">VLOOKUP(CONCATENATE($B46,"-",T$8),'[1]liste complet essai'!$A$4:$K$1367,9,)</f>
        <v>N2-b3</v>
      </c>
      <c r="U47" s="311" t="str">
        <f aca="false">VLOOKUP(CONCATENATE($B46,"-",U$8),'[1]liste complet essai'!$A$4:$K$1367,9,)</f>
        <v>N2-b3</v>
      </c>
      <c r="V47" s="311" t="str">
        <f aca="false">VLOOKUP(CONCATENATE($B46,"-",V$8),'[1]liste complet essai'!$A$4:$K$1367,9,)</f>
        <v>N2-b3</v>
      </c>
      <c r="W47" s="311" t="str">
        <f aca="false">VLOOKUP(CONCATENATE($B46,"-",W$8),'[1]liste complet essai'!$A$4:$K$1367,9,)</f>
        <v>N2-b3</v>
      </c>
      <c r="X47" s="311" t="str">
        <f aca="false">VLOOKUP(CONCATENATE($B46,"-",X$8),'[1]liste complet essai'!$A$4:$K$1367,9,)</f>
        <v>N2-b3</v>
      </c>
      <c r="Y47" s="311" t="str">
        <f aca="false">VLOOKUP(CONCATENATE($B46,"-",Y$8),'[1]liste complet essai'!$A$4:$K$1367,9,)</f>
        <v>N2-b3</v>
      </c>
      <c r="Z47" s="311" t="str">
        <f aca="false">VLOOKUP(CONCATENATE($B46,"-",Z$8),'[1]liste complet essai'!$A$4:$K$1367,9,)</f>
        <v>N2-b3</v>
      </c>
      <c r="AA47" s="311" t="str">
        <f aca="false">VLOOKUP(CONCATENATE($B46,"-",AA$8),'[1]liste complet essai'!$A$4:$K$1367,9,)</f>
        <v>N2-b3</v>
      </c>
      <c r="AB47" s="311" t="str">
        <f aca="false">VLOOKUP(CONCATENATE($B46,"-",AB$8),'[1]liste complet essai'!$A$4:$K$1367,9,)</f>
        <v>N2-b3</v>
      </c>
      <c r="AC47" s="311" t="str">
        <f aca="false">VLOOKUP(CONCATENATE($B46,"-",AC$8),'[1]liste complet essai'!$A$4:$K$1367,9,)</f>
        <v>N2-b3</v>
      </c>
      <c r="AD47" s="311" t="str">
        <f aca="false">VLOOKUP(CONCATENATE($B46,"-",AD$8),'[1]liste complet essai'!$A$4:$K$1367,9,)</f>
        <v>N2-b3</v>
      </c>
      <c r="AE47" s="311" t="str">
        <f aca="false">VLOOKUP(CONCATENATE($B46,"-",AE$8),'[1]liste complet essai'!$A$4:$K$1367,9,)</f>
        <v>N2-b3</v>
      </c>
      <c r="AF47" s="353"/>
      <c r="AI47" s="363" t="n">
        <v>10</v>
      </c>
      <c r="AJ47" s="377" t="s">
        <v>8122</v>
      </c>
      <c r="AK47" s="322"/>
      <c r="AL47" s="378" t="s">
        <v>8122</v>
      </c>
      <c r="AM47" s="379" t="str">
        <f aca="false">VLOOKUP(CONCATENATE($AI47,"-",AM$8),'[1]liste complet essai'!$A$4:$K$1367,4,)</f>
        <v>DK</v>
      </c>
      <c r="AN47" s="379" t="str">
        <f aca="false">VLOOKUP(CONCATENATE($AI47,"-",AN$8),'[1]liste complet essai'!$A$4:$K$1367,4,)</f>
        <v>DK</v>
      </c>
      <c r="AO47" s="379" t="str">
        <f aca="false">VLOOKUP(CONCATENATE($AI47,"-",AO$8),'[1]liste complet essai'!$A$4:$K$1367,4,)</f>
        <v>DK</v>
      </c>
      <c r="AP47" s="379" t="str">
        <f aca="false">VLOOKUP(CONCATENATE($AI47,"-",AP$8),'[1]liste complet essai'!$A$4:$K$1367,4,)</f>
        <v>DK</v>
      </c>
      <c r="AQ47" s="379" t="str">
        <f aca="false">VLOOKUP(CONCATENATE($AI47,"-",AQ$8),'[1]liste complet essai'!$A$4:$K$1367,4,)</f>
        <v>DK</v>
      </c>
      <c r="AR47" s="379" t="str">
        <f aca="false">VLOOKUP(CONCATENATE($AI47,"-",AR$8),'[1]liste complet essai'!$A$4:$K$1367,4,)</f>
        <v>DK</v>
      </c>
      <c r="AS47" s="379" t="str">
        <f aca="false">VLOOKUP(CONCATENATE($AI47,"-",AS$8),'[1]liste complet essai'!$A$4:$K$1367,4,)</f>
        <v>DK</v>
      </c>
      <c r="AT47" s="379" t="str">
        <f aca="false">VLOOKUP(CONCATENATE($AI47,"-",AT$8),'[1]liste complet essai'!$A$4:$K$1367,4,)</f>
        <v>DK</v>
      </c>
      <c r="AU47" s="379" t="str">
        <f aca="false">VLOOKUP(CONCATENATE($AI47,"-",AU$8),'[1]liste complet essai'!$A$4:$K$1367,4,)</f>
        <v>DK</v>
      </c>
      <c r="AV47" s="379" t="str">
        <f aca="false">VLOOKUP(CONCATENATE($AI47,"-",AV$8),'[1]liste complet essai'!$A$4:$K$1367,4,)</f>
        <v>DK</v>
      </c>
      <c r="AW47" s="379" t="str">
        <f aca="false">VLOOKUP(CONCATENATE($AI47,"-",AW$8),'[1]liste complet essai'!$A$4:$K$1367,4,)</f>
        <v>DK</v>
      </c>
      <c r="AX47" s="379" t="str">
        <f aca="false">VLOOKUP(CONCATENATE($AI47,"-",AX$8),'[1]liste complet essai'!$A$4:$K$1367,4,)</f>
        <v>DK</v>
      </c>
      <c r="AY47" s="379" t="str">
        <f aca="false">VLOOKUP(CONCATENATE($AI47,"-",AY$8),'[1]liste complet essai'!$A$4:$K$1367,4,)</f>
        <v>DK</v>
      </c>
      <c r="AZ47" s="379" t="str">
        <f aca="false">VLOOKUP(CONCATENATE($AI47,"-",AZ$8),'[1]liste complet essai'!$A$4:$K$1367,4,)</f>
        <v>DK</v>
      </c>
      <c r="BA47" s="379" t="str">
        <f aca="false">VLOOKUP(CONCATENATE($AI47,"-",BA$8),'[1]liste complet essai'!$A$4:$K$1367,4,)</f>
        <v>DK</v>
      </c>
      <c r="BB47" s="379" t="str">
        <f aca="false">VLOOKUP(CONCATENATE($AI47,"-",BB$8),'[1]liste complet essai'!$A$4:$K$1367,4,)</f>
        <v>DK</v>
      </c>
      <c r="BC47" s="379" t="str">
        <f aca="false">VLOOKUP(CONCATENATE($AI47,"-",BC$8),'[1]liste complet essai'!$A$4:$K$1367,4,)</f>
        <v>DK</v>
      </c>
      <c r="BD47" s="379" t="str">
        <f aca="false">VLOOKUP(CONCATENATE($AI47,"-",BD$8),'[1]liste complet essai'!$A$4:$K$1367,4,)</f>
        <v>DK</v>
      </c>
      <c r="BE47" s="379" t="str">
        <f aca="false">VLOOKUP(CONCATENATE($AI47,"-",BE$8),'[1]liste complet essai'!$A$4:$K$1367,4,)</f>
        <v>DK</v>
      </c>
      <c r="BF47" s="379" t="str">
        <f aca="false">VLOOKUP(CONCATENATE($AI47,"-",BF$8),'[1]liste complet essai'!$A$4:$K$1367,4,)</f>
        <v>DK</v>
      </c>
      <c r="BG47" s="379" t="str">
        <f aca="false">VLOOKUP(CONCATENATE($AI47,"-",BG$8),'[1]liste complet essai'!$A$4:$K$1367,4,)</f>
        <v>DK</v>
      </c>
      <c r="BH47" s="379" t="str">
        <f aca="false">VLOOKUP(CONCATENATE($AI47,"-",BH$8),'[1]liste complet essai'!$A$4:$K$1367,4,)</f>
        <v>DK</v>
      </c>
      <c r="BI47" s="379" t="str">
        <f aca="false">VLOOKUP(CONCATENATE($AI47,"-",BI$8),'[1]liste complet essai'!$A$4:$K$1367,4,)</f>
        <v>DK</v>
      </c>
      <c r="BJ47" s="379" t="str">
        <f aca="false">VLOOKUP(CONCATENATE($AI47,"-",BJ$8),'[1]liste complet essai'!$A$4:$K$1367,4,)</f>
        <v>DK</v>
      </c>
      <c r="BK47" s="379" t="str">
        <f aca="false">VLOOKUP(CONCATENATE($AI47,"-",BK$8),'[1]liste complet essai'!$A$4:$K$1367,4,)</f>
        <v>DK</v>
      </c>
      <c r="BL47" s="379" t="str">
        <f aca="false">VLOOKUP(CONCATENATE($AI47,"-",BL$8),'[1]liste complet essai'!$A$4:$K$1367,4,)</f>
        <v>DK</v>
      </c>
      <c r="BM47" s="379" t="str">
        <f aca="false">VLOOKUP(CONCATENATE($AI47,"-",BM$8),'[1]liste complet essai'!$A$4:$K$1367,4,)</f>
        <v>DK</v>
      </c>
      <c r="BN47" s="379" t="str">
        <f aca="false">VLOOKUP(CONCATENATE($AI47,"-",BN$8),'[1]liste complet essai'!$A$4:$K$1367,4,)</f>
        <v>DK</v>
      </c>
      <c r="BO47" s="379" t="str">
        <f aca="false">VLOOKUP(CONCATENATE($AI47,"-",BO$8),'[1]liste complet essai'!$A$4:$K$1367,4,)</f>
        <v>DK</v>
      </c>
      <c r="BP47" s="379" t="str">
        <f aca="false">VLOOKUP(CONCATENATE($AI47,"-",BP$8),'[1]liste complet essai'!$A$4:$K$1367,4,)</f>
        <v>DK</v>
      </c>
      <c r="BQ47" s="379" t="str">
        <f aca="false">VLOOKUP(CONCATENATE($AI47,"-",BQ$8),'[1]liste complet essai'!$A$4:$K$1367,4,)</f>
        <v>DK</v>
      </c>
      <c r="BR47" s="379" t="str">
        <f aca="false">VLOOKUP(CONCATENATE($AI47,"-",BR$8),'[1]liste complet essai'!$A$4:$K$1367,4,)</f>
        <v>DK</v>
      </c>
      <c r="BS47" s="374"/>
      <c r="BT47" s="374"/>
      <c r="BU47" s="374"/>
      <c r="BV47" s="374"/>
      <c r="BW47" s="374"/>
      <c r="BX47" s="374"/>
      <c r="BY47" s="374"/>
      <c r="BZ47" s="374"/>
      <c r="CA47" s="374"/>
      <c r="CB47" s="374"/>
      <c r="CC47" s="379" t="str">
        <f aca="false">VLOOKUP(CONCATENATE($AI47,"-",CC$8),'[1]liste complet essai'!$A$4:$K$1367,4,)</f>
        <v>DK</v>
      </c>
      <c r="CD47" s="379" t="str">
        <f aca="false">VLOOKUP(CONCATENATE($AI47,"-",CD$8),'[1]liste complet essai'!$A$4:$K$1367,4,)</f>
        <v>DK</v>
      </c>
      <c r="CE47" s="379" t="str">
        <f aca="false">VLOOKUP(CONCATENATE($AI47,"-",CE$8),'[1]liste complet essai'!$A$4:$K$1367,4,)</f>
        <v>DK</v>
      </c>
      <c r="CF47" s="379" t="str">
        <f aca="false">VLOOKUP(CONCATENATE($AI47,"-",CF$8),'[1]liste complet essai'!$A$4:$K$1367,4,)</f>
        <v>DK</v>
      </c>
      <c r="CG47" s="379" t="str">
        <f aca="false">VLOOKUP(CONCATENATE($AI47,"-",CG$8),'[1]liste complet essai'!$A$4:$K$1367,4,)</f>
        <v>DK</v>
      </c>
      <c r="CH47" s="379" t="str">
        <f aca="false">VLOOKUP(CONCATENATE($AI47,"-",CH$8),'[1]liste complet essai'!$A$4:$K$1367,4,)</f>
        <v>DK</v>
      </c>
      <c r="CI47" s="379" t="str">
        <f aca="false">VLOOKUP(CONCATENATE($AI47,"-",CI$8),'[1]liste complet essai'!$A$4:$K$1367,4,)</f>
        <v>DK</v>
      </c>
      <c r="CJ47" s="379" t="str">
        <f aca="false">VLOOKUP(CONCATENATE($AI47,"-",CJ$8),'[1]liste complet essai'!$A$4:$K$1367,4,)</f>
        <v>DK</v>
      </c>
      <c r="CK47" s="379" t="str">
        <f aca="false">VLOOKUP(CONCATENATE($AI47,"-",CK$8),'[1]liste complet essai'!$A$4:$K$1367,4,)</f>
        <v>DK</v>
      </c>
      <c r="CL47" s="379" t="str">
        <f aca="false">VLOOKUP(CONCATENATE($AI47,"-",CL$8),'[1]liste complet essai'!$A$4:$K$1367,4,)</f>
        <v>DK</v>
      </c>
      <c r="CM47" s="379" t="str">
        <f aca="false">VLOOKUP(CONCATENATE($AI47,"-",CM$8),'[1]liste complet essai'!$A$4:$K$1367,4,)</f>
        <v>DK</v>
      </c>
      <c r="CN47" s="379" t="str">
        <f aca="false">VLOOKUP(CONCATENATE($AI47,"-",CN$8),'[1]liste complet essai'!$A$4:$K$1367,4,)</f>
        <v>DK</v>
      </c>
      <c r="CO47" s="379" t="str">
        <f aca="false">VLOOKUP(CONCATENATE($AI47,"-",CO$8),'[1]liste complet essai'!$A$4:$K$1367,4,)</f>
        <v>DK</v>
      </c>
      <c r="CP47" s="379" t="str">
        <f aca="false">VLOOKUP(CONCATENATE($AI47,"-",CP$8),'[1]liste complet essai'!$A$4:$K$1367,4,)</f>
        <v>DK</v>
      </c>
      <c r="CQ47" s="379" t="str">
        <f aca="false">VLOOKUP(CONCATENATE($AI47,"-",CQ$8),'[1]liste complet essai'!$A$4:$K$1367,4,)</f>
        <v>DK</v>
      </c>
      <c r="CR47" s="366" t="str">
        <f aca="false">VLOOKUP(CONCATENATE($AI47,"-",CR$8),'[1]liste complet essai'!$A$4:$K$1367,4,)</f>
        <v>DK</v>
      </c>
      <c r="CS47" s="379" t="str">
        <f aca="false">VLOOKUP(CONCATENATE($AI47,"-",CS$8),'[1]liste complet essai'!$A$4:$K$1367,4,)</f>
        <v>DK</v>
      </c>
      <c r="CT47" s="322" t="str">
        <f aca="false">VLOOKUP(CONCATENATE($AI47,"-",CT$8),'[1]liste complet essai'!$A$4:$K$1367,4,)</f>
        <v>DK</v>
      </c>
      <c r="CU47" s="379" t="str">
        <f aca="false">VLOOKUP(CONCATENATE($AI47,"-",CU$8),'[1]liste complet essai'!$A$4:$K$1367,4,)</f>
        <v>DK</v>
      </c>
      <c r="CV47" s="379" t="str">
        <f aca="false">VLOOKUP(CONCATENATE($AI47,"-",CV$8),'[1]liste complet essai'!$A$4:$K$1367,4,)</f>
        <v>DK</v>
      </c>
      <c r="CW47" s="379" t="str">
        <f aca="false">VLOOKUP(CONCATENATE($AI47,"-",CW$8),'[1]liste complet essai'!$A$4:$K$1367,4,)</f>
        <v>DK</v>
      </c>
      <c r="CX47" s="379" t="str">
        <f aca="false">VLOOKUP(CONCATENATE($AI47,"-",CX$8),'[1]liste complet essai'!$A$4:$K$1367,4,)</f>
        <v>DK</v>
      </c>
      <c r="CY47" s="379" t="str">
        <f aca="false">VLOOKUP(CONCATENATE($AI47,"-",CY$8),'[1]liste complet essai'!$A$4:$K$1367,4,)</f>
        <v>DK</v>
      </c>
      <c r="CZ47" s="366" t="str">
        <f aca="false">VLOOKUP(CONCATENATE($AI47,"-",CZ$8),'[1]liste complet essai'!$A$4:$K$1367,4,)</f>
        <v>DK</v>
      </c>
      <c r="DA47" s="379" t="str">
        <f aca="false">VLOOKUP(CONCATENATE($AI47,"-",DA$8),'[1]liste complet essai'!$A$4:$K$1367,4,)</f>
        <v>DK</v>
      </c>
      <c r="DB47" s="379" t="str">
        <f aca="false">VLOOKUP(CONCATENATE($AI47,"-",DB$8),'[1]liste complet essai'!$A$4:$K$1367,4,)</f>
        <v>DK</v>
      </c>
      <c r="DC47" s="379" t="str">
        <f aca="false">VLOOKUP(CONCATENATE($AI47,"-",DC$8),'[1]liste complet essai'!$A$4:$K$1367,4,)</f>
        <v>DK</v>
      </c>
      <c r="DD47" s="379" t="str">
        <f aca="false">VLOOKUP(CONCATENATE($AI47,"-",DD$8),'[1]liste complet essai'!$A$4:$K$1367,4,)</f>
        <v>DK</v>
      </c>
      <c r="DE47" s="379" t="str">
        <f aca="false">VLOOKUP(CONCATENATE($AI47,"-",DE$8),'[1]liste complet essai'!$A$4:$K$1367,4,)</f>
        <v>DK</v>
      </c>
      <c r="DF47" s="379" t="str">
        <f aca="false">VLOOKUP(CONCATENATE($AI47,"-",DF$8),'[1]liste complet essai'!$A$4:$K$1367,4,)</f>
        <v>DK</v>
      </c>
      <c r="DG47" s="368" t="str">
        <f aca="false">VLOOKUP(CONCATENATE($AI47,"-",DG$8),'[1]liste complet essai'!$A$4:$K$1367,4,)</f>
        <v>DK</v>
      </c>
      <c r="DH47" s="379" t="str">
        <f aca="false">VLOOKUP(CONCATENATE($AI47,"-",DH$8),'[1]liste complet essai'!$A$4:$K$1367,4,)</f>
        <v>DK</v>
      </c>
      <c r="DI47" s="378" t="s">
        <v>8122</v>
      </c>
      <c r="DJ47" s="322"/>
      <c r="DK47" s="380" t="s">
        <v>8122</v>
      </c>
    </row>
    <row r="48" customFormat="false" ht="12" hidden="false" customHeight="false" outlineLevel="0" collapsed="false">
      <c r="B48" s="293"/>
      <c r="C48" s="351"/>
      <c r="D48" s="307"/>
      <c r="E48" s="352"/>
      <c r="F48" s="311" t="str">
        <f aca="false">VLOOKUP(CONCATENATE($B46,"-",F$8),'[1]liste complet essai'!$A$4:$K$1367,5,)</f>
        <v>G-082</v>
      </c>
      <c r="G48" s="311" t="str">
        <f aca="false">VLOOKUP(CONCATENATE($B46,"-",G$8),'[1]liste complet essai'!$A$4:$K$1367,5,)</f>
        <v>G-119</v>
      </c>
      <c r="H48" s="311" t="str">
        <f aca="false">VLOOKUP(CONCATENATE($B46,"-",H$8),'[1]liste complet essai'!$A$4:$K$1367,5,)</f>
        <v>G-105</v>
      </c>
      <c r="I48" s="311" t="str">
        <f aca="false">VLOOKUP(CONCATENATE($B46,"-",I$8),'[1]liste complet essai'!$A$4:$K$1367,5,)</f>
        <v>G-099</v>
      </c>
      <c r="J48" s="311" t="str">
        <f aca="false">VLOOKUP(CONCATENATE($B46,"-",J$8),'[1]liste complet essai'!$A$4:$K$1367,5,)</f>
        <v>G-040</v>
      </c>
      <c r="K48" s="311" t="str">
        <f aca="false">VLOOKUP(CONCATENATE($B46,"-",K$8),'[1]liste complet essai'!$A$4:$K$1367,5,)</f>
        <v>G-005</v>
      </c>
      <c r="L48" s="311" t="str">
        <f aca="false">VLOOKUP(CONCATENATE($B46,"-",L$8),'[1]liste complet essai'!$A$4:$K$1367,5,)</f>
        <v>G-017</v>
      </c>
      <c r="M48" s="311" t="str">
        <f aca="false">VLOOKUP(CONCATENATE($B46,"-",M$8),'[1]liste complet essai'!$A$4:$K$1367,5,)</f>
        <v>G-008</v>
      </c>
      <c r="N48" s="311" t="str">
        <f aca="false">VLOOKUP(CONCATENATE($B46,"-",N$8),'[1]liste complet essai'!$A$4:$K$1367,5,)</f>
        <v>G-077</v>
      </c>
      <c r="O48" s="311" t="str">
        <f aca="false">VLOOKUP(CONCATENATE($B46,"-",O$8),'[1]liste complet essai'!$A$4:$K$1367,5,)</f>
        <v>G-064</v>
      </c>
      <c r="P48" s="311" t="str">
        <f aca="false">VLOOKUP(CONCATENATE($B46,"-",P$8),'[1]liste complet essai'!$A$4:$K$1367,5,)</f>
        <v>G-018</v>
      </c>
      <c r="Q48" s="311" t="str">
        <f aca="false">VLOOKUP(CONCATENATE($B46,"-",Q$8),'[1]liste complet essai'!$A$4:$K$1367,5,)</f>
        <v>G-083</v>
      </c>
      <c r="R48" s="311" t="str">
        <f aca="false">VLOOKUP(CONCATENATE($B46,"-",R$8),'[1]liste complet essai'!$A$4:$K$1367,5,)</f>
        <v>G-035</v>
      </c>
      <c r="S48" s="311" t="str">
        <f aca="false">VLOOKUP(CONCATENATE($B46,"-",S$8),'[1]liste complet essai'!$A$4:$K$1367,5,)</f>
        <v>G-124</v>
      </c>
      <c r="T48" s="311" t="str">
        <f aca="false">VLOOKUP(CONCATENATE($B46,"-",T$8),'[1]liste complet essai'!$A$4:$K$1367,5,)</f>
        <v>G-085</v>
      </c>
      <c r="U48" s="311" t="str">
        <f aca="false">VLOOKUP(CONCATENATE($B46,"-",U$8),'[1]liste complet essai'!$A$4:$K$1367,5,)</f>
        <v>G-065</v>
      </c>
      <c r="V48" s="311" t="str">
        <f aca="false">VLOOKUP(CONCATENATE($B46,"-",V$8),'[1]liste complet essai'!$A$4:$K$1367,5,)</f>
        <v>G-072</v>
      </c>
      <c r="W48" s="311" t="str">
        <f aca="false">VLOOKUP(CONCATENATE($B46,"-",W$8),'[1]liste complet essai'!$A$4:$K$1367,5,)</f>
        <v>G-023</v>
      </c>
      <c r="X48" s="311" t="str">
        <f aca="false">VLOOKUP(CONCATENATE($B46,"-",X$8),'[1]liste complet essai'!$A$4:$K$1367,5,)</f>
        <v>G-015</v>
      </c>
      <c r="Y48" s="311" t="str">
        <f aca="false">VLOOKUP(CONCATENATE($B46,"-",Y$8),'[1]liste complet essai'!$A$4:$K$1367,5,)</f>
        <v>G-010</v>
      </c>
      <c r="Z48" s="311" t="str">
        <f aca="false">VLOOKUP(CONCATENATE($B46,"-",Z$8),'[1]liste complet essai'!$A$4:$K$1367,5,)</f>
        <v>G-063</v>
      </c>
      <c r="AA48" s="311" t="str">
        <f aca="false">VLOOKUP(CONCATENATE($B46,"-",AA$8),'[1]liste complet essai'!$A$4:$K$1367,5,)</f>
        <v>G-117</v>
      </c>
      <c r="AB48" s="311" t="str">
        <f aca="false">VLOOKUP(CONCATENATE($B46,"-",AB$8),'[1]liste complet essai'!$A$4:$K$1367,5,)</f>
        <v>G-038</v>
      </c>
      <c r="AC48" s="311" t="str">
        <f aca="false">VLOOKUP(CONCATENATE($B46,"-",AC$8),'[1]liste complet essai'!$A$4:$K$1367,5,)</f>
        <v>G-089</v>
      </c>
      <c r="AD48" s="311" t="str">
        <f aca="false">VLOOKUP(CONCATENATE($B46,"-",AD$8),'[1]liste complet essai'!$A$4:$K$1367,5,)</f>
        <v>G-011</v>
      </c>
      <c r="AE48" s="311" t="str">
        <f aca="false">VLOOKUP(CONCATENATE($B46,"-",AE$8),'[1]liste complet essai'!$A$4:$K$1367,5,)</f>
        <v>G-110</v>
      </c>
      <c r="AF48" s="353"/>
      <c r="AI48" s="363"/>
      <c r="AJ48" s="377"/>
      <c r="AK48" s="309"/>
      <c r="AL48" s="378"/>
      <c r="AM48" s="372" t="str">
        <f aca="false">VLOOKUP(CONCATENATE($AI47,"-",AM$8),'[1]liste complet essai'!$A$4:$K$1367,9,)</f>
        <v>N2-b1</v>
      </c>
      <c r="AN48" s="372" t="str">
        <f aca="false">VLOOKUP(CONCATENATE($AI47,"-",AN$8),'[1]liste complet essai'!$A$4:$K$1367,9,)</f>
        <v>N2-b1</v>
      </c>
      <c r="AO48" s="372" t="str">
        <f aca="false">VLOOKUP(CONCATENATE($AI47,"-",AO$8),'[1]liste complet essai'!$A$4:$K$1367,9,)</f>
        <v>N2-b1</v>
      </c>
      <c r="AP48" s="372" t="str">
        <f aca="false">VLOOKUP(CONCATENATE($AI47,"-",AP$8),'[1]liste complet essai'!$A$4:$K$1367,9,)</f>
        <v>N2-b1</v>
      </c>
      <c r="AQ48" s="372" t="str">
        <f aca="false">VLOOKUP(CONCATENATE($AI47,"-",AQ$8),'[1]liste complet essai'!$A$4:$K$1367,9,)</f>
        <v>N2-b1</v>
      </c>
      <c r="AR48" s="372" t="str">
        <f aca="false">VLOOKUP(CONCATENATE($AI47,"-",AR$8),'[1]liste complet essai'!$A$4:$K$1367,9,)</f>
        <v>N2-b1</v>
      </c>
      <c r="AS48" s="372" t="str">
        <f aca="false">VLOOKUP(CONCATENATE($AI47,"-",AS$8),'[1]liste complet essai'!$A$4:$K$1367,9,)</f>
        <v>N2-b1</v>
      </c>
      <c r="AT48" s="372" t="str">
        <f aca="false">VLOOKUP(CONCATENATE($AI47,"-",AT$8),'[1]liste complet essai'!$A$4:$K$1367,9,)</f>
        <v>N2-b1</v>
      </c>
      <c r="AU48" s="372" t="str">
        <f aca="false">VLOOKUP(CONCATENATE($AI47,"-",AU$8),'[1]liste complet essai'!$A$4:$K$1367,9,)</f>
        <v>N2-b1</v>
      </c>
      <c r="AV48" s="372" t="str">
        <f aca="false">VLOOKUP(CONCATENATE($AI47,"-",AV$8),'[1]liste complet essai'!$A$4:$K$1367,9,)</f>
        <v>N2-b1</v>
      </c>
      <c r="AW48" s="372" t="str">
        <f aca="false">VLOOKUP(CONCATENATE($AI47,"-",AW$8),'[1]liste complet essai'!$A$4:$K$1367,9,)</f>
        <v>N2-b1</v>
      </c>
      <c r="AX48" s="372" t="str">
        <f aca="false">VLOOKUP(CONCATENATE($AI47,"-",AX$8),'[1]liste complet essai'!$A$4:$K$1367,9,)</f>
        <v>N2-b1</v>
      </c>
      <c r="AY48" s="372" t="str">
        <f aca="false">VLOOKUP(CONCATENATE($AI47,"-",AY$8),'[1]liste complet essai'!$A$4:$K$1367,9,)</f>
        <v>N2-b1</v>
      </c>
      <c r="AZ48" s="372" t="str">
        <f aca="false">VLOOKUP(CONCATENATE($AI47,"-",AZ$8),'[1]liste complet essai'!$A$4:$K$1367,9,)</f>
        <v>N2-b1</v>
      </c>
      <c r="BA48" s="372" t="str">
        <f aca="false">VLOOKUP(CONCATENATE($AI47,"-",BA$8),'[1]liste complet essai'!$A$4:$K$1367,9,)</f>
        <v>N2-b1</v>
      </c>
      <c r="BB48" s="372" t="str">
        <f aca="false">VLOOKUP(CONCATENATE($AI47,"-",BB$8),'[1]liste complet essai'!$A$4:$K$1367,9,)</f>
        <v>N2-b1</v>
      </c>
      <c r="BC48" s="372" t="str">
        <f aca="false">VLOOKUP(CONCATENATE($AI47,"-",BC$8),'[1]liste complet essai'!$A$4:$K$1367,9,)</f>
        <v>N2-b1</v>
      </c>
      <c r="BD48" s="372" t="str">
        <f aca="false">VLOOKUP(CONCATENATE($AI47,"-",BD$8),'[1]liste complet essai'!$A$4:$K$1367,9,)</f>
        <v>N2-b1</v>
      </c>
      <c r="BE48" s="372" t="str">
        <f aca="false">VLOOKUP(CONCATENATE($AI47,"-",BE$8),'[1]liste complet essai'!$A$4:$K$1367,9,)</f>
        <v>N2-b1</v>
      </c>
      <c r="BF48" s="372" t="str">
        <f aca="false">VLOOKUP(CONCATENATE($AI47,"-",BF$8),'[1]liste complet essai'!$A$4:$K$1367,9,)</f>
        <v>N2-b1</v>
      </c>
      <c r="BG48" s="372" t="str">
        <f aca="false">VLOOKUP(CONCATENATE($AI47,"-",BG$8),'[1]liste complet essai'!$A$4:$K$1367,9,)</f>
        <v>N2-b1</v>
      </c>
      <c r="BH48" s="372" t="str">
        <f aca="false">VLOOKUP(CONCATENATE($AI47,"-",BH$8),'[1]liste complet essai'!$A$4:$K$1367,9,)</f>
        <v>N2-b1</v>
      </c>
      <c r="BI48" s="372" t="str">
        <f aca="false">VLOOKUP(CONCATENATE($AI47,"-",BI$8),'[1]liste complet essai'!$A$4:$K$1367,9,)</f>
        <v>N2-b1</v>
      </c>
      <c r="BJ48" s="372" t="str">
        <f aca="false">VLOOKUP(CONCATENATE($AI47,"-",BJ$8),'[1]liste complet essai'!$A$4:$K$1367,9,)</f>
        <v>N2-b1</v>
      </c>
      <c r="BK48" s="372" t="str">
        <f aca="false">VLOOKUP(CONCATENATE($AI47,"-",BK$8),'[1]liste complet essai'!$A$4:$K$1367,9,)</f>
        <v>N2-b1</v>
      </c>
      <c r="BL48" s="372" t="str">
        <f aca="false">VLOOKUP(CONCATENATE($AI47,"-",BL$8),'[1]liste complet essai'!$A$4:$K$1367,9,)</f>
        <v>N2-b1</v>
      </c>
      <c r="BM48" s="372" t="str">
        <f aca="false">VLOOKUP(CONCATENATE($AI47,"-",BM$8),'[1]liste complet essai'!$A$4:$K$1367,9,)</f>
        <v>N2-b1</v>
      </c>
      <c r="BN48" s="372" t="str">
        <f aca="false">VLOOKUP(CONCATENATE($AI47,"-",BN$8),'[1]liste complet essai'!$A$4:$K$1367,9,)</f>
        <v>N2-b1</v>
      </c>
      <c r="BO48" s="372" t="str">
        <f aca="false">VLOOKUP(CONCATENATE($AI47,"-",BO$8),'[1]liste complet essai'!$A$4:$K$1367,9,)</f>
        <v>N2-b1</v>
      </c>
      <c r="BP48" s="372" t="str">
        <f aca="false">VLOOKUP(CONCATENATE($AI47,"-",BP$8),'[1]liste complet essai'!$A$4:$K$1367,9,)</f>
        <v>N2-b1</v>
      </c>
      <c r="BQ48" s="372" t="str">
        <f aca="false">VLOOKUP(CONCATENATE($AI47,"-",BQ$8),'[1]liste complet essai'!$A$4:$K$1367,9,)</f>
        <v>N2-b1</v>
      </c>
      <c r="BR48" s="372" t="str">
        <f aca="false">VLOOKUP(CONCATENATE($AI47,"-",BR$8),'[1]liste complet essai'!$A$4:$K$1367,9,)</f>
        <v>N2-b1</v>
      </c>
      <c r="BS48" s="374"/>
      <c r="BT48" s="374"/>
      <c r="BU48" s="374"/>
      <c r="BV48" s="374"/>
      <c r="BW48" s="374"/>
      <c r="BX48" s="374"/>
      <c r="BY48" s="374"/>
      <c r="BZ48" s="374"/>
      <c r="CA48" s="374"/>
      <c r="CB48" s="374"/>
      <c r="CC48" s="372" t="str">
        <f aca="false">VLOOKUP(CONCATENATE($AI47,"-",CC$8),'[1]liste complet essai'!$A$4:$K$1367,9,)</f>
        <v>N2-b2</v>
      </c>
      <c r="CD48" s="372" t="str">
        <f aca="false">VLOOKUP(CONCATENATE($AI47,"-",CD$8),'[1]liste complet essai'!$A$4:$K$1367,9,)</f>
        <v>N2-b2</v>
      </c>
      <c r="CE48" s="372" t="str">
        <f aca="false">VLOOKUP(CONCATENATE($AI47,"-",CE$8),'[1]liste complet essai'!$A$4:$K$1367,9,)</f>
        <v>N2-b2</v>
      </c>
      <c r="CF48" s="372" t="str">
        <f aca="false">VLOOKUP(CONCATENATE($AI47,"-",CF$8),'[1]liste complet essai'!$A$4:$K$1367,9,)</f>
        <v>N2-b2</v>
      </c>
      <c r="CG48" s="372" t="str">
        <f aca="false">VLOOKUP(CONCATENATE($AI47,"-",CG$8),'[1]liste complet essai'!$A$4:$K$1367,9,)</f>
        <v>N2-b2</v>
      </c>
      <c r="CH48" s="372" t="str">
        <f aca="false">VLOOKUP(CONCATENATE($AI47,"-",CH$8),'[1]liste complet essai'!$A$4:$K$1367,9,)</f>
        <v>N2-b2</v>
      </c>
      <c r="CI48" s="372" t="str">
        <f aca="false">VLOOKUP(CONCATENATE($AI47,"-",CI$8),'[1]liste complet essai'!$A$4:$K$1367,9,)</f>
        <v>N2-b2</v>
      </c>
      <c r="CJ48" s="372" t="str">
        <f aca="false">VLOOKUP(CONCATENATE($AI47,"-",CJ$8),'[1]liste complet essai'!$A$4:$K$1367,9,)</f>
        <v>N2-b2</v>
      </c>
      <c r="CK48" s="372" t="str">
        <f aca="false">VLOOKUP(CONCATENATE($AI47,"-",CK$8),'[1]liste complet essai'!$A$4:$K$1367,9,)</f>
        <v>N2-b2</v>
      </c>
      <c r="CL48" s="372" t="str">
        <f aca="false">VLOOKUP(CONCATENATE($AI47,"-",CL$8),'[1]liste complet essai'!$A$4:$K$1367,9,)</f>
        <v>N2-b2</v>
      </c>
      <c r="CM48" s="372" t="str">
        <f aca="false">VLOOKUP(CONCATENATE($AI47,"-",CM$8),'[1]liste complet essai'!$A$4:$K$1367,9,)</f>
        <v>N2-b2</v>
      </c>
      <c r="CN48" s="372" t="str">
        <f aca="false">VLOOKUP(CONCATENATE($AI47,"-",CN$8),'[1]liste complet essai'!$A$4:$K$1367,9,)</f>
        <v>N2-b2</v>
      </c>
      <c r="CO48" s="372" t="str">
        <f aca="false">VLOOKUP(CONCATENATE($AI47,"-",CO$8),'[1]liste complet essai'!$A$4:$K$1367,9,)</f>
        <v>N2-b2</v>
      </c>
      <c r="CP48" s="372" t="str">
        <f aca="false">VLOOKUP(CONCATENATE($AI47,"-",CP$8),'[1]liste complet essai'!$A$4:$K$1367,9,)</f>
        <v>N2-b2</v>
      </c>
      <c r="CQ48" s="372" t="str">
        <f aca="false">VLOOKUP(CONCATENATE($AI47,"-",CQ$8),'[1]liste complet essai'!$A$4:$K$1367,9,)</f>
        <v>N2-b2</v>
      </c>
      <c r="CR48" s="366" t="str">
        <f aca="false">VLOOKUP(CONCATENATE($AI47,"-",CR$8),'[1]liste complet essai'!$A$4:$K$1367,9,)</f>
        <v>N2-b2</v>
      </c>
      <c r="CS48" s="372" t="str">
        <f aca="false">VLOOKUP(CONCATENATE($AI47,"-",CS$8),'[1]liste complet essai'!$A$4:$K$1367,9,)</f>
        <v>N2-b2</v>
      </c>
      <c r="CT48" s="309" t="str">
        <f aca="false">VLOOKUP(CONCATENATE($AI47,"-",CT$8),'[1]liste complet essai'!$A$4:$K$1367,9,)</f>
        <v>N2-b2</v>
      </c>
      <c r="CU48" s="372" t="str">
        <f aca="false">VLOOKUP(CONCATENATE($AI47,"-",CU$8),'[1]liste complet essai'!$A$4:$K$1367,9,)</f>
        <v>N2-b2</v>
      </c>
      <c r="CV48" s="372" t="str">
        <f aca="false">VLOOKUP(CONCATENATE($AI47,"-",CV$8),'[1]liste complet essai'!$A$4:$K$1367,9,)</f>
        <v>N2-b2</v>
      </c>
      <c r="CW48" s="372" t="str">
        <f aca="false">VLOOKUP(CONCATENATE($AI47,"-",CW$8),'[1]liste complet essai'!$A$4:$K$1367,9,)</f>
        <v>N2-b2</v>
      </c>
      <c r="CX48" s="372" t="str">
        <f aca="false">VLOOKUP(CONCATENATE($AI47,"-",CX$8),'[1]liste complet essai'!$A$4:$K$1367,9,)</f>
        <v>N2-b2</v>
      </c>
      <c r="CY48" s="372" t="str">
        <f aca="false">VLOOKUP(CONCATENATE($AI47,"-",CY$8),'[1]liste complet essai'!$A$4:$K$1367,9,)</f>
        <v>N2-b2</v>
      </c>
      <c r="CZ48" s="366" t="str">
        <f aca="false">VLOOKUP(CONCATENATE($AI47,"-",CZ$8),'[1]liste complet essai'!$A$4:$K$1367,9,)</f>
        <v>N2-b2</v>
      </c>
      <c r="DA48" s="372" t="str">
        <f aca="false">VLOOKUP(CONCATENATE($AI47,"-",DA$8),'[1]liste complet essai'!$A$4:$K$1367,9,)</f>
        <v>N2-b2</v>
      </c>
      <c r="DB48" s="372" t="str">
        <f aca="false">VLOOKUP(CONCATENATE($AI47,"-",DB$8),'[1]liste complet essai'!$A$4:$K$1367,9,)</f>
        <v>N2-b2</v>
      </c>
      <c r="DC48" s="372" t="str">
        <f aca="false">VLOOKUP(CONCATENATE($AI47,"-",DC$8),'[1]liste complet essai'!$A$4:$K$1367,9,)</f>
        <v>N2-b2</v>
      </c>
      <c r="DD48" s="372" t="str">
        <f aca="false">VLOOKUP(CONCATENATE($AI47,"-",DD$8),'[1]liste complet essai'!$A$4:$K$1367,9,)</f>
        <v>N2-b2</v>
      </c>
      <c r="DE48" s="372" t="str">
        <f aca="false">VLOOKUP(CONCATENATE($AI47,"-",DE$8),'[1]liste complet essai'!$A$4:$K$1367,9,)</f>
        <v>N2-b2</v>
      </c>
      <c r="DF48" s="372" t="str">
        <f aca="false">VLOOKUP(CONCATENATE($AI47,"-",DF$8),'[1]liste complet essai'!$A$4:$K$1367,9,)</f>
        <v>N2-b2</v>
      </c>
      <c r="DG48" s="373" t="str">
        <f aca="false">VLOOKUP(CONCATENATE($AI47,"-",DG$8),'[1]liste complet essai'!$A$4:$K$1367,9,)</f>
        <v>N2-b2</v>
      </c>
      <c r="DH48" s="372" t="str">
        <f aca="false">VLOOKUP(CONCATENATE($AI47,"-",DH$8),'[1]liste complet essai'!$A$4:$K$1367,9,)</f>
        <v>N2-b2</v>
      </c>
      <c r="DI48" s="378"/>
      <c r="DJ48" s="309"/>
      <c r="DK48" s="380"/>
    </row>
    <row r="49" customFormat="false" ht="12" hidden="false" customHeight="false" outlineLevel="0" collapsed="false">
      <c r="B49" s="293"/>
      <c r="C49" s="351"/>
      <c r="D49" s="300"/>
      <c r="E49" s="352"/>
      <c r="F49" s="355" t="str">
        <f aca="false">VLOOKUP(CONCATENATE($B46,"-",F$8),'[1]liste complet essai'!$A$4:$K$1367,1,)</f>
        <v>24-65</v>
      </c>
      <c r="G49" s="355" t="str">
        <f aca="false">VLOOKUP(CONCATENATE($B46,"-",G$8),'[1]liste complet essai'!$A$4:$K$1367,1,)</f>
        <v>24-66</v>
      </c>
      <c r="H49" s="355" t="str">
        <f aca="false">VLOOKUP(CONCATENATE($B46,"-",H$8),'[1]liste complet essai'!$A$4:$K$1367,1,)</f>
        <v>24-67</v>
      </c>
      <c r="I49" s="355" t="str">
        <f aca="false">VLOOKUP(CONCATENATE($B46,"-",I$8),'[1]liste complet essai'!$A$4:$K$1367,1,)</f>
        <v>24-68</v>
      </c>
      <c r="J49" s="355" t="str">
        <f aca="false">VLOOKUP(CONCATENATE($B46,"-",J$8),'[1]liste complet essai'!$A$4:$K$1367,1,)</f>
        <v>24-69</v>
      </c>
      <c r="K49" s="355" t="str">
        <f aca="false">VLOOKUP(CONCATENATE($B46,"-",K$8),'[1]liste complet essai'!$A$4:$K$1367,1,)</f>
        <v>24-70</v>
      </c>
      <c r="L49" s="355" t="str">
        <f aca="false">VLOOKUP(CONCATENATE($B46,"-",L$8),'[1]liste complet essai'!$A$4:$K$1367,1,)</f>
        <v>24-71</v>
      </c>
      <c r="M49" s="355" t="str">
        <f aca="false">VLOOKUP(CONCATENATE($B46,"-",M$8),'[1]liste complet essai'!$A$4:$K$1367,1,)</f>
        <v>24-72</v>
      </c>
      <c r="N49" s="355" t="str">
        <f aca="false">VLOOKUP(CONCATENATE($B46,"-",N$8),'[1]liste complet essai'!$A$4:$K$1367,1,)</f>
        <v>24-73</v>
      </c>
      <c r="O49" s="355" t="str">
        <f aca="false">VLOOKUP(CONCATENATE($B46,"-",O$8),'[1]liste complet essai'!$A$4:$K$1367,1,)</f>
        <v>24-74</v>
      </c>
      <c r="P49" s="355" t="str">
        <f aca="false">VLOOKUP(CONCATENATE($B46,"-",P$8),'[1]liste complet essai'!$A$4:$K$1367,1,)</f>
        <v>24-75</v>
      </c>
      <c r="Q49" s="355" t="str">
        <f aca="false">VLOOKUP(CONCATENATE($B46,"-",Q$8),'[1]liste complet essai'!$A$4:$K$1367,1,)</f>
        <v>24-76</v>
      </c>
      <c r="R49" s="355" t="str">
        <f aca="false">VLOOKUP(CONCATENATE($B46,"-",R$8),'[1]liste complet essai'!$A$4:$K$1367,1,)</f>
        <v>24-77</v>
      </c>
      <c r="S49" s="355" t="str">
        <f aca="false">VLOOKUP(CONCATENATE($B46,"-",S$8),'[1]liste complet essai'!$A$4:$K$1367,1,)</f>
        <v>24-78</v>
      </c>
      <c r="T49" s="355" t="str">
        <f aca="false">VLOOKUP(CONCATENATE($B46,"-",T$8),'[1]liste complet essai'!$A$4:$K$1367,1,)</f>
        <v>24-79</v>
      </c>
      <c r="U49" s="355" t="str">
        <f aca="false">VLOOKUP(CONCATENATE($B46,"-",U$8),'[1]liste complet essai'!$A$4:$K$1367,1,)</f>
        <v>24-80</v>
      </c>
      <c r="V49" s="355" t="str">
        <f aca="false">VLOOKUP(CONCATENATE($B46,"-",V$8),'[1]liste complet essai'!$A$4:$K$1367,1,)</f>
        <v>24-81</v>
      </c>
      <c r="W49" s="355" t="str">
        <f aca="false">VLOOKUP(CONCATENATE($B46,"-",W$8),'[1]liste complet essai'!$A$4:$K$1367,1,)</f>
        <v>24-82</v>
      </c>
      <c r="X49" s="355" t="str">
        <f aca="false">VLOOKUP(CONCATENATE($B46,"-",X$8),'[1]liste complet essai'!$A$4:$K$1367,1,)</f>
        <v>24-83</v>
      </c>
      <c r="Y49" s="355" t="str">
        <f aca="false">VLOOKUP(CONCATENATE($B46,"-",Y$8),'[1]liste complet essai'!$A$4:$K$1367,1,)</f>
        <v>24-84</v>
      </c>
      <c r="Z49" s="355" t="str">
        <f aca="false">VLOOKUP(CONCATENATE($B46,"-",Z$8),'[1]liste complet essai'!$A$4:$K$1367,1,)</f>
        <v>24-85</v>
      </c>
      <c r="AA49" s="355" t="str">
        <f aca="false">VLOOKUP(CONCATENATE($B46,"-",AA$8),'[1]liste complet essai'!$A$4:$K$1367,1,)</f>
        <v>24-86</v>
      </c>
      <c r="AB49" s="355" t="str">
        <f aca="false">VLOOKUP(CONCATENATE($B46,"-",AB$8),'[1]liste complet essai'!$A$4:$K$1367,1,)</f>
        <v>24-87</v>
      </c>
      <c r="AC49" s="355" t="str">
        <f aca="false">VLOOKUP(CONCATENATE($B46,"-",AC$8),'[1]liste complet essai'!$A$4:$K$1367,1,)</f>
        <v>24-88</v>
      </c>
      <c r="AD49" s="355" t="str">
        <f aca="false">VLOOKUP(CONCATENATE($B46,"-",AD$8),'[1]liste complet essai'!$A$4:$K$1367,1,)</f>
        <v>24-89</v>
      </c>
      <c r="AE49" s="355" t="str">
        <f aca="false">VLOOKUP(CONCATENATE($B46,"-",AE$8),'[1]liste complet essai'!$A$4:$K$1367,1,)</f>
        <v>24-90</v>
      </c>
      <c r="AF49" s="353"/>
      <c r="AI49" s="363"/>
      <c r="AJ49" s="377"/>
      <c r="AK49" s="309"/>
      <c r="AL49" s="378"/>
      <c r="AM49" s="372" t="str">
        <f aca="false">VLOOKUP(CONCATENATE($AI47,"-",AM$8),'[1]liste complet essai'!$A$4:$K$1367,5,)</f>
        <v>G-149</v>
      </c>
      <c r="AN49" s="372" t="str">
        <f aca="false">VLOOKUP(CONCATENATE($AI47,"-",AN$8),'[1]liste complet essai'!$A$4:$K$1367,5,)</f>
        <v>G-209</v>
      </c>
      <c r="AO49" s="372" t="str">
        <f aca="false">VLOOKUP(CONCATENATE($AI47,"-",AO$8),'[1]liste complet essai'!$A$4:$K$1367,5,)</f>
        <v>G-196</v>
      </c>
      <c r="AP49" s="372" t="str">
        <f aca="false">VLOOKUP(CONCATENATE($AI47,"-",AP$8),'[1]liste complet essai'!$A$4:$K$1367,5,)</f>
        <v>G-200</v>
      </c>
      <c r="AQ49" s="372" t="str">
        <f aca="false">VLOOKUP(CONCATENATE($AI47,"-",AQ$8),'[1]liste complet essai'!$A$4:$K$1367,5,)</f>
        <v>G-189</v>
      </c>
      <c r="AR49" s="372" t="str">
        <f aca="false">VLOOKUP(CONCATENATE($AI47,"-",AR$8),'[1]liste complet essai'!$A$4:$K$1367,5,)</f>
        <v>G-175</v>
      </c>
      <c r="AS49" s="372" t="str">
        <f aca="false">VLOOKUP(CONCATENATE($AI47,"-",AS$8),'[1]liste complet essai'!$A$4:$K$1367,5,)</f>
        <v>G-139</v>
      </c>
      <c r="AT49" s="372" t="str">
        <f aca="false">VLOOKUP(CONCATENATE($AI47,"-",AT$8),'[1]liste complet essai'!$A$4:$K$1367,5,)</f>
        <v>G-158</v>
      </c>
      <c r="AU49" s="372" t="str">
        <f aca="false">VLOOKUP(CONCATENATE($AI47,"-",AU$8),'[1]liste complet essai'!$A$4:$K$1367,5,)</f>
        <v>G-190</v>
      </c>
      <c r="AV49" s="372" t="str">
        <f aca="false">VLOOKUP(CONCATENATE($AI47,"-",AV$8),'[1]liste complet essai'!$A$4:$K$1367,5,)</f>
        <v>G-202</v>
      </c>
      <c r="AW49" s="375" t="str">
        <f aca="false">VLOOKUP(CONCATENATE($AI47,"-",AW$8),'[1]liste complet essai'!$A$4:$K$1367,5,)</f>
        <v>G-126</v>
      </c>
      <c r="AX49" s="372" t="str">
        <f aca="false">VLOOKUP(CONCATENATE($AI47,"-",AX$8),'[1]liste complet essai'!$A$4:$K$1367,5,)</f>
        <v>G-182</v>
      </c>
      <c r="AY49" s="372" t="str">
        <f aca="false">VLOOKUP(CONCATENATE($AI47,"-",AY$8),'[1]liste complet essai'!$A$4:$K$1367,5,)</f>
        <v>G-138</v>
      </c>
      <c r="AZ49" s="372" t="str">
        <f aca="false">VLOOKUP(CONCATENATE($AI47,"-",AZ$8),'[1]liste complet essai'!$A$4:$K$1367,5,)</f>
        <v>G-168</v>
      </c>
      <c r="BA49" s="372" t="str">
        <f aca="false">VLOOKUP(CONCATENATE($AI47,"-",BA$8),'[1]liste complet essai'!$A$4:$K$1367,5,)</f>
        <v>G-191</v>
      </c>
      <c r="BB49" s="372" t="str">
        <f aca="false">VLOOKUP(CONCATENATE($AI47,"-",BB$8),'[1]liste complet essai'!$A$4:$K$1367,5,)</f>
        <v>G-164</v>
      </c>
      <c r="BC49" s="372" t="str">
        <f aca="false">VLOOKUP(CONCATENATE($AI47,"-",BC$8),'[1]liste complet essai'!$A$4:$K$1367,5,)</f>
        <v>G-172</v>
      </c>
      <c r="BD49" s="372" t="str">
        <f aca="false">VLOOKUP(CONCATENATE($AI47,"-",BD$8),'[1]liste complet essai'!$A$4:$K$1367,5,)</f>
        <v>G-136</v>
      </c>
      <c r="BE49" s="372" t="str">
        <f aca="false">VLOOKUP(CONCATENATE($AI47,"-",BE$8),'[1]liste complet essai'!$A$4:$K$1367,5,)</f>
        <v>G-143</v>
      </c>
      <c r="BF49" s="372" t="str">
        <f aca="false">VLOOKUP(CONCATENATE($AI47,"-",BF$8),'[1]liste complet essai'!$A$4:$K$1367,5,)</f>
        <v>G-130</v>
      </c>
      <c r="BG49" s="372" t="str">
        <f aca="false">VLOOKUP(CONCATENATE($AI47,"-",BG$8),'[1]liste complet essai'!$A$4:$K$1367,5,)</f>
        <v>G-131</v>
      </c>
      <c r="BH49" s="372" t="str">
        <f aca="false">VLOOKUP(CONCATENATE($AI47,"-",BH$8),'[1]liste complet essai'!$A$4:$K$1367,5,)</f>
        <v>G-157</v>
      </c>
      <c r="BI49" s="372" t="str">
        <f aca="false">VLOOKUP(CONCATENATE($AI47,"-",BI$8),'[1]liste complet essai'!$A$4:$K$1367,5,)</f>
        <v>G-159</v>
      </c>
      <c r="BJ49" s="372" t="str">
        <f aca="false">VLOOKUP(CONCATENATE($AI47,"-",BJ$8),'[1]liste complet essai'!$A$4:$K$1367,5,)</f>
        <v>G-148</v>
      </c>
      <c r="BK49" s="372" t="str">
        <f aca="false">VLOOKUP(CONCATENATE($AI47,"-",BK$8),'[1]liste complet essai'!$A$4:$K$1367,5,)</f>
        <v>G-165</v>
      </c>
      <c r="BL49" s="372" t="str">
        <f aca="false">VLOOKUP(CONCATENATE($AI47,"-",BL$8),'[1]liste complet essai'!$A$4:$K$1367,5,)</f>
        <v>G-180</v>
      </c>
      <c r="BM49" s="372" t="str">
        <f aca="false">VLOOKUP(CONCATENATE($AI47,"-",BM$8),'[1]liste complet essai'!$A$4:$K$1367,5,)</f>
        <v>G-201</v>
      </c>
      <c r="BN49" s="372" t="str">
        <f aca="false">VLOOKUP(CONCATENATE($AI47,"-",BN$8),'[1]liste complet essai'!$A$4:$K$1367,5,)</f>
        <v>G-173</v>
      </c>
      <c r="BO49" s="372" t="str">
        <f aca="false">VLOOKUP(CONCATENATE($AI47,"-",BO$8),'[1]liste complet essai'!$A$4:$K$1367,5,)</f>
        <v>G-206</v>
      </c>
      <c r="BP49" s="372" t="str">
        <f aca="false">VLOOKUP(CONCATENATE($AI47,"-",BP$8),'[1]liste complet essai'!$A$4:$K$1367,5,)</f>
        <v>G-192</v>
      </c>
      <c r="BQ49" s="372" t="str">
        <f aca="false">VLOOKUP(CONCATENATE($AI47,"-",BQ$8),'[1]liste complet essai'!$A$4:$K$1367,5,)</f>
        <v>G-151</v>
      </c>
      <c r="BR49" s="372" t="str">
        <f aca="false">VLOOKUP(CONCATENATE($AI47,"-",BR$8),'[1]liste complet essai'!$A$4:$K$1367,5,)</f>
        <v>G-155</v>
      </c>
      <c r="BS49" s="374"/>
      <c r="BT49" s="374"/>
      <c r="BU49" s="374"/>
      <c r="BV49" s="374"/>
      <c r="BW49" s="374"/>
      <c r="BX49" s="374"/>
      <c r="BY49" s="374"/>
      <c r="BZ49" s="374"/>
      <c r="CA49" s="374"/>
      <c r="CB49" s="374"/>
      <c r="CC49" s="372" t="str">
        <f aca="false">VLOOKUP(CONCATENATE($AI47,"-",CC$8),'[1]liste complet essai'!$A$4:$K$1367,5,)</f>
        <v>G-170</v>
      </c>
      <c r="CD49" s="372" t="str">
        <f aca="false">VLOOKUP(CONCATENATE($AI47,"-",CD$8),'[1]liste complet essai'!$A$4:$K$1367,5,)</f>
        <v>G-199</v>
      </c>
      <c r="CE49" s="372" t="str">
        <f aca="false">VLOOKUP(CONCATENATE($AI47,"-",CE$8),'[1]liste complet essai'!$A$4:$K$1367,5,)</f>
        <v>G-129</v>
      </c>
      <c r="CF49" s="372" t="str">
        <f aca="false">VLOOKUP(CONCATENATE($AI47,"-",CF$8),'[1]liste complet essai'!$A$4:$K$1367,5,)</f>
        <v>G-165</v>
      </c>
      <c r="CG49" s="372" t="str">
        <f aca="false">VLOOKUP(CONCATENATE($AI47,"-",CG$8),'[1]liste complet essai'!$A$4:$K$1367,5,)</f>
        <v>G-137</v>
      </c>
      <c r="CH49" s="372" t="str">
        <f aca="false">VLOOKUP(CONCATENATE($AI47,"-",CH$8),'[1]liste complet essai'!$A$4:$K$1367,5,)</f>
        <v>G-162</v>
      </c>
      <c r="CI49" s="372" t="str">
        <f aca="false">VLOOKUP(CONCATENATE($AI47,"-",CI$8),'[1]liste complet essai'!$A$4:$K$1367,5,)</f>
        <v>G-138</v>
      </c>
      <c r="CJ49" s="372" t="str">
        <f aca="false">VLOOKUP(CONCATENATE($AI47,"-",CJ$8),'[1]liste complet essai'!$A$4:$K$1367,5,)</f>
        <v>G-191</v>
      </c>
      <c r="CK49" s="372" t="str">
        <f aca="false">VLOOKUP(CONCATENATE($AI47,"-",CK$8),'[1]liste complet essai'!$A$4:$K$1367,5,)</f>
        <v>G-206</v>
      </c>
      <c r="CL49" s="372" t="str">
        <f aca="false">VLOOKUP(CONCATENATE($AI47,"-",CL$8),'[1]liste complet essai'!$A$4:$K$1367,5,)</f>
        <v>G-168</v>
      </c>
      <c r="CM49" s="372" t="str">
        <f aca="false">VLOOKUP(CONCATENATE($AI47,"-",CM$8),'[1]liste complet essai'!$A$4:$K$1367,5,)</f>
        <v>G-186</v>
      </c>
      <c r="CN49" s="372" t="str">
        <f aca="false">VLOOKUP(CONCATENATE($AI47,"-",CN$8),'[1]liste complet essai'!$A$4:$K$1367,5,)</f>
        <v>G-147</v>
      </c>
      <c r="CO49" s="372" t="str">
        <f aca="false">VLOOKUP(CONCATENATE($AI47,"-",CO$8),'[1]liste complet essai'!$A$4:$K$1367,5,)</f>
        <v>G-197</v>
      </c>
      <c r="CP49" s="372" t="str">
        <f aca="false">VLOOKUP(CONCATENATE($AI47,"-",CP$8),'[1]liste complet essai'!$A$4:$K$1367,5,)</f>
        <v>G-144</v>
      </c>
      <c r="CQ49" s="372" t="str">
        <f aca="false">VLOOKUP(CONCATENATE($AI47,"-",CQ$8),'[1]liste complet essai'!$A$4:$K$1367,5,)</f>
        <v>G-166</v>
      </c>
      <c r="CR49" s="375" t="str">
        <f aca="false">VLOOKUP(CONCATENATE($AI47,"-",CR$8),'[1]liste complet essai'!$A$4:$K$1367,5,)</f>
        <v>G-126</v>
      </c>
      <c r="CS49" s="372" t="str">
        <f aca="false">VLOOKUP(CONCATENATE($AI47,"-",CS$8),'[1]liste complet essai'!$A$4:$K$1367,5,)</f>
        <v>G-203</v>
      </c>
      <c r="CT49" s="376" t="str">
        <f aca="false">VLOOKUP(CONCATENATE($AI47,"-",CT$8),'[1]liste complet essai'!$A$4:$K$1367,5,)</f>
        <v>G-126</v>
      </c>
      <c r="CU49" s="372" t="str">
        <f aca="false">VLOOKUP(CONCATENATE($AI47,"-",CU$8),'[1]liste complet essai'!$A$4:$K$1367,5,)</f>
        <v>G-164</v>
      </c>
      <c r="CV49" s="372" t="str">
        <f aca="false">VLOOKUP(CONCATENATE($AI47,"-",CV$8),'[1]liste complet essai'!$A$4:$K$1367,5,)</f>
        <v>G-157</v>
      </c>
      <c r="CW49" s="372" t="str">
        <f aca="false">VLOOKUP(CONCATENATE($AI47,"-",CW$8),'[1]liste complet essai'!$A$4:$K$1367,5,)</f>
        <v>G-176</v>
      </c>
      <c r="CX49" s="372" t="str">
        <f aca="false">VLOOKUP(CONCATENATE($AI47,"-",CX$8),'[1]liste complet essai'!$A$4:$K$1367,5,)</f>
        <v>G-204</v>
      </c>
      <c r="CY49" s="372" t="str">
        <f aca="false">VLOOKUP(CONCATENATE($AI47,"-",CY$8),'[1]liste complet essai'!$A$4:$K$1367,5,)</f>
        <v>G-163</v>
      </c>
      <c r="CZ49" s="375" t="str">
        <f aca="false">VLOOKUP(CONCATENATE($AI47,"-",CZ$8),'[1]liste complet essai'!$A$4:$K$1367,5,)</f>
        <v>G-125</v>
      </c>
      <c r="DA49" s="372" t="str">
        <f aca="false">VLOOKUP(CONCATENATE($AI47,"-",DA$8),'[1]liste complet essai'!$A$4:$K$1367,5,)</f>
        <v>G-207</v>
      </c>
      <c r="DB49" s="372" t="str">
        <f aca="false">VLOOKUP(CONCATENATE($AI47,"-",DB$8),'[1]liste complet essai'!$A$4:$K$1367,5,)</f>
        <v>G-214</v>
      </c>
      <c r="DC49" s="372" t="str">
        <f aca="false">VLOOKUP(CONCATENATE($AI47,"-",DC$8),'[1]liste complet essai'!$A$4:$K$1367,5,)</f>
        <v>G-205</v>
      </c>
      <c r="DD49" s="372" t="str">
        <f aca="false">VLOOKUP(CONCATENATE($AI47,"-",DD$8),'[1]liste complet essai'!$A$4:$K$1367,5,)</f>
        <v>G-171</v>
      </c>
      <c r="DE49" s="372" t="str">
        <f aca="false">VLOOKUP(CONCATENATE($AI47,"-",DE$8),'[1]liste complet essai'!$A$4:$K$1367,5,)</f>
        <v>G-145</v>
      </c>
      <c r="DF49" s="372" t="str">
        <f aca="false">VLOOKUP(CONCATENATE($AI47,"-",DF$8),'[1]liste complet essai'!$A$4:$K$1367,5,)</f>
        <v>G-149</v>
      </c>
      <c r="DG49" s="376" t="str">
        <f aca="false">VLOOKUP(CONCATENATE($AI47,"-",DG$8),'[1]liste complet essai'!$A$4:$K$1367,5,)</f>
        <v>G-126</v>
      </c>
      <c r="DH49" s="372" t="str">
        <f aca="false">VLOOKUP(CONCATENATE($AI47,"-",DH$8),'[1]liste complet essai'!$A$4:$K$1367,5,)</f>
        <v>G-127</v>
      </c>
      <c r="DI49" s="378"/>
      <c r="DJ49" s="309"/>
      <c r="DK49" s="380"/>
    </row>
    <row r="50" customFormat="false" ht="12.65" hidden="false" customHeight="false" outlineLevel="0" collapsed="false">
      <c r="B50" s="341"/>
      <c r="C50" s="381"/>
      <c r="D50" s="382"/>
      <c r="E50" s="381"/>
      <c r="F50" s="381"/>
      <c r="G50" s="381"/>
      <c r="H50" s="381"/>
      <c r="I50" s="381"/>
      <c r="J50" s="381"/>
      <c r="K50" s="381"/>
      <c r="L50" s="381"/>
      <c r="M50" s="381"/>
      <c r="N50" s="381"/>
      <c r="O50" s="381"/>
      <c r="P50" s="381"/>
      <c r="Q50" s="381"/>
      <c r="R50" s="381"/>
      <c r="S50" s="381"/>
      <c r="T50" s="381"/>
      <c r="U50" s="381"/>
      <c r="V50" s="381"/>
      <c r="W50" s="381"/>
      <c r="X50" s="381"/>
      <c r="Y50" s="381"/>
      <c r="Z50" s="381"/>
      <c r="AA50" s="381"/>
      <c r="AB50" s="381"/>
      <c r="AC50" s="381"/>
      <c r="AD50" s="381"/>
      <c r="AE50" s="381"/>
      <c r="AF50" s="381"/>
      <c r="AI50" s="363"/>
      <c r="AJ50" s="377"/>
      <c r="AK50" s="317"/>
      <c r="AL50" s="378"/>
      <c r="AM50" s="383" t="str">
        <f aca="false">VLOOKUP(CONCATENATE($AI47,"-",AM$8),'[1]liste complet essai'!$A$4:$K$1367,1,)</f>
        <v>10-01</v>
      </c>
      <c r="AN50" s="383" t="str">
        <f aca="false">VLOOKUP(CONCATENATE($AI47,"-",AN$8),'[1]liste complet essai'!$A$4:$K$1367,1,)</f>
        <v>10-02</v>
      </c>
      <c r="AO50" s="383" t="str">
        <f aca="false">VLOOKUP(CONCATENATE($AI47,"-",AO$8),'[1]liste complet essai'!$A$4:$K$1367,1,)</f>
        <v>10-03</v>
      </c>
      <c r="AP50" s="383" t="str">
        <f aca="false">VLOOKUP(CONCATENATE($AI47,"-",AP$8),'[1]liste complet essai'!$A$4:$K$1367,1,)</f>
        <v>10-04</v>
      </c>
      <c r="AQ50" s="383" t="str">
        <f aca="false">VLOOKUP(CONCATENATE($AI47,"-",AQ$8),'[1]liste complet essai'!$A$4:$K$1367,1,)</f>
        <v>10-05</v>
      </c>
      <c r="AR50" s="383" t="str">
        <f aca="false">VLOOKUP(CONCATENATE($AI47,"-",AR$8),'[1]liste complet essai'!$A$4:$K$1367,1,)</f>
        <v>10-06</v>
      </c>
      <c r="AS50" s="383" t="str">
        <f aca="false">VLOOKUP(CONCATENATE($AI47,"-",AS$8),'[1]liste complet essai'!$A$4:$K$1367,1,)</f>
        <v>10-07</v>
      </c>
      <c r="AT50" s="383" t="str">
        <f aca="false">VLOOKUP(CONCATENATE($AI47,"-",AT$8),'[1]liste complet essai'!$A$4:$K$1367,1,)</f>
        <v>10-08</v>
      </c>
      <c r="AU50" s="383" t="str">
        <f aca="false">VLOOKUP(CONCATENATE($AI47,"-",AU$8),'[1]liste complet essai'!$A$4:$K$1367,1,)</f>
        <v>10-09</v>
      </c>
      <c r="AV50" s="383" t="str">
        <f aca="false">VLOOKUP(CONCATENATE($AI47,"-",AV$8),'[1]liste complet essai'!$A$4:$K$1367,1,)</f>
        <v>10-10</v>
      </c>
      <c r="AW50" s="383" t="str">
        <f aca="false">VLOOKUP(CONCATENATE($AI47,"-",AW$8),'[1]liste complet essai'!$A$4:$K$1367,1,)</f>
        <v>10-11</v>
      </c>
      <c r="AX50" s="383" t="str">
        <f aca="false">VLOOKUP(CONCATENATE($AI47,"-",AX$8),'[1]liste complet essai'!$A$4:$K$1367,1,)</f>
        <v>10-12</v>
      </c>
      <c r="AY50" s="383" t="str">
        <f aca="false">VLOOKUP(CONCATENATE($AI47,"-",AY$8),'[1]liste complet essai'!$A$4:$K$1367,1,)</f>
        <v>10-13</v>
      </c>
      <c r="AZ50" s="383" t="str">
        <f aca="false">VLOOKUP(CONCATENATE($AI47,"-",AZ$8),'[1]liste complet essai'!$A$4:$K$1367,1,)</f>
        <v>10-14</v>
      </c>
      <c r="BA50" s="383" t="str">
        <f aca="false">VLOOKUP(CONCATENATE($AI47,"-",BA$8),'[1]liste complet essai'!$A$4:$K$1367,1,)</f>
        <v>10-15</v>
      </c>
      <c r="BB50" s="383" t="str">
        <f aca="false">VLOOKUP(CONCATENATE($AI47,"-",BB$8),'[1]liste complet essai'!$A$4:$K$1367,1,)</f>
        <v>10-16</v>
      </c>
      <c r="BC50" s="383" t="str">
        <f aca="false">VLOOKUP(CONCATENATE($AI47,"-",BC$8),'[1]liste complet essai'!$A$4:$K$1367,1,)</f>
        <v>10-17</v>
      </c>
      <c r="BD50" s="383" t="str">
        <f aca="false">VLOOKUP(CONCATENATE($AI47,"-",BD$8),'[1]liste complet essai'!$A$4:$K$1367,1,)</f>
        <v>10-18</v>
      </c>
      <c r="BE50" s="383" t="str">
        <f aca="false">VLOOKUP(CONCATENATE($AI47,"-",BE$8),'[1]liste complet essai'!$A$4:$K$1367,1,)</f>
        <v>10-19</v>
      </c>
      <c r="BF50" s="383" t="str">
        <f aca="false">VLOOKUP(CONCATENATE($AI47,"-",BF$8),'[1]liste complet essai'!$A$4:$K$1367,1,)</f>
        <v>10-20</v>
      </c>
      <c r="BG50" s="383" t="str">
        <f aca="false">VLOOKUP(CONCATENATE($AI47,"-",BG$8),'[1]liste complet essai'!$A$4:$K$1367,1,)</f>
        <v>10-21</v>
      </c>
      <c r="BH50" s="383" t="str">
        <f aca="false">VLOOKUP(CONCATENATE($AI47,"-",BH$8),'[1]liste complet essai'!$A$4:$K$1367,1,)</f>
        <v>10-22</v>
      </c>
      <c r="BI50" s="383" t="str">
        <f aca="false">VLOOKUP(CONCATENATE($AI47,"-",BI$8),'[1]liste complet essai'!$A$4:$K$1367,1,)</f>
        <v>10-23</v>
      </c>
      <c r="BJ50" s="383" t="str">
        <f aca="false">VLOOKUP(CONCATENATE($AI47,"-",BJ$8),'[1]liste complet essai'!$A$4:$K$1367,1,)</f>
        <v>10-24</v>
      </c>
      <c r="BK50" s="383" t="str">
        <f aca="false">VLOOKUP(CONCATENATE($AI47,"-",BK$8),'[1]liste complet essai'!$A$4:$K$1367,1,)</f>
        <v>10-25</v>
      </c>
      <c r="BL50" s="383" t="str">
        <f aca="false">VLOOKUP(CONCATENATE($AI47,"-",BL$8),'[1]liste complet essai'!$A$4:$K$1367,1,)</f>
        <v>10-26</v>
      </c>
      <c r="BM50" s="383" t="str">
        <f aca="false">VLOOKUP(CONCATENATE($AI47,"-",BM$8),'[1]liste complet essai'!$A$4:$K$1367,1,)</f>
        <v>10-27</v>
      </c>
      <c r="BN50" s="383" t="str">
        <f aca="false">VLOOKUP(CONCATENATE($AI47,"-",BN$8),'[1]liste complet essai'!$A$4:$K$1367,1,)</f>
        <v>10-28</v>
      </c>
      <c r="BO50" s="383" t="str">
        <f aca="false">VLOOKUP(CONCATENATE($AI47,"-",BO$8),'[1]liste complet essai'!$A$4:$K$1367,1,)</f>
        <v>10-29</v>
      </c>
      <c r="BP50" s="383" t="str">
        <f aca="false">VLOOKUP(CONCATENATE($AI47,"-",BP$8),'[1]liste complet essai'!$A$4:$K$1367,1,)</f>
        <v>10-30</v>
      </c>
      <c r="BQ50" s="383" t="str">
        <f aca="false">VLOOKUP(CONCATENATE($AI47,"-",BQ$8),'[1]liste complet essai'!$A$4:$K$1367,1,)</f>
        <v>10-31</v>
      </c>
      <c r="BR50" s="383" t="str">
        <f aca="false">VLOOKUP(CONCATENATE($AI47,"-",BR$8),'[1]liste complet essai'!$A$4:$K$1367,1,)</f>
        <v>10-32</v>
      </c>
      <c r="BS50" s="374"/>
      <c r="BT50" s="374"/>
      <c r="BU50" s="374"/>
      <c r="BV50" s="374"/>
      <c r="BW50" s="374"/>
      <c r="BX50" s="374"/>
      <c r="BY50" s="374"/>
      <c r="BZ50" s="374"/>
      <c r="CA50" s="374"/>
      <c r="CB50" s="374"/>
      <c r="CC50" s="383" t="str">
        <f aca="false">VLOOKUP(CONCATENATE($AI47,"-",CC$8),'[1]liste complet essai'!$A$4:$K$1367,1,)</f>
        <v>10-33</v>
      </c>
      <c r="CD50" s="383" t="str">
        <f aca="false">VLOOKUP(CONCATENATE($AI47,"-",CD$8),'[1]liste complet essai'!$A$4:$K$1367,1,)</f>
        <v>10-34</v>
      </c>
      <c r="CE50" s="383" t="str">
        <f aca="false">VLOOKUP(CONCATENATE($AI47,"-",CE$8),'[1]liste complet essai'!$A$4:$K$1367,1,)</f>
        <v>10-35</v>
      </c>
      <c r="CF50" s="383" t="str">
        <f aca="false">VLOOKUP(CONCATENATE($AI47,"-",CF$8),'[1]liste complet essai'!$A$4:$K$1367,1,)</f>
        <v>10-36</v>
      </c>
      <c r="CG50" s="383" t="str">
        <f aca="false">VLOOKUP(CONCATENATE($AI47,"-",CG$8),'[1]liste complet essai'!$A$4:$K$1367,1,)</f>
        <v>10-37</v>
      </c>
      <c r="CH50" s="383" t="str">
        <f aca="false">VLOOKUP(CONCATENATE($AI47,"-",CH$8),'[1]liste complet essai'!$A$4:$K$1367,1,)</f>
        <v>10-38</v>
      </c>
      <c r="CI50" s="383" t="str">
        <f aca="false">VLOOKUP(CONCATENATE($AI47,"-",CI$8),'[1]liste complet essai'!$A$4:$K$1367,1,)</f>
        <v>10-39</v>
      </c>
      <c r="CJ50" s="383" t="str">
        <f aca="false">VLOOKUP(CONCATENATE($AI47,"-",CJ$8),'[1]liste complet essai'!$A$4:$K$1367,1,)</f>
        <v>10-40</v>
      </c>
      <c r="CK50" s="383" t="str">
        <f aca="false">VLOOKUP(CONCATENATE($AI47,"-",CK$8),'[1]liste complet essai'!$A$4:$K$1367,1,)</f>
        <v>10-41</v>
      </c>
      <c r="CL50" s="383" t="str">
        <f aca="false">VLOOKUP(CONCATENATE($AI47,"-",CL$8),'[1]liste complet essai'!$A$4:$K$1367,1,)</f>
        <v>10-42</v>
      </c>
      <c r="CM50" s="383" t="str">
        <f aca="false">VLOOKUP(CONCATENATE($AI47,"-",CM$8),'[1]liste complet essai'!$A$4:$K$1367,1,)</f>
        <v>10-43</v>
      </c>
      <c r="CN50" s="383" t="str">
        <f aca="false">VLOOKUP(CONCATENATE($AI47,"-",CN$8),'[1]liste complet essai'!$A$4:$K$1367,1,)</f>
        <v>10-44</v>
      </c>
      <c r="CO50" s="383" t="str">
        <f aca="false">VLOOKUP(CONCATENATE($AI47,"-",CO$8),'[1]liste complet essai'!$A$4:$K$1367,1,)</f>
        <v>10-45</v>
      </c>
      <c r="CP50" s="383" t="str">
        <f aca="false">VLOOKUP(CONCATENATE($AI47,"-",CP$8),'[1]liste complet essai'!$A$4:$K$1367,1,)</f>
        <v>10-46</v>
      </c>
      <c r="CQ50" s="383" t="str">
        <f aca="false">VLOOKUP(CONCATENATE($AI47,"-",CQ$8),'[1]liste complet essai'!$A$4:$K$1367,1,)</f>
        <v>10-47</v>
      </c>
      <c r="CR50" s="366" t="str">
        <f aca="false">VLOOKUP(CONCATENATE($AI47,"-",CR$8),'[1]liste complet essai'!$A$4:$K$1367,1,)</f>
        <v>10-48</v>
      </c>
      <c r="CS50" s="383" t="str">
        <f aca="false">VLOOKUP(CONCATENATE($AI47,"-",CS$8),'[1]liste complet essai'!$A$4:$K$1367,1,)</f>
        <v>10-49</v>
      </c>
      <c r="CT50" s="317" t="str">
        <f aca="false">VLOOKUP(CONCATENATE($AI47,"-",CT$8),'[1]liste complet essai'!$A$4:$K$1367,1,)</f>
        <v>10-50</v>
      </c>
      <c r="CU50" s="383" t="str">
        <f aca="false">VLOOKUP(CONCATENATE($AI47,"-",CU$8),'[1]liste complet essai'!$A$4:$K$1367,1,)</f>
        <v>10-51</v>
      </c>
      <c r="CV50" s="383" t="str">
        <f aca="false">VLOOKUP(CONCATENATE($AI47,"-",CV$8),'[1]liste complet essai'!$A$4:$K$1367,1,)</f>
        <v>10-52</v>
      </c>
      <c r="CW50" s="383" t="str">
        <f aca="false">VLOOKUP(CONCATENATE($AI47,"-",CW$8),'[1]liste complet essai'!$A$4:$K$1367,1,)</f>
        <v>10-53</v>
      </c>
      <c r="CX50" s="383" t="str">
        <f aca="false">VLOOKUP(CONCATENATE($AI47,"-",CX$8),'[1]liste complet essai'!$A$4:$K$1367,1,)</f>
        <v>10-54</v>
      </c>
      <c r="CY50" s="383" t="str">
        <f aca="false">VLOOKUP(CONCATENATE($AI47,"-",CY$8),'[1]liste complet essai'!$A$4:$K$1367,1,)</f>
        <v>10-55</v>
      </c>
      <c r="CZ50" s="366" t="str">
        <f aca="false">VLOOKUP(CONCATENATE($AI47,"-",CZ$8),'[1]liste complet essai'!$A$4:$K$1367,1,)</f>
        <v>10-56</v>
      </c>
      <c r="DA50" s="383" t="str">
        <f aca="false">VLOOKUP(CONCATENATE($AI47,"-",DA$8),'[1]liste complet essai'!$A$4:$K$1367,1,)</f>
        <v>10-57</v>
      </c>
      <c r="DB50" s="383" t="str">
        <f aca="false">VLOOKUP(CONCATENATE($AI47,"-",DB$8),'[1]liste complet essai'!$A$4:$K$1367,1,)</f>
        <v>10-58</v>
      </c>
      <c r="DC50" s="383" t="str">
        <f aca="false">VLOOKUP(CONCATENATE($AI47,"-",DC$8),'[1]liste complet essai'!$A$4:$K$1367,1,)</f>
        <v>10-59</v>
      </c>
      <c r="DD50" s="383" t="str">
        <f aca="false">VLOOKUP(CONCATENATE($AI47,"-",DD$8),'[1]liste complet essai'!$A$4:$K$1367,1,)</f>
        <v>10-60</v>
      </c>
      <c r="DE50" s="383" t="str">
        <f aca="false">VLOOKUP(CONCATENATE($AI47,"-",DE$8),'[1]liste complet essai'!$A$4:$K$1367,1,)</f>
        <v>10-61</v>
      </c>
      <c r="DF50" s="383" t="str">
        <f aca="false">VLOOKUP(CONCATENATE($AI47,"-",DF$8),'[1]liste complet essai'!$A$4:$K$1367,1,)</f>
        <v>10-62</v>
      </c>
      <c r="DG50" s="316" t="str">
        <f aca="false">VLOOKUP(CONCATENATE($AI47,"-",DG$8),'[1]liste complet essai'!$A$4:$K$1367,1,)</f>
        <v>10-63</v>
      </c>
      <c r="DH50" s="383" t="str">
        <f aca="false">VLOOKUP(CONCATENATE($AI47,"-",DH$8),'[1]liste complet essai'!$A$4:$K$1367,1,)</f>
        <v>10-64</v>
      </c>
      <c r="DI50" s="378"/>
      <c r="DJ50" s="317"/>
      <c r="DK50" s="380"/>
    </row>
    <row r="51" customFormat="false" ht="12" hidden="false" customHeight="false" outlineLevel="0" collapsed="false">
      <c r="B51" s="384" t="n">
        <v>25</v>
      </c>
      <c r="C51" s="385" t="s">
        <v>8122</v>
      </c>
      <c r="D51" s="295"/>
      <c r="E51" s="386" t="s">
        <v>8122</v>
      </c>
      <c r="F51" s="303" t="str">
        <f aca="false">VLOOKUP(CONCATENATE($B51,"-",F$8),'[1]liste complet essai'!$A$4:$K$1367,4,)</f>
        <v>DK</v>
      </c>
      <c r="G51" s="303" t="str">
        <f aca="false">VLOOKUP(CONCATENATE($B51,"-",G$8),'[1]liste complet essai'!$A$4:$K$1367,4,)</f>
        <v>DK</v>
      </c>
      <c r="H51" s="303" t="str">
        <f aca="false">VLOOKUP(CONCATENATE($B51,"-",H$8),'[1]liste complet essai'!$A$4:$K$1367,4,)</f>
        <v>DK</v>
      </c>
      <c r="I51" s="303" t="str">
        <f aca="false">VLOOKUP(CONCATENATE($B51,"-",I$8),'[1]liste complet essai'!$A$4:$K$1367,4,)</f>
        <v>DK</v>
      </c>
      <c r="J51" s="303" t="str">
        <f aca="false">VLOOKUP(CONCATENATE($B51,"-",J$8),'[1]liste complet essai'!$A$4:$K$1367,4,)</f>
        <v>DK</v>
      </c>
      <c r="K51" s="303" t="str">
        <f aca="false">VLOOKUP(CONCATENATE($B51,"-",K$8),'[1]liste complet essai'!$A$4:$K$1367,4,)</f>
        <v>DK</v>
      </c>
      <c r="L51" s="303" t="str">
        <f aca="false">VLOOKUP(CONCATENATE($B51,"-",L$8),'[1]liste complet essai'!$A$4:$K$1367,4,)</f>
        <v>DK</v>
      </c>
      <c r="M51" s="303" t="str">
        <f aca="false">VLOOKUP(CONCATENATE($B51,"-",M$8),'[1]liste complet essai'!$A$4:$K$1367,4,)</f>
        <v>DK</v>
      </c>
      <c r="N51" s="303" t="str">
        <f aca="false">VLOOKUP(CONCATENATE($B51,"-",N$8),'[1]liste complet essai'!$A$4:$K$1367,4,)</f>
        <v>DK</v>
      </c>
      <c r="O51" s="366" t="str">
        <f aca="false">VLOOKUP(CONCATENATE($B51,"-",O$8),'[1]liste complet essai'!$A$4:$K$1367,4,)</f>
        <v>DK</v>
      </c>
      <c r="P51" s="303" t="str">
        <f aca="false">VLOOKUP(CONCATENATE($B51,"-",P$8),'[1]liste complet essai'!$A$4:$K$1367,4,)</f>
        <v>DK</v>
      </c>
      <c r="Q51" s="303" t="str">
        <f aca="false">VLOOKUP(CONCATENATE($B51,"-",Q$8),'[1]liste complet essai'!$A$4:$K$1367,4,)</f>
        <v>DK</v>
      </c>
      <c r="R51" s="303" t="str">
        <f aca="false">VLOOKUP(CONCATENATE($B51,"-",R$8),'[1]liste complet essai'!$A$4:$K$1367,4,)</f>
        <v>DK</v>
      </c>
      <c r="S51" s="303" t="str">
        <f aca="false">VLOOKUP(CONCATENATE($B51,"-",S$8),'[1]liste complet essai'!$A$4:$K$1367,4,)</f>
        <v>DK</v>
      </c>
      <c r="T51" s="303" t="str">
        <f aca="false">VLOOKUP(CONCATENATE($B51,"-",T$8),'[1]liste complet essai'!$A$4:$K$1367,4,)</f>
        <v>DK</v>
      </c>
      <c r="U51" s="303" t="str">
        <f aca="false">VLOOKUP(CONCATENATE($B51,"-",U$8),'[1]liste complet essai'!$A$4:$K$1367,4,)</f>
        <v>DK</v>
      </c>
      <c r="V51" s="303" t="str">
        <f aca="false">VLOOKUP(CONCATENATE($B51,"-",V$8),'[1]liste complet essai'!$A$4:$K$1367,4,)</f>
        <v>DK</v>
      </c>
      <c r="W51" s="303" t="str">
        <f aca="false">VLOOKUP(CONCATENATE($B51,"-",W$8),'[1]liste complet essai'!$A$4:$K$1367,4,)</f>
        <v>DK</v>
      </c>
      <c r="X51" s="303" t="str">
        <f aca="false">VLOOKUP(CONCATENATE($B51,"-",X$8),'[1]liste complet essai'!$A$4:$K$1367,4,)</f>
        <v>DK</v>
      </c>
      <c r="Y51" s="303" t="str">
        <f aca="false">VLOOKUP(CONCATENATE($B51,"-",Y$8),'[1]liste complet essai'!$A$4:$K$1367,4,)</f>
        <v>DK</v>
      </c>
      <c r="Z51" s="303" t="str">
        <f aca="false">VLOOKUP(CONCATENATE($B51,"-",Z$8),'[1]liste complet essai'!$A$4:$K$1367,4,)</f>
        <v>DK</v>
      </c>
      <c r="AA51" s="303" t="str">
        <f aca="false">VLOOKUP(CONCATENATE($B51,"-",AA$8),'[1]liste complet essai'!$A$4:$K$1367,4,)</f>
        <v>DK</v>
      </c>
      <c r="AB51" s="303" t="str">
        <f aca="false">VLOOKUP(CONCATENATE($B51,"-",AB$8),'[1]liste complet essai'!$A$4:$K$1367,4,)</f>
        <v>DK</v>
      </c>
      <c r="AC51" s="303" t="str">
        <f aca="false">VLOOKUP(CONCATENATE($B51,"-",AC$8),'[1]liste complet essai'!$A$4:$K$1367,4,)</f>
        <v>DK</v>
      </c>
      <c r="AD51" s="303" t="str">
        <f aca="false">VLOOKUP(CONCATENATE($B51,"-",AD$8),'[1]liste complet essai'!$A$4:$K$1367,4,)</f>
        <v>DK</v>
      </c>
      <c r="AE51" s="303" t="str">
        <f aca="false">VLOOKUP(CONCATENATE($B51,"-",AE$8),'[1]liste complet essai'!$A$4:$K$1367,4,)</f>
        <v>DK</v>
      </c>
      <c r="AF51" s="387" t="s">
        <v>8122</v>
      </c>
      <c r="AI51" s="363" t="n">
        <v>11</v>
      </c>
      <c r="AJ51" s="388" t="s">
        <v>8122</v>
      </c>
      <c r="AK51" s="309"/>
      <c r="AL51" s="389" t="s">
        <v>8122</v>
      </c>
      <c r="AM51" s="372" t="str">
        <f aca="false">VLOOKUP(CONCATENATE($AI51,"-",AM$8),'[1]liste complet essai'!$A$4:$K$1367,4,)</f>
        <v>DK</v>
      </c>
      <c r="AN51" s="372" t="str">
        <f aca="false">VLOOKUP(CONCATENATE($AI51,"-",AN$8),'[1]liste complet essai'!$A$4:$K$1367,4,)</f>
        <v>DK</v>
      </c>
      <c r="AO51" s="372" t="str">
        <f aca="false">VLOOKUP(CONCATENATE($AI51,"-",AO$8),'[1]liste complet essai'!$A$4:$K$1367,4,)</f>
        <v>DK</v>
      </c>
      <c r="AP51" s="372" t="str">
        <f aca="false">VLOOKUP(CONCATENATE($AI51,"-",AP$8),'[1]liste complet essai'!$A$4:$K$1367,4,)</f>
        <v>DK</v>
      </c>
      <c r="AQ51" s="372" t="str">
        <f aca="false">VLOOKUP(CONCATENATE($AI51,"-",AQ$8),'[1]liste complet essai'!$A$4:$K$1367,4,)</f>
        <v>DK</v>
      </c>
      <c r="AR51" s="372" t="str">
        <f aca="false">VLOOKUP(CONCATENATE($AI51,"-",AR$8),'[1]liste complet essai'!$A$4:$K$1367,4,)</f>
        <v>DK</v>
      </c>
      <c r="AS51" s="372" t="str">
        <f aca="false">VLOOKUP(CONCATENATE($AI51,"-",AS$8),'[1]liste complet essai'!$A$4:$K$1367,4,)</f>
        <v>DK</v>
      </c>
      <c r="AT51" s="372" t="str">
        <f aca="false">VLOOKUP(CONCATENATE($AI51,"-",AT$8),'[1]liste complet essai'!$A$4:$K$1367,4,)</f>
        <v>DK</v>
      </c>
      <c r="AU51" s="372" t="str">
        <f aca="false">VLOOKUP(CONCATENATE($AI51,"-",AU$8),'[1]liste complet essai'!$A$4:$K$1367,4,)</f>
        <v>DK</v>
      </c>
      <c r="AV51" s="372" t="str">
        <f aca="false">VLOOKUP(CONCATENATE($AI51,"-",AV$8),'[1]liste complet essai'!$A$4:$K$1367,4,)</f>
        <v>DK</v>
      </c>
      <c r="AW51" s="372" t="str">
        <f aca="false">VLOOKUP(CONCATENATE($AI51,"-",AW$8),'[1]liste complet essai'!$A$4:$K$1367,4,)</f>
        <v>DK</v>
      </c>
      <c r="AX51" s="372" t="str">
        <f aca="false">VLOOKUP(CONCATENATE($AI51,"-",AX$8),'[1]liste complet essai'!$A$4:$K$1367,4,)</f>
        <v>DK</v>
      </c>
      <c r="AY51" s="372" t="str">
        <f aca="false">VLOOKUP(CONCATENATE($AI51,"-",AY$8),'[1]liste complet essai'!$A$4:$K$1367,4,)</f>
        <v>DK</v>
      </c>
      <c r="AZ51" s="372" t="str">
        <f aca="false">VLOOKUP(CONCATENATE($AI51,"-",AZ$8),'[1]liste complet essai'!$A$4:$K$1367,4,)</f>
        <v>DK</v>
      </c>
      <c r="BA51" s="372" t="str">
        <f aca="false">VLOOKUP(CONCATENATE($AI51,"-",BA$8),'[1]liste complet essai'!$A$4:$K$1367,4,)</f>
        <v>DK</v>
      </c>
      <c r="BB51" s="372" t="str">
        <f aca="false">VLOOKUP(CONCATENATE($AI51,"-",BB$8),'[1]liste complet essai'!$A$4:$K$1367,4,)</f>
        <v>DK</v>
      </c>
      <c r="BC51" s="372" t="str">
        <f aca="false">VLOOKUP(CONCATENATE($AI51,"-",BC$8),'[1]liste complet essai'!$A$4:$K$1367,4,)</f>
        <v>DK</v>
      </c>
      <c r="BD51" s="372" t="str">
        <f aca="false">VLOOKUP(CONCATENATE($AI51,"-",BD$8),'[1]liste complet essai'!$A$4:$K$1367,4,)</f>
        <v>DK</v>
      </c>
      <c r="BE51" s="372" t="str">
        <f aca="false">VLOOKUP(CONCATENATE($AI51,"-",BE$8),'[1]liste complet essai'!$A$4:$K$1367,4,)</f>
        <v>DK</v>
      </c>
      <c r="BF51" s="372" t="str">
        <f aca="false">VLOOKUP(CONCATENATE($AI51,"-",BF$8),'[1]liste complet essai'!$A$4:$K$1367,4,)</f>
        <v>DK</v>
      </c>
      <c r="BG51" s="372" t="str">
        <f aca="false">VLOOKUP(CONCATENATE($AI51,"-",BG$8),'[1]liste complet essai'!$A$4:$K$1367,4,)</f>
        <v>DK</v>
      </c>
      <c r="BH51" s="372" t="str">
        <f aca="false">VLOOKUP(CONCATENATE($AI51,"-",BH$8),'[1]liste complet essai'!$A$4:$K$1367,4,)</f>
        <v>DK</v>
      </c>
      <c r="BI51" s="372" t="str">
        <f aca="false">VLOOKUP(CONCATENATE($AI51,"-",BI$8),'[1]liste complet essai'!$A$4:$K$1367,4,)</f>
        <v>DK</v>
      </c>
      <c r="BJ51" s="372" t="str">
        <f aca="false">VLOOKUP(CONCATENATE($AI51,"-",BJ$8),'[1]liste complet essai'!$A$4:$K$1367,4,)</f>
        <v>DK</v>
      </c>
      <c r="BK51" s="372" t="str">
        <f aca="false">VLOOKUP(CONCATENATE($AI51,"-",BK$8),'[1]liste complet essai'!$A$4:$K$1367,4,)</f>
        <v>DK</v>
      </c>
      <c r="BL51" s="372" t="str">
        <f aca="false">VLOOKUP(CONCATENATE($AI51,"-",BL$8),'[1]liste complet essai'!$A$4:$K$1367,4,)</f>
        <v>DK</v>
      </c>
      <c r="BM51" s="372" t="str">
        <f aca="false">VLOOKUP(CONCATENATE($AI51,"-",BM$8),'[1]liste complet essai'!$A$4:$K$1367,4,)</f>
        <v>DK</v>
      </c>
      <c r="BN51" s="372" t="str">
        <f aca="false">VLOOKUP(CONCATENATE($AI51,"-",BN$8),'[1]liste complet essai'!$A$4:$K$1367,4,)</f>
        <v>DK</v>
      </c>
      <c r="BO51" s="372" t="str">
        <f aca="false">VLOOKUP(CONCATENATE($AI51,"-",BO$8),'[1]liste complet essai'!$A$4:$K$1367,4,)</f>
        <v>DK</v>
      </c>
      <c r="BP51" s="372" t="str">
        <f aca="false">VLOOKUP(CONCATENATE($AI51,"-",BP$8),'[1]liste complet essai'!$A$4:$K$1367,4,)</f>
        <v>DK</v>
      </c>
      <c r="BQ51" s="372" t="str">
        <f aca="false">VLOOKUP(CONCATENATE($AI51,"-",BQ$8),'[1]liste complet essai'!$A$4:$K$1367,4,)</f>
        <v>DK</v>
      </c>
      <c r="BR51" s="372" t="str">
        <f aca="false">VLOOKUP(CONCATENATE($AI51,"-",BR$8),'[1]liste complet essai'!$A$4:$K$1367,4,)</f>
        <v>DK</v>
      </c>
      <c r="BS51" s="374"/>
      <c r="BT51" s="374"/>
      <c r="BU51" s="374"/>
      <c r="BV51" s="374"/>
      <c r="BW51" s="374"/>
      <c r="BX51" s="374"/>
      <c r="BY51" s="374"/>
      <c r="BZ51" s="374"/>
      <c r="CA51" s="374"/>
      <c r="CB51" s="374"/>
      <c r="CC51" s="372" t="str">
        <f aca="false">VLOOKUP(CONCATENATE($AI51,"-",CC$8),'[1]liste complet essai'!$A$4:$K$1367,4,)</f>
        <v>DK</v>
      </c>
      <c r="CD51" s="372" t="str">
        <f aca="false">VLOOKUP(CONCATENATE($AI51,"-",CD$8),'[1]liste complet essai'!$A$4:$K$1367,4,)</f>
        <v>DK</v>
      </c>
      <c r="CE51" s="372" t="str">
        <f aca="false">VLOOKUP(CONCATENATE($AI51,"-",CE$8),'[1]liste complet essai'!$A$4:$K$1367,4,)</f>
        <v>DK</v>
      </c>
      <c r="CF51" s="372" t="str">
        <f aca="false">VLOOKUP(CONCATENATE($AI51,"-",CF$8),'[1]liste complet essai'!$A$4:$K$1367,4,)</f>
        <v>DK</v>
      </c>
      <c r="CG51" s="372" t="str">
        <f aca="false">VLOOKUP(CONCATENATE($AI51,"-",CG$8),'[1]liste complet essai'!$A$4:$K$1367,4,)</f>
        <v>DK</v>
      </c>
      <c r="CH51" s="372" t="str">
        <f aca="false">VLOOKUP(CONCATENATE($AI51,"-",CH$8),'[1]liste complet essai'!$A$4:$K$1367,4,)</f>
        <v>DK</v>
      </c>
      <c r="CI51" s="372" t="str">
        <f aca="false">VLOOKUP(CONCATENATE($AI51,"-",CI$8),'[1]liste complet essai'!$A$4:$K$1367,4,)</f>
        <v>DK</v>
      </c>
      <c r="CJ51" s="372" t="str">
        <f aca="false">VLOOKUP(CONCATENATE($AI51,"-",CJ$8),'[1]liste complet essai'!$A$4:$K$1367,4,)</f>
        <v>DK</v>
      </c>
      <c r="CK51" s="372" t="str">
        <f aca="false">VLOOKUP(CONCATENATE($AI51,"-",CK$8),'[1]liste complet essai'!$A$4:$K$1367,4,)</f>
        <v>DK</v>
      </c>
      <c r="CL51" s="372" t="str">
        <f aca="false">VLOOKUP(CONCATENATE($AI51,"-",CL$8),'[1]liste complet essai'!$A$4:$K$1367,4,)</f>
        <v>DK</v>
      </c>
      <c r="CM51" s="372" t="str">
        <f aca="false">VLOOKUP(CONCATENATE($AI51,"-",CM$8),'[1]liste complet essai'!$A$4:$K$1367,4,)</f>
        <v>DK</v>
      </c>
      <c r="CN51" s="372" t="str">
        <f aca="false">VLOOKUP(CONCATENATE($AI51,"-",CN$8),'[1]liste complet essai'!$A$4:$K$1367,4,)</f>
        <v>DK</v>
      </c>
      <c r="CO51" s="372" t="str">
        <f aca="false">VLOOKUP(CONCATENATE($AI51,"-",CO$8),'[1]liste complet essai'!$A$4:$K$1367,4,)</f>
        <v>DK</v>
      </c>
      <c r="CP51" s="372" t="str">
        <f aca="false">VLOOKUP(CONCATENATE($AI51,"-",CP$8),'[1]liste complet essai'!$A$4:$K$1367,4,)</f>
        <v>DK</v>
      </c>
      <c r="CQ51" s="372" t="str">
        <f aca="false">VLOOKUP(CONCATENATE($AI51,"-",CQ$8),'[1]liste complet essai'!$A$4:$K$1367,4,)</f>
        <v>DK</v>
      </c>
      <c r="CR51" s="372" t="str">
        <f aca="false">VLOOKUP(CONCATENATE($AI51,"-",CR$8),'[1]liste complet essai'!$A$4:$K$1367,4,)</f>
        <v>DK</v>
      </c>
      <c r="CS51" s="372" t="str">
        <f aca="false">VLOOKUP(CONCATENATE($AI51,"-",CS$8),'[1]liste complet essai'!$A$4:$K$1367,4,)</f>
        <v>DK</v>
      </c>
      <c r="CT51" s="372" t="str">
        <f aca="false">VLOOKUP(CONCATENATE($AI51,"-",CT$8),'[1]liste complet essai'!$A$4:$K$1367,4,)</f>
        <v>DK</v>
      </c>
      <c r="CU51" s="372" t="str">
        <f aca="false">VLOOKUP(CONCATENATE($AI51,"-",CU$8),'[1]liste complet essai'!$A$4:$K$1367,4,)</f>
        <v>DK</v>
      </c>
      <c r="CV51" s="372" t="str">
        <f aca="false">VLOOKUP(CONCATENATE($AI51,"-",CV$8),'[1]liste complet essai'!$A$4:$K$1367,4,)</f>
        <v>DK</v>
      </c>
      <c r="CW51" s="372" t="str">
        <f aca="false">VLOOKUP(CONCATENATE($AI51,"-",CW$8),'[1]liste complet essai'!$A$4:$K$1367,4,)</f>
        <v>DK</v>
      </c>
      <c r="CX51" s="372" t="str">
        <f aca="false">VLOOKUP(CONCATENATE($AI51,"-",CX$8),'[1]liste complet essai'!$A$4:$K$1367,4,)</f>
        <v>DK</v>
      </c>
      <c r="CY51" s="372" t="str">
        <f aca="false">VLOOKUP(CONCATENATE($AI51,"-",CY$8),'[1]liste complet essai'!$A$4:$K$1367,4,)</f>
        <v>DK</v>
      </c>
      <c r="CZ51" s="309" t="str">
        <f aca="false">VLOOKUP(CONCATENATE($AI51,"-",CZ$8),'[1]liste complet essai'!$A$4:$K$1367,4,)</f>
        <v>DK</v>
      </c>
      <c r="DA51" s="372" t="str">
        <f aca="false">VLOOKUP(CONCATENATE($AI51,"-",DA$8),'[1]liste complet essai'!$A$4:$K$1367,4,)</f>
        <v>DK</v>
      </c>
      <c r="DB51" s="372" t="str">
        <f aca="false">VLOOKUP(CONCATENATE($AI51,"-",DB$8),'[1]liste complet essai'!$A$4:$K$1367,4,)</f>
        <v>DK</v>
      </c>
      <c r="DC51" s="372" t="str">
        <f aca="false">VLOOKUP(CONCATENATE($AI51,"-",DC$8),'[1]liste complet essai'!$A$4:$K$1367,4,)</f>
        <v>DK</v>
      </c>
      <c r="DD51" s="372" t="str">
        <f aca="false">VLOOKUP(CONCATENATE($AI51,"-",DD$8),'[1]liste complet essai'!$A$4:$K$1367,4,)</f>
        <v>DK</v>
      </c>
      <c r="DE51" s="372" t="str">
        <f aca="false">VLOOKUP(CONCATENATE($AI51,"-",DE$8),'[1]liste complet essai'!$A$4:$K$1367,4,)</f>
        <v>DK</v>
      </c>
      <c r="DF51" s="372" t="str">
        <f aca="false">VLOOKUP(CONCATENATE($AI51,"-",DF$8),'[1]liste complet essai'!$A$4:$K$1367,4,)</f>
        <v>DK</v>
      </c>
      <c r="DG51" s="372" t="str">
        <f aca="false">VLOOKUP(CONCATENATE($AI51,"-",DG$8),'[1]liste complet essai'!$A$4:$K$1367,4,)</f>
        <v>DK</v>
      </c>
      <c r="DH51" s="372" t="str">
        <f aca="false">VLOOKUP(CONCATENATE($AI51,"-",DH$8),'[1]liste complet essai'!$A$4:$K$1367,4,)</f>
        <v>DK</v>
      </c>
      <c r="DI51" s="389" t="s">
        <v>8122</v>
      </c>
      <c r="DJ51" s="322"/>
      <c r="DK51" s="390" t="s">
        <v>8122</v>
      </c>
    </row>
    <row r="52" customFormat="false" ht="12" hidden="false" customHeight="false" outlineLevel="0" collapsed="false">
      <c r="B52" s="384"/>
      <c r="C52" s="385"/>
      <c r="D52" s="307"/>
      <c r="E52" s="386"/>
      <c r="F52" s="309" t="str">
        <f aca="false">VLOOKUP(CONCATENATE($B51,"-",F$8),'[1]liste complet essai'!$A$4:$K$1367,9,)</f>
        <v>N1-b3</v>
      </c>
      <c r="G52" s="309" t="str">
        <f aca="false">VLOOKUP(CONCATENATE($B51,"-",G$8),'[1]liste complet essai'!$A$4:$K$1367,9,)</f>
        <v>N1-b3</v>
      </c>
      <c r="H52" s="309" t="str">
        <f aca="false">VLOOKUP(CONCATENATE($B51,"-",H$8),'[1]liste complet essai'!$A$4:$K$1367,9,)</f>
        <v>N1-b3</v>
      </c>
      <c r="I52" s="309" t="str">
        <f aca="false">VLOOKUP(CONCATENATE($B51,"-",I$8),'[1]liste complet essai'!$A$4:$K$1367,9,)</f>
        <v>N1-b3</v>
      </c>
      <c r="J52" s="309" t="str">
        <f aca="false">VLOOKUP(CONCATENATE($B51,"-",J$8),'[1]liste complet essai'!$A$4:$K$1367,9,)</f>
        <v>N1-b3</v>
      </c>
      <c r="K52" s="309" t="str">
        <f aca="false">VLOOKUP(CONCATENATE($B51,"-",K$8),'[1]liste complet essai'!$A$4:$K$1367,9,)</f>
        <v>N1-b3</v>
      </c>
      <c r="L52" s="309" t="str">
        <f aca="false">VLOOKUP(CONCATENATE($B51,"-",L$8),'[1]liste complet essai'!$A$4:$K$1367,9,)</f>
        <v>N1-b3</v>
      </c>
      <c r="M52" s="309" t="str">
        <f aca="false">VLOOKUP(CONCATENATE($B51,"-",M$8),'[1]liste complet essai'!$A$4:$K$1367,9,)</f>
        <v>N1-b3</v>
      </c>
      <c r="N52" s="309" t="str">
        <f aca="false">VLOOKUP(CONCATENATE($B51,"-",N$8),'[1]liste complet essai'!$A$4:$K$1367,9,)</f>
        <v>N1-b3</v>
      </c>
      <c r="O52" s="366" t="str">
        <f aca="false">VLOOKUP(CONCATENATE($B51,"-",O$8),'[1]liste complet essai'!$A$4:$K$1367,9,)</f>
        <v>N1-b3</v>
      </c>
      <c r="P52" s="309" t="str">
        <f aca="false">VLOOKUP(CONCATENATE($B51,"-",P$8),'[1]liste complet essai'!$A$4:$K$1367,9,)</f>
        <v>N1-b3</v>
      </c>
      <c r="Q52" s="309" t="str">
        <f aca="false">VLOOKUP(CONCATENATE($B51,"-",Q$8),'[1]liste complet essai'!$A$4:$K$1367,9,)</f>
        <v>N1-b3</v>
      </c>
      <c r="R52" s="309" t="str">
        <f aca="false">VLOOKUP(CONCATENATE($B51,"-",R$8),'[1]liste complet essai'!$A$4:$K$1367,9,)</f>
        <v>N1-b3</v>
      </c>
      <c r="S52" s="309" t="str">
        <f aca="false">VLOOKUP(CONCATENATE($B51,"-",S$8),'[1]liste complet essai'!$A$4:$K$1367,9,)</f>
        <v>N1-b3</v>
      </c>
      <c r="T52" s="309" t="str">
        <f aca="false">VLOOKUP(CONCATENATE($B51,"-",T$8),'[1]liste complet essai'!$A$4:$K$1367,9,)</f>
        <v>N1-b3</v>
      </c>
      <c r="U52" s="309" t="str">
        <f aca="false">VLOOKUP(CONCATENATE($B51,"-",U$8),'[1]liste complet essai'!$A$4:$K$1367,9,)</f>
        <v>N1-b3</v>
      </c>
      <c r="V52" s="309" t="str">
        <f aca="false">VLOOKUP(CONCATENATE($B51,"-",V$8),'[1]liste complet essai'!$A$4:$K$1367,9,)</f>
        <v>N1-b3</v>
      </c>
      <c r="W52" s="309" t="str">
        <f aca="false">VLOOKUP(CONCATENATE($B51,"-",W$8),'[1]liste complet essai'!$A$4:$K$1367,9,)</f>
        <v>N1-b3</v>
      </c>
      <c r="X52" s="309" t="str">
        <f aca="false">VLOOKUP(CONCATENATE($B51,"-",X$8),'[1]liste complet essai'!$A$4:$K$1367,9,)</f>
        <v>N1-b3</v>
      </c>
      <c r="Y52" s="309" t="str">
        <f aca="false">VLOOKUP(CONCATENATE($B51,"-",Y$8),'[1]liste complet essai'!$A$4:$K$1367,9,)</f>
        <v>N1-b3</v>
      </c>
      <c r="Z52" s="309" t="str">
        <f aca="false">VLOOKUP(CONCATENATE($B51,"-",Z$8),'[1]liste complet essai'!$A$4:$K$1367,9,)</f>
        <v>N1-b3</v>
      </c>
      <c r="AA52" s="309" t="str">
        <f aca="false">VLOOKUP(CONCATENATE($B51,"-",AA$8),'[1]liste complet essai'!$A$4:$K$1367,9,)</f>
        <v>N1-b3</v>
      </c>
      <c r="AB52" s="309" t="str">
        <f aca="false">VLOOKUP(CONCATENATE($B51,"-",AB$8),'[1]liste complet essai'!$A$4:$K$1367,9,)</f>
        <v>N1-b3</v>
      </c>
      <c r="AC52" s="309" t="str">
        <f aca="false">VLOOKUP(CONCATENATE($B51,"-",AC$8),'[1]liste complet essai'!$A$4:$K$1367,9,)</f>
        <v>N1-b3</v>
      </c>
      <c r="AD52" s="309" t="str">
        <f aca="false">VLOOKUP(CONCATENATE($B51,"-",AD$8),'[1]liste complet essai'!$A$4:$K$1367,9,)</f>
        <v>N1-b3</v>
      </c>
      <c r="AE52" s="309" t="str">
        <f aca="false">VLOOKUP(CONCATENATE($B51,"-",AE$8),'[1]liste complet essai'!$A$4:$K$1367,9,)</f>
        <v>N1-b3</v>
      </c>
      <c r="AF52" s="387"/>
      <c r="AI52" s="363"/>
      <c r="AJ52" s="388"/>
      <c r="AK52" s="309"/>
      <c r="AL52" s="389"/>
      <c r="AM52" s="372" t="str">
        <f aca="false">VLOOKUP(CONCATENATE($AI51,"-",AM$8),'[1]liste complet essai'!$A$4:$K$1367,9,)</f>
        <v>N2-b1</v>
      </c>
      <c r="AN52" s="372" t="str">
        <f aca="false">VLOOKUP(CONCATENATE($AI51,"-",AN$8),'[1]liste complet essai'!$A$4:$K$1367,9,)</f>
        <v>N2-b1</v>
      </c>
      <c r="AO52" s="372" t="str">
        <f aca="false">VLOOKUP(CONCATENATE($AI51,"-",AO$8),'[1]liste complet essai'!$A$4:$K$1367,9,)</f>
        <v>N2-b1</v>
      </c>
      <c r="AP52" s="372" t="str">
        <f aca="false">VLOOKUP(CONCATENATE($AI51,"-",AP$8),'[1]liste complet essai'!$A$4:$K$1367,9,)</f>
        <v>N2-b1</v>
      </c>
      <c r="AQ52" s="372" t="str">
        <f aca="false">VLOOKUP(CONCATENATE($AI51,"-",AQ$8),'[1]liste complet essai'!$A$4:$K$1367,9,)</f>
        <v>N2-b1</v>
      </c>
      <c r="AR52" s="372" t="str">
        <f aca="false">VLOOKUP(CONCATENATE($AI51,"-",AR$8),'[1]liste complet essai'!$A$4:$K$1367,9,)</f>
        <v>N2-b1</v>
      </c>
      <c r="AS52" s="372" t="str">
        <f aca="false">VLOOKUP(CONCATENATE($AI51,"-",AS$8),'[1]liste complet essai'!$A$4:$K$1367,9,)</f>
        <v>N2-b1</v>
      </c>
      <c r="AT52" s="372" t="str">
        <f aca="false">VLOOKUP(CONCATENATE($AI51,"-",AT$8),'[1]liste complet essai'!$A$4:$K$1367,9,)</f>
        <v>N2-b1</v>
      </c>
      <c r="AU52" s="372" t="str">
        <f aca="false">VLOOKUP(CONCATENATE($AI51,"-",AU$8),'[1]liste complet essai'!$A$4:$K$1367,9,)</f>
        <v>N2-b1</v>
      </c>
      <c r="AV52" s="372" t="str">
        <f aca="false">VLOOKUP(CONCATENATE($AI51,"-",AV$8),'[1]liste complet essai'!$A$4:$K$1367,9,)</f>
        <v>N2-b1</v>
      </c>
      <c r="AW52" s="372" t="str">
        <f aca="false">VLOOKUP(CONCATENATE($AI51,"-",AW$8),'[1]liste complet essai'!$A$4:$K$1367,9,)</f>
        <v>N2-b1</v>
      </c>
      <c r="AX52" s="372" t="str">
        <f aca="false">VLOOKUP(CONCATENATE($AI51,"-",AX$8),'[1]liste complet essai'!$A$4:$K$1367,9,)</f>
        <v>N2-b1</v>
      </c>
      <c r="AY52" s="372" t="str">
        <f aca="false">VLOOKUP(CONCATENATE($AI51,"-",AY$8),'[1]liste complet essai'!$A$4:$K$1367,9,)</f>
        <v>N2-b1</v>
      </c>
      <c r="AZ52" s="372" t="str">
        <f aca="false">VLOOKUP(CONCATENATE($AI51,"-",AZ$8),'[1]liste complet essai'!$A$4:$K$1367,9,)</f>
        <v>N2-b1</v>
      </c>
      <c r="BA52" s="372" t="str">
        <f aca="false">VLOOKUP(CONCATENATE($AI51,"-",BA$8),'[1]liste complet essai'!$A$4:$K$1367,9,)</f>
        <v>N2-b1</v>
      </c>
      <c r="BB52" s="372" t="str">
        <f aca="false">VLOOKUP(CONCATENATE($AI51,"-",BB$8),'[1]liste complet essai'!$A$4:$K$1367,9,)</f>
        <v>N2-b1</v>
      </c>
      <c r="BC52" s="372" t="str">
        <f aca="false">VLOOKUP(CONCATENATE($AI51,"-",BC$8),'[1]liste complet essai'!$A$4:$K$1367,9,)</f>
        <v>N2-b1</v>
      </c>
      <c r="BD52" s="372" t="str">
        <f aca="false">VLOOKUP(CONCATENATE($AI51,"-",BD$8),'[1]liste complet essai'!$A$4:$K$1367,9,)</f>
        <v>N2-b1</v>
      </c>
      <c r="BE52" s="372" t="str">
        <f aca="false">VLOOKUP(CONCATENATE($AI51,"-",BE$8),'[1]liste complet essai'!$A$4:$K$1367,9,)</f>
        <v>N2-b1</v>
      </c>
      <c r="BF52" s="372" t="str">
        <f aca="false">VLOOKUP(CONCATENATE($AI51,"-",BF$8),'[1]liste complet essai'!$A$4:$K$1367,9,)</f>
        <v>N2-b1</v>
      </c>
      <c r="BG52" s="372" t="str">
        <f aca="false">VLOOKUP(CONCATENATE($AI51,"-",BG$8),'[1]liste complet essai'!$A$4:$K$1367,9,)</f>
        <v>N2-b1</v>
      </c>
      <c r="BH52" s="372" t="str">
        <f aca="false">VLOOKUP(CONCATENATE($AI51,"-",BH$8),'[1]liste complet essai'!$A$4:$K$1367,9,)</f>
        <v>N2-b1</v>
      </c>
      <c r="BI52" s="372" t="str">
        <f aca="false">VLOOKUP(CONCATENATE($AI51,"-",BI$8),'[1]liste complet essai'!$A$4:$K$1367,9,)</f>
        <v>N2-b1</v>
      </c>
      <c r="BJ52" s="372" t="str">
        <f aca="false">VLOOKUP(CONCATENATE($AI51,"-",BJ$8),'[1]liste complet essai'!$A$4:$K$1367,9,)</f>
        <v>N2-b1</v>
      </c>
      <c r="BK52" s="372" t="str">
        <f aca="false">VLOOKUP(CONCATENATE($AI51,"-",BK$8),'[1]liste complet essai'!$A$4:$K$1367,9,)</f>
        <v>N2-b1</v>
      </c>
      <c r="BL52" s="372" t="str">
        <f aca="false">VLOOKUP(CONCATENATE($AI51,"-",BL$8),'[1]liste complet essai'!$A$4:$K$1367,9,)</f>
        <v>N2-b1</v>
      </c>
      <c r="BM52" s="372" t="str">
        <f aca="false">VLOOKUP(CONCATENATE($AI51,"-",BM$8),'[1]liste complet essai'!$A$4:$K$1367,9,)</f>
        <v>N2-b1</v>
      </c>
      <c r="BN52" s="372" t="str">
        <f aca="false">VLOOKUP(CONCATENATE($AI51,"-",BN$8),'[1]liste complet essai'!$A$4:$K$1367,9,)</f>
        <v>N2-b1</v>
      </c>
      <c r="BO52" s="372" t="str">
        <f aca="false">VLOOKUP(CONCATENATE($AI51,"-",BO$8),'[1]liste complet essai'!$A$4:$K$1367,9,)</f>
        <v>N2-b1</v>
      </c>
      <c r="BP52" s="372" t="str">
        <f aca="false">VLOOKUP(CONCATENATE($AI51,"-",BP$8),'[1]liste complet essai'!$A$4:$K$1367,9,)</f>
        <v>N2-b1</v>
      </c>
      <c r="BQ52" s="372" t="str">
        <f aca="false">VLOOKUP(CONCATENATE($AI51,"-",BQ$8),'[1]liste complet essai'!$A$4:$K$1367,9,)</f>
        <v>N2-b1</v>
      </c>
      <c r="BR52" s="372" t="str">
        <f aca="false">VLOOKUP(CONCATENATE($AI51,"-",BR$8),'[1]liste complet essai'!$A$4:$K$1367,9,)</f>
        <v>N2-b1</v>
      </c>
      <c r="BS52" s="374"/>
      <c r="BT52" s="374"/>
      <c r="BU52" s="374"/>
      <c r="BV52" s="374"/>
      <c r="BW52" s="374"/>
      <c r="BX52" s="374"/>
      <c r="BY52" s="374"/>
      <c r="BZ52" s="374"/>
      <c r="CA52" s="374"/>
      <c r="CB52" s="374"/>
      <c r="CC52" s="372" t="str">
        <f aca="false">VLOOKUP(CONCATENATE($AI51,"-",CC$8),'[1]liste complet essai'!$A$4:$K$1367,9,)</f>
        <v>N2-b2</v>
      </c>
      <c r="CD52" s="372" t="str">
        <f aca="false">VLOOKUP(CONCATENATE($AI51,"-",CD$8),'[1]liste complet essai'!$A$4:$K$1367,9,)</f>
        <v>N2-b2</v>
      </c>
      <c r="CE52" s="372" t="str">
        <f aca="false">VLOOKUP(CONCATENATE($AI51,"-",CE$8),'[1]liste complet essai'!$A$4:$K$1367,9,)</f>
        <v>N2-b2</v>
      </c>
      <c r="CF52" s="372" t="str">
        <f aca="false">VLOOKUP(CONCATENATE($AI51,"-",CF$8),'[1]liste complet essai'!$A$4:$K$1367,9,)</f>
        <v>N2-b2</v>
      </c>
      <c r="CG52" s="372" t="str">
        <f aca="false">VLOOKUP(CONCATENATE($AI51,"-",CG$8),'[1]liste complet essai'!$A$4:$K$1367,9,)</f>
        <v>N2-b2</v>
      </c>
      <c r="CH52" s="372" t="str">
        <f aca="false">VLOOKUP(CONCATENATE($AI51,"-",CH$8),'[1]liste complet essai'!$A$4:$K$1367,9,)</f>
        <v>N2-b2</v>
      </c>
      <c r="CI52" s="372" t="str">
        <f aca="false">VLOOKUP(CONCATENATE($AI51,"-",CI$8),'[1]liste complet essai'!$A$4:$K$1367,9,)</f>
        <v>N2-b2</v>
      </c>
      <c r="CJ52" s="372" t="str">
        <f aca="false">VLOOKUP(CONCATENATE($AI51,"-",CJ$8),'[1]liste complet essai'!$A$4:$K$1367,9,)</f>
        <v>N2-b2</v>
      </c>
      <c r="CK52" s="372" t="str">
        <f aca="false">VLOOKUP(CONCATENATE($AI51,"-",CK$8),'[1]liste complet essai'!$A$4:$K$1367,9,)</f>
        <v>N2-b2</v>
      </c>
      <c r="CL52" s="372" t="str">
        <f aca="false">VLOOKUP(CONCATENATE($AI51,"-",CL$8),'[1]liste complet essai'!$A$4:$K$1367,9,)</f>
        <v>N2-b2</v>
      </c>
      <c r="CM52" s="372" t="str">
        <f aca="false">VLOOKUP(CONCATENATE($AI51,"-",CM$8),'[1]liste complet essai'!$A$4:$K$1367,9,)</f>
        <v>N2-b2</v>
      </c>
      <c r="CN52" s="372" t="str">
        <f aca="false">VLOOKUP(CONCATENATE($AI51,"-",CN$8),'[1]liste complet essai'!$A$4:$K$1367,9,)</f>
        <v>N2-b2</v>
      </c>
      <c r="CO52" s="372" t="str">
        <f aca="false">VLOOKUP(CONCATENATE($AI51,"-",CO$8),'[1]liste complet essai'!$A$4:$K$1367,9,)</f>
        <v>N2-b2</v>
      </c>
      <c r="CP52" s="372" t="str">
        <f aca="false">VLOOKUP(CONCATENATE($AI51,"-",CP$8),'[1]liste complet essai'!$A$4:$K$1367,9,)</f>
        <v>N2-b2</v>
      </c>
      <c r="CQ52" s="372" t="str">
        <f aca="false">VLOOKUP(CONCATENATE($AI51,"-",CQ$8),'[1]liste complet essai'!$A$4:$K$1367,9,)</f>
        <v>N2-b2</v>
      </c>
      <c r="CR52" s="372" t="str">
        <f aca="false">VLOOKUP(CONCATENATE($AI51,"-",CR$8),'[1]liste complet essai'!$A$4:$K$1367,9,)</f>
        <v>N2-b2</v>
      </c>
      <c r="CS52" s="372" t="str">
        <f aca="false">VLOOKUP(CONCATENATE($AI51,"-",CS$8),'[1]liste complet essai'!$A$4:$K$1367,9,)</f>
        <v>N2-b2</v>
      </c>
      <c r="CT52" s="372" t="str">
        <f aca="false">VLOOKUP(CONCATENATE($AI51,"-",CT$8),'[1]liste complet essai'!$A$4:$K$1367,9,)</f>
        <v>N2-b2</v>
      </c>
      <c r="CU52" s="372" t="str">
        <f aca="false">VLOOKUP(CONCATENATE($AI51,"-",CU$8),'[1]liste complet essai'!$A$4:$K$1367,9,)</f>
        <v>N2-b2</v>
      </c>
      <c r="CV52" s="372" t="str">
        <f aca="false">VLOOKUP(CONCATENATE($AI51,"-",CV$8),'[1]liste complet essai'!$A$4:$K$1367,9,)</f>
        <v>N2-b2</v>
      </c>
      <c r="CW52" s="372" t="str">
        <f aca="false">VLOOKUP(CONCATENATE($AI51,"-",CW$8),'[1]liste complet essai'!$A$4:$K$1367,9,)</f>
        <v>N2-b2</v>
      </c>
      <c r="CX52" s="372" t="str">
        <f aca="false">VLOOKUP(CONCATENATE($AI51,"-",CX$8),'[1]liste complet essai'!$A$4:$K$1367,9,)</f>
        <v>N2-b2</v>
      </c>
      <c r="CY52" s="372" t="str">
        <f aca="false">VLOOKUP(CONCATENATE($AI51,"-",CY$8),'[1]liste complet essai'!$A$4:$K$1367,9,)</f>
        <v>N2-b2</v>
      </c>
      <c r="CZ52" s="309" t="str">
        <f aca="false">VLOOKUP(CONCATENATE($AI51,"-",CZ$8),'[1]liste complet essai'!$A$4:$K$1367,9,)</f>
        <v>N2-b2</v>
      </c>
      <c r="DA52" s="372" t="str">
        <f aca="false">VLOOKUP(CONCATENATE($AI51,"-",DA$8),'[1]liste complet essai'!$A$4:$K$1367,9,)</f>
        <v>N2-b2</v>
      </c>
      <c r="DB52" s="372" t="str">
        <f aca="false">VLOOKUP(CONCATENATE($AI51,"-",DB$8),'[1]liste complet essai'!$A$4:$K$1367,9,)</f>
        <v>N2-b2</v>
      </c>
      <c r="DC52" s="372" t="str">
        <f aca="false">VLOOKUP(CONCATENATE($AI51,"-",DC$8),'[1]liste complet essai'!$A$4:$K$1367,9,)</f>
        <v>N2-b2</v>
      </c>
      <c r="DD52" s="372" t="str">
        <f aca="false">VLOOKUP(CONCATENATE($AI51,"-",DD$8),'[1]liste complet essai'!$A$4:$K$1367,9,)</f>
        <v>N2-b2</v>
      </c>
      <c r="DE52" s="372" t="str">
        <f aca="false">VLOOKUP(CONCATENATE($AI51,"-",DE$8),'[1]liste complet essai'!$A$4:$K$1367,9,)</f>
        <v>N2-b2</v>
      </c>
      <c r="DF52" s="372" t="str">
        <f aca="false">VLOOKUP(CONCATENATE($AI51,"-",DF$8),'[1]liste complet essai'!$A$4:$K$1367,9,)</f>
        <v>N2-b2</v>
      </c>
      <c r="DG52" s="372" t="str">
        <f aca="false">VLOOKUP(CONCATENATE($AI51,"-",DG$8),'[1]liste complet essai'!$A$4:$K$1367,9,)</f>
        <v>N2-b2</v>
      </c>
      <c r="DH52" s="372" t="str">
        <f aca="false">VLOOKUP(CONCATENATE($AI51,"-",DH$8),'[1]liste complet essai'!$A$4:$K$1367,9,)</f>
        <v>N2-b2</v>
      </c>
      <c r="DI52" s="389"/>
      <c r="DJ52" s="309"/>
      <c r="DK52" s="390"/>
    </row>
    <row r="53" customFormat="false" ht="12.75" hidden="false" customHeight="true" outlineLevel="0" collapsed="false">
      <c r="B53" s="384"/>
      <c r="C53" s="385"/>
      <c r="D53" s="307"/>
      <c r="E53" s="386"/>
      <c r="F53" s="309" t="str">
        <f aca="false">VLOOKUP(CONCATENATE($B51,"-",F$8),'[1]liste complet essai'!$A$4:$K$1367,5,)</f>
        <v>G-204</v>
      </c>
      <c r="G53" s="309" t="str">
        <f aca="false">VLOOKUP(CONCATENATE($B51,"-",G$8),'[1]liste complet essai'!$A$4:$K$1367,5,)</f>
        <v>G-128</v>
      </c>
      <c r="H53" s="309" t="str">
        <f aca="false">VLOOKUP(CONCATENATE($B51,"-",H$8),'[1]liste complet essai'!$A$4:$K$1367,5,)</f>
        <v>G-209</v>
      </c>
      <c r="I53" s="309" t="str">
        <f aca="false">VLOOKUP(CONCATENATE($B51,"-",I$8),'[1]liste complet essai'!$A$4:$K$1367,5,)</f>
        <v>G-208</v>
      </c>
      <c r="J53" s="309" t="str">
        <f aca="false">VLOOKUP(CONCATENATE($B51,"-",J$8),'[1]liste complet essai'!$A$4:$K$1367,5,)</f>
        <v>G-217</v>
      </c>
      <c r="K53" s="309" t="str">
        <f aca="false">VLOOKUP(CONCATENATE($B51,"-",K$8),'[1]liste complet essai'!$A$4:$K$1367,5,)</f>
        <v>G-187</v>
      </c>
      <c r="L53" s="309" t="str">
        <f aca="false">VLOOKUP(CONCATENATE($B51,"-",L$8),'[1]liste complet essai'!$A$4:$K$1367,5,)</f>
        <v>G-167</v>
      </c>
      <c r="M53" s="309" t="str">
        <f aca="false">VLOOKUP(CONCATENATE($B51,"-",M$8),'[1]liste complet essai'!$A$4:$K$1367,5,)</f>
        <v>G-145</v>
      </c>
      <c r="N53" s="309" t="str">
        <f aca="false">VLOOKUP(CONCATENATE($B51,"-",N$8),'[1]liste complet essai'!$A$4:$K$1367,5,)</f>
        <v>G-193</v>
      </c>
      <c r="O53" s="375" t="str">
        <f aca="false">VLOOKUP(CONCATENATE($B51,"-",O$8),'[1]liste complet essai'!$A$4:$K$1367,5,)</f>
        <v>G-126</v>
      </c>
      <c r="P53" s="309" t="str">
        <f aca="false">VLOOKUP(CONCATENATE($B51,"-",P$8),'[1]liste complet essai'!$A$4:$K$1367,5,)</f>
        <v>G-165</v>
      </c>
      <c r="Q53" s="309" t="str">
        <f aca="false">VLOOKUP(CONCATENATE($B51,"-",Q$8),'[1]liste complet essai'!$A$4:$K$1367,5,)</f>
        <v>G-185</v>
      </c>
      <c r="R53" s="309" t="str">
        <f aca="false">VLOOKUP(CONCATENATE($B51,"-",R$8),'[1]liste complet essai'!$A$4:$K$1367,5,)</f>
        <v>G-216</v>
      </c>
      <c r="S53" s="309" t="str">
        <f aca="false">VLOOKUP(CONCATENATE($B51,"-",S$8),'[1]liste complet essai'!$A$4:$K$1367,5,)</f>
        <v>G-178</v>
      </c>
      <c r="T53" s="375" t="str">
        <f aca="false">VLOOKUP(CONCATENATE($B51,"-",T$8),'[1]liste complet essai'!$A$4:$K$1367,5,)</f>
        <v>G-125</v>
      </c>
      <c r="U53" s="309" t="str">
        <f aca="false">VLOOKUP(CONCATENATE($B51,"-",U$8),'[1]liste complet essai'!$A$4:$K$1367,5,)</f>
        <v>G-186</v>
      </c>
      <c r="V53" s="309" t="str">
        <f aca="false">VLOOKUP(CONCATENATE($B51,"-",V$8),'[1]liste complet essai'!$A$4:$K$1367,5,)</f>
        <v>G-206</v>
      </c>
      <c r="W53" s="309" t="str">
        <f aca="false">VLOOKUP(CONCATENATE($B51,"-",W$8),'[1]liste complet essai'!$A$4:$K$1367,5,)</f>
        <v>G-157</v>
      </c>
      <c r="X53" s="309" t="str">
        <f aca="false">VLOOKUP(CONCATENATE($B51,"-",X$8),'[1]liste complet essai'!$A$4:$K$1367,5,)</f>
        <v>G-172</v>
      </c>
      <c r="Y53" s="309" t="str">
        <f aca="false">VLOOKUP(CONCATENATE($B51,"-",Y$8),'[1]liste complet essai'!$A$4:$K$1367,5,)</f>
        <v>G-131</v>
      </c>
      <c r="Z53" s="309" t="str">
        <f aca="false">VLOOKUP(CONCATENATE($B51,"-",Z$8),'[1]liste complet essai'!$A$4:$K$1367,5,)</f>
        <v>G-137</v>
      </c>
      <c r="AA53" s="309" t="str">
        <f aca="false">VLOOKUP(CONCATENATE($B51,"-",AA$8),'[1]liste complet essai'!$A$4:$K$1367,5,)</f>
        <v>G-175</v>
      </c>
      <c r="AB53" s="309" t="str">
        <f aca="false">VLOOKUP(CONCATENATE($B51,"-",AB$8),'[1]liste complet essai'!$A$4:$K$1367,5,)</f>
        <v>G-217</v>
      </c>
      <c r="AC53" s="309" t="str">
        <f aca="false">VLOOKUP(CONCATENATE($B51,"-",AC$8),'[1]liste complet essai'!$A$4:$K$1367,5,)</f>
        <v>G-139</v>
      </c>
      <c r="AD53" s="309" t="str">
        <f aca="false">VLOOKUP(CONCATENATE($B51,"-",AD$8),'[1]liste complet essai'!$A$4:$K$1367,5,)</f>
        <v>G-176</v>
      </c>
      <c r="AE53" s="309" t="str">
        <f aca="false">VLOOKUP(CONCATENATE($B51,"-",AE$8),'[1]liste complet essai'!$A$4:$K$1367,5,)</f>
        <v>G-214</v>
      </c>
      <c r="AF53" s="387"/>
      <c r="AI53" s="363"/>
      <c r="AJ53" s="388"/>
      <c r="AK53" s="309"/>
      <c r="AL53" s="389"/>
      <c r="AM53" s="372" t="str">
        <f aca="false">VLOOKUP(CONCATENATE($AI51,"-",AM$8),'[1]liste complet essai'!$A$4:$K$1367,5,)</f>
        <v>G-203</v>
      </c>
      <c r="AN53" s="372" t="str">
        <f aca="false">VLOOKUP(CONCATENATE($AI51,"-",AN$8),'[1]liste complet essai'!$A$4:$K$1367,5,)</f>
        <v>G-213</v>
      </c>
      <c r="AO53" s="372" t="str">
        <f aca="false">VLOOKUP(CONCATENATE($AI51,"-",AO$8),'[1]liste complet essai'!$A$4:$K$1367,5,)</f>
        <v>G-152</v>
      </c>
      <c r="AP53" s="372" t="str">
        <f aca="false">VLOOKUP(CONCATENATE($AI51,"-",AP$8),'[1]liste complet essai'!$A$4:$K$1367,5,)</f>
        <v>G-199</v>
      </c>
      <c r="AQ53" s="372" t="str">
        <f aca="false">VLOOKUP(CONCATENATE($AI51,"-",AQ$8),'[1]liste complet essai'!$A$4:$K$1367,5,)</f>
        <v>G-207</v>
      </c>
      <c r="AR53" s="372" t="str">
        <f aca="false">VLOOKUP(CONCATENATE($AI51,"-",AR$8),'[1]liste complet essai'!$A$4:$K$1367,5,)</f>
        <v>G-214</v>
      </c>
      <c r="AS53" s="372" t="str">
        <f aca="false">VLOOKUP(CONCATENATE($AI51,"-",AS$8),'[1]liste complet essai'!$A$4:$K$1367,5,)</f>
        <v>G-160</v>
      </c>
      <c r="AT53" s="372" t="str">
        <f aca="false">VLOOKUP(CONCATENATE($AI51,"-",AT$8),'[1]liste complet essai'!$A$4:$K$1367,5,)</f>
        <v>G-195</v>
      </c>
      <c r="AU53" s="372" t="str">
        <f aca="false">VLOOKUP(CONCATENATE($AI51,"-",AU$8),'[1]liste complet essai'!$A$4:$K$1367,5,)</f>
        <v>G-128</v>
      </c>
      <c r="AV53" s="372" t="str">
        <f aca="false">VLOOKUP(CONCATENATE($AI51,"-",AV$8),'[1]liste complet essai'!$A$4:$K$1367,5,)</f>
        <v>G-205</v>
      </c>
      <c r="AW53" s="372" t="str">
        <f aca="false">VLOOKUP(CONCATENATE($AI51,"-",AW$8),'[1]liste complet essai'!$A$4:$K$1367,5,)</f>
        <v>G-161</v>
      </c>
      <c r="AX53" s="372" t="str">
        <f aca="false">VLOOKUP(CONCATENATE($AI51,"-",AX$8),'[1]liste complet essai'!$A$4:$K$1367,5,)</f>
        <v>G-177</v>
      </c>
      <c r="AY53" s="372" t="str">
        <f aca="false">VLOOKUP(CONCATENATE($AI51,"-",AY$8),'[1]liste complet essai'!$A$4:$K$1367,5,)</f>
        <v>G-179</v>
      </c>
      <c r="AZ53" s="372" t="str">
        <f aca="false">VLOOKUP(CONCATENATE($AI51,"-",AZ$8),'[1]liste complet essai'!$A$4:$K$1367,5,)</f>
        <v>G-166</v>
      </c>
      <c r="BA53" s="372" t="str">
        <f aca="false">VLOOKUP(CONCATENATE($AI51,"-",BA$8),'[1]liste complet essai'!$A$4:$K$1367,5,)</f>
        <v>G-183</v>
      </c>
      <c r="BB53" s="372" t="str">
        <f aca="false">VLOOKUP(CONCATENATE($AI51,"-",BB$8),'[1]liste complet essai'!$A$4:$K$1367,5,)</f>
        <v>G-193</v>
      </c>
      <c r="BC53" s="372" t="str">
        <f aca="false">VLOOKUP(CONCATENATE($AI51,"-",BC$8),'[1]liste complet essai'!$A$4:$K$1367,5,)</f>
        <v>G-171</v>
      </c>
      <c r="BD53" s="372" t="str">
        <f aca="false">VLOOKUP(CONCATENATE($AI51,"-",BD$8),'[1]liste complet essai'!$A$4:$K$1367,5,)</f>
        <v>G-146</v>
      </c>
      <c r="BE53" s="372" t="str">
        <f aca="false">VLOOKUP(CONCATENATE($AI51,"-",BE$8),'[1]liste complet essai'!$A$4:$K$1367,5,)</f>
        <v>G-204</v>
      </c>
      <c r="BF53" s="372" t="str">
        <f aca="false">VLOOKUP(CONCATENATE($AI51,"-",BF$8),'[1]liste complet essai'!$A$4:$K$1367,5,)</f>
        <v>G-135</v>
      </c>
      <c r="BG53" s="372" t="str">
        <f aca="false">VLOOKUP(CONCATENATE($AI51,"-",BG$8),'[1]liste complet essai'!$A$4:$K$1367,5,)</f>
        <v>G-129</v>
      </c>
      <c r="BH53" s="372" t="str">
        <f aca="false">VLOOKUP(CONCATENATE($AI51,"-",BH$8),'[1]liste complet essai'!$A$4:$K$1367,5,)</f>
        <v>G-216</v>
      </c>
      <c r="BI53" s="372" t="str">
        <f aca="false">VLOOKUP(CONCATENATE($AI51,"-",BI$8),'[1]liste complet essai'!$A$4:$K$1367,5,)</f>
        <v>G-178</v>
      </c>
      <c r="BJ53" s="372" t="str">
        <f aca="false">VLOOKUP(CONCATENATE($AI51,"-",BJ$8),'[1]liste complet essai'!$A$4:$K$1367,5,)</f>
        <v>G-170</v>
      </c>
      <c r="BK53" s="372" t="str">
        <f aca="false">VLOOKUP(CONCATENATE($AI51,"-",BK$8),'[1]liste complet essai'!$A$4:$K$1367,5,)</f>
        <v>G-197</v>
      </c>
      <c r="BL53" s="372" t="str">
        <f aca="false">VLOOKUP(CONCATENATE($AI51,"-",BL$8),'[1]liste complet essai'!$A$4:$K$1367,5,)</f>
        <v>G-137</v>
      </c>
      <c r="BM53" s="372" t="str">
        <f aca="false">VLOOKUP(CONCATENATE($AI51,"-",BM$8),'[1]liste complet essai'!$A$4:$K$1367,5,)</f>
        <v>G-212</v>
      </c>
      <c r="BN53" s="372" t="str">
        <f aca="false">VLOOKUP(CONCATENATE($AI51,"-",BN$8),'[1]liste complet essai'!$A$4:$K$1367,5,)</f>
        <v>G-163</v>
      </c>
      <c r="BO53" s="372" t="str">
        <f aca="false">VLOOKUP(CONCATENATE($AI51,"-",BO$8),'[1]liste complet essai'!$A$4:$K$1367,5,)</f>
        <v>G-181</v>
      </c>
      <c r="BP53" s="372" t="str">
        <f aca="false">VLOOKUP(CONCATENATE($AI51,"-",BP$8),'[1]liste complet essai'!$A$4:$K$1367,5,)</f>
        <v>G-127</v>
      </c>
      <c r="BQ53" s="372" t="str">
        <f aca="false">VLOOKUP(CONCATENATE($AI51,"-",BQ$8),'[1]liste complet essai'!$A$4:$K$1367,5,)</f>
        <v>G-156</v>
      </c>
      <c r="BR53" s="372" t="str">
        <f aca="false">VLOOKUP(CONCATENATE($AI51,"-",BR$8),'[1]liste complet essai'!$A$4:$K$1367,5,)</f>
        <v>G-144</v>
      </c>
      <c r="BS53" s="374"/>
      <c r="BT53" s="374"/>
      <c r="BU53" s="374"/>
      <c r="BV53" s="374"/>
      <c r="BW53" s="374"/>
      <c r="BX53" s="374"/>
      <c r="BY53" s="374"/>
      <c r="BZ53" s="374"/>
      <c r="CA53" s="374"/>
      <c r="CB53" s="374"/>
      <c r="CC53" s="372" t="str">
        <f aca="false">VLOOKUP(CONCATENATE($AI51,"-",CC$8),'[1]liste complet essai'!$A$4:$K$1367,5,)</f>
        <v>G-131</v>
      </c>
      <c r="CD53" s="372" t="str">
        <f aca="false">VLOOKUP(CONCATENATE($AI51,"-",CD$8),'[1]liste complet essai'!$A$4:$K$1367,5,)</f>
        <v>G-141</v>
      </c>
      <c r="CE53" s="372" t="str">
        <f aca="false">VLOOKUP(CONCATENATE($AI51,"-",CE$8),'[1]liste complet essai'!$A$4:$K$1367,5,)</f>
        <v>G-148</v>
      </c>
      <c r="CF53" s="372" t="str">
        <f aca="false">VLOOKUP(CONCATENATE($AI51,"-",CF$8),'[1]liste complet essai'!$A$4:$K$1367,5,)</f>
        <v>G-180</v>
      </c>
      <c r="CG53" s="372" t="str">
        <f aca="false">VLOOKUP(CONCATENATE($AI51,"-",CG$8),'[1]liste complet essai'!$A$4:$K$1367,5,)</f>
        <v>G-143</v>
      </c>
      <c r="CH53" s="372" t="str">
        <f aca="false">VLOOKUP(CONCATENATE($AI51,"-",CH$8),'[1]liste complet essai'!$A$4:$K$1367,5,)</f>
        <v>G-190</v>
      </c>
      <c r="CI53" s="372" t="str">
        <f aca="false">VLOOKUP(CONCATENATE($AI51,"-",CI$8),'[1]liste complet essai'!$A$4:$K$1367,5,)</f>
        <v>G-158</v>
      </c>
      <c r="CJ53" s="372" t="str">
        <f aca="false">VLOOKUP(CONCATENATE($AI51,"-",CJ$8),'[1]liste complet essai'!$A$4:$K$1367,5,)</f>
        <v>G-187</v>
      </c>
      <c r="CK53" s="372" t="str">
        <f aca="false">VLOOKUP(CONCATENATE($AI51,"-",CK$8),'[1]liste complet essai'!$A$4:$K$1367,5,)</f>
        <v>G-128</v>
      </c>
      <c r="CL53" s="372" t="str">
        <f aca="false">VLOOKUP(CONCATENATE($AI51,"-",CL$8),'[1]liste complet essai'!$A$4:$K$1367,5,)</f>
        <v>G-178</v>
      </c>
      <c r="CM53" s="372" t="str">
        <f aca="false">VLOOKUP(CONCATENATE($AI51,"-",CM$8),'[1]liste complet essai'!$A$4:$K$1367,5,)</f>
        <v>G-212</v>
      </c>
      <c r="CN53" s="372" t="str">
        <f aca="false">VLOOKUP(CONCATENATE($AI51,"-",CN$8),'[1]liste complet essai'!$A$4:$K$1367,5,)</f>
        <v>G-135</v>
      </c>
      <c r="CO53" s="372" t="str">
        <f aca="false">VLOOKUP(CONCATENATE($AI51,"-",CO$8),'[1]liste complet essai'!$A$4:$K$1367,5,)</f>
        <v>G-140</v>
      </c>
      <c r="CP53" s="372" t="str">
        <f aca="false">VLOOKUP(CONCATENATE($AI51,"-",CP$8),'[1]liste complet essai'!$A$4:$K$1367,5,)</f>
        <v>G-208</v>
      </c>
      <c r="CQ53" s="372" t="str">
        <f aca="false">VLOOKUP(CONCATENATE($AI51,"-",CQ$8),'[1]liste complet essai'!$A$4:$K$1367,5,)</f>
        <v>G-211</v>
      </c>
      <c r="CR53" s="372" t="str">
        <f aca="false">VLOOKUP(CONCATENATE($AI51,"-",CR$8),'[1]liste complet essai'!$A$4:$K$1367,5,)</f>
        <v>G-177</v>
      </c>
      <c r="CS53" s="372" t="str">
        <f aca="false">VLOOKUP(CONCATENATE($AI51,"-",CS$8),'[1]liste complet essai'!$A$4:$K$1367,5,)</f>
        <v>G-181</v>
      </c>
      <c r="CT53" s="372" t="str">
        <f aca="false">VLOOKUP(CONCATENATE($AI51,"-",CT$8),'[1]liste complet essai'!$A$4:$K$1367,5,)</f>
        <v>G-133</v>
      </c>
      <c r="CU53" s="372" t="str">
        <f aca="false">VLOOKUP(CONCATENATE($AI51,"-",CU$8),'[1]liste complet essai'!$A$4:$K$1367,5,)</f>
        <v>G-188</v>
      </c>
      <c r="CV53" s="372" t="str">
        <f aca="false">VLOOKUP(CONCATENATE($AI51,"-",CV$8),'[1]liste complet essai'!$A$4:$K$1367,5,)</f>
        <v>G-152</v>
      </c>
      <c r="CW53" s="372" t="str">
        <f aca="false">VLOOKUP(CONCATENATE($AI51,"-",CW$8),'[1]liste complet essai'!$A$4:$K$1367,5,)</f>
        <v>G-156</v>
      </c>
      <c r="CX53" s="372" t="str">
        <f aca="false">VLOOKUP(CONCATENATE($AI51,"-",CX$8),'[1]liste complet essai'!$A$4:$K$1367,5,)</f>
        <v>G-184</v>
      </c>
      <c r="CY53" s="372" t="str">
        <f aca="false">VLOOKUP(CONCATENATE($AI51,"-",CY$8),'[1]liste complet essai'!$A$4:$K$1367,5,)</f>
        <v>G-130</v>
      </c>
      <c r="CZ53" s="376" t="str">
        <f aca="false">VLOOKUP(CONCATENATE($AI51,"-",CZ$8),'[1]liste complet essai'!$A$4:$K$1367,5,)</f>
        <v>G-125</v>
      </c>
      <c r="DA53" s="372" t="str">
        <f aca="false">VLOOKUP(CONCATENATE($AI51,"-",DA$8),'[1]liste complet essai'!$A$4:$K$1367,5,)</f>
        <v>G-198</v>
      </c>
      <c r="DB53" s="372" t="str">
        <f aca="false">VLOOKUP(CONCATENATE($AI51,"-",DB$8),'[1]liste complet essai'!$A$4:$K$1367,5,)</f>
        <v>G-200</v>
      </c>
      <c r="DC53" s="372" t="str">
        <f aca="false">VLOOKUP(CONCATENATE($AI51,"-",DC$8),'[1]liste complet essai'!$A$4:$K$1367,5,)</f>
        <v>G-202</v>
      </c>
      <c r="DD53" s="372" t="str">
        <f aca="false">VLOOKUP(CONCATENATE($AI51,"-",DD$8),'[1]liste complet essai'!$A$4:$K$1367,5,)</f>
        <v>G-159</v>
      </c>
      <c r="DE53" s="372" t="str">
        <f aca="false">VLOOKUP(CONCATENATE($AI51,"-",DE$8),'[1]liste complet essai'!$A$4:$K$1367,5,)</f>
        <v>G-209</v>
      </c>
      <c r="DF53" s="372" t="str">
        <f aca="false">VLOOKUP(CONCATENATE($AI51,"-",DF$8),'[1]liste complet essai'!$A$4:$K$1367,5,)</f>
        <v>G-160</v>
      </c>
      <c r="DG53" s="372" t="str">
        <f aca="false">VLOOKUP(CONCATENATE($AI51,"-",DG$8),'[1]liste complet essai'!$A$4:$K$1367,5,)</f>
        <v>G-192</v>
      </c>
      <c r="DH53" s="372" t="str">
        <f aca="false">VLOOKUP(CONCATENATE($AI51,"-",DH$8),'[1]liste complet essai'!$A$4:$K$1367,5,)</f>
        <v>G-179</v>
      </c>
      <c r="DI53" s="389"/>
      <c r="DJ53" s="309"/>
      <c r="DK53" s="390"/>
    </row>
    <row r="54" customFormat="false" ht="12.75" hidden="false" customHeight="true" outlineLevel="0" collapsed="false">
      <c r="B54" s="384"/>
      <c r="C54" s="385"/>
      <c r="D54" s="314"/>
      <c r="E54" s="386"/>
      <c r="F54" s="309" t="str">
        <f aca="false">VLOOKUP(CONCATENATE($B51,"-",F$8),'[1]liste complet essai'!$A$4:$K$1367,1,)</f>
        <v>25-65</v>
      </c>
      <c r="G54" s="309" t="str">
        <f aca="false">VLOOKUP(CONCATENATE($B51,"-",G$8),'[1]liste complet essai'!$A$4:$K$1367,1,)</f>
        <v>25-66</v>
      </c>
      <c r="H54" s="309" t="str">
        <f aca="false">VLOOKUP(CONCATENATE($B51,"-",H$8),'[1]liste complet essai'!$A$4:$K$1367,1,)</f>
        <v>25-67</v>
      </c>
      <c r="I54" s="309" t="str">
        <f aca="false">VLOOKUP(CONCATENATE($B51,"-",I$8),'[1]liste complet essai'!$A$4:$K$1367,1,)</f>
        <v>25-68</v>
      </c>
      <c r="J54" s="309" t="str">
        <f aca="false">VLOOKUP(CONCATENATE($B51,"-",J$8),'[1]liste complet essai'!$A$4:$K$1367,1,)</f>
        <v>25-69</v>
      </c>
      <c r="K54" s="309" t="str">
        <f aca="false">VLOOKUP(CONCATENATE($B51,"-",K$8),'[1]liste complet essai'!$A$4:$K$1367,1,)</f>
        <v>25-70</v>
      </c>
      <c r="L54" s="309" t="str">
        <f aca="false">VLOOKUP(CONCATENATE($B51,"-",L$8),'[1]liste complet essai'!$A$4:$K$1367,1,)</f>
        <v>25-71</v>
      </c>
      <c r="M54" s="309" t="str">
        <f aca="false">VLOOKUP(CONCATENATE($B51,"-",M$8),'[1]liste complet essai'!$A$4:$K$1367,1,)</f>
        <v>25-72</v>
      </c>
      <c r="N54" s="309" t="str">
        <f aca="false">VLOOKUP(CONCATENATE($B51,"-",N$8),'[1]liste complet essai'!$A$4:$K$1367,1,)</f>
        <v>25-73</v>
      </c>
      <c r="O54" s="366" t="str">
        <f aca="false">VLOOKUP(CONCATENATE($B51,"-",O$8),'[1]liste complet essai'!$A$4:$K$1367,1,)</f>
        <v>25-74</v>
      </c>
      <c r="P54" s="309" t="str">
        <f aca="false">VLOOKUP(CONCATENATE($B51,"-",P$8),'[1]liste complet essai'!$A$4:$K$1367,1,)</f>
        <v>25-75</v>
      </c>
      <c r="Q54" s="309" t="str">
        <f aca="false">VLOOKUP(CONCATENATE($B51,"-",Q$8),'[1]liste complet essai'!$A$4:$K$1367,1,)</f>
        <v>25-76</v>
      </c>
      <c r="R54" s="309" t="str">
        <f aca="false">VLOOKUP(CONCATENATE($B51,"-",R$8),'[1]liste complet essai'!$A$4:$K$1367,1,)</f>
        <v>25-77</v>
      </c>
      <c r="S54" s="309" t="str">
        <f aca="false">VLOOKUP(CONCATENATE($B51,"-",S$8),'[1]liste complet essai'!$A$4:$K$1367,1,)</f>
        <v>25-78</v>
      </c>
      <c r="T54" s="309" t="str">
        <f aca="false">VLOOKUP(CONCATENATE($B51,"-",T$8),'[1]liste complet essai'!$A$4:$K$1367,1,)</f>
        <v>25-79</v>
      </c>
      <c r="U54" s="309" t="str">
        <f aca="false">VLOOKUP(CONCATENATE($B51,"-",U$8),'[1]liste complet essai'!$A$4:$K$1367,1,)</f>
        <v>25-80</v>
      </c>
      <c r="V54" s="309" t="str">
        <f aca="false">VLOOKUP(CONCATENATE($B51,"-",V$8),'[1]liste complet essai'!$A$4:$K$1367,1,)</f>
        <v>25-81</v>
      </c>
      <c r="W54" s="309" t="str">
        <f aca="false">VLOOKUP(CONCATENATE($B51,"-",W$8),'[1]liste complet essai'!$A$4:$K$1367,1,)</f>
        <v>25-82</v>
      </c>
      <c r="X54" s="309" t="str">
        <f aca="false">VLOOKUP(CONCATENATE($B51,"-",X$8),'[1]liste complet essai'!$A$4:$K$1367,1,)</f>
        <v>25-83</v>
      </c>
      <c r="Y54" s="309" t="str">
        <f aca="false">VLOOKUP(CONCATENATE($B51,"-",Y$8),'[1]liste complet essai'!$A$4:$K$1367,1,)</f>
        <v>25-84</v>
      </c>
      <c r="Z54" s="309" t="str">
        <f aca="false">VLOOKUP(CONCATENATE($B51,"-",Z$8),'[1]liste complet essai'!$A$4:$K$1367,1,)</f>
        <v>25-85</v>
      </c>
      <c r="AA54" s="309" t="str">
        <f aca="false">VLOOKUP(CONCATENATE($B51,"-",AA$8),'[1]liste complet essai'!$A$4:$K$1367,1,)</f>
        <v>25-86</v>
      </c>
      <c r="AB54" s="309" t="str">
        <f aca="false">VLOOKUP(CONCATENATE($B51,"-",AB$8),'[1]liste complet essai'!$A$4:$K$1367,1,)</f>
        <v>25-87</v>
      </c>
      <c r="AC54" s="309" t="str">
        <f aca="false">VLOOKUP(CONCATENATE($B51,"-",AC$8),'[1]liste complet essai'!$A$4:$K$1367,1,)</f>
        <v>25-88</v>
      </c>
      <c r="AD54" s="309" t="str">
        <f aca="false">VLOOKUP(CONCATENATE($B51,"-",AD$8),'[1]liste complet essai'!$A$4:$K$1367,1,)</f>
        <v>25-89</v>
      </c>
      <c r="AE54" s="309" t="str">
        <f aca="false">VLOOKUP(CONCATENATE($B51,"-",AE$8),'[1]liste complet essai'!$A$4:$K$1367,1,)</f>
        <v>25-90</v>
      </c>
      <c r="AF54" s="387"/>
      <c r="AI54" s="363"/>
      <c r="AJ54" s="388"/>
      <c r="AK54" s="317"/>
      <c r="AL54" s="389"/>
      <c r="AM54" s="383" t="str">
        <f aca="false">VLOOKUP(CONCATENATE($AI51,"-",AM$8),'[1]liste complet essai'!$A$4:$K$1367,1,)</f>
        <v>11-01</v>
      </c>
      <c r="AN54" s="383" t="str">
        <f aca="false">VLOOKUP(CONCATENATE($AI51,"-",AN$8),'[1]liste complet essai'!$A$4:$K$1367,1,)</f>
        <v>11-02</v>
      </c>
      <c r="AO54" s="383" t="str">
        <f aca="false">VLOOKUP(CONCATENATE($AI51,"-",AO$8),'[1]liste complet essai'!$A$4:$K$1367,1,)</f>
        <v>11-03</v>
      </c>
      <c r="AP54" s="383" t="str">
        <f aca="false">VLOOKUP(CONCATENATE($AI51,"-",AP$8),'[1]liste complet essai'!$A$4:$K$1367,1,)</f>
        <v>11-04</v>
      </c>
      <c r="AQ54" s="383" t="str">
        <f aca="false">VLOOKUP(CONCATENATE($AI51,"-",AQ$8),'[1]liste complet essai'!$A$4:$K$1367,1,)</f>
        <v>11-05</v>
      </c>
      <c r="AR54" s="383" t="str">
        <f aca="false">VLOOKUP(CONCATENATE($AI51,"-",AR$8),'[1]liste complet essai'!$A$4:$K$1367,1,)</f>
        <v>11-06</v>
      </c>
      <c r="AS54" s="383" t="str">
        <f aca="false">VLOOKUP(CONCATENATE($AI51,"-",AS$8),'[1]liste complet essai'!$A$4:$K$1367,1,)</f>
        <v>11-07</v>
      </c>
      <c r="AT54" s="383" t="str">
        <f aca="false">VLOOKUP(CONCATENATE($AI51,"-",AT$8),'[1]liste complet essai'!$A$4:$K$1367,1,)</f>
        <v>11-08</v>
      </c>
      <c r="AU54" s="383" t="str">
        <f aca="false">VLOOKUP(CONCATENATE($AI51,"-",AU$8),'[1]liste complet essai'!$A$4:$K$1367,1,)</f>
        <v>11-09</v>
      </c>
      <c r="AV54" s="383" t="str">
        <f aca="false">VLOOKUP(CONCATENATE($AI51,"-",AV$8),'[1]liste complet essai'!$A$4:$K$1367,1,)</f>
        <v>11-10</v>
      </c>
      <c r="AW54" s="383" t="str">
        <f aca="false">VLOOKUP(CONCATENATE($AI51,"-",AW$8),'[1]liste complet essai'!$A$4:$K$1367,1,)</f>
        <v>11-11</v>
      </c>
      <c r="AX54" s="383" t="str">
        <f aca="false">VLOOKUP(CONCATENATE($AI51,"-",AX$8),'[1]liste complet essai'!$A$4:$K$1367,1,)</f>
        <v>11-12</v>
      </c>
      <c r="AY54" s="383" t="str">
        <f aca="false">VLOOKUP(CONCATENATE($AI51,"-",AY$8),'[1]liste complet essai'!$A$4:$K$1367,1,)</f>
        <v>11-13</v>
      </c>
      <c r="AZ54" s="383" t="str">
        <f aca="false">VLOOKUP(CONCATENATE($AI51,"-",AZ$8),'[1]liste complet essai'!$A$4:$K$1367,1,)</f>
        <v>11-14</v>
      </c>
      <c r="BA54" s="383" t="str">
        <f aca="false">VLOOKUP(CONCATENATE($AI51,"-",BA$8),'[1]liste complet essai'!$A$4:$K$1367,1,)</f>
        <v>11-15</v>
      </c>
      <c r="BB54" s="383" t="str">
        <f aca="false">VLOOKUP(CONCATENATE($AI51,"-",BB$8),'[1]liste complet essai'!$A$4:$K$1367,1,)</f>
        <v>11-16</v>
      </c>
      <c r="BC54" s="383" t="str">
        <f aca="false">VLOOKUP(CONCATENATE($AI51,"-",BC$8),'[1]liste complet essai'!$A$4:$K$1367,1,)</f>
        <v>11-17</v>
      </c>
      <c r="BD54" s="383" t="str">
        <f aca="false">VLOOKUP(CONCATENATE($AI51,"-",BD$8),'[1]liste complet essai'!$A$4:$K$1367,1,)</f>
        <v>11-18</v>
      </c>
      <c r="BE54" s="383" t="str">
        <f aca="false">VLOOKUP(CONCATENATE($AI51,"-",BE$8),'[1]liste complet essai'!$A$4:$K$1367,1,)</f>
        <v>11-19</v>
      </c>
      <c r="BF54" s="383" t="str">
        <f aca="false">VLOOKUP(CONCATENATE($AI51,"-",BF$8),'[1]liste complet essai'!$A$4:$K$1367,1,)</f>
        <v>11-20</v>
      </c>
      <c r="BG54" s="383" t="str">
        <f aca="false">VLOOKUP(CONCATENATE($AI51,"-",BG$8),'[1]liste complet essai'!$A$4:$K$1367,1,)</f>
        <v>11-21</v>
      </c>
      <c r="BH54" s="383" t="str">
        <f aca="false">VLOOKUP(CONCATENATE($AI51,"-",BH$8),'[1]liste complet essai'!$A$4:$K$1367,1,)</f>
        <v>11-22</v>
      </c>
      <c r="BI54" s="383" t="str">
        <f aca="false">VLOOKUP(CONCATENATE($AI51,"-",BI$8),'[1]liste complet essai'!$A$4:$K$1367,1,)</f>
        <v>11-23</v>
      </c>
      <c r="BJ54" s="383" t="str">
        <f aca="false">VLOOKUP(CONCATENATE($AI51,"-",BJ$8),'[1]liste complet essai'!$A$4:$K$1367,1,)</f>
        <v>11-24</v>
      </c>
      <c r="BK54" s="383" t="str">
        <f aca="false">VLOOKUP(CONCATENATE($AI51,"-",BK$8),'[1]liste complet essai'!$A$4:$K$1367,1,)</f>
        <v>11-25</v>
      </c>
      <c r="BL54" s="383" t="str">
        <f aca="false">VLOOKUP(CONCATENATE($AI51,"-",BL$8),'[1]liste complet essai'!$A$4:$K$1367,1,)</f>
        <v>11-26</v>
      </c>
      <c r="BM54" s="383" t="str">
        <f aca="false">VLOOKUP(CONCATENATE($AI51,"-",BM$8),'[1]liste complet essai'!$A$4:$K$1367,1,)</f>
        <v>11-27</v>
      </c>
      <c r="BN54" s="383" t="str">
        <f aca="false">VLOOKUP(CONCATENATE($AI51,"-",BN$8),'[1]liste complet essai'!$A$4:$K$1367,1,)</f>
        <v>11-28</v>
      </c>
      <c r="BO54" s="383" t="str">
        <f aca="false">VLOOKUP(CONCATENATE($AI51,"-",BO$8),'[1]liste complet essai'!$A$4:$K$1367,1,)</f>
        <v>11-29</v>
      </c>
      <c r="BP54" s="383" t="str">
        <f aca="false">VLOOKUP(CONCATENATE($AI51,"-",BP$8),'[1]liste complet essai'!$A$4:$K$1367,1,)</f>
        <v>11-30</v>
      </c>
      <c r="BQ54" s="383" t="str">
        <f aca="false">VLOOKUP(CONCATENATE($AI51,"-",BQ$8),'[1]liste complet essai'!$A$4:$K$1367,1,)</f>
        <v>11-31</v>
      </c>
      <c r="BR54" s="383" t="str">
        <f aca="false">VLOOKUP(CONCATENATE($AI51,"-",BR$8),'[1]liste complet essai'!$A$4:$K$1367,1,)</f>
        <v>11-32</v>
      </c>
      <c r="BS54" s="374"/>
      <c r="BT54" s="374"/>
      <c r="BU54" s="374"/>
      <c r="BV54" s="374"/>
      <c r="BW54" s="374"/>
      <c r="BX54" s="374"/>
      <c r="BY54" s="374"/>
      <c r="BZ54" s="374"/>
      <c r="CA54" s="374"/>
      <c r="CB54" s="374"/>
      <c r="CC54" s="383" t="str">
        <f aca="false">VLOOKUP(CONCATENATE($AI51,"-",CC$8),'[1]liste complet essai'!$A$4:$K$1367,1,)</f>
        <v>11-33</v>
      </c>
      <c r="CD54" s="383" t="str">
        <f aca="false">VLOOKUP(CONCATENATE($AI51,"-",CD$8),'[1]liste complet essai'!$A$4:$K$1367,1,)</f>
        <v>11-34</v>
      </c>
      <c r="CE54" s="383" t="str">
        <f aca="false">VLOOKUP(CONCATENATE($AI51,"-",CE$8),'[1]liste complet essai'!$A$4:$K$1367,1,)</f>
        <v>11-35</v>
      </c>
      <c r="CF54" s="383" t="str">
        <f aca="false">VLOOKUP(CONCATENATE($AI51,"-",CF$8),'[1]liste complet essai'!$A$4:$K$1367,1,)</f>
        <v>11-36</v>
      </c>
      <c r="CG54" s="383" t="str">
        <f aca="false">VLOOKUP(CONCATENATE($AI51,"-",CG$8),'[1]liste complet essai'!$A$4:$K$1367,1,)</f>
        <v>11-37</v>
      </c>
      <c r="CH54" s="383" t="str">
        <f aca="false">VLOOKUP(CONCATENATE($AI51,"-",CH$8),'[1]liste complet essai'!$A$4:$K$1367,1,)</f>
        <v>11-38</v>
      </c>
      <c r="CI54" s="383" t="str">
        <f aca="false">VLOOKUP(CONCATENATE($AI51,"-",CI$8),'[1]liste complet essai'!$A$4:$K$1367,1,)</f>
        <v>11-39</v>
      </c>
      <c r="CJ54" s="383" t="str">
        <f aca="false">VLOOKUP(CONCATENATE($AI51,"-",CJ$8),'[1]liste complet essai'!$A$4:$K$1367,1,)</f>
        <v>11-40</v>
      </c>
      <c r="CK54" s="383" t="str">
        <f aca="false">VLOOKUP(CONCATENATE($AI51,"-",CK$8),'[1]liste complet essai'!$A$4:$K$1367,1,)</f>
        <v>11-41</v>
      </c>
      <c r="CL54" s="383" t="str">
        <f aca="false">VLOOKUP(CONCATENATE($AI51,"-",CL$8),'[1]liste complet essai'!$A$4:$K$1367,1,)</f>
        <v>11-42</v>
      </c>
      <c r="CM54" s="383" t="str">
        <f aca="false">VLOOKUP(CONCATENATE($AI51,"-",CM$8),'[1]liste complet essai'!$A$4:$K$1367,1,)</f>
        <v>11-43</v>
      </c>
      <c r="CN54" s="383" t="str">
        <f aca="false">VLOOKUP(CONCATENATE($AI51,"-",CN$8),'[1]liste complet essai'!$A$4:$K$1367,1,)</f>
        <v>11-44</v>
      </c>
      <c r="CO54" s="383" t="str">
        <f aca="false">VLOOKUP(CONCATENATE($AI51,"-",CO$8),'[1]liste complet essai'!$A$4:$K$1367,1,)</f>
        <v>11-45</v>
      </c>
      <c r="CP54" s="383" t="str">
        <f aca="false">VLOOKUP(CONCATENATE($AI51,"-",CP$8),'[1]liste complet essai'!$A$4:$K$1367,1,)</f>
        <v>11-46</v>
      </c>
      <c r="CQ54" s="383" t="str">
        <f aca="false">VLOOKUP(CONCATENATE($AI51,"-",CQ$8),'[1]liste complet essai'!$A$4:$K$1367,1,)</f>
        <v>11-47</v>
      </c>
      <c r="CR54" s="383" t="str">
        <f aca="false">VLOOKUP(CONCATENATE($AI51,"-",CR$8),'[1]liste complet essai'!$A$4:$K$1367,1,)</f>
        <v>11-48</v>
      </c>
      <c r="CS54" s="383" t="str">
        <f aca="false">VLOOKUP(CONCATENATE($AI51,"-",CS$8),'[1]liste complet essai'!$A$4:$K$1367,1,)</f>
        <v>11-49</v>
      </c>
      <c r="CT54" s="383" t="str">
        <f aca="false">VLOOKUP(CONCATENATE($AI51,"-",CT$8),'[1]liste complet essai'!$A$4:$K$1367,1,)</f>
        <v>11-50</v>
      </c>
      <c r="CU54" s="383" t="str">
        <f aca="false">VLOOKUP(CONCATENATE($AI51,"-",CU$8),'[1]liste complet essai'!$A$4:$K$1367,1,)</f>
        <v>11-51</v>
      </c>
      <c r="CV54" s="383" t="str">
        <f aca="false">VLOOKUP(CONCATENATE($AI51,"-",CV$8),'[1]liste complet essai'!$A$4:$K$1367,1,)</f>
        <v>11-52</v>
      </c>
      <c r="CW54" s="383" t="str">
        <f aca="false">VLOOKUP(CONCATENATE($AI51,"-",CW$8),'[1]liste complet essai'!$A$4:$K$1367,1,)</f>
        <v>11-53</v>
      </c>
      <c r="CX54" s="383" t="str">
        <f aca="false">VLOOKUP(CONCATENATE($AI51,"-",CX$8),'[1]liste complet essai'!$A$4:$K$1367,1,)</f>
        <v>11-54</v>
      </c>
      <c r="CY54" s="383" t="str">
        <f aca="false">VLOOKUP(CONCATENATE($AI51,"-",CY$8),'[1]liste complet essai'!$A$4:$K$1367,1,)</f>
        <v>11-55</v>
      </c>
      <c r="CZ54" s="317" t="str">
        <f aca="false">VLOOKUP(CONCATENATE($AI51,"-",CZ$8),'[1]liste complet essai'!$A$4:$K$1367,1,)</f>
        <v>11-56</v>
      </c>
      <c r="DA54" s="383" t="str">
        <f aca="false">VLOOKUP(CONCATENATE($AI51,"-",DA$8),'[1]liste complet essai'!$A$4:$K$1367,1,)</f>
        <v>11-57</v>
      </c>
      <c r="DB54" s="383" t="str">
        <f aca="false">VLOOKUP(CONCATENATE($AI51,"-",DB$8),'[1]liste complet essai'!$A$4:$K$1367,1,)</f>
        <v>11-58</v>
      </c>
      <c r="DC54" s="383" t="str">
        <f aca="false">VLOOKUP(CONCATENATE($AI51,"-",DC$8),'[1]liste complet essai'!$A$4:$K$1367,1,)</f>
        <v>11-59</v>
      </c>
      <c r="DD54" s="383" t="str">
        <f aca="false">VLOOKUP(CONCATENATE($AI51,"-",DD$8),'[1]liste complet essai'!$A$4:$K$1367,1,)</f>
        <v>11-60</v>
      </c>
      <c r="DE54" s="383" t="str">
        <f aca="false">VLOOKUP(CONCATENATE($AI51,"-",DE$8),'[1]liste complet essai'!$A$4:$K$1367,1,)</f>
        <v>11-61</v>
      </c>
      <c r="DF54" s="383" t="str">
        <f aca="false">VLOOKUP(CONCATENATE($AI51,"-",DF$8),'[1]liste complet essai'!$A$4:$K$1367,1,)</f>
        <v>11-62</v>
      </c>
      <c r="DG54" s="383" t="str">
        <f aca="false">VLOOKUP(CONCATENATE($AI51,"-",DG$8),'[1]liste complet essai'!$A$4:$K$1367,1,)</f>
        <v>11-63</v>
      </c>
      <c r="DH54" s="383" t="str">
        <f aca="false">VLOOKUP(CONCATENATE($AI51,"-",DH$8),'[1]liste complet essai'!$A$4:$K$1367,1,)</f>
        <v>11-64</v>
      </c>
      <c r="DI54" s="389"/>
      <c r="DJ54" s="317"/>
      <c r="DK54" s="390"/>
    </row>
    <row r="55" customFormat="false" ht="12.75" hidden="false" customHeight="true" outlineLevel="0" collapsed="false">
      <c r="B55" s="384" t="n">
        <v>26</v>
      </c>
      <c r="C55" s="391" t="s">
        <v>8122</v>
      </c>
      <c r="D55" s="319"/>
      <c r="E55" s="392" t="s">
        <v>8122</v>
      </c>
      <c r="F55" s="322" t="str">
        <f aca="false">VLOOKUP(CONCATENATE($B55,"-",F$8),'[1]liste complet essai'!$A$4:$K$1367,4,)</f>
        <v>DK</v>
      </c>
      <c r="G55" s="322" t="str">
        <f aca="false">VLOOKUP(CONCATENATE($B55,"-",G$8),'[1]liste complet essai'!$A$4:$K$1367,4,)</f>
        <v>DK</v>
      </c>
      <c r="H55" s="368" t="str">
        <f aca="false">VLOOKUP(CONCATENATE($B55,"-",H$8),'[1]liste complet essai'!$A$4:$K$1367,4,)</f>
        <v>DK</v>
      </c>
      <c r="I55" s="322" t="str">
        <f aca="false">VLOOKUP(CONCATENATE($B55,"-",I$8),'[1]liste complet essai'!$A$4:$K$1367,4,)</f>
        <v>DK</v>
      </c>
      <c r="J55" s="322" t="str">
        <f aca="false">VLOOKUP(CONCATENATE($B55,"-",J$8),'[1]liste complet essai'!$A$4:$K$1367,4,)</f>
        <v>DK</v>
      </c>
      <c r="K55" s="322" t="str">
        <f aca="false">VLOOKUP(CONCATENATE($B55,"-",K$8),'[1]liste complet essai'!$A$4:$K$1367,4,)</f>
        <v>DK</v>
      </c>
      <c r="L55" s="322" t="str">
        <f aca="false">VLOOKUP(CONCATENATE($B55,"-",L$8),'[1]liste complet essai'!$A$4:$K$1367,4,)</f>
        <v>DK</v>
      </c>
      <c r="M55" s="322" t="str">
        <f aca="false">VLOOKUP(CONCATENATE($B55,"-",M$8),'[1]liste complet essai'!$A$4:$K$1367,4,)</f>
        <v>DK</v>
      </c>
      <c r="N55" s="322" t="str">
        <f aca="false">VLOOKUP(CONCATENATE($B55,"-",N$8),'[1]liste complet essai'!$A$4:$K$1367,4,)</f>
        <v>DK</v>
      </c>
      <c r="O55" s="322" t="str">
        <f aca="false">VLOOKUP(CONCATENATE($B55,"-",O$8),'[1]liste complet essai'!$A$4:$K$1367,4,)</f>
        <v>DK</v>
      </c>
      <c r="P55" s="322" t="str">
        <f aca="false">VLOOKUP(CONCATENATE($B55,"-",P$8),'[1]liste complet essai'!$A$4:$K$1367,4,)</f>
        <v>DK</v>
      </c>
      <c r="Q55" s="322" t="str">
        <f aca="false">VLOOKUP(CONCATENATE($B55,"-",Q$8),'[1]liste complet essai'!$A$4:$K$1367,4,)</f>
        <v>DK</v>
      </c>
      <c r="R55" s="322" t="str">
        <f aca="false">VLOOKUP(CONCATENATE($B55,"-",R$8),'[1]liste complet essai'!$A$4:$K$1367,4,)</f>
        <v>DK</v>
      </c>
      <c r="S55" s="322" t="str">
        <f aca="false">VLOOKUP(CONCATENATE($B55,"-",S$8),'[1]liste complet essai'!$A$4:$K$1367,4,)</f>
        <v>DK</v>
      </c>
      <c r="T55" s="303" t="str">
        <f aca="false">VLOOKUP(CONCATENATE($B55,"-",T$8),'[1]liste complet essai'!$A$4:$K$1367,4,)</f>
        <v>DK</v>
      </c>
      <c r="U55" s="322" t="str">
        <f aca="false">VLOOKUP(CONCATENATE($B55,"-",U$8),'[1]liste complet essai'!$A$4:$K$1367,4,)</f>
        <v>DK</v>
      </c>
      <c r="V55" s="322" t="str">
        <f aca="false">VLOOKUP(CONCATENATE($B55,"-",V$8),'[1]liste complet essai'!$A$4:$K$1367,4,)</f>
        <v>DK</v>
      </c>
      <c r="W55" s="368" t="str">
        <f aca="false">VLOOKUP(CONCATENATE($B55,"-",W$8),'[1]liste complet essai'!$A$4:$K$1367,4,)</f>
        <v>DK</v>
      </c>
      <c r="X55" s="322" t="str">
        <f aca="false">VLOOKUP(CONCATENATE($B55,"-",X$8),'[1]liste complet essai'!$A$4:$K$1367,4,)</f>
        <v>DK</v>
      </c>
      <c r="Y55" s="322" t="str">
        <f aca="false">VLOOKUP(CONCATENATE($B55,"-",Y$8),'[1]liste complet essai'!$A$4:$K$1367,4,)</f>
        <v>DK</v>
      </c>
      <c r="Z55" s="322" t="str">
        <f aca="false">VLOOKUP(CONCATENATE($B55,"-",Z$8),'[1]liste complet essai'!$A$4:$K$1367,4,)</f>
        <v>DK</v>
      </c>
      <c r="AA55" s="322" t="str">
        <f aca="false">VLOOKUP(CONCATENATE($B55,"-",AA$8),'[1]liste complet essai'!$A$4:$K$1367,4,)</f>
        <v>DK</v>
      </c>
      <c r="AB55" s="322" t="str">
        <f aca="false">VLOOKUP(CONCATENATE($B55,"-",AB$8),'[1]liste complet essai'!$A$4:$K$1367,4,)</f>
        <v>DK</v>
      </c>
      <c r="AC55" s="322" t="str">
        <f aca="false">VLOOKUP(CONCATENATE($B55,"-",AC$8),'[1]liste complet essai'!$A$4:$K$1367,4,)</f>
        <v>DK</v>
      </c>
      <c r="AD55" s="322" t="str">
        <f aca="false">VLOOKUP(CONCATENATE($B55,"-",AD$8),'[1]liste complet essai'!$A$4:$K$1367,4,)</f>
        <v>DK</v>
      </c>
      <c r="AE55" s="322" t="str">
        <f aca="false">VLOOKUP(CONCATENATE($B55,"-",AE$8),'[1]liste complet essai'!$A$4:$K$1367,4,)</f>
        <v>DK</v>
      </c>
      <c r="AF55" s="380" t="s">
        <v>8122</v>
      </c>
      <c r="AI55" s="393"/>
      <c r="AJ55" s="394"/>
      <c r="AK55" s="334"/>
      <c r="AL55" s="334"/>
      <c r="AM55" s="334"/>
      <c r="AN55" s="334"/>
      <c r="AO55" s="334"/>
      <c r="AP55" s="334"/>
      <c r="AQ55" s="334"/>
      <c r="AR55" s="334"/>
      <c r="AS55" s="334"/>
      <c r="AT55" s="334"/>
      <c r="AU55" s="334"/>
      <c r="AV55" s="334"/>
      <c r="AW55" s="334"/>
      <c r="AX55" s="334"/>
      <c r="AY55" s="334"/>
      <c r="AZ55" s="334"/>
      <c r="BA55" s="334"/>
      <c r="BB55" s="334"/>
      <c r="BC55" s="334"/>
      <c r="BD55" s="334"/>
      <c r="BE55" s="334"/>
      <c r="BF55" s="334"/>
      <c r="BG55" s="334"/>
      <c r="BH55" s="334"/>
      <c r="BI55" s="334"/>
      <c r="BJ55" s="334"/>
      <c r="BK55" s="334"/>
      <c r="BL55" s="334"/>
      <c r="BM55" s="334"/>
      <c r="BN55" s="334"/>
      <c r="BO55" s="334"/>
      <c r="BP55" s="334"/>
      <c r="BQ55" s="334"/>
      <c r="BR55" s="334"/>
      <c r="BS55" s="374"/>
      <c r="BT55" s="374"/>
      <c r="BU55" s="374"/>
      <c r="BV55" s="374"/>
      <c r="BW55" s="374"/>
      <c r="BX55" s="374"/>
      <c r="BY55" s="374"/>
      <c r="BZ55" s="374"/>
      <c r="CA55" s="374"/>
      <c r="CB55" s="374"/>
      <c r="CC55" s="334"/>
      <c r="CD55" s="334"/>
      <c r="CE55" s="334"/>
      <c r="CF55" s="334"/>
      <c r="CG55" s="334"/>
      <c r="CH55" s="334"/>
      <c r="CI55" s="334"/>
      <c r="CJ55" s="334"/>
      <c r="CK55" s="334"/>
      <c r="CL55" s="334"/>
      <c r="CM55" s="334"/>
      <c r="CN55" s="334"/>
      <c r="CO55" s="334"/>
      <c r="CP55" s="334"/>
      <c r="CQ55" s="334"/>
      <c r="CR55" s="334"/>
      <c r="CS55" s="334"/>
      <c r="CT55" s="334"/>
      <c r="CU55" s="334"/>
      <c r="CV55" s="334"/>
      <c r="CW55" s="334"/>
      <c r="CX55" s="334"/>
      <c r="CY55" s="334"/>
      <c r="CZ55" s="334"/>
      <c r="DA55" s="334"/>
      <c r="DB55" s="334"/>
      <c r="DC55" s="334"/>
      <c r="DD55" s="334"/>
      <c r="DE55" s="334"/>
      <c r="DF55" s="334"/>
      <c r="DG55" s="334"/>
      <c r="DH55" s="334"/>
      <c r="DI55" s="334"/>
      <c r="DJ55" s="334"/>
      <c r="DK55" s="395"/>
    </row>
    <row r="56" customFormat="false" ht="12.75" hidden="false" customHeight="true" outlineLevel="0" collapsed="false">
      <c r="B56" s="384"/>
      <c r="C56" s="391"/>
      <c r="D56" s="307"/>
      <c r="E56" s="392"/>
      <c r="F56" s="309" t="str">
        <f aca="false">VLOOKUP(CONCATENATE($B55,"-",F$8),'[1]liste complet essai'!$A$4:$K$1367,9,)</f>
        <v>N1-b3</v>
      </c>
      <c r="G56" s="309" t="str">
        <f aca="false">VLOOKUP(CONCATENATE($B55,"-",G$8),'[1]liste complet essai'!$A$4:$K$1367,9,)</f>
        <v>N1-b3</v>
      </c>
      <c r="H56" s="373" t="str">
        <f aca="false">VLOOKUP(CONCATENATE($B55,"-",H$8),'[1]liste complet essai'!$A$4:$K$1367,9,)</f>
        <v>N1-b3</v>
      </c>
      <c r="I56" s="309" t="str">
        <f aca="false">VLOOKUP(CONCATENATE($B55,"-",I$8),'[1]liste complet essai'!$A$4:$K$1367,9,)</f>
        <v>N1-b3</v>
      </c>
      <c r="J56" s="309" t="str">
        <f aca="false">VLOOKUP(CONCATENATE($B55,"-",J$8),'[1]liste complet essai'!$A$4:$K$1367,9,)</f>
        <v>N1-b3</v>
      </c>
      <c r="K56" s="309" t="str">
        <f aca="false">VLOOKUP(CONCATENATE($B55,"-",K$8),'[1]liste complet essai'!$A$4:$K$1367,9,)</f>
        <v>N1-b3</v>
      </c>
      <c r="L56" s="309" t="str">
        <f aca="false">VLOOKUP(CONCATENATE($B55,"-",L$8),'[1]liste complet essai'!$A$4:$K$1367,9,)</f>
        <v>N1-b3</v>
      </c>
      <c r="M56" s="309" t="str">
        <f aca="false">VLOOKUP(CONCATENATE($B55,"-",M$8),'[1]liste complet essai'!$A$4:$K$1367,9,)</f>
        <v>N1-b3</v>
      </c>
      <c r="N56" s="309" t="str">
        <f aca="false">VLOOKUP(CONCATENATE($B55,"-",N$8),'[1]liste complet essai'!$A$4:$K$1367,9,)</f>
        <v>N1-b3</v>
      </c>
      <c r="O56" s="309" t="str">
        <f aca="false">VLOOKUP(CONCATENATE($B55,"-",O$8),'[1]liste complet essai'!$A$4:$K$1367,9,)</f>
        <v>N1-b3</v>
      </c>
      <c r="P56" s="309" t="str">
        <f aca="false">VLOOKUP(CONCATENATE($B55,"-",P$8),'[1]liste complet essai'!$A$4:$K$1367,9,)</f>
        <v>N1-b3</v>
      </c>
      <c r="Q56" s="309" t="str">
        <f aca="false">VLOOKUP(CONCATENATE($B55,"-",Q$8),'[1]liste complet essai'!$A$4:$K$1367,9,)</f>
        <v>N1-b3</v>
      </c>
      <c r="R56" s="309" t="str">
        <f aca="false">VLOOKUP(CONCATENATE($B55,"-",R$8),'[1]liste complet essai'!$A$4:$K$1367,9,)</f>
        <v>N1-b3</v>
      </c>
      <c r="S56" s="309" t="str">
        <f aca="false">VLOOKUP(CONCATENATE($B55,"-",S$8),'[1]liste complet essai'!$A$4:$K$1367,9,)</f>
        <v>N1-b3</v>
      </c>
      <c r="T56" s="309" t="str">
        <f aca="false">VLOOKUP(CONCATENATE($B55,"-",T$8),'[1]liste complet essai'!$A$4:$K$1367,9,)</f>
        <v>N1-b3</v>
      </c>
      <c r="U56" s="309" t="str">
        <f aca="false">VLOOKUP(CONCATENATE($B55,"-",U$8),'[1]liste complet essai'!$A$4:$K$1367,9,)</f>
        <v>N1-b3</v>
      </c>
      <c r="V56" s="309" t="str">
        <f aca="false">VLOOKUP(CONCATENATE($B55,"-",V$8),'[1]liste complet essai'!$A$4:$K$1367,9,)</f>
        <v>N1-b3</v>
      </c>
      <c r="W56" s="373" t="str">
        <f aca="false">VLOOKUP(CONCATENATE($B55,"-",W$8),'[1]liste complet essai'!$A$4:$K$1367,9,)</f>
        <v>N1-b3</v>
      </c>
      <c r="X56" s="309" t="str">
        <f aca="false">VLOOKUP(CONCATENATE($B55,"-",X$8),'[1]liste complet essai'!$A$4:$K$1367,9,)</f>
        <v>N1-b3</v>
      </c>
      <c r="Y56" s="309" t="str">
        <f aca="false">VLOOKUP(CONCATENATE($B55,"-",Y$8),'[1]liste complet essai'!$A$4:$K$1367,9,)</f>
        <v>N1-b3</v>
      </c>
      <c r="Z56" s="309" t="str">
        <f aca="false">VLOOKUP(CONCATENATE($B55,"-",Z$8),'[1]liste complet essai'!$A$4:$K$1367,9,)</f>
        <v>N1-b3</v>
      </c>
      <c r="AA56" s="309" t="str">
        <f aca="false">VLOOKUP(CONCATENATE($B55,"-",AA$8),'[1]liste complet essai'!$A$4:$K$1367,9,)</f>
        <v>N1-b3</v>
      </c>
      <c r="AB56" s="309" t="str">
        <f aca="false">VLOOKUP(CONCATENATE($B55,"-",AB$8),'[1]liste complet essai'!$A$4:$K$1367,9,)</f>
        <v>N1-b3</v>
      </c>
      <c r="AC56" s="309" t="str">
        <f aca="false">VLOOKUP(CONCATENATE($B55,"-",AC$8),'[1]liste complet essai'!$A$4:$K$1367,9,)</f>
        <v>N1-b3</v>
      </c>
      <c r="AD56" s="309" t="str">
        <f aca="false">VLOOKUP(CONCATENATE($B55,"-",AD$8),'[1]liste complet essai'!$A$4:$K$1367,9,)</f>
        <v>N1-b3</v>
      </c>
      <c r="AE56" s="309" t="str">
        <f aca="false">VLOOKUP(CONCATENATE($B55,"-",AE$8),'[1]liste complet essai'!$A$4:$K$1367,9,)</f>
        <v>N1-b3</v>
      </c>
      <c r="AF56" s="380"/>
      <c r="AI56" s="363" t="n">
        <v>12</v>
      </c>
      <c r="AJ56" s="396" t="s">
        <v>8122</v>
      </c>
      <c r="AK56" s="322"/>
      <c r="AL56" s="397" t="s">
        <v>8122</v>
      </c>
      <c r="AM56" s="322" t="str">
        <f aca="false">VLOOKUP(CONCATENATE($AI56,"-",AM$8),'[1]liste complet essai'!$A$4:$K$1367,4,)</f>
        <v>DK</v>
      </c>
      <c r="AN56" s="368" t="str">
        <f aca="false">VLOOKUP(CONCATENATE($AI56,"-",AN$8),'[1]liste complet essai'!$A$4:$K$1367,4,)</f>
        <v>DK</v>
      </c>
      <c r="AO56" s="322" t="str">
        <f aca="false">VLOOKUP(CONCATENATE($AI56,"-",AO$8),'[1]liste complet essai'!$A$4:$K$1367,4,)</f>
        <v>DK</v>
      </c>
      <c r="AP56" s="322" t="str">
        <f aca="false">VLOOKUP(CONCATENATE($AI56,"-",AP$8),'[1]liste complet essai'!$A$4:$K$1367,4,)</f>
        <v>DK</v>
      </c>
      <c r="AQ56" s="322" t="str">
        <f aca="false">VLOOKUP(CONCATENATE($AI56,"-",AQ$8),'[1]liste complet essai'!$A$4:$K$1367,4,)</f>
        <v>DK</v>
      </c>
      <c r="AR56" s="322" t="str">
        <f aca="false">VLOOKUP(CONCATENATE($AI56,"-",AR$8),'[1]liste complet essai'!$A$4:$K$1367,4,)</f>
        <v>DK</v>
      </c>
      <c r="AS56" s="322" t="str">
        <f aca="false">VLOOKUP(CONCATENATE($AI56,"-",AS$8),'[1]liste complet essai'!$A$4:$K$1367,4,)</f>
        <v>DK</v>
      </c>
      <c r="AT56" s="322" t="str">
        <f aca="false">VLOOKUP(CONCATENATE($AI56,"-",AT$8),'[1]liste complet essai'!$A$4:$K$1367,4,)</f>
        <v>DK</v>
      </c>
      <c r="AU56" s="322" t="str">
        <f aca="false">VLOOKUP(CONCATENATE($AI56,"-",AU$8),'[1]liste complet essai'!$A$4:$K$1367,4,)</f>
        <v>DK</v>
      </c>
      <c r="AV56" s="322" t="str">
        <f aca="false">VLOOKUP(CONCATENATE($AI56,"-",AV$8),'[1]liste complet essai'!$A$4:$K$1367,4,)</f>
        <v>DK</v>
      </c>
      <c r="AW56" s="322" t="str">
        <f aca="false">VLOOKUP(CONCATENATE($AI56,"-",AW$8),'[1]liste complet essai'!$A$4:$K$1367,4,)</f>
        <v>DK</v>
      </c>
      <c r="AX56" s="322" t="str">
        <f aca="false">VLOOKUP(CONCATENATE($AI56,"-",AX$8),'[1]liste complet essai'!$A$4:$K$1367,4,)</f>
        <v>DK</v>
      </c>
      <c r="AY56" s="322" t="str">
        <f aca="false">VLOOKUP(CONCATENATE($AI56,"-",AY$8),'[1]liste complet essai'!$A$4:$K$1367,4,)</f>
        <v>DK</v>
      </c>
      <c r="AZ56" s="322" t="str">
        <f aca="false">VLOOKUP(CONCATENATE($AI56,"-",AZ$8),'[1]liste complet essai'!$A$4:$K$1367,4,)</f>
        <v>DK</v>
      </c>
      <c r="BA56" s="322" t="str">
        <f aca="false">VLOOKUP(CONCATENATE($AI56,"-",BA$8),'[1]liste complet essai'!$A$4:$K$1367,4,)</f>
        <v>DK</v>
      </c>
      <c r="BB56" s="322" t="str">
        <f aca="false">VLOOKUP(CONCATENATE($AI56,"-",BB$8),'[1]liste complet essai'!$A$4:$K$1367,4,)</f>
        <v>DK</v>
      </c>
      <c r="BC56" s="322" t="str">
        <f aca="false">VLOOKUP(CONCATENATE($AI56,"-",BC$8),'[1]liste complet essai'!$A$4:$K$1367,4,)</f>
        <v>DK</v>
      </c>
      <c r="BD56" s="322" t="str">
        <f aca="false">VLOOKUP(CONCATENATE($AI56,"-",BD$8),'[1]liste complet essai'!$A$4:$K$1367,4,)</f>
        <v>DK</v>
      </c>
      <c r="BE56" s="322" t="str">
        <f aca="false">VLOOKUP(CONCATENATE($AI56,"-",BE$8),'[1]liste complet essai'!$A$4:$K$1367,4,)</f>
        <v>DK</v>
      </c>
      <c r="BF56" s="322" t="str">
        <f aca="false">VLOOKUP(CONCATENATE($AI56,"-",BF$8),'[1]liste complet essai'!$A$4:$K$1367,4,)</f>
        <v>DK</v>
      </c>
      <c r="BG56" s="322" t="str">
        <f aca="false">VLOOKUP(CONCATENATE($AI56,"-",BG$8),'[1]liste complet essai'!$A$4:$K$1367,4,)</f>
        <v>DK</v>
      </c>
      <c r="BH56" s="322" t="str">
        <f aca="false">VLOOKUP(CONCATENATE($AI56,"-",BH$8),'[1]liste complet essai'!$A$4:$K$1367,4,)</f>
        <v>DK</v>
      </c>
      <c r="BI56" s="322" t="str">
        <f aca="false">VLOOKUP(CONCATENATE($AI56,"-",BI$8),'[1]liste complet essai'!$A$4:$K$1367,4,)</f>
        <v>DK</v>
      </c>
      <c r="BJ56" s="322" t="str">
        <f aca="false">VLOOKUP(CONCATENATE($AI56,"-",BJ$8),'[1]liste complet essai'!$A$4:$K$1367,4,)</f>
        <v>DK</v>
      </c>
      <c r="BK56" s="322" t="str">
        <f aca="false">VLOOKUP(CONCATENATE($AI56,"-",BK$8),'[1]liste complet essai'!$A$4:$K$1367,4,)</f>
        <v>DK</v>
      </c>
      <c r="BL56" s="322" t="str">
        <f aca="false">VLOOKUP(CONCATENATE($AI56,"-",BL$8),'[1]liste complet essai'!$A$4:$K$1367,4,)</f>
        <v>DK</v>
      </c>
      <c r="BM56" s="322" t="str">
        <f aca="false">VLOOKUP(CONCATENATE($AI56,"-",BM$8),'[1]liste complet essai'!$A$4:$K$1367,4,)</f>
        <v>DK</v>
      </c>
      <c r="BN56" s="322" t="str">
        <f aca="false">VLOOKUP(CONCATENATE($AI56,"-",BN$8),'[1]liste complet essai'!$A$4:$K$1367,4,)</f>
        <v>DK</v>
      </c>
      <c r="BO56" s="322" t="str">
        <f aca="false">VLOOKUP(CONCATENATE($AI56,"-",BO$8),'[1]liste complet essai'!$A$4:$K$1367,4,)</f>
        <v>DK</v>
      </c>
      <c r="BP56" s="322" t="str">
        <f aca="false">VLOOKUP(CONCATENATE($AI56,"-",BP$8),'[1]liste complet essai'!$A$4:$K$1367,4,)</f>
        <v>DK</v>
      </c>
      <c r="BQ56" s="322" t="str">
        <f aca="false">VLOOKUP(CONCATENATE($AI56,"-",BQ$8),'[1]liste complet essai'!$A$4:$K$1367,4,)</f>
        <v>DK</v>
      </c>
      <c r="BR56" s="322" t="str">
        <f aca="false">VLOOKUP(CONCATENATE($AI56,"-",BR$8),'[1]liste complet essai'!$A$4:$K$1367,4,)</f>
        <v>DK</v>
      </c>
      <c r="BS56" s="374"/>
      <c r="BT56" s="374"/>
      <c r="BU56" s="374"/>
      <c r="BV56" s="374"/>
      <c r="BW56" s="374"/>
      <c r="BX56" s="374"/>
      <c r="BY56" s="374"/>
      <c r="BZ56" s="374"/>
      <c r="CA56" s="374"/>
      <c r="CB56" s="374"/>
      <c r="CC56" s="322" t="str">
        <f aca="false">VLOOKUP(CONCATENATE($AI56,"-",CC$8),'[1]liste complet essai'!$A$4:$K$1367,4,)</f>
        <v>DK</v>
      </c>
      <c r="CD56" s="322" t="str">
        <f aca="false">VLOOKUP(CONCATENATE($AI56,"-",CD$8),'[1]liste complet essai'!$A$4:$K$1367,4,)</f>
        <v>DK</v>
      </c>
      <c r="CE56" s="322" t="str">
        <f aca="false">VLOOKUP(CONCATENATE($AI56,"-",CE$8),'[1]liste complet essai'!$A$4:$K$1367,4,)</f>
        <v>DK</v>
      </c>
      <c r="CF56" s="322" t="str">
        <f aca="false">VLOOKUP(CONCATENATE($AI56,"-",CF$8),'[1]liste complet essai'!$A$4:$K$1367,4,)</f>
        <v>DK</v>
      </c>
      <c r="CG56" s="322" t="str">
        <f aca="false">VLOOKUP(CONCATENATE($AI56,"-",CG$8),'[1]liste complet essai'!$A$4:$K$1367,4,)</f>
        <v>DK</v>
      </c>
      <c r="CH56" s="322" t="str">
        <f aca="false">VLOOKUP(CONCATENATE($AI56,"-",CH$8),'[1]liste complet essai'!$A$4:$K$1367,4,)</f>
        <v>DK</v>
      </c>
      <c r="CI56" s="322" t="str">
        <f aca="false">VLOOKUP(CONCATENATE($AI56,"-",CI$8),'[1]liste complet essai'!$A$4:$K$1367,4,)</f>
        <v>DK</v>
      </c>
      <c r="CJ56" s="322" t="str">
        <f aca="false">VLOOKUP(CONCATENATE($AI56,"-",CJ$8),'[1]liste complet essai'!$A$4:$K$1367,4,)</f>
        <v>DK</v>
      </c>
      <c r="CK56" s="322" t="str">
        <f aca="false">VLOOKUP(CONCATENATE($AI56,"-",CK$8),'[1]liste complet essai'!$A$4:$K$1367,4,)</f>
        <v>DK</v>
      </c>
      <c r="CL56" s="322" t="str">
        <f aca="false">VLOOKUP(CONCATENATE($AI56,"-",CL$8),'[1]liste complet essai'!$A$4:$K$1367,4,)</f>
        <v>DK</v>
      </c>
      <c r="CM56" s="322" t="str">
        <f aca="false">VLOOKUP(CONCATENATE($AI56,"-",CM$8),'[1]liste complet essai'!$A$4:$K$1367,4,)</f>
        <v>DK</v>
      </c>
      <c r="CN56" s="322" t="str">
        <f aca="false">VLOOKUP(CONCATENATE($AI56,"-",CN$8),'[1]liste complet essai'!$A$4:$K$1367,4,)</f>
        <v>DK</v>
      </c>
      <c r="CO56" s="322" t="str">
        <f aca="false">VLOOKUP(CONCATENATE($AI56,"-",CO$8),'[1]liste complet essai'!$A$4:$K$1367,4,)</f>
        <v>DK</v>
      </c>
      <c r="CP56" s="322" t="str">
        <f aca="false">VLOOKUP(CONCATENATE($AI56,"-",CP$8),'[1]liste complet essai'!$A$4:$K$1367,4,)</f>
        <v>DK</v>
      </c>
      <c r="CQ56" s="322" t="str">
        <f aca="false">VLOOKUP(CONCATENATE($AI56,"-",CQ$8),'[1]liste complet essai'!$A$4:$K$1367,4,)</f>
        <v>DK</v>
      </c>
      <c r="CR56" s="322" t="str">
        <f aca="false">VLOOKUP(CONCATENATE($AI56,"-",CR$8),'[1]liste complet essai'!$A$4:$K$1367,4,)</f>
        <v>DK</v>
      </c>
      <c r="CS56" s="322" t="str">
        <f aca="false">VLOOKUP(CONCATENATE($AI56,"-",CS$8),'[1]liste complet essai'!$A$4:$K$1367,4,)</f>
        <v>DK</v>
      </c>
      <c r="CT56" s="322" t="str">
        <f aca="false">VLOOKUP(CONCATENATE($AI56,"-",CT$8),'[1]liste complet essai'!$A$4:$K$1367,4,)</f>
        <v>DK</v>
      </c>
      <c r="CU56" s="322" t="str">
        <f aca="false">VLOOKUP(CONCATENATE($AI56,"-",CU$8),'[1]liste complet essai'!$A$4:$K$1367,4,)</f>
        <v>DK</v>
      </c>
      <c r="CV56" s="322" t="str">
        <f aca="false">VLOOKUP(CONCATENATE($AI56,"-",CV$8),'[1]liste complet essai'!$A$4:$K$1367,4,)</f>
        <v>DK</v>
      </c>
      <c r="CW56" s="322" t="str">
        <f aca="false">VLOOKUP(CONCATENATE($AI56,"-",CW$8),'[1]liste complet essai'!$A$4:$K$1367,4,)</f>
        <v>DK</v>
      </c>
      <c r="CX56" s="366" t="str">
        <f aca="false">VLOOKUP(CONCATENATE($AI56,"-",CX$8),'[1]liste complet essai'!$A$4:$K$1367,4,)</f>
        <v>DK</v>
      </c>
      <c r="CY56" s="322" t="str">
        <f aca="false">VLOOKUP(CONCATENATE($AI56,"-",CY$8),'[1]liste complet essai'!$A$4:$K$1367,4,)</f>
        <v>DK</v>
      </c>
      <c r="CZ56" s="322" t="str">
        <f aca="false">VLOOKUP(CONCATENATE($AI56,"-",CZ$8),'[1]liste complet essai'!$A$4:$K$1367,4,)</f>
        <v>DK</v>
      </c>
      <c r="DA56" s="322" t="str">
        <f aca="false">VLOOKUP(CONCATENATE($AI56,"-",DA$8),'[1]liste complet essai'!$A$4:$K$1367,4,)</f>
        <v>DK</v>
      </c>
      <c r="DB56" s="322" t="str">
        <f aca="false">VLOOKUP(CONCATENATE($AI56,"-",DB$8),'[1]liste complet essai'!$A$4:$K$1367,4,)</f>
        <v>DK</v>
      </c>
      <c r="DC56" s="322" t="str">
        <f aca="false">VLOOKUP(CONCATENATE($AI56,"-",DC$8),'[1]liste complet essai'!$A$4:$K$1367,4,)</f>
        <v>DK</v>
      </c>
      <c r="DD56" s="322" t="str">
        <f aca="false">VLOOKUP(CONCATENATE($AI56,"-",DD$8),'[1]liste complet essai'!$A$4:$K$1367,4,)</f>
        <v>DK</v>
      </c>
      <c r="DE56" s="366" t="str">
        <f aca="false">VLOOKUP(CONCATENATE($AI56,"-",DE$8),'[1]liste complet essai'!$A$4:$K$1367,4,)</f>
        <v>DK</v>
      </c>
      <c r="DF56" s="322" t="str">
        <f aca="false">VLOOKUP(CONCATENATE($AI56,"-",DF$8),'[1]liste complet essai'!$A$4:$K$1367,4,)</f>
        <v>DK</v>
      </c>
      <c r="DG56" s="322" t="str">
        <f aca="false">VLOOKUP(CONCATENATE($AI56,"-",DG$8),'[1]liste complet essai'!$A$4:$K$1367,4,)</f>
        <v>DK</v>
      </c>
      <c r="DH56" s="322" t="str">
        <f aca="false">VLOOKUP(CONCATENATE($AI56,"-",DH$8),'[1]liste complet essai'!$A$4:$K$1367,4,)</f>
        <v>DK</v>
      </c>
      <c r="DI56" s="392" t="s">
        <v>8122</v>
      </c>
      <c r="DJ56" s="322"/>
      <c r="DK56" s="380" t="s">
        <v>8122</v>
      </c>
    </row>
    <row r="57" customFormat="false" ht="12.75" hidden="false" customHeight="true" outlineLevel="0" collapsed="false">
      <c r="B57" s="384"/>
      <c r="C57" s="391"/>
      <c r="D57" s="307"/>
      <c r="E57" s="392"/>
      <c r="F57" s="309" t="str">
        <f aca="false">VLOOKUP(CONCATENATE($B55,"-",F$8),'[1]liste complet essai'!$A$4:$K$1367,5,)</f>
        <v>G-195</v>
      </c>
      <c r="G57" s="309" t="str">
        <f aca="false">VLOOKUP(CONCATENATE($B55,"-",G$8),'[1]liste complet essai'!$A$4:$K$1367,5,)</f>
        <v>G-200</v>
      </c>
      <c r="H57" s="375" t="str">
        <f aca="false">VLOOKUP(CONCATENATE($B55,"-",H$8),'[1]liste complet essai'!$A$4:$K$1367,5,)</f>
        <v>G-125</v>
      </c>
      <c r="I57" s="309" t="str">
        <f aca="false">VLOOKUP(CONCATENATE($B55,"-",I$8),'[1]liste complet essai'!$A$4:$K$1367,5,)</f>
        <v>G-192</v>
      </c>
      <c r="J57" s="309" t="str">
        <f aca="false">VLOOKUP(CONCATENATE($B55,"-",J$8),'[1]liste complet essai'!$A$4:$K$1367,5,)</f>
        <v>G-196</v>
      </c>
      <c r="K57" s="309" t="str">
        <f aca="false">VLOOKUP(CONCATENATE($B55,"-",K$8),'[1]liste complet essai'!$A$4:$K$1367,5,)</f>
        <v>G-156</v>
      </c>
      <c r="L57" s="309" t="str">
        <f aca="false">VLOOKUP(CONCATENATE($B55,"-",L$8),'[1]liste complet essai'!$A$4:$K$1367,5,)</f>
        <v>G-161</v>
      </c>
      <c r="M57" s="309" t="str">
        <f aca="false">VLOOKUP(CONCATENATE($B55,"-",M$8),'[1]liste complet essai'!$A$4:$K$1367,5,)</f>
        <v>G-155</v>
      </c>
      <c r="N57" s="309" t="str">
        <f aca="false">VLOOKUP(CONCATENATE($B55,"-",N$8),'[1]liste complet essai'!$A$4:$K$1367,5,)</f>
        <v>G-217</v>
      </c>
      <c r="O57" s="309" t="str">
        <f aca="false">VLOOKUP(CONCATENATE($B55,"-",O$8),'[1]liste complet essai'!$A$4:$K$1367,5,)</f>
        <v>G-203</v>
      </c>
      <c r="P57" s="309" t="str">
        <f aca="false">VLOOKUP(CONCATENATE($B55,"-",P$8),'[1]liste complet essai'!$A$4:$K$1367,5,)</f>
        <v>G-183</v>
      </c>
      <c r="Q57" s="309" t="str">
        <f aca="false">VLOOKUP(CONCATENATE($B55,"-",Q$8),'[1]liste complet essai'!$A$4:$K$1367,5,)</f>
        <v>G-154</v>
      </c>
      <c r="R57" s="309" t="str">
        <f aca="false">VLOOKUP(CONCATENATE($B55,"-",R$8),'[1]liste complet essai'!$A$4:$K$1367,5,)</f>
        <v>G-151</v>
      </c>
      <c r="S57" s="309" t="str">
        <f aca="false">VLOOKUP(CONCATENATE($B55,"-",S$8),'[1]liste complet essai'!$A$4:$K$1367,5,)</f>
        <v>G-180</v>
      </c>
      <c r="T57" s="375" t="str">
        <f aca="false">VLOOKUP(CONCATENATE($B55,"-",T$8),'[1]liste complet essai'!$A$4:$K$1367,5,)</f>
        <v>G-125</v>
      </c>
      <c r="U57" s="309" t="str">
        <f aca="false">VLOOKUP(CONCATENATE($B55,"-",U$8),'[1]liste complet essai'!$A$4:$K$1367,5,)</f>
        <v>G-174</v>
      </c>
      <c r="V57" s="309" t="str">
        <f aca="false">VLOOKUP(CONCATENATE($B55,"-",V$8),'[1]liste complet essai'!$A$4:$K$1367,5,)</f>
        <v>G-132</v>
      </c>
      <c r="W57" s="375" t="str">
        <f aca="false">VLOOKUP(CONCATENATE($B55,"-",W$8),'[1]liste complet essai'!$A$4:$K$1367,5,)</f>
        <v>G-126</v>
      </c>
      <c r="X57" s="309" t="str">
        <f aca="false">VLOOKUP(CONCATENATE($B55,"-",X$8),'[1]liste complet essai'!$A$4:$K$1367,5,)</f>
        <v>G-149</v>
      </c>
      <c r="Y57" s="309" t="str">
        <f aca="false">VLOOKUP(CONCATENATE($B55,"-",Y$8),'[1]liste complet essai'!$A$4:$K$1367,5,)</f>
        <v>G-146</v>
      </c>
      <c r="Z57" s="309" t="str">
        <f aca="false">VLOOKUP(CONCATENATE($B55,"-",Z$8),'[1]liste complet essai'!$A$4:$K$1367,5,)</f>
        <v>G-158</v>
      </c>
      <c r="AA57" s="309" t="str">
        <f aca="false">VLOOKUP(CONCATENATE($B55,"-",AA$8),'[1]liste complet essai'!$A$4:$K$1367,5,)</f>
        <v>G-182</v>
      </c>
      <c r="AB57" s="309" t="str">
        <f aca="false">VLOOKUP(CONCATENATE($B55,"-",AB$8),'[1]liste complet essai'!$A$4:$K$1367,5,)</f>
        <v>G-152</v>
      </c>
      <c r="AC57" s="309" t="str">
        <f aca="false">VLOOKUP(CONCATENATE($B55,"-",AC$8),'[1]liste complet essai'!$A$4:$K$1367,5,)</f>
        <v>G-126</v>
      </c>
      <c r="AD57" s="309" t="str">
        <f aca="false">VLOOKUP(CONCATENATE($B55,"-",AD$8),'[1]liste complet essai'!$A$4:$K$1367,5,)</f>
        <v>G-177</v>
      </c>
      <c r="AE57" s="309" t="str">
        <f aca="false">VLOOKUP(CONCATENATE($B55,"-",AE$8),'[1]liste complet essai'!$A$4:$K$1367,5,)</f>
        <v>G-211</v>
      </c>
      <c r="AF57" s="380"/>
      <c r="AI57" s="363"/>
      <c r="AJ57" s="396"/>
      <c r="AK57" s="309"/>
      <c r="AL57" s="397"/>
      <c r="AM57" s="309" t="str">
        <f aca="false">VLOOKUP(CONCATENATE($AI56,"-",AM$8),'[1]liste complet essai'!$A$4:$K$1367,9,)</f>
        <v>N1-b1</v>
      </c>
      <c r="AN57" s="373" t="str">
        <f aca="false">VLOOKUP(CONCATENATE($AI56,"-",AN$8),'[1]liste complet essai'!$A$4:$K$1367,9,)</f>
        <v>N1-b1</v>
      </c>
      <c r="AO57" s="309" t="str">
        <f aca="false">VLOOKUP(CONCATENATE($AI56,"-",AO$8),'[1]liste complet essai'!$A$4:$K$1367,9,)</f>
        <v>N1-b1</v>
      </c>
      <c r="AP57" s="309" t="str">
        <f aca="false">VLOOKUP(CONCATENATE($AI56,"-",AP$8),'[1]liste complet essai'!$A$4:$K$1367,9,)</f>
        <v>N1-b1</v>
      </c>
      <c r="AQ57" s="309" t="str">
        <f aca="false">VLOOKUP(CONCATENATE($AI56,"-",AQ$8),'[1]liste complet essai'!$A$4:$K$1367,9,)</f>
        <v>N1-b1</v>
      </c>
      <c r="AR57" s="309" t="str">
        <f aca="false">VLOOKUP(CONCATENATE($AI56,"-",AR$8),'[1]liste complet essai'!$A$4:$K$1367,9,)</f>
        <v>N1-b1</v>
      </c>
      <c r="AS57" s="309" t="str">
        <f aca="false">VLOOKUP(CONCATENATE($AI56,"-",AS$8),'[1]liste complet essai'!$A$4:$K$1367,9,)</f>
        <v>N1-b1</v>
      </c>
      <c r="AT57" s="309" t="str">
        <f aca="false">VLOOKUP(CONCATENATE($AI56,"-",AT$8),'[1]liste complet essai'!$A$4:$K$1367,9,)</f>
        <v>N1-b1</v>
      </c>
      <c r="AU57" s="309" t="str">
        <f aca="false">VLOOKUP(CONCATENATE($AI56,"-",AU$8),'[1]liste complet essai'!$A$4:$K$1367,9,)</f>
        <v>N1-b1</v>
      </c>
      <c r="AV57" s="309" t="str">
        <f aca="false">VLOOKUP(CONCATENATE($AI56,"-",AV$8),'[1]liste complet essai'!$A$4:$K$1367,9,)</f>
        <v>N1-b1</v>
      </c>
      <c r="AW57" s="309" t="str">
        <f aca="false">VLOOKUP(CONCATENATE($AI56,"-",AW$8),'[1]liste complet essai'!$A$4:$K$1367,9,)</f>
        <v>N1-b1</v>
      </c>
      <c r="AX57" s="309" t="str">
        <f aca="false">VLOOKUP(CONCATENATE($AI56,"-",AX$8),'[1]liste complet essai'!$A$4:$K$1367,9,)</f>
        <v>N1-b1</v>
      </c>
      <c r="AY57" s="309" t="str">
        <f aca="false">VLOOKUP(CONCATENATE($AI56,"-",AY$8),'[1]liste complet essai'!$A$4:$K$1367,9,)</f>
        <v>N1-b1</v>
      </c>
      <c r="AZ57" s="309" t="str">
        <f aca="false">VLOOKUP(CONCATENATE($AI56,"-",AZ$8),'[1]liste complet essai'!$A$4:$K$1367,9,)</f>
        <v>N1-b1</v>
      </c>
      <c r="BA57" s="309" t="str">
        <f aca="false">VLOOKUP(CONCATENATE($AI56,"-",BA$8),'[1]liste complet essai'!$A$4:$K$1367,9,)</f>
        <v>N1-b1</v>
      </c>
      <c r="BB57" s="309" t="str">
        <f aca="false">VLOOKUP(CONCATENATE($AI56,"-",BB$8),'[1]liste complet essai'!$A$4:$K$1367,9,)</f>
        <v>N1-b1</v>
      </c>
      <c r="BC57" s="309" t="str">
        <f aca="false">VLOOKUP(CONCATENATE($AI56,"-",BC$8),'[1]liste complet essai'!$A$4:$K$1367,9,)</f>
        <v>N1-b1</v>
      </c>
      <c r="BD57" s="309" t="str">
        <f aca="false">VLOOKUP(CONCATENATE($AI56,"-",BD$8),'[1]liste complet essai'!$A$4:$K$1367,9,)</f>
        <v>N1-b1</v>
      </c>
      <c r="BE57" s="309" t="str">
        <f aca="false">VLOOKUP(CONCATENATE($AI56,"-",BE$8),'[1]liste complet essai'!$A$4:$K$1367,9,)</f>
        <v>N1-b1</v>
      </c>
      <c r="BF57" s="309" t="str">
        <f aca="false">VLOOKUP(CONCATENATE($AI56,"-",BF$8),'[1]liste complet essai'!$A$4:$K$1367,9,)</f>
        <v>N1-b1</v>
      </c>
      <c r="BG57" s="309" t="str">
        <f aca="false">VLOOKUP(CONCATENATE($AI56,"-",BG$8),'[1]liste complet essai'!$A$4:$K$1367,9,)</f>
        <v>N1-b1</v>
      </c>
      <c r="BH57" s="309" t="str">
        <f aca="false">VLOOKUP(CONCATENATE($AI56,"-",BH$8),'[1]liste complet essai'!$A$4:$K$1367,9,)</f>
        <v>N1-b1</v>
      </c>
      <c r="BI57" s="309" t="str">
        <f aca="false">VLOOKUP(CONCATENATE($AI56,"-",BI$8),'[1]liste complet essai'!$A$4:$K$1367,9,)</f>
        <v>N1-b1</v>
      </c>
      <c r="BJ57" s="309" t="str">
        <f aca="false">VLOOKUP(CONCATENATE($AI56,"-",BJ$8),'[1]liste complet essai'!$A$4:$K$1367,9,)</f>
        <v>N1-b1</v>
      </c>
      <c r="BK57" s="309" t="str">
        <f aca="false">VLOOKUP(CONCATENATE($AI56,"-",BK$8),'[1]liste complet essai'!$A$4:$K$1367,9,)</f>
        <v>N1-b1</v>
      </c>
      <c r="BL57" s="309" t="str">
        <f aca="false">VLOOKUP(CONCATENATE($AI56,"-",BL$8),'[1]liste complet essai'!$A$4:$K$1367,9,)</f>
        <v>N1-b1</v>
      </c>
      <c r="BM57" s="309" t="str">
        <f aca="false">VLOOKUP(CONCATENATE($AI56,"-",BM$8),'[1]liste complet essai'!$A$4:$K$1367,9,)</f>
        <v>N1-b1</v>
      </c>
      <c r="BN57" s="309" t="str">
        <f aca="false">VLOOKUP(CONCATENATE($AI56,"-",BN$8),'[1]liste complet essai'!$A$4:$K$1367,9,)</f>
        <v>N1-b1</v>
      </c>
      <c r="BO57" s="309" t="str">
        <f aca="false">VLOOKUP(CONCATENATE($AI56,"-",BO$8),'[1]liste complet essai'!$A$4:$K$1367,9,)</f>
        <v>N1-b1</v>
      </c>
      <c r="BP57" s="309" t="str">
        <f aca="false">VLOOKUP(CONCATENATE($AI56,"-",BP$8),'[1]liste complet essai'!$A$4:$K$1367,9,)</f>
        <v>N1-b1</v>
      </c>
      <c r="BQ57" s="309" t="str">
        <f aca="false">VLOOKUP(CONCATENATE($AI56,"-",BQ$8),'[1]liste complet essai'!$A$4:$K$1367,9,)</f>
        <v>N1-b1</v>
      </c>
      <c r="BR57" s="309" t="str">
        <f aca="false">VLOOKUP(CONCATENATE($AI56,"-",BR$8),'[1]liste complet essai'!$A$4:$K$1367,9,)</f>
        <v>N1-b1</v>
      </c>
      <c r="BS57" s="374"/>
      <c r="BT57" s="374"/>
      <c r="BU57" s="374"/>
      <c r="BV57" s="374"/>
      <c r="BW57" s="374"/>
      <c r="BX57" s="374"/>
      <c r="BY57" s="374"/>
      <c r="BZ57" s="374"/>
      <c r="CA57" s="374"/>
      <c r="CB57" s="374"/>
      <c r="CC57" s="309" t="str">
        <f aca="false">VLOOKUP(CONCATENATE($AI56,"-",CC$8),'[1]liste complet essai'!$A$4:$K$1367,9,)</f>
        <v>N1-b2</v>
      </c>
      <c r="CD57" s="309" t="str">
        <f aca="false">VLOOKUP(CONCATENATE($AI56,"-",CD$8),'[1]liste complet essai'!$A$4:$K$1367,9,)</f>
        <v>N1-b2</v>
      </c>
      <c r="CE57" s="309" t="str">
        <f aca="false">VLOOKUP(CONCATENATE($AI56,"-",CE$8),'[1]liste complet essai'!$A$4:$K$1367,9,)</f>
        <v>N1-b2</v>
      </c>
      <c r="CF57" s="309" t="str">
        <f aca="false">VLOOKUP(CONCATENATE($AI56,"-",CF$8),'[1]liste complet essai'!$A$4:$K$1367,9,)</f>
        <v>N1-b2</v>
      </c>
      <c r="CG57" s="309" t="str">
        <f aca="false">VLOOKUP(CONCATENATE($AI56,"-",CG$8),'[1]liste complet essai'!$A$4:$K$1367,9,)</f>
        <v>N1-b2</v>
      </c>
      <c r="CH57" s="309" t="str">
        <f aca="false">VLOOKUP(CONCATENATE($AI56,"-",CH$8),'[1]liste complet essai'!$A$4:$K$1367,9,)</f>
        <v>N1-b2</v>
      </c>
      <c r="CI57" s="309" t="str">
        <f aca="false">VLOOKUP(CONCATENATE($AI56,"-",CI$8),'[1]liste complet essai'!$A$4:$K$1367,9,)</f>
        <v>N1-b2</v>
      </c>
      <c r="CJ57" s="309" t="str">
        <f aca="false">VLOOKUP(CONCATENATE($AI56,"-",CJ$8),'[1]liste complet essai'!$A$4:$K$1367,9,)</f>
        <v>N1-b2</v>
      </c>
      <c r="CK57" s="309" t="str">
        <f aca="false">VLOOKUP(CONCATENATE($AI56,"-",CK$8),'[1]liste complet essai'!$A$4:$K$1367,9,)</f>
        <v>N1-b2</v>
      </c>
      <c r="CL57" s="309" t="str">
        <f aca="false">VLOOKUP(CONCATENATE($AI56,"-",CL$8),'[1]liste complet essai'!$A$4:$K$1367,9,)</f>
        <v>N1-b2</v>
      </c>
      <c r="CM57" s="309" t="str">
        <f aca="false">VLOOKUP(CONCATENATE($AI56,"-",CM$8),'[1]liste complet essai'!$A$4:$K$1367,9,)</f>
        <v>N1-b2</v>
      </c>
      <c r="CN57" s="309" t="str">
        <f aca="false">VLOOKUP(CONCATENATE($AI56,"-",CN$8),'[1]liste complet essai'!$A$4:$K$1367,9,)</f>
        <v>N1-b2</v>
      </c>
      <c r="CO57" s="309" t="str">
        <f aca="false">VLOOKUP(CONCATENATE($AI56,"-",CO$8),'[1]liste complet essai'!$A$4:$K$1367,9,)</f>
        <v>N1-b2</v>
      </c>
      <c r="CP57" s="309" t="str">
        <f aca="false">VLOOKUP(CONCATENATE($AI56,"-",CP$8),'[1]liste complet essai'!$A$4:$K$1367,9,)</f>
        <v>N1-b2</v>
      </c>
      <c r="CQ57" s="309" t="str">
        <f aca="false">VLOOKUP(CONCATENATE($AI56,"-",CQ$8),'[1]liste complet essai'!$A$4:$K$1367,9,)</f>
        <v>N1-b2</v>
      </c>
      <c r="CR57" s="309" t="str">
        <f aca="false">VLOOKUP(CONCATENATE($AI56,"-",CR$8),'[1]liste complet essai'!$A$4:$K$1367,9,)</f>
        <v>N1-b2</v>
      </c>
      <c r="CS57" s="309" t="str">
        <f aca="false">VLOOKUP(CONCATENATE($AI56,"-",CS$8),'[1]liste complet essai'!$A$4:$K$1367,9,)</f>
        <v>N1-b2</v>
      </c>
      <c r="CT57" s="309" t="str">
        <f aca="false">VLOOKUP(CONCATENATE($AI56,"-",CT$8),'[1]liste complet essai'!$A$4:$K$1367,9,)</f>
        <v>N1-b2</v>
      </c>
      <c r="CU57" s="309" t="str">
        <f aca="false">VLOOKUP(CONCATENATE($AI56,"-",CU$8),'[1]liste complet essai'!$A$4:$K$1367,9,)</f>
        <v>N1-b2</v>
      </c>
      <c r="CV57" s="309" t="str">
        <f aca="false">VLOOKUP(CONCATENATE($AI56,"-",CV$8),'[1]liste complet essai'!$A$4:$K$1367,9,)</f>
        <v>N1-b2</v>
      </c>
      <c r="CW57" s="309" t="str">
        <f aca="false">VLOOKUP(CONCATENATE($AI56,"-",CW$8),'[1]liste complet essai'!$A$4:$K$1367,9,)</f>
        <v>N1-b2</v>
      </c>
      <c r="CX57" s="366" t="str">
        <f aca="false">VLOOKUP(CONCATENATE($AI56,"-",CX$8),'[1]liste complet essai'!$A$4:$K$1367,9,)</f>
        <v>N1-b2</v>
      </c>
      <c r="CY57" s="309" t="str">
        <f aca="false">VLOOKUP(CONCATENATE($AI56,"-",CY$8),'[1]liste complet essai'!$A$4:$K$1367,9,)</f>
        <v>N1-b2</v>
      </c>
      <c r="CZ57" s="309" t="str">
        <f aca="false">VLOOKUP(CONCATENATE($AI56,"-",CZ$8),'[1]liste complet essai'!$A$4:$K$1367,9,)</f>
        <v>N1-b2</v>
      </c>
      <c r="DA57" s="309" t="str">
        <f aca="false">VLOOKUP(CONCATENATE($AI56,"-",DA$8),'[1]liste complet essai'!$A$4:$K$1367,9,)</f>
        <v>N1-b2</v>
      </c>
      <c r="DB57" s="309" t="str">
        <f aca="false">VLOOKUP(CONCATENATE($AI56,"-",DB$8),'[1]liste complet essai'!$A$4:$K$1367,9,)</f>
        <v>N1-b2</v>
      </c>
      <c r="DC57" s="309" t="str">
        <f aca="false">VLOOKUP(CONCATENATE($AI56,"-",DC$8),'[1]liste complet essai'!$A$4:$K$1367,9,)</f>
        <v>N1-b2</v>
      </c>
      <c r="DD57" s="309" t="str">
        <f aca="false">VLOOKUP(CONCATENATE($AI56,"-",DD$8),'[1]liste complet essai'!$A$4:$K$1367,9,)</f>
        <v>N1-b2</v>
      </c>
      <c r="DE57" s="366" t="str">
        <f aca="false">VLOOKUP(CONCATENATE($AI56,"-",DE$8),'[1]liste complet essai'!$A$4:$K$1367,9,)</f>
        <v>N1-b2</v>
      </c>
      <c r="DF57" s="309" t="str">
        <f aca="false">VLOOKUP(CONCATENATE($AI56,"-",DF$8),'[1]liste complet essai'!$A$4:$K$1367,9,)</f>
        <v>N1-b2</v>
      </c>
      <c r="DG57" s="309" t="str">
        <f aca="false">VLOOKUP(CONCATENATE($AI56,"-",DG$8),'[1]liste complet essai'!$A$4:$K$1367,9,)</f>
        <v>N1-b2</v>
      </c>
      <c r="DH57" s="309" t="str">
        <f aca="false">VLOOKUP(CONCATENATE($AI56,"-",DH$8),'[1]liste complet essai'!$A$4:$K$1367,9,)</f>
        <v>N1-b2</v>
      </c>
      <c r="DI57" s="392"/>
      <c r="DJ57" s="309"/>
      <c r="DK57" s="380"/>
    </row>
    <row r="58" customFormat="false" ht="12.75" hidden="false" customHeight="true" outlineLevel="0" collapsed="false">
      <c r="B58" s="384"/>
      <c r="C58" s="391"/>
      <c r="D58" s="314"/>
      <c r="E58" s="392"/>
      <c r="F58" s="317" t="str">
        <f aca="false">VLOOKUP(CONCATENATE($B55,"-",F$8),'[1]liste complet essai'!$A$4:$K$1367,1,)</f>
        <v>26-65</v>
      </c>
      <c r="G58" s="317" t="str">
        <f aca="false">VLOOKUP(CONCATENATE($B55,"-",G$8),'[1]liste complet essai'!$A$4:$K$1367,1,)</f>
        <v>26-66</v>
      </c>
      <c r="H58" s="316" t="str">
        <f aca="false">VLOOKUP(CONCATENATE($B55,"-",H$8),'[1]liste complet essai'!$A$4:$K$1367,1,)</f>
        <v>26-67</v>
      </c>
      <c r="I58" s="317" t="str">
        <f aca="false">VLOOKUP(CONCATENATE($B55,"-",I$8),'[1]liste complet essai'!$A$4:$K$1367,1,)</f>
        <v>26-68</v>
      </c>
      <c r="J58" s="317" t="str">
        <f aca="false">VLOOKUP(CONCATENATE($B55,"-",J$8),'[1]liste complet essai'!$A$4:$K$1367,1,)</f>
        <v>26-69</v>
      </c>
      <c r="K58" s="317" t="str">
        <f aca="false">VLOOKUP(CONCATENATE($B55,"-",K$8),'[1]liste complet essai'!$A$4:$K$1367,1,)</f>
        <v>26-70</v>
      </c>
      <c r="L58" s="317" t="str">
        <f aca="false">VLOOKUP(CONCATENATE($B55,"-",L$8),'[1]liste complet essai'!$A$4:$K$1367,1,)</f>
        <v>26-71</v>
      </c>
      <c r="M58" s="317" t="str">
        <f aca="false">VLOOKUP(CONCATENATE($B55,"-",M$8),'[1]liste complet essai'!$A$4:$K$1367,1,)</f>
        <v>26-72</v>
      </c>
      <c r="N58" s="317" t="str">
        <f aca="false">VLOOKUP(CONCATENATE($B55,"-",N$8),'[1]liste complet essai'!$A$4:$K$1367,1,)</f>
        <v>26-73</v>
      </c>
      <c r="O58" s="317" t="str">
        <f aca="false">VLOOKUP(CONCATENATE($B55,"-",O$8),'[1]liste complet essai'!$A$4:$K$1367,1,)</f>
        <v>26-74</v>
      </c>
      <c r="P58" s="317" t="str">
        <f aca="false">VLOOKUP(CONCATENATE($B55,"-",P$8),'[1]liste complet essai'!$A$4:$K$1367,1,)</f>
        <v>26-75</v>
      </c>
      <c r="Q58" s="317" t="str">
        <f aca="false">VLOOKUP(CONCATENATE($B55,"-",Q$8),'[1]liste complet essai'!$A$4:$K$1367,1,)</f>
        <v>26-76</v>
      </c>
      <c r="R58" s="317" t="str">
        <f aca="false">VLOOKUP(CONCATENATE($B55,"-",R$8),'[1]liste complet essai'!$A$4:$K$1367,1,)</f>
        <v>26-77</v>
      </c>
      <c r="S58" s="317" t="str">
        <f aca="false">VLOOKUP(CONCATENATE($B55,"-",S$8),'[1]liste complet essai'!$A$4:$K$1367,1,)</f>
        <v>26-78</v>
      </c>
      <c r="T58" s="309" t="str">
        <f aca="false">VLOOKUP(CONCATENATE($B55,"-",T$8),'[1]liste complet essai'!$A$4:$K$1367,1,)</f>
        <v>26-79</v>
      </c>
      <c r="U58" s="317" t="str">
        <f aca="false">VLOOKUP(CONCATENATE($B55,"-",U$8),'[1]liste complet essai'!$A$4:$K$1367,1,)</f>
        <v>26-80</v>
      </c>
      <c r="V58" s="317" t="str">
        <f aca="false">VLOOKUP(CONCATENATE($B55,"-",V$8),'[1]liste complet essai'!$A$4:$K$1367,1,)</f>
        <v>26-81</v>
      </c>
      <c r="W58" s="316" t="str">
        <f aca="false">VLOOKUP(CONCATENATE($B55,"-",W$8),'[1]liste complet essai'!$A$4:$K$1367,1,)</f>
        <v>26-82</v>
      </c>
      <c r="X58" s="317" t="str">
        <f aca="false">VLOOKUP(CONCATENATE($B55,"-",X$8),'[1]liste complet essai'!$A$4:$K$1367,1,)</f>
        <v>26-83</v>
      </c>
      <c r="Y58" s="317" t="str">
        <f aca="false">VLOOKUP(CONCATENATE($B55,"-",Y$8),'[1]liste complet essai'!$A$4:$K$1367,1,)</f>
        <v>26-84</v>
      </c>
      <c r="Z58" s="317" t="str">
        <f aca="false">VLOOKUP(CONCATENATE($B55,"-",Z$8),'[1]liste complet essai'!$A$4:$K$1367,1,)</f>
        <v>26-85</v>
      </c>
      <c r="AA58" s="317" t="str">
        <f aca="false">VLOOKUP(CONCATENATE($B55,"-",AA$8),'[1]liste complet essai'!$A$4:$K$1367,1,)</f>
        <v>26-86</v>
      </c>
      <c r="AB58" s="317" t="str">
        <f aca="false">VLOOKUP(CONCATENATE($B55,"-",AB$8),'[1]liste complet essai'!$A$4:$K$1367,1,)</f>
        <v>26-87</v>
      </c>
      <c r="AC58" s="317" t="str">
        <f aca="false">VLOOKUP(CONCATENATE($B55,"-",AC$8),'[1]liste complet essai'!$A$4:$K$1367,1,)</f>
        <v>26-88</v>
      </c>
      <c r="AD58" s="317" t="str">
        <f aca="false">VLOOKUP(CONCATENATE($B55,"-",AD$8),'[1]liste complet essai'!$A$4:$K$1367,1,)</f>
        <v>26-89</v>
      </c>
      <c r="AE58" s="317" t="str">
        <f aca="false">VLOOKUP(CONCATENATE($B55,"-",AE$8),'[1]liste complet essai'!$A$4:$K$1367,1,)</f>
        <v>26-90</v>
      </c>
      <c r="AF58" s="380"/>
      <c r="AI58" s="363"/>
      <c r="AJ58" s="396"/>
      <c r="AK58" s="309"/>
      <c r="AL58" s="397"/>
      <c r="AM58" s="309" t="str">
        <f aca="false">VLOOKUP(CONCATENATE($AI56,"-",AM$8),'[1]liste complet essai'!$A$4:$K$1367,5,)</f>
        <v>G-214</v>
      </c>
      <c r="AN58" s="375" t="str">
        <f aca="false">VLOOKUP(CONCATENATE($AI56,"-",AN$8),'[1]liste complet essai'!$A$4:$K$1367,5,)</f>
        <v>G-126</v>
      </c>
      <c r="AO58" s="309" t="str">
        <f aca="false">VLOOKUP(CONCATENATE($AI56,"-",AO$8),'[1]liste complet essai'!$A$4:$K$1367,5,)</f>
        <v>G-184</v>
      </c>
      <c r="AP58" s="309" t="str">
        <f aca="false">VLOOKUP(CONCATENATE($AI56,"-",AP$8),'[1]liste complet essai'!$A$4:$K$1367,5,)</f>
        <v>G-194</v>
      </c>
      <c r="AQ58" s="309" t="str">
        <f aca="false">VLOOKUP(CONCATENATE($AI56,"-",AQ$8),'[1]liste complet essai'!$A$4:$K$1367,5,)</f>
        <v>G-166</v>
      </c>
      <c r="AR58" s="309" t="str">
        <f aca="false">VLOOKUP(CONCATENATE($AI56,"-",AR$8),'[1]liste complet essai'!$A$4:$K$1367,5,)</f>
        <v>G-212</v>
      </c>
      <c r="AS58" s="309" t="str">
        <f aca="false">VLOOKUP(CONCATENATE($AI56,"-",AS$8),'[1]liste complet essai'!$A$4:$K$1367,5,)</f>
        <v>G-137</v>
      </c>
      <c r="AT58" s="309" t="str">
        <f aca="false">VLOOKUP(CONCATENATE($AI56,"-",AT$8),'[1]liste complet essai'!$A$4:$K$1367,5,)</f>
        <v>G-164</v>
      </c>
      <c r="AU58" s="309" t="str">
        <f aca="false">VLOOKUP(CONCATENATE($AI56,"-",AU$8),'[1]liste complet essai'!$A$4:$K$1367,5,)</f>
        <v>G-165</v>
      </c>
      <c r="AV58" s="309" t="str">
        <f aca="false">VLOOKUP(CONCATENATE($AI56,"-",AV$8),'[1]liste complet essai'!$A$4:$K$1367,5,)</f>
        <v>G-141</v>
      </c>
      <c r="AW58" s="309" t="str">
        <f aca="false">VLOOKUP(CONCATENATE($AI56,"-",AW$8),'[1]liste complet essai'!$A$4:$K$1367,5,)</f>
        <v>G-199</v>
      </c>
      <c r="AX58" s="309" t="str">
        <f aca="false">VLOOKUP(CONCATENATE($AI56,"-",AX$8),'[1]liste complet essai'!$A$4:$K$1367,5,)</f>
        <v>G-200</v>
      </c>
      <c r="AY58" s="309" t="str">
        <f aca="false">VLOOKUP(CONCATENATE($AI56,"-",AY$8),'[1]liste complet essai'!$A$4:$K$1367,5,)</f>
        <v>G-174</v>
      </c>
      <c r="AZ58" s="309" t="str">
        <f aca="false">VLOOKUP(CONCATENATE($AI56,"-",AZ$8),'[1]liste complet essai'!$A$4:$K$1367,5,)</f>
        <v>G-202</v>
      </c>
      <c r="BA58" s="309" t="str">
        <f aca="false">VLOOKUP(CONCATENATE($AI56,"-",BA$8),'[1]liste complet essai'!$A$4:$K$1367,5,)</f>
        <v>G-159</v>
      </c>
      <c r="BB58" s="309" t="str">
        <f aca="false">VLOOKUP(CONCATENATE($AI56,"-",BB$8),'[1]liste complet essai'!$A$4:$K$1367,5,)</f>
        <v>G-170</v>
      </c>
      <c r="BC58" s="309" t="str">
        <f aca="false">VLOOKUP(CONCATENATE($AI56,"-",BC$8),'[1]liste complet essai'!$A$4:$K$1367,5,)</f>
        <v>G-201</v>
      </c>
      <c r="BD58" s="309" t="str">
        <f aca="false">VLOOKUP(CONCATENATE($AI56,"-",BD$8),'[1]liste complet essai'!$A$4:$K$1367,5,)</f>
        <v>G-169</v>
      </c>
      <c r="BE58" s="309" t="str">
        <f aca="false">VLOOKUP(CONCATENATE($AI56,"-",BE$8),'[1]liste complet essai'!$A$4:$K$1367,5,)</f>
        <v>G-183</v>
      </c>
      <c r="BF58" s="309" t="str">
        <f aca="false">VLOOKUP(CONCATENATE($AI56,"-",BF$8),'[1]liste complet essai'!$A$4:$K$1367,5,)</f>
        <v>G-177</v>
      </c>
      <c r="BG58" s="309" t="str">
        <f aca="false">VLOOKUP(CONCATENATE($AI56,"-",BG$8),'[1]liste complet essai'!$A$4:$K$1367,5,)</f>
        <v>G-154</v>
      </c>
      <c r="BH58" s="309" t="str">
        <f aca="false">VLOOKUP(CONCATENATE($AI56,"-",BH$8),'[1]liste complet essai'!$A$4:$K$1367,5,)</f>
        <v>G-172</v>
      </c>
      <c r="BI58" s="309" t="str">
        <f aca="false">VLOOKUP(CONCATENATE($AI56,"-",BI$8),'[1]liste complet essai'!$A$4:$K$1367,5,)</f>
        <v>G-142</v>
      </c>
      <c r="BJ58" s="309" t="str">
        <f aca="false">VLOOKUP(CONCATENATE($AI56,"-",BJ$8),'[1]liste complet essai'!$A$4:$K$1367,5,)</f>
        <v>G-145</v>
      </c>
      <c r="BK58" s="309" t="str">
        <f aca="false">VLOOKUP(CONCATENATE($AI56,"-",BK$8),'[1]liste complet essai'!$A$4:$K$1367,5,)</f>
        <v>G-179</v>
      </c>
      <c r="BL58" s="309" t="str">
        <f aca="false">VLOOKUP(CONCATENATE($AI56,"-",BL$8),'[1]liste complet essai'!$A$4:$K$1367,5,)</f>
        <v>G-144</v>
      </c>
      <c r="BM58" s="309" t="str">
        <f aca="false">VLOOKUP(CONCATENATE($AI56,"-",BM$8),'[1]liste complet essai'!$A$4:$K$1367,5,)</f>
        <v>G-213</v>
      </c>
      <c r="BN58" s="309" t="str">
        <f aca="false">VLOOKUP(CONCATENATE($AI56,"-",BN$8),'[1]liste complet essai'!$A$4:$K$1367,5,)</f>
        <v>G-171</v>
      </c>
      <c r="BO58" s="309" t="str">
        <f aca="false">VLOOKUP(CONCATENATE($AI56,"-",BO$8),'[1]liste complet essai'!$A$4:$K$1367,5,)</f>
        <v>G-130</v>
      </c>
      <c r="BP58" s="309" t="str">
        <f aca="false">VLOOKUP(CONCATENATE($AI56,"-",BP$8),'[1]liste complet essai'!$A$4:$K$1367,5,)</f>
        <v>G-146</v>
      </c>
      <c r="BQ58" s="309" t="str">
        <f aca="false">VLOOKUP(CONCATENATE($AI56,"-",BQ$8),'[1]liste complet essai'!$A$4:$K$1367,5,)</f>
        <v>G-188</v>
      </c>
      <c r="BR58" s="309" t="str">
        <f aca="false">VLOOKUP(CONCATENATE($AI56,"-",BR$8),'[1]liste complet essai'!$A$4:$K$1367,5,)</f>
        <v>G-161</v>
      </c>
      <c r="BS58" s="374"/>
      <c r="BT58" s="374"/>
      <c r="BU58" s="374"/>
      <c r="BV58" s="374"/>
      <c r="BW58" s="374"/>
      <c r="BX58" s="374"/>
      <c r="BY58" s="374"/>
      <c r="BZ58" s="374"/>
      <c r="CA58" s="374"/>
      <c r="CB58" s="374"/>
      <c r="CC58" s="309" t="str">
        <f aca="false">VLOOKUP(CONCATENATE($AI56,"-",CC$8),'[1]liste complet essai'!$A$4:$K$1367,5,)</f>
        <v>G-194</v>
      </c>
      <c r="CD58" s="309" t="str">
        <f aca="false">VLOOKUP(CONCATENATE($AI56,"-",CD$8),'[1]liste complet essai'!$A$4:$K$1367,5,)</f>
        <v>G-142</v>
      </c>
      <c r="CE58" s="309" t="str">
        <f aca="false">VLOOKUP(CONCATENATE($AI56,"-",CE$8),'[1]liste complet essai'!$A$4:$K$1367,5,)</f>
        <v>G-179</v>
      </c>
      <c r="CF58" s="309" t="str">
        <f aca="false">VLOOKUP(CONCATENATE($AI56,"-",CF$8),'[1]liste complet essai'!$A$4:$K$1367,5,)</f>
        <v>G-171</v>
      </c>
      <c r="CG58" s="309" t="str">
        <f aca="false">VLOOKUP(CONCATENATE($AI56,"-",CG$8),'[1]liste complet essai'!$A$4:$K$1367,5,)</f>
        <v>G-176</v>
      </c>
      <c r="CH58" s="309" t="str">
        <f aca="false">VLOOKUP(CONCATENATE($AI56,"-",CH$8),'[1]liste complet essai'!$A$4:$K$1367,5,)</f>
        <v>G-169</v>
      </c>
      <c r="CI58" s="309" t="str">
        <f aca="false">VLOOKUP(CONCATENATE($AI56,"-",CI$8),'[1]liste complet essai'!$A$4:$K$1367,5,)</f>
        <v>G-136</v>
      </c>
      <c r="CJ58" s="309" t="str">
        <f aca="false">VLOOKUP(CONCATENATE($AI56,"-",CJ$8),'[1]liste complet essai'!$A$4:$K$1367,5,)</f>
        <v>G-192</v>
      </c>
      <c r="CK58" s="309" t="str">
        <f aca="false">VLOOKUP(CONCATENATE($AI56,"-",CK$8),'[1]liste complet essai'!$A$4:$K$1367,5,)</f>
        <v>G-181</v>
      </c>
      <c r="CL58" s="309" t="str">
        <f aca="false">VLOOKUP(CONCATENATE($AI56,"-",CL$8),'[1]liste complet essai'!$A$4:$K$1367,5,)</f>
        <v>G-141</v>
      </c>
      <c r="CM58" s="309" t="str">
        <f aca="false">VLOOKUP(CONCATENATE($AI56,"-",CM$8),'[1]liste complet essai'!$A$4:$K$1367,5,)</f>
        <v>G-154</v>
      </c>
      <c r="CN58" s="309" t="str">
        <f aca="false">VLOOKUP(CONCATENATE($AI56,"-",CN$8),'[1]liste complet essai'!$A$4:$K$1367,5,)</f>
        <v>G-173</v>
      </c>
      <c r="CO58" s="309" t="str">
        <f aca="false">VLOOKUP(CONCATENATE($AI56,"-",CO$8),'[1]liste complet essai'!$A$4:$K$1367,5,)</f>
        <v>G-190</v>
      </c>
      <c r="CP58" s="309" t="str">
        <f aca="false">VLOOKUP(CONCATENATE($AI56,"-",CP$8),'[1]liste complet essai'!$A$4:$K$1367,5,)</f>
        <v>G-216</v>
      </c>
      <c r="CQ58" s="309" t="str">
        <f aca="false">VLOOKUP(CONCATENATE($AI56,"-",CQ$8),'[1]liste complet essai'!$A$4:$K$1367,5,)</f>
        <v>G-211</v>
      </c>
      <c r="CR58" s="309" t="str">
        <f aca="false">VLOOKUP(CONCATENATE($AI56,"-",CR$8),'[1]liste complet essai'!$A$4:$K$1367,5,)</f>
        <v>G-148</v>
      </c>
      <c r="CS58" s="309" t="str">
        <f aca="false">VLOOKUP(CONCATENATE($AI56,"-",CS$8),'[1]liste complet essai'!$A$4:$K$1367,5,)</f>
        <v>G-157</v>
      </c>
      <c r="CT58" s="309" t="str">
        <f aca="false">VLOOKUP(CONCATENATE($AI56,"-",CT$8),'[1]liste complet essai'!$A$4:$K$1367,5,)</f>
        <v>G-174</v>
      </c>
      <c r="CU58" s="309" t="str">
        <f aca="false">VLOOKUP(CONCATENATE($AI56,"-",CU$8),'[1]liste complet essai'!$A$4:$K$1367,5,)</f>
        <v>G-150</v>
      </c>
      <c r="CV58" s="309" t="str">
        <f aca="false">VLOOKUP(CONCATENATE($AI56,"-",CV$8),'[1]liste complet essai'!$A$4:$K$1367,5,)</f>
        <v>G-203</v>
      </c>
      <c r="CW58" s="309" t="str">
        <f aca="false">VLOOKUP(CONCATENATE($AI56,"-",CW$8),'[1]liste complet essai'!$A$4:$K$1367,5,)</f>
        <v>G-127</v>
      </c>
      <c r="CX58" s="375" t="str">
        <f aca="false">VLOOKUP(CONCATENATE($AI56,"-",CX$8),'[1]liste complet essai'!$A$4:$K$1367,5,)</f>
        <v>G-125</v>
      </c>
      <c r="CY58" s="309" t="str">
        <f aca="false">VLOOKUP(CONCATENATE($AI56,"-",CY$8),'[1]liste complet essai'!$A$4:$K$1367,5,)</f>
        <v>G-213</v>
      </c>
      <c r="CZ58" s="309" t="str">
        <f aca="false">VLOOKUP(CONCATENATE($AI56,"-",CZ$8),'[1]liste complet essai'!$A$4:$K$1367,5,)</f>
        <v>G-159</v>
      </c>
      <c r="DA58" s="309" t="str">
        <f aca="false">VLOOKUP(CONCATENATE($AI56,"-",DA$8),'[1]liste complet essai'!$A$4:$K$1367,5,)</f>
        <v>G-177</v>
      </c>
      <c r="DB58" s="309" t="str">
        <f aca="false">VLOOKUP(CONCATENATE($AI56,"-",DB$8),'[1]liste complet essai'!$A$4:$K$1367,5,)</f>
        <v>G-189</v>
      </c>
      <c r="DC58" s="309" t="str">
        <f aca="false">VLOOKUP(CONCATENATE($AI56,"-",DC$8),'[1]liste complet essai'!$A$4:$K$1367,5,)</f>
        <v>G-158</v>
      </c>
      <c r="DD58" s="309" t="str">
        <f aca="false">VLOOKUP(CONCATENATE($AI56,"-",DD$8),'[1]liste complet essai'!$A$4:$K$1367,5,)</f>
        <v>G-207</v>
      </c>
      <c r="DE58" s="375" t="str">
        <f aca="false">VLOOKUP(CONCATENATE($AI56,"-",DE$8),'[1]liste complet essai'!$A$4:$K$1367,5,)</f>
        <v>G-126</v>
      </c>
      <c r="DF58" s="309" t="str">
        <f aca="false">VLOOKUP(CONCATENATE($AI56,"-",DF$8),'[1]liste complet essai'!$A$4:$K$1367,5,)</f>
        <v>G-163</v>
      </c>
      <c r="DG58" s="309" t="str">
        <f aca="false">VLOOKUP(CONCATENATE($AI56,"-",DG$8),'[1]liste complet essai'!$A$4:$K$1367,5,)</f>
        <v>G-167</v>
      </c>
      <c r="DH58" s="309" t="str">
        <f aca="false">VLOOKUP(CONCATENATE($AI56,"-",DH$8),'[1]liste complet essai'!$A$4:$K$1367,5,)</f>
        <v>G-175</v>
      </c>
      <c r="DI58" s="392"/>
      <c r="DJ58" s="309"/>
      <c r="DK58" s="380"/>
    </row>
    <row r="59" customFormat="false" ht="12" hidden="false" customHeight="false" outlineLevel="0" collapsed="false">
      <c r="B59" s="384" t="n">
        <v>27</v>
      </c>
      <c r="C59" s="391" t="s">
        <v>8122</v>
      </c>
      <c r="D59" s="319"/>
      <c r="E59" s="392" t="s">
        <v>8122</v>
      </c>
      <c r="F59" s="309" t="str">
        <f aca="false">VLOOKUP(CONCATENATE($B59,"-",F$8),'[1]liste complet essai'!$A$4:$K$1367,4,)</f>
        <v>DK</v>
      </c>
      <c r="G59" s="309" t="str">
        <f aca="false">VLOOKUP(CONCATENATE($B59,"-",G$8),'[1]liste complet essai'!$A$4:$K$1367,4,)</f>
        <v>DK</v>
      </c>
      <c r="H59" s="309" t="str">
        <f aca="false">VLOOKUP(CONCATENATE($B59,"-",H$8),'[1]liste complet essai'!$A$4:$K$1367,4,)</f>
        <v>DK</v>
      </c>
      <c r="I59" s="309" t="str">
        <f aca="false">VLOOKUP(CONCATENATE($B59,"-",I$8),'[1]liste complet essai'!$A$4:$K$1367,4,)</f>
        <v>DK</v>
      </c>
      <c r="J59" s="309" t="str">
        <f aca="false">VLOOKUP(CONCATENATE($B59,"-",J$8),'[1]liste complet essai'!$A$4:$K$1367,4,)</f>
        <v>DK</v>
      </c>
      <c r="K59" s="309" t="str">
        <f aca="false">VLOOKUP(CONCATENATE($B59,"-",K$8),'[1]liste complet essai'!$A$4:$K$1367,4,)</f>
        <v>DK</v>
      </c>
      <c r="L59" s="309" t="str">
        <f aca="false">VLOOKUP(CONCATENATE($B59,"-",L$8),'[1]liste complet essai'!$A$4:$K$1367,4,)</f>
        <v>DK</v>
      </c>
      <c r="M59" s="309" t="str">
        <f aca="false">VLOOKUP(CONCATENATE($B59,"-",M$8),'[1]liste complet essai'!$A$4:$K$1367,4,)</f>
        <v>DK</v>
      </c>
      <c r="N59" s="309" t="str">
        <f aca="false">VLOOKUP(CONCATENATE($B59,"-",N$8),'[1]liste complet essai'!$A$4:$K$1367,4,)</f>
        <v>DK</v>
      </c>
      <c r="O59" s="309" t="str">
        <f aca="false">VLOOKUP(CONCATENATE($B59,"-",O$8),'[1]liste complet essai'!$A$4:$K$1367,4,)</f>
        <v>DK</v>
      </c>
      <c r="P59" s="309" t="str">
        <f aca="false">VLOOKUP(CONCATENATE($B59,"-",P$8),'[1]liste complet essai'!$A$4:$K$1367,4,)</f>
        <v>DK</v>
      </c>
      <c r="Q59" s="309" t="str">
        <f aca="false">VLOOKUP(CONCATENATE($B59,"-",Q$8),'[1]liste complet essai'!$A$4:$K$1367,4,)</f>
        <v>DK</v>
      </c>
      <c r="R59" s="309" t="str">
        <f aca="false">VLOOKUP(CONCATENATE($B59,"-",R$8),'[1]liste complet essai'!$A$4:$K$1367,4,)</f>
        <v>DK</v>
      </c>
      <c r="S59" s="309" t="str">
        <f aca="false">VLOOKUP(CONCATENATE($B59,"-",S$8),'[1]liste complet essai'!$A$4:$K$1367,4,)</f>
        <v>DK</v>
      </c>
      <c r="T59" s="309" t="str">
        <f aca="false">VLOOKUP(CONCATENATE($B59,"-",T$8),'[1]liste complet essai'!$A$4:$K$1367,4,)</f>
        <v>DK</v>
      </c>
      <c r="U59" s="309" t="str">
        <f aca="false">VLOOKUP(CONCATENATE($B59,"-",U$8),'[1]liste complet essai'!$A$4:$K$1367,4,)</f>
        <v>DK</v>
      </c>
      <c r="V59" s="309" t="str">
        <f aca="false">VLOOKUP(CONCATENATE($B59,"-",V$8),'[1]liste complet essai'!$A$4:$K$1367,4,)</f>
        <v>DK</v>
      </c>
      <c r="W59" s="309" t="str">
        <f aca="false">VLOOKUP(CONCATENATE($B59,"-",W$8),'[1]liste complet essai'!$A$4:$K$1367,4,)</f>
        <v>DK</v>
      </c>
      <c r="X59" s="309" t="str">
        <f aca="false">VLOOKUP(CONCATENATE($B59,"-",X$8),'[1]liste complet essai'!$A$4:$K$1367,4,)</f>
        <v>DK</v>
      </c>
      <c r="Y59" s="309" t="str">
        <f aca="false">VLOOKUP(CONCATENATE($B59,"-",Y$8),'[1]liste complet essai'!$A$4:$K$1367,4,)</f>
        <v>DK</v>
      </c>
      <c r="Z59" s="309" t="str">
        <f aca="false">VLOOKUP(CONCATENATE($B59,"-",Z$8),'[1]liste complet essai'!$A$4:$K$1367,4,)</f>
        <v>DK</v>
      </c>
      <c r="AA59" s="303" t="str">
        <f aca="false">VLOOKUP(CONCATENATE($B59,"-",AA$8),'[1]liste complet essai'!$A$4:$K$1367,4,)</f>
        <v>DK</v>
      </c>
      <c r="AB59" s="309" t="str">
        <f aca="false">VLOOKUP(CONCATENATE($B59,"-",AB$8),'[1]liste complet essai'!$A$4:$K$1367,4,)</f>
        <v>DK</v>
      </c>
      <c r="AC59" s="309" t="str">
        <f aca="false">VLOOKUP(CONCATENATE($B59,"-",AC$8),'[1]liste complet essai'!$A$4:$K$1367,4,)</f>
        <v>DK</v>
      </c>
      <c r="AD59" s="309" t="str">
        <f aca="false">VLOOKUP(CONCATENATE($B59,"-",AD$8),'[1]liste complet essai'!$A$4:$K$1367,4,)</f>
        <v>DK</v>
      </c>
      <c r="AE59" s="309" t="str">
        <f aca="false">VLOOKUP(CONCATENATE($B59,"-",AE$8),'[1]liste complet essai'!$A$4:$K$1367,4,)</f>
        <v>DK</v>
      </c>
      <c r="AF59" s="380" t="s">
        <v>8122</v>
      </c>
      <c r="AI59" s="363"/>
      <c r="AJ59" s="396"/>
      <c r="AK59" s="309"/>
      <c r="AL59" s="397"/>
      <c r="AM59" s="309" t="str">
        <f aca="false">VLOOKUP(CONCATENATE($AI56,"-",AM$8),'[1]liste complet essai'!$A$4:$K$1367,1,)</f>
        <v>12-01</v>
      </c>
      <c r="AN59" s="316" t="str">
        <f aca="false">VLOOKUP(CONCATENATE($AI56,"-",AN$8),'[1]liste complet essai'!$A$4:$K$1367,1,)</f>
        <v>12-02</v>
      </c>
      <c r="AO59" s="309" t="str">
        <f aca="false">VLOOKUP(CONCATENATE($AI56,"-",AO$8),'[1]liste complet essai'!$A$4:$K$1367,1,)</f>
        <v>12-03</v>
      </c>
      <c r="AP59" s="309" t="str">
        <f aca="false">VLOOKUP(CONCATENATE($AI56,"-",AP$8),'[1]liste complet essai'!$A$4:$K$1367,1,)</f>
        <v>12-04</v>
      </c>
      <c r="AQ59" s="309" t="str">
        <f aca="false">VLOOKUP(CONCATENATE($AI56,"-",AQ$8),'[1]liste complet essai'!$A$4:$K$1367,1,)</f>
        <v>12-05</v>
      </c>
      <c r="AR59" s="309" t="str">
        <f aca="false">VLOOKUP(CONCATENATE($AI56,"-",AR$8),'[1]liste complet essai'!$A$4:$K$1367,1,)</f>
        <v>12-06</v>
      </c>
      <c r="AS59" s="309" t="str">
        <f aca="false">VLOOKUP(CONCATENATE($AI56,"-",AS$8),'[1]liste complet essai'!$A$4:$K$1367,1,)</f>
        <v>12-07</v>
      </c>
      <c r="AT59" s="309" t="str">
        <f aca="false">VLOOKUP(CONCATENATE($AI56,"-",AT$8),'[1]liste complet essai'!$A$4:$K$1367,1,)</f>
        <v>12-08</v>
      </c>
      <c r="AU59" s="309" t="str">
        <f aca="false">VLOOKUP(CONCATENATE($AI56,"-",AU$8),'[1]liste complet essai'!$A$4:$K$1367,1,)</f>
        <v>12-09</v>
      </c>
      <c r="AV59" s="309" t="str">
        <f aca="false">VLOOKUP(CONCATENATE($AI56,"-",AV$8),'[1]liste complet essai'!$A$4:$K$1367,1,)</f>
        <v>12-10</v>
      </c>
      <c r="AW59" s="309" t="str">
        <f aca="false">VLOOKUP(CONCATENATE($AI56,"-",AW$8),'[1]liste complet essai'!$A$4:$K$1367,1,)</f>
        <v>12-11</v>
      </c>
      <c r="AX59" s="309" t="str">
        <f aca="false">VLOOKUP(CONCATENATE($AI56,"-",AX$8),'[1]liste complet essai'!$A$4:$K$1367,1,)</f>
        <v>12-12</v>
      </c>
      <c r="AY59" s="309" t="str">
        <f aca="false">VLOOKUP(CONCATENATE($AI56,"-",AY$8),'[1]liste complet essai'!$A$4:$K$1367,1,)</f>
        <v>12-13</v>
      </c>
      <c r="AZ59" s="309" t="str">
        <f aca="false">VLOOKUP(CONCATENATE($AI56,"-",AZ$8),'[1]liste complet essai'!$A$4:$K$1367,1,)</f>
        <v>12-14</v>
      </c>
      <c r="BA59" s="309" t="str">
        <f aca="false">VLOOKUP(CONCATENATE($AI56,"-",BA$8),'[1]liste complet essai'!$A$4:$K$1367,1,)</f>
        <v>12-15</v>
      </c>
      <c r="BB59" s="309" t="str">
        <f aca="false">VLOOKUP(CONCATENATE($AI56,"-",BB$8),'[1]liste complet essai'!$A$4:$K$1367,1,)</f>
        <v>12-16</v>
      </c>
      <c r="BC59" s="309" t="str">
        <f aca="false">VLOOKUP(CONCATENATE($AI56,"-",BC$8),'[1]liste complet essai'!$A$4:$K$1367,1,)</f>
        <v>12-17</v>
      </c>
      <c r="BD59" s="309" t="str">
        <f aca="false">VLOOKUP(CONCATENATE($AI56,"-",BD$8),'[1]liste complet essai'!$A$4:$K$1367,1,)</f>
        <v>12-18</v>
      </c>
      <c r="BE59" s="309" t="str">
        <f aca="false">VLOOKUP(CONCATENATE($AI56,"-",BE$8),'[1]liste complet essai'!$A$4:$K$1367,1,)</f>
        <v>12-19</v>
      </c>
      <c r="BF59" s="309" t="str">
        <f aca="false">VLOOKUP(CONCATENATE($AI56,"-",BF$8),'[1]liste complet essai'!$A$4:$K$1367,1,)</f>
        <v>12-20</v>
      </c>
      <c r="BG59" s="309" t="str">
        <f aca="false">VLOOKUP(CONCATENATE($AI56,"-",BG$8),'[1]liste complet essai'!$A$4:$K$1367,1,)</f>
        <v>12-21</v>
      </c>
      <c r="BH59" s="309" t="str">
        <f aca="false">VLOOKUP(CONCATENATE($AI56,"-",BH$8),'[1]liste complet essai'!$A$4:$K$1367,1,)</f>
        <v>12-22</v>
      </c>
      <c r="BI59" s="309" t="str">
        <f aca="false">VLOOKUP(CONCATENATE($AI56,"-",BI$8),'[1]liste complet essai'!$A$4:$K$1367,1,)</f>
        <v>12-23</v>
      </c>
      <c r="BJ59" s="309" t="str">
        <f aca="false">VLOOKUP(CONCATENATE($AI56,"-",BJ$8),'[1]liste complet essai'!$A$4:$K$1367,1,)</f>
        <v>12-24</v>
      </c>
      <c r="BK59" s="309" t="str">
        <f aca="false">VLOOKUP(CONCATENATE($AI56,"-",BK$8),'[1]liste complet essai'!$A$4:$K$1367,1,)</f>
        <v>12-25</v>
      </c>
      <c r="BL59" s="309" t="str">
        <f aca="false">VLOOKUP(CONCATENATE($AI56,"-",BL$8),'[1]liste complet essai'!$A$4:$K$1367,1,)</f>
        <v>12-26</v>
      </c>
      <c r="BM59" s="309" t="str">
        <f aca="false">VLOOKUP(CONCATENATE($AI56,"-",BM$8),'[1]liste complet essai'!$A$4:$K$1367,1,)</f>
        <v>12-27</v>
      </c>
      <c r="BN59" s="309" t="str">
        <f aca="false">VLOOKUP(CONCATENATE($AI56,"-",BN$8),'[1]liste complet essai'!$A$4:$K$1367,1,)</f>
        <v>12-28</v>
      </c>
      <c r="BO59" s="309" t="str">
        <f aca="false">VLOOKUP(CONCATENATE($AI56,"-",BO$8),'[1]liste complet essai'!$A$4:$K$1367,1,)</f>
        <v>12-29</v>
      </c>
      <c r="BP59" s="309" t="str">
        <f aca="false">VLOOKUP(CONCATENATE($AI56,"-",BP$8),'[1]liste complet essai'!$A$4:$K$1367,1,)</f>
        <v>12-30</v>
      </c>
      <c r="BQ59" s="309" t="str">
        <f aca="false">VLOOKUP(CONCATENATE($AI56,"-",BQ$8),'[1]liste complet essai'!$A$4:$K$1367,1,)</f>
        <v>12-31</v>
      </c>
      <c r="BR59" s="309" t="str">
        <f aca="false">VLOOKUP(CONCATENATE($AI56,"-",BR$8),'[1]liste complet essai'!$A$4:$K$1367,1,)</f>
        <v>12-32</v>
      </c>
      <c r="BS59" s="374"/>
      <c r="BT59" s="374"/>
      <c r="BU59" s="374"/>
      <c r="BV59" s="374"/>
      <c r="BW59" s="374"/>
      <c r="BX59" s="374"/>
      <c r="BY59" s="374"/>
      <c r="BZ59" s="374"/>
      <c r="CA59" s="374"/>
      <c r="CB59" s="374"/>
      <c r="CC59" s="309" t="str">
        <f aca="false">VLOOKUP(CONCATENATE($AI56,"-",CC$8),'[1]liste complet essai'!$A$4:$K$1367,1,)</f>
        <v>12-33</v>
      </c>
      <c r="CD59" s="309" t="str">
        <f aca="false">VLOOKUP(CONCATENATE($AI56,"-",CD$8),'[1]liste complet essai'!$A$4:$K$1367,1,)</f>
        <v>12-34</v>
      </c>
      <c r="CE59" s="309" t="str">
        <f aca="false">VLOOKUP(CONCATENATE($AI56,"-",CE$8),'[1]liste complet essai'!$A$4:$K$1367,1,)</f>
        <v>12-35</v>
      </c>
      <c r="CF59" s="309" t="str">
        <f aca="false">VLOOKUP(CONCATENATE($AI56,"-",CF$8),'[1]liste complet essai'!$A$4:$K$1367,1,)</f>
        <v>12-36</v>
      </c>
      <c r="CG59" s="309" t="str">
        <f aca="false">VLOOKUP(CONCATENATE($AI56,"-",CG$8),'[1]liste complet essai'!$A$4:$K$1367,1,)</f>
        <v>12-37</v>
      </c>
      <c r="CH59" s="309" t="str">
        <f aca="false">VLOOKUP(CONCATENATE($AI56,"-",CH$8),'[1]liste complet essai'!$A$4:$K$1367,1,)</f>
        <v>12-38</v>
      </c>
      <c r="CI59" s="309" t="str">
        <f aca="false">VLOOKUP(CONCATENATE($AI56,"-",CI$8),'[1]liste complet essai'!$A$4:$K$1367,1,)</f>
        <v>12-39</v>
      </c>
      <c r="CJ59" s="309" t="str">
        <f aca="false">VLOOKUP(CONCATENATE($AI56,"-",CJ$8),'[1]liste complet essai'!$A$4:$K$1367,1,)</f>
        <v>12-40</v>
      </c>
      <c r="CK59" s="309" t="str">
        <f aca="false">VLOOKUP(CONCATENATE($AI56,"-",CK$8),'[1]liste complet essai'!$A$4:$K$1367,1,)</f>
        <v>12-41</v>
      </c>
      <c r="CL59" s="309" t="str">
        <f aca="false">VLOOKUP(CONCATENATE($AI56,"-",CL$8),'[1]liste complet essai'!$A$4:$K$1367,1,)</f>
        <v>12-42</v>
      </c>
      <c r="CM59" s="309" t="str">
        <f aca="false">VLOOKUP(CONCATENATE($AI56,"-",CM$8),'[1]liste complet essai'!$A$4:$K$1367,1,)</f>
        <v>12-43</v>
      </c>
      <c r="CN59" s="309" t="str">
        <f aca="false">VLOOKUP(CONCATENATE($AI56,"-",CN$8),'[1]liste complet essai'!$A$4:$K$1367,1,)</f>
        <v>12-44</v>
      </c>
      <c r="CO59" s="309" t="str">
        <f aca="false">VLOOKUP(CONCATENATE($AI56,"-",CO$8),'[1]liste complet essai'!$A$4:$K$1367,1,)</f>
        <v>12-45</v>
      </c>
      <c r="CP59" s="309" t="str">
        <f aca="false">VLOOKUP(CONCATENATE($AI56,"-",CP$8),'[1]liste complet essai'!$A$4:$K$1367,1,)</f>
        <v>12-46</v>
      </c>
      <c r="CQ59" s="309" t="str">
        <f aca="false">VLOOKUP(CONCATENATE($AI56,"-",CQ$8),'[1]liste complet essai'!$A$4:$K$1367,1,)</f>
        <v>12-47</v>
      </c>
      <c r="CR59" s="309" t="str">
        <f aca="false">VLOOKUP(CONCATENATE($AI56,"-",CR$8),'[1]liste complet essai'!$A$4:$K$1367,1,)</f>
        <v>12-48</v>
      </c>
      <c r="CS59" s="309" t="str">
        <f aca="false">VLOOKUP(CONCATENATE($AI56,"-",CS$8),'[1]liste complet essai'!$A$4:$K$1367,1,)</f>
        <v>12-49</v>
      </c>
      <c r="CT59" s="309" t="str">
        <f aca="false">VLOOKUP(CONCATENATE($AI56,"-",CT$8),'[1]liste complet essai'!$A$4:$K$1367,1,)</f>
        <v>12-50</v>
      </c>
      <c r="CU59" s="309" t="str">
        <f aca="false">VLOOKUP(CONCATENATE($AI56,"-",CU$8),'[1]liste complet essai'!$A$4:$K$1367,1,)</f>
        <v>12-51</v>
      </c>
      <c r="CV59" s="309" t="str">
        <f aca="false">VLOOKUP(CONCATENATE($AI56,"-",CV$8),'[1]liste complet essai'!$A$4:$K$1367,1,)</f>
        <v>12-52</v>
      </c>
      <c r="CW59" s="309" t="str">
        <f aca="false">VLOOKUP(CONCATENATE($AI56,"-",CW$8),'[1]liste complet essai'!$A$4:$K$1367,1,)</f>
        <v>12-53</v>
      </c>
      <c r="CX59" s="366" t="str">
        <f aca="false">VLOOKUP(CONCATENATE($AI56,"-",CX$8),'[1]liste complet essai'!$A$4:$K$1367,1,)</f>
        <v>12-54</v>
      </c>
      <c r="CY59" s="309" t="str">
        <f aca="false">VLOOKUP(CONCATENATE($AI56,"-",CY$8),'[1]liste complet essai'!$A$4:$K$1367,1,)</f>
        <v>12-55</v>
      </c>
      <c r="CZ59" s="309" t="str">
        <f aca="false">VLOOKUP(CONCATENATE($AI56,"-",CZ$8),'[1]liste complet essai'!$A$4:$K$1367,1,)</f>
        <v>12-56</v>
      </c>
      <c r="DA59" s="309" t="str">
        <f aca="false">VLOOKUP(CONCATENATE($AI56,"-",DA$8),'[1]liste complet essai'!$A$4:$K$1367,1,)</f>
        <v>12-57</v>
      </c>
      <c r="DB59" s="309" t="str">
        <f aca="false">VLOOKUP(CONCATENATE($AI56,"-",DB$8),'[1]liste complet essai'!$A$4:$K$1367,1,)</f>
        <v>12-58</v>
      </c>
      <c r="DC59" s="309" t="str">
        <f aca="false">VLOOKUP(CONCATENATE($AI56,"-",DC$8),'[1]liste complet essai'!$A$4:$K$1367,1,)</f>
        <v>12-59</v>
      </c>
      <c r="DD59" s="309" t="str">
        <f aca="false">VLOOKUP(CONCATENATE($AI56,"-",DD$8),'[1]liste complet essai'!$A$4:$K$1367,1,)</f>
        <v>12-60</v>
      </c>
      <c r="DE59" s="366" t="str">
        <f aca="false">VLOOKUP(CONCATENATE($AI56,"-",DE$8),'[1]liste complet essai'!$A$4:$K$1367,1,)</f>
        <v>12-61</v>
      </c>
      <c r="DF59" s="309" t="str">
        <f aca="false">VLOOKUP(CONCATENATE($AI56,"-",DF$8),'[1]liste complet essai'!$A$4:$K$1367,1,)</f>
        <v>12-62</v>
      </c>
      <c r="DG59" s="309" t="str">
        <f aca="false">VLOOKUP(CONCATENATE($AI56,"-",DG$8),'[1]liste complet essai'!$A$4:$K$1367,1,)</f>
        <v>12-63</v>
      </c>
      <c r="DH59" s="309" t="str">
        <f aca="false">VLOOKUP(CONCATENATE($AI56,"-",DH$8),'[1]liste complet essai'!$A$4:$K$1367,1,)</f>
        <v>12-64</v>
      </c>
      <c r="DI59" s="392"/>
      <c r="DJ59" s="317"/>
      <c r="DK59" s="380"/>
    </row>
    <row r="60" customFormat="false" ht="12" hidden="false" customHeight="false" outlineLevel="0" collapsed="false">
      <c r="B60" s="384"/>
      <c r="C60" s="391"/>
      <c r="D60" s="307"/>
      <c r="E60" s="392"/>
      <c r="F60" s="309" t="str">
        <f aca="false">VLOOKUP(CONCATENATE($B59,"-",F$8),'[1]liste complet essai'!$A$4:$K$1367,9,)</f>
        <v>N1-b3</v>
      </c>
      <c r="G60" s="309" t="str">
        <f aca="false">VLOOKUP(CONCATENATE($B59,"-",G$8),'[1]liste complet essai'!$A$4:$K$1367,9,)</f>
        <v>N1-b3</v>
      </c>
      <c r="H60" s="309" t="str">
        <f aca="false">VLOOKUP(CONCATENATE($B59,"-",H$8),'[1]liste complet essai'!$A$4:$K$1367,9,)</f>
        <v>N1-b3</v>
      </c>
      <c r="I60" s="309" t="str">
        <f aca="false">VLOOKUP(CONCATENATE($B59,"-",I$8),'[1]liste complet essai'!$A$4:$K$1367,9,)</f>
        <v>N1-b3</v>
      </c>
      <c r="J60" s="309" t="str">
        <f aca="false">VLOOKUP(CONCATENATE($B59,"-",J$8),'[1]liste complet essai'!$A$4:$K$1367,9,)</f>
        <v>N1-b3</v>
      </c>
      <c r="K60" s="309" t="str">
        <f aca="false">VLOOKUP(CONCATENATE($B59,"-",K$8),'[1]liste complet essai'!$A$4:$K$1367,9,)</f>
        <v>N1-b3</v>
      </c>
      <c r="L60" s="309" t="str">
        <f aca="false">VLOOKUP(CONCATENATE($B59,"-",L$8),'[1]liste complet essai'!$A$4:$K$1367,9,)</f>
        <v>N1-b3</v>
      </c>
      <c r="M60" s="309" t="str">
        <f aca="false">VLOOKUP(CONCATENATE($B59,"-",M$8),'[1]liste complet essai'!$A$4:$K$1367,9,)</f>
        <v>N1-b3</v>
      </c>
      <c r="N60" s="309" t="str">
        <f aca="false">VLOOKUP(CONCATENATE($B59,"-",N$8),'[1]liste complet essai'!$A$4:$K$1367,9,)</f>
        <v>N1-b3</v>
      </c>
      <c r="O60" s="309" t="str">
        <f aca="false">VLOOKUP(CONCATENATE($B59,"-",O$8),'[1]liste complet essai'!$A$4:$K$1367,9,)</f>
        <v>N1-b3</v>
      </c>
      <c r="P60" s="309" t="str">
        <f aca="false">VLOOKUP(CONCATENATE($B59,"-",P$8),'[1]liste complet essai'!$A$4:$K$1367,9,)</f>
        <v>N1-b3</v>
      </c>
      <c r="Q60" s="309" t="str">
        <f aca="false">VLOOKUP(CONCATENATE($B59,"-",Q$8),'[1]liste complet essai'!$A$4:$K$1367,9,)</f>
        <v>N1-b3</v>
      </c>
      <c r="R60" s="309" t="str">
        <f aca="false">VLOOKUP(CONCATENATE($B59,"-",R$8),'[1]liste complet essai'!$A$4:$K$1367,9,)</f>
        <v>N1-b3</v>
      </c>
      <c r="S60" s="309" t="str">
        <f aca="false">VLOOKUP(CONCATENATE($B59,"-",S$8),'[1]liste complet essai'!$A$4:$K$1367,9,)</f>
        <v>N1-b3</v>
      </c>
      <c r="T60" s="309" t="str">
        <f aca="false">VLOOKUP(CONCATENATE($B59,"-",T$8),'[1]liste complet essai'!$A$4:$K$1367,9,)</f>
        <v>N1-b3</v>
      </c>
      <c r="U60" s="309" t="str">
        <f aca="false">VLOOKUP(CONCATENATE($B59,"-",U$8),'[1]liste complet essai'!$A$4:$K$1367,9,)</f>
        <v>N1-b3</v>
      </c>
      <c r="V60" s="309" t="str">
        <f aca="false">VLOOKUP(CONCATENATE($B59,"-",V$8),'[1]liste complet essai'!$A$4:$K$1367,9,)</f>
        <v>N1-b3</v>
      </c>
      <c r="W60" s="309" t="str">
        <f aca="false">VLOOKUP(CONCATENATE($B59,"-",W$8),'[1]liste complet essai'!$A$4:$K$1367,9,)</f>
        <v>N1-b3</v>
      </c>
      <c r="X60" s="309" t="str">
        <f aca="false">VLOOKUP(CONCATENATE($B59,"-",X$8),'[1]liste complet essai'!$A$4:$K$1367,9,)</f>
        <v>N1-b3</v>
      </c>
      <c r="Y60" s="309" t="str">
        <f aca="false">VLOOKUP(CONCATENATE($B59,"-",Y$8),'[1]liste complet essai'!$A$4:$K$1367,9,)</f>
        <v>N1-b3</v>
      </c>
      <c r="Z60" s="309" t="str">
        <f aca="false">VLOOKUP(CONCATENATE($B59,"-",Z$8),'[1]liste complet essai'!$A$4:$K$1367,9,)</f>
        <v>N1-b3</v>
      </c>
      <c r="AA60" s="309" t="str">
        <f aca="false">VLOOKUP(CONCATENATE($B59,"-",AA$8),'[1]liste complet essai'!$A$4:$K$1367,9,)</f>
        <v>N1-b3</v>
      </c>
      <c r="AB60" s="309" t="str">
        <f aca="false">VLOOKUP(CONCATENATE($B59,"-",AB$8),'[1]liste complet essai'!$A$4:$K$1367,9,)</f>
        <v>N1-b3</v>
      </c>
      <c r="AC60" s="309" t="str">
        <f aca="false">VLOOKUP(CONCATENATE($B59,"-",AC$8),'[1]liste complet essai'!$A$4:$K$1367,9,)</f>
        <v>N1-b3</v>
      </c>
      <c r="AD60" s="309" t="str">
        <f aca="false">VLOOKUP(CONCATENATE($B59,"-",AD$8),'[1]liste complet essai'!$A$4:$K$1367,9,)</f>
        <v>N1-b3</v>
      </c>
      <c r="AE60" s="309" t="str">
        <f aca="false">VLOOKUP(CONCATENATE($B59,"-",AE$8),'[1]liste complet essai'!$A$4:$K$1367,9,)</f>
        <v>N1-b3</v>
      </c>
      <c r="AF60" s="380"/>
      <c r="AI60" s="363" t="n">
        <v>13</v>
      </c>
      <c r="AJ60" s="391" t="s">
        <v>8122</v>
      </c>
      <c r="AK60" s="322"/>
      <c r="AL60" s="392" t="s">
        <v>8122</v>
      </c>
      <c r="AM60" s="322" t="str">
        <f aca="false">VLOOKUP(CONCATENATE($AI60,"-",AM$8),'[1]liste complet essai'!$A$4:$K$1367,4,)</f>
        <v>DK</v>
      </c>
      <c r="AN60" s="322" t="str">
        <f aca="false">VLOOKUP(CONCATENATE($AI60,"-",AN$8),'[1]liste complet essai'!$A$4:$K$1367,4,)</f>
        <v>DK</v>
      </c>
      <c r="AO60" s="322" t="str">
        <f aca="false">VLOOKUP(CONCATENATE($AI60,"-",AO$8),'[1]liste complet essai'!$A$4:$K$1367,4,)</f>
        <v>DK</v>
      </c>
      <c r="AP60" s="322" t="str">
        <f aca="false">VLOOKUP(CONCATENATE($AI60,"-",AP$8),'[1]liste complet essai'!$A$4:$K$1367,4,)</f>
        <v>DK</v>
      </c>
      <c r="AQ60" s="366" t="str">
        <f aca="false">VLOOKUP(CONCATENATE($AI60,"-",AQ$8),'[1]liste complet essai'!$A$4:$K$1367,4,)</f>
        <v>DK</v>
      </c>
      <c r="AR60" s="322" t="str">
        <f aca="false">VLOOKUP(CONCATENATE($AI60,"-",AR$8),'[1]liste complet essai'!$A$4:$K$1367,4,)</f>
        <v>DK</v>
      </c>
      <c r="AS60" s="322" t="str">
        <f aca="false">VLOOKUP(CONCATENATE($AI60,"-",AS$8),'[1]liste complet essai'!$A$4:$K$1367,4,)</f>
        <v>DK</v>
      </c>
      <c r="AT60" s="322" t="str">
        <f aca="false">VLOOKUP(CONCATENATE($AI60,"-",AT$8),'[1]liste complet essai'!$A$4:$K$1367,4,)</f>
        <v>DK</v>
      </c>
      <c r="AU60" s="322" t="str">
        <f aca="false">VLOOKUP(CONCATENATE($AI60,"-",AU$8),'[1]liste complet essai'!$A$4:$K$1367,4,)</f>
        <v>DK</v>
      </c>
      <c r="AV60" s="322" t="str">
        <f aca="false">VLOOKUP(CONCATENATE($AI60,"-",AV$8),'[1]liste complet essai'!$A$4:$K$1367,4,)</f>
        <v>DK</v>
      </c>
      <c r="AW60" s="322" t="str">
        <f aca="false">VLOOKUP(CONCATENATE($AI60,"-",AW$8),'[1]liste complet essai'!$A$4:$K$1367,4,)</f>
        <v>DK</v>
      </c>
      <c r="AX60" s="322" t="str">
        <f aca="false">VLOOKUP(CONCATENATE($AI60,"-",AX$8),'[1]liste complet essai'!$A$4:$K$1367,4,)</f>
        <v>DK</v>
      </c>
      <c r="AY60" s="322" t="str">
        <f aca="false">VLOOKUP(CONCATENATE($AI60,"-",AY$8),'[1]liste complet essai'!$A$4:$K$1367,4,)</f>
        <v>DK</v>
      </c>
      <c r="AZ60" s="322" t="str">
        <f aca="false">VLOOKUP(CONCATENATE($AI60,"-",AZ$8),'[1]liste complet essai'!$A$4:$K$1367,4,)</f>
        <v>DK</v>
      </c>
      <c r="BA60" s="322" t="str">
        <f aca="false">VLOOKUP(CONCATENATE($AI60,"-",BA$8),'[1]liste complet essai'!$A$4:$K$1367,4,)</f>
        <v>DK</v>
      </c>
      <c r="BB60" s="322" t="str">
        <f aca="false">VLOOKUP(CONCATENATE($AI60,"-",BB$8),'[1]liste complet essai'!$A$4:$K$1367,4,)</f>
        <v>DK</v>
      </c>
      <c r="BC60" s="368" t="str">
        <f aca="false">VLOOKUP(CONCATENATE($AI60,"-",BC$8),'[1]liste complet essai'!$A$4:$K$1367,4,)</f>
        <v>DK</v>
      </c>
      <c r="BD60" s="322" t="str">
        <f aca="false">VLOOKUP(CONCATENATE($AI60,"-",BD$8),'[1]liste complet essai'!$A$4:$K$1367,4,)</f>
        <v>DK</v>
      </c>
      <c r="BE60" s="322" t="str">
        <f aca="false">VLOOKUP(CONCATENATE($AI60,"-",BE$8),'[1]liste complet essai'!$A$4:$K$1367,4,)</f>
        <v>DK</v>
      </c>
      <c r="BF60" s="322" t="str">
        <f aca="false">VLOOKUP(CONCATENATE($AI60,"-",BF$8),'[1]liste complet essai'!$A$4:$K$1367,4,)</f>
        <v>DK</v>
      </c>
      <c r="BG60" s="322" t="str">
        <f aca="false">VLOOKUP(CONCATENATE($AI60,"-",BG$8),'[1]liste complet essai'!$A$4:$K$1367,4,)</f>
        <v>DK</v>
      </c>
      <c r="BH60" s="322" t="str">
        <f aca="false">VLOOKUP(CONCATENATE($AI60,"-",BH$8),'[1]liste complet essai'!$A$4:$K$1367,4,)</f>
        <v>DK</v>
      </c>
      <c r="BI60" s="322" t="str">
        <f aca="false">VLOOKUP(CONCATENATE($AI60,"-",BI$8),'[1]liste complet essai'!$A$4:$K$1367,4,)</f>
        <v>DK</v>
      </c>
      <c r="BJ60" s="322" t="str">
        <f aca="false">VLOOKUP(CONCATENATE($AI60,"-",BJ$8),'[1]liste complet essai'!$A$4:$K$1367,4,)</f>
        <v>DK</v>
      </c>
      <c r="BK60" s="322" t="str">
        <f aca="false">VLOOKUP(CONCATENATE($AI60,"-",BK$8),'[1]liste complet essai'!$A$4:$K$1367,4,)</f>
        <v>DK</v>
      </c>
      <c r="BL60" s="322" t="str">
        <f aca="false">VLOOKUP(CONCATENATE($AI60,"-",BL$8),'[1]liste complet essai'!$A$4:$K$1367,4,)</f>
        <v>DK</v>
      </c>
      <c r="BM60" s="322" t="str">
        <f aca="false">VLOOKUP(CONCATENATE($AI60,"-",BM$8),'[1]liste complet essai'!$A$4:$K$1367,4,)</f>
        <v>DK</v>
      </c>
      <c r="BN60" s="322" t="str">
        <f aca="false">VLOOKUP(CONCATENATE($AI60,"-",BN$8),'[1]liste complet essai'!$A$4:$K$1367,4,)</f>
        <v>DK</v>
      </c>
      <c r="BO60" s="322" t="str">
        <f aca="false">VLOOKUP(CONCATENATE($AI60,"-",BO$8),'[1]liste complet essai'!$A$4:$K$1367,4,)</f>
        <v>DK</v>
      </c>
      <c r="BP60" s="322" t="str">
        <f aca="false">VLOOKUP(CONCATENATE($AI60,"-",BP$8),'[1]liste complet essai'!$A$4:$K$1367,4,)</f>
        <v>DK</v>
      </c>
      <c r="BQ60" s="322" t="str">
        <f aca="false">VLOOKUP(CONCATENATE($AI60,"-",BQ$8),'[1]liste complet essai'!$A$4:$K$1367,4,)</f>
        <v>DK</v>
      </c>
      <c r="BR60" s="322" t="str">
        <f aca="false">VLOOKUP(CONCATENATE($AI60,"-",BR$8),'[1]liste complet essai'!$A$4:$K$1367,4,)</f>
        <v>DK</v>
      </c>
      <c r="BS60" s="374"/>
      <c r="BT60" s="374"/>
      <c r="BU60" s="374"/>
      <c r="BV60" s="374"/>
      <c r="BW60" s="374"/>
      <c r="BX60" s="374"/>
      <c r="BY60" s="374"/>
      <c r="BZ60" s="374"/>
      <c r="CA60" s="374"/>
      <c r="CB60" s="374"/>
      <c r="CC60" s="322" t="str">
        <f aca="false">VLOOKUP(CONCATENATE($AI60,"-",CC$8),'[1]liste complet essai'!$A$4:$K$1367,4,)</f>
        <v>DK</v>
      </c>
      <c r="CD60" s="368" t="str">
        <f aca="false">VLOOKUP(CONCATENATE($AI60,"-",CD$8),'[1]liste complet essai'!$A$4:$K$1367,4,)</f>
        <v>DK</v>
      </c>
      <c r="CE60" s="322" t="str">
        <f aca="false">VLOOKUP(CONCATENATE($AI60,"-",CE$8),'[1]liste complet essai'!$A$4:$K$1367,4,)</f>
        <v>DK</v>
      </c>
      <c r="CF60" s="322" t="str">
        <f aca="false">VLOOKUP(CONCATENATE($AI60,"-",CF$8),'[1]liste complet essai'!$A$4:$K$1367,4,)</f>
        <v>DK</v>
      </c>
      <c r="CG60" s="322" t="str">
        <f aca="false">VLOOKUP(CONCATENATE($AI60,"-",CG$8),'[1]liste complet essai'!$A$4:$K$1367,4,)</f>
        <v>DK</v>
      </c>
      <c r="CH60" s="322" t="str">
        <f aca="false">VLOOKUP(CONCATENATE($AI60,"-",CH$8),'[1]liste complet essai'!$A$4:$K$1367,4,)</f>
        <v>DK</v>
      </c>
      <c r="CI60" s="322" t="str">
        <f aca="false">VLOOKUP(CONCATENATE($AI60,"-",CI$8),'[1]liste complet essai'!$A$4:$K$1367,4,)</f>
        <v>DK</v>
      </c>
      <c r="CJ60" s="322" t="str">
        <f aca="false">VLOOKUP(CONCATENATE($AI60,"-",CJ$8),'[1]liste complet essai'!$A$4:$K$1367,4,)</f>
        <v>DK</v>
      </c>
      <c r="CK60" s="322" t="str">
        <f aca="false">VLOOKUP(CONCATENATE($AI60,"-",CK$8),'[1]liste complet essai'!$A$4:$K$1367,4,)</f>
        <v>DK</v>
      </c>
      <c r="CL60" s="379" t="str">
        <f aca="false">VLOOKUP(CONCATENATE($AI60,"-",CL$8),'[1]liste complet essai'!$A$4:$K$1367,4,)</f>
        <v>DK</v>
      </c>
      <c r="CM60" s="322" t="str">
        <f aca="false">VLOOKUP(CONCATENATE($AI60,"-",CM$8),'[1]liste complet essai'!$A$4:$K$1367,4,)</f>
        <v>DK</v>
      </c>
      <c r="CN60" s="322" t="str">
        <f aca="false">VLOOKUP(CONCATENATE($AI60,"-",CN$8),'[1]liste complet essai'!$A$4:$K$1367,4,)</f>
        <v>DK</v>
      </c>
      <c r="CO60" s="322" t="str">
        <f aca="false">VLOOKUP(CONCATENATE($AI60,"-",CO$8),'[1]liste complet essai'!$A$4:$K$1367,4,)</f>
        <v>DK</v>
      </c>
      <c r="CP60" s="322" t="str">
        <f aca="false">VLOOKUP(CONCATENATE($AI60,"-",CP$8),'[1]liste complet essai'!$A$4:$K$1367,4,)</f>
        <v>DK</v>
      </c>
      <c r="CQ60" s="322" t="str">
        <f aca="false">VLOOKUP(CONCATENATE($AI60,"-",CQ$8),'[1]liste complet essai'!$A$4:$K$1367,4,)</f>
        <v>DK</v>
      </c>
      <c r="CR60" s="322" t="str">
        <f aca="false">VLOOKUP(CONCATENATE($AI60,"-",CR$8),'[1]liste complet essai'!$A$4:$K$1367,4,)</f>
        <v>DK</v>
      </c>
      <c r="CS60" s="322" t="str">
        <f aca="false">VLOOKUP(CONCATENATE($AI60,"-",CS$8),'[1]liste complet essai'!$A$4:$K$1367,4,)</f>
        <v>DK</v>
      </c>
      <c r="CT60" s="322" t="str">
        <f aca="false">VLOOKUP(CONCATENATE($AI60,"-",CT$8),'[1]liste complet essai'!$A$4:$K$1367,4,)</f>
        <v>DK</v>
      </c>
      <c r="CU60" s="322" t="str">
        <f aca="false">VLOOKUP(CONCATENATE($AI60,"-",CU$8),'[1]liste complet essai'!$A$4:$K$1367,4,)</f>
        <v>DK</v>
      </c>
      <c r="CV60" s="322" t="str">
        <f aca="false">VLOOKUP(CONCATENATE($AI60,"-",CV$8),'[1]liste complet essai'!$A$4:$K$1367,4,)</f>
        <v>DK</v>
      </c>
      <c r="CW60" s="322" t="str">
        <f aca="false">VLOOKUP(CONCATENATE($AI60,"-",CW$8),'[1]liste complet essai'!$A$4:$K$1367,4,)</f>
        <v>DK</v>
      </c>
      <c r="CX60" s="322" t="str">
        <f aca="false">VLOOKUP(CONCATENATE($AI60,"-",CX$8),'[1]liste complet essai'!$A$4:$K$1367,4,)</f>
        <v>DK</v>
      </c>
      <c r="CY60" s="322" t="str">
        <f aca="false">VLOOKUP(CONCATENATE($AI60,"-",CY$8),'[1]liste complet essai'!$A$4:$K$1367,4,)</f>
        <v>DK</v>
      </c>
      <c r="CZ60" s="322" t="str">
        <f aca="false">VLOOKUP(CONCATENATE($AI60,"-",CZ$8),'[1]liste complet essai'!$A$4:$K$1367,4,)</f>
        <v>DK</v>
      </c>
      <c r="DA60" s="322" t="str">
        <f aca="false">VLOOKUP(CONCATENATE($AI60,"-",DA$8),'[1]liste complet essai'!$A$4:$K$1367,4,)</f>
        <v>DK</v>
      </c>
      <c r="DB60" s="322" t="str">
        <f aca="false">VLOOKUP(CONCATENATE($AI60,"-",DB$8),'[1]liste complet essai'!$A$4:$K$1367,4,)</f>
        <v>DK</v>
      </c>
      <c r="DC60" s="322" t="str">
        <f aca="false">VLOOKUP(CONCATENATE($AI60,"-",DC$8),'[1]liste complet essai'!$A$4:$K$1367,4,)</f>
        <v>DK</v>
      </c>
      <c r="DD60" s="322" t="str">
        <f aca="false">VLOOKUP(CONCATENATE($AI60,"-",DD$8),'[1]liste complet essai'!$A$4:$K$1367,4,)</f>
        <v>DK</v>
      </c>
      <c r="DE60" s="379" t="str">
        <f aca="false">VLOOKUP(CONCATENATE($AI60,"-",DE$8),'[1]liste complet essai'!$A$4:$K$1367,4,)</f>
        <v>DK</v>
      </c>
      <c r="DF60" s="322" t="str">
        <f aca="false">VLOOKUP(CONCATENATE($AI60,"-",DF$8),'[1]liste complet essai'!$A$4:$K$1367,4,)</f>
        <v>DK</v>
      </c>
      <c r="DG60" s="322" t="str">
        <f aca="false">VLOOKUP(CONCATENATE($AI60,"-",DG$8),'[1]liste complet essai'!$A$4:$K$1367,4,)</f>
        <v>DK</v>
      </c>
      <c r="DH60" s="322" t="str">
        <f aca="false">VLOOKUP(CONCATENATE($AI60,"-",DH$8),'[1]liste complet essai'!$A$4:$K$1367,4,)</f>
        <v>DK</v>
      </c>
      <c r="DI60" s="392" t="s">
        <v>8122</v>
      </c>
      <c r="DJ60" s="322"/>
      <c r="DK60" s="380" t="s">
        <v>8122</v>
      </c>
    </row>
    <row r="61" customFormat="false" ht="12" hidden="false" customHeight="false" outlineLevel="0" collapsed="false">
      <c r="B61" s="384"/>
      <c r="C61" s="391"/>
      <c r="D61" s="307"/>
      <c r="E61" s="392"/>
      <c r="F61" s="309" t="str">
        <f aca="false">VLOOKUP(CONCATENATE($B59,"-",F$8),'[1]liste complet essai'!$A$4:$K$1367,5,)</f>
        <v>G-153</v>
      </c>
      <c r="G61" s="309" t="str">
        <f aca="false">VLOOKUP(CONCATENATE($B59,"-",G$8),'[1]liste complet essai'!$A$4:$K$1367,5,)</f>
        <v>G-210</v>
      </c>
      <c r="H61" s="309" t="str">
        <f aca="false">VLOOKUP(CONCATENATE($B59,"-",H$8),'[1]liste complet essai'!$A$4:$K$1367,5,)</f>
        <v>G-213</v>
      </c>
      <c r="I61" s="309" t="str">
        <f aca="false">VLOOKUP(CONCATENATE($B59,"-",I$8),'[1]liste complet essai'!$A$4:$K$1367,5,)</f>
        <v>G-163</v>
      </c>
      <c r="J61" s="309" t="str">
        <f aca="false">VLOOKUP(CONCATENATE($B59,"-",J$8),'[1]liste complet essai'!$A$4:$K$1367,5,)</f>
        <v>G-164</v>
      </c>
      <c r="K61" s="309" t="str">
        <f aca="false">VLOOKUP(CONCATENATE($B59,"-",K$8),'[1]liste complet essai'!$A$4:$K$1367,5,)</f>
        <v>G-147</v>
      </c>
      <c r="L61" s="309" t="str">
        <f aca="false">VLOOKUP(CONCATENATE($B59,"-",L$8),'[1]liste complet essai'!$A$4:$K$1367,5,)</f>
        <v>G-133</v>
      </c>
      <c r="M61" s="309" t="str">
        <f aca="false">VLOOKUP(CONCATENATE($B59,"-",M$8),'[1]liste complet essai'!$A$4:$K$1367,5,)</f>
        <v>G-125</v>
      </c>
      <c r="N61" s="309" t="str">
        <f aca="false">VLOOKUP(CONCATENATE($B59,"-",N$8),'[1]liste complet essai'!$A$4:$K$1367,5,)</f>
        <v>G-207</v>
      </c>
      <c r="O61" s="309" t="str">
        <f aca="false">VLOOKUP(CONCATENATE($B59,"-",O$8),'[1]liste complet essai'!$A$4:$K$1367,5,)</f>
        <v>G-191</v>
      </c>
      <c r="P61" s="309" t="str">
        <f aca="false">VLOOKUP(CONCATENATE($B59,"-",P$8),'[1]liste complet essai'!$A$4:$K$1367,5,)</f>
        <v>G-181</v>
      </c>
      <c r="Q61" s="309" t="str">
        <f aca="false">VLOOKUP(CONCATENATE($B59,"-",Q$8),'[1]liste complet essai'!$A$4:$K$1367,5,)</f>
        <v>G-166</v>
      </c>
      <c r="R61" s="309" t="str">
        <f aca="false">VLOOKUP(CONCATENATE($B59,"-",R$8),'[1]liste complet essai'!$A$4:$K$1367,5,)</f>
        <v>G-170</v>
      </c>
      <c r="S61" s="309" t="str">
        <f aca="false">VLOOKUP(CONCATENATE($B59,"-",S$8),'[1]liste complet essai'!$A$4:$K$1367,5,)</f>
        <v>G-201</v>
      </c>
      <c r="T61" s="309" t="str">
        <f aca="false">VLOOKUP(CONCATENATE($B59,"-",T$8),'[1]liste complet essai'!$A$4:$K$1367,5,)</f>
        <v>G-202</v>
      </c>
      <c r="U61" s="309" t="str">
        <f aca="false">VLOOKUP(CONCATENATE($B59,"-",U$8),'[1]liste complet essai'!$A$4:$K$1367,5,)</f>
        <v>G-134</v>
      </c>
      <c r="V61" s="309" t="str">
        <f aca="false">VLOOKUP(CONCATENATE($B59,"-",V$8),'[1]liste complet essai'!$A$4:$K$1367,5,)</f>
        <v>G-130</v>
      </c>
      <c r="W61" s="309" t="str">
        <f aca="false">VLOOKUP(CONCATENATE($B59,"-",W$8),'[1]liste complet essai'!$A$4:$K$1367,5,)</f>
        <v>G-197</v>
      </c>
      <c r="X61" s="309" t="str">
        <f aca="false">VLOOKUP(CONCATENATE($B59,"-",X$8),'[1]liste complet essai'!$A$4:$K$1367,5,)</f>
        <v>G-168</v>
      </c>
      <c r="Y61" s="309" t="str">
        <f aca="false">VLOOKUP(CONCATENATE($B59,"-",Y$8),'[1]liste complet essai'!$A$4:$K$1367,5,)</f>
        <v>G-143</v>
      </c>
      <c r="Z61" s="309" t="str">
        <f aca="false">VLOOKUP(CONCATENATE($B59,"-",Z$8),'[1]liste complet essai'!$A$4:$K$1367,5,)</f>
        <v>G-194</v>
      </c>
      <c r="AA61" s="375" t="str">
        <f aca="false">VLOOKUP(CONCATENATE($B59,"-",AA$8),'[1]liste complet essai'!$A$4:$K$1367,5,)</f>
        <v>G-126</v>
      </c>
      <c r="AB61" s="309" t="str">
        <f aca="false">VLOOKUP(CONCATENATE($B59,"-",AB$8),'[1]liste complet essai'!$A$4:$K$1367,5,)</f>
        <v>G-135</v>
      </c>
      <c r="AC61" s="309" t="str">
        <f aca="false">VLOOKUP(CONCATENATE($B59,"-",AC$8),'[1]liste complet essai'!$A$4:$K$1367,5,)</f>
        <v>G-129</v>
      </c>
      <c r="AD61" s="309" t="str">
        <f aca="false">VLOOKUP(CONCATENATE($B59,"-",AD$8),'[1]liste complet essai'!$A$4:$K$1367,5,)</f>
        <v>G-141</v>
      </c>
      <c r="AE61" s="309" t="str">
        <f aca="false">VLOOKUP(CONCATENATE($B59,"-",AE$8),'[1]liste complet essai'!$A$4:$K$1367,5,)</f>
        <v>G-159</v>
      </c>
      <c r="AF61" s="380"/>
      <c r="AI61" s="363"/>
      <c r="AJ61" s="391"/>
      <c r="AK61" s="309"/>
      <c r="AL61" s="392"/>
      <c r="AM61" s="309" t="str">
        <f aca="false">VLOOKUP(CONCATENATE($AI60,"-",AM$8),'[1]liste complet essai'!$A$4:$K$1367,9,)</f>
        <v>N1-b1</v>
      </c>
      <c r="AN61" s="309" t="str">
        <f aca="false">VLOOKUP(CONCATENATE($AI60,"-",AN$8),'[1]liste complet essai'!$A$4:$K$1367,9,)</f>
        <v>N1-b1</v>
      </c>
      <c r="AO61" s="309" t="str">
        <f aca="false">VLOOKUP(CONCATENATE($AI60,"-",AO$8),'[1]liste complet essai'!$A$4:$K$1367,9,)</f>
        <v>N1-b1</v>
      </c>
      <c r="AP61" s="309" t="str">
        <f aca="false">VLOOKUP(CONCATENATE($AI60,"-",AP$8),'[1]liste complet essai'!$A$4:$K$1367,9,)</f>
        <v>N1-b1</v>
      </c>
      <c r="AQ61" s="366" t="str">
        <f aca="false">VLOOKUP(CONCATENATE($AI60,"-",AQ$8),'[1]liste complet essai'!$A$4:$K$1367,9,)</f>
        <v>N1-b1</v>
      </c>
      <c r="AR61" s="309" t="str">
        <f aca="false">VLOOKUP(CONCATENATE($AI60,"-",AR$8),'[1]liste complet essai'!$A$4:$K$1367,9,)</f>
        <v>N1-b1</v>
      </c>
      <c r="AS61" s="309" t="str">
        <f aca="false">VLOOKUP(CONCATENATE($AI60,"-",AS$8),'[1]liste complet essai'!$A$4:$K$1367,9,)</f>
        <v>N1-b1</v>
      </c>
      <c r="AT61" s="309" t="str">
        <f aca="false">VLOOKUP(CONCATENATE($AI60,"-",AT$8),'[1]liste complet essai'!$A$4:$K$1367,9,)</f>
        <v>N1-b1</v>
      </c>
      <c r="AU61" s="309" t="str">
        <f aca="false">VLOOKUP(CONCATENATE($AI60,"-",AU$8),'[1]liste complet essai'!$A$4:$K$1367,9,)</f>
        <v>N1-b1</v>
      </c>
      <c r="AV61" s="309" t="str">
        <f aca="false">VLOOKUP(CONCATENATE($AI60,"-",AV$8),'[1]liste complet essai'!$A$4:$K$1367,9,)</f>
        <v>N1-b1</v>
      </c>
      <c r="AW61" s="309" t="str">
        <f aca="false">VLOOKUP(CONCATENATE($AI60,"-",AW$8),'[1]liste complet essai'!$A$4:$K$1367,9,)</f>
        <v>N1-b1</v>
      </c>
      <c r="AX61" s="309" t="str">
        <f aca="false">VLOOKUP(CONCATENATE($AI60,"-",AX$8),'[1]liste complet essai'!$A$4:$K$1367,9,)</f>
        <v>N1-b1</v>
      </c>
      <c r="AY61" s="309" t="str">
        <f aca="false">VLOOKUP(CONCATENATE($AI60,"-",AY$8),'[1]liste complet essai'!$A$4:$K$1367,9,)</f>
        <v>N1-b1</v>
      </c>
      <c r="AZ61" s="309" t="str">
        <f aca="false">VLOOKUP(CONCATENATE($AI60,"-",AZ$8),'[1]liste complet essai'!$A$4:$K$1367,9,)</f>
        <v>N1-b1</v>
      </c>
      <c r="BA61" s="309" t="str">
        <f aca="false">VLOOKUP(CONCATENATE($AI60,"-",BA$8),'[1]liste complet essai'!$A$4:$K$1367,9,)</f>
        <v>N1-b1</v>
      </c>
      <c r="BB61" s="309" t="str">
        <f aca="false">VLOOKUP(CONCATENATE($AI60,"-",BB$8),'[1]liste complet essai'!$A$4:$K$1367,9,)</f>
        <v>N1-b1</v>
      </c>
      <c r="BC61" s="373" t="str">
        <f aca="false">VLOOKUP(CONCATENATE($AI60,"-",BC$8),'[1]liste complet essai'!$A$4:$K$1367,9,)</f>
        <v>N1-b1</v>
      </c>
      <c r="BD61" s="309" t="str">
        <f aca="false">VLOOKUP(CONCATENATE($AI60,"-",BD$8),'[1]liste complet essai'!$A$4:$K$1367,9,)</f>
        <v>N1-b1</v>
      </c>
      <c r="BE61" s="309" t="str">
        <f aca="false">VLOOKUP(CONCATENATE($AI60,"-",BE$8),'[1]liste complet essai'!$A$4:$K$1367,9,)</f>
        <v>N1-b1</v>
      </c>
      <c r="BF61" s="309" t="str">
        <f aca="false">VLOOKUP(CONCATENATE($AI60,"-",BF$8),'[1]liste complet essai'!$A$4:$K$1367,9,)</f>
        <v>N1-b1</v>
      </c>
      <c r="BG61" s="309" t="str">
        <f aca="false">VLOOKUP(CONCATENATE($AI60,"-",BG$8),'[1]liste complet essai'!$A$4:$K$1367,9,)</f>
        <v>N1-b1</v>
      </c>
      <c r="BH61" s="309" t="str">
        <f aca="false">VLOOKUP(CONCATENATE($AI60,"-",BH$8),'[1]liste complet essai'!$A$4:$K$1367,9,)</f>
        <v>N1-b1</v>
      </c>
      <c r="BI61" s="309" t="str">
        <f aca="false">VLOOKUP(CONCATENATE($AI60,"-",BI$8),'[1]liste complet essai'!$A$4:$K$1367,9,)</f>
        <v>N1-b1</v>
      </c>
      <c r="BJ61" s="309" t="str">
        <f aca="false">VLOOKUP(CONCATENATE($AI60,"-",BJ$8),'[1]liste complet essai'!$A$4:$K$1367,9,)</f>
        <v>N1-b1</v>
      </c>
      <c r="BK61" s="309" t="str">
        <f aca="false">VLOOKUP(CONCATENATE($AI60,"-",BK$8),'[1]liste complet essai'!$A$4:$K$1367,9,)</f>
        <v>N1-b1</v>
      </c>
      <c r="BL61" s="309" t="str">
        <f aca="false">VLOOKUP(CONCATENATE($AI60,"-",BL$8),'[1]liste complet essai'!$A$4:$K$1367,9,)</f>
        <v>N1-b1</v>
      </c>
      <c r="BM61" s="309" t="str">
        <f aca="false">VLOOKUP(CONCATENATE($AI60,"-",BM$8),'[1]liste complet essai'!$A$4:$K$1367,9,)</f>
        <v>N1-b1</v>
      </c>
      <c r="BN61" s="309" t="str">
        <f aca="false">VLOOKUP(CONCATENATE($AI60,"-",BN$8),'[1]liste complet essai'!$A$4:$K$1367,9,)</f>
        <v>N1-b1</v>
      </c>
      <c r="BO61" s="309" t="str">
        <f aca="false">VLOOKUP(CONCATENATE($AI60,"-",BO$8),'[1]liste complet essai'!$A$4:$K$1367,9,)</f>
        <v>N1-b1</v>
      </c>
      <c r="BP61" s="309" t="str">
        <f aca="false">VLOOKUP(CONCATENATE($AI60,"-",BP$8),'[1]liste complet essai'!$A$4:$K$1367,9,)</f>
        <v>N1-b1</v>
      </c>
      <c r="BQ61" s="309" t="str">
        <f aca="false">VLOOKUP(CONCATENATE($AI60,"-",BQ$8),'[1]liste complet essai'!$A$4:$K$1367,9,)</f>
        <v>N1-b1</v>
      </c>
      <c r="BR61" s="309" t="str">
        <f aca="false">VLOOKUP(CONCATENATE($AI60,"-",BR$8),'[1]liste complet essai'!$A$4:$K$1367,9,)</f>
        <v>N1-b1</v>
      </c>
      <c r="BS61" s="374"/>
      <c r="BT61" s="374"/>
      <c r="BU61" s="374"/>
      <c r="BV61" s="374"/>
      <c r="BW61" s="374"/>
      <c r="BX61" s="374"/>
      <c r="BY61" s="374"/>
      <c r="BZ61" s="374"/>
      <c r="CA61" s="374"/>
      <c r="CB61" s="374"/>
      <c r="CC61" s="309" t="str">
        <f aca="false">VLOOKUP(CONCATENATE($AI60,"-",CC$8),'[1]liste complet essai'!$A$4:$K$1367,9,)</f>
        <v>N1-b2</v>
      </c>
      <c r="CD61" s="373" t="str">
        <f aca="false">VLOOKUP(CONCATENATE($AI60,"-",CD$8),'[1]liste complet essai'!$A$4:$K$1367,9,)</f>
        <v>N1-b2</v>
      </c>
      <c r="CE61" s="309" t="str">
        <f aca="false">VLOOKUP(CONCATENATE($AI60,"-",CE$8),'[1]liste complet essai'!$A$4:$K$1367,9,)</f>
        <v>N1-b2</v>
      </c>
      <c r="CF61" s="309" t="str">
        <f aca="false">VLOOKUP(CONCATENATE($AI60,"-",CF$8),'[1]liste complet essai'!$A$4:$K$1367,9,)</f>
        <v>N1-b2</v>
      </c>
      <c r="CG61" s="309" t="str">
        <f aca="false">VLOOKUP(CONCATENATE($AI60,"-",CG$8),'[1]liste complet essai'!$A$4:$K$1367,9,)</f>
        <v>N1-b2</v>
      </c>
      <c r="CH61" s="309" t="str">
        <f aca="false">VLOOKUP(CONCATENATE($AI60,"-",CH$8),'[1]liste complet essai'!$A$4:$K$1367,9,)</f>
        <v>N1-b2</v>
      </c>
      <c r="CI61" s="309" t="str">
        <f aca="false">VLOOKUP(CONCATENATE($AI60,"-",CI$8),'[1]liste complet essai'!$A$4:$K$1367,9,)</f>
        <v>N1-b2</v>
      </c>
      <c r="CJ61" s="309" t="str">
        <f aca="false">VLOOKUP(CONCATENATE($AI60,"-",CJ$8),'[1]liste complet essai'!$A$4:$K$1367,9,)</f>
        <v>N1-b2</v>
      </c>
      <c r="CK61" s="309" t="str">
        <f aca="false">VLOOKUP(CONCATENATE($AI60,"-",CK$8),'[1]liste complet essai'!$A$4:$K$1367,9,)</f>
        <v>N1-b2</v>
      </c>
      <c r="CL61" s="372" t="str">
        <f aca="false">VLOOKUP(CONCATENATE($AI60,"-",CL$8),'[1]liste complet essai'!$A$4:$K$1367,9,)</f>
        <v>N1-b2</v>
      </c>
      <c r="CM61" s="309" t="str">
        <f aca="false">VLOOKUP(CONCATENATE($AI60,"-",CM$8),'[1]liste complet essai'!$A$4:$K$1367,9,)</f>
        <v>N1-b2</v>
      </c>
      <c r="CN61" s="309" t="str">
        <f aca="false">VLOOKUP(CONCATENATE($AI60,"-",CN$8),'[1]liste complet essai'!$A$4:$K$1367,9,)</f>
        <v>N1-b2</v>
      </c>
      <c r="CO61" s="309" t="str">
        <f aca="false">VLOOKUP(CONCATENATE($AI60,"-",CO$8),'[1]liste complet essai'!$A$4:$K$1367,9,)</f>
        <v>N1-b2</v>
      </c>
      <c r="CP61" s="309" t="str">
        <f aca="false">VLOOKUP(CONCATENATE($AI60,"-",CP$8),'[1]liste complet essai'!$A$4:$K$1367,9,)</f>
        <v>N1-b2</v>
      </c>
      <c r="CQ61" s="309" t="str">
        <f aca="false">VLOOKUP(CONCATENATE($AI60,"-",CQ$8),'[1]liste complet essai'!$A$4:$K$1367,9,)</f>
        <v>N1-b2</v>
      </c>
      <c r="CR61" s="309" t="str">
        <f aca="false">VLOOKUP(CONCATENATE($AI60,"-",CR$8),'[1]liste complet essai'!$A$4:$K$1367,9,)</f>
        <v>N1-b2</v>
      </c>
      <c r="CS61" s="309" t="str">
        <f aca="false">VLOOKUP(CONCATENATE($AI60,"-",CS$8),'[1]liste complet essai'!$A$4:$K$1367,9,)</f>
        <v>N1-b2</v>
      </c>
      <c r="CT61" s="309" t="str">
        <f aca="false">VLOOKUP(CONCATENATE($AI60,"-",CT$8),'[1]liste complet essai'!$A$4:$K$1367,9,)</f>
        <v>N1-b2</v>
      </c>
      <c r="CU61" s="309" t="str">
        <f aca="false">VLOOKUP(CONCATENATE($AI60,"-",CU$8),'[1]liste complet essai'!$A$4:$K$1367,9,)</f>
        <v>N1-b2</v>
      </c>
      <c r="CV61" s="309" t="str">
        <f aca="false">VLOOKUP(CONCATENATE($AI60,"-",CV$8),'[1]liste complet essai'!$A$4:$K$1367,9,)</f>
        <v>N1-b2</v>
      </c>
      <c r="CW61" s="309" t="str">
        <f aca="false">VLOOKUP(CONCATENATE($AI60,"-",CW$8),'[1]liste complet essai'!$A$4:$K$1367,9,)</f>
        <v>N1-b2</v>
      </c>
      <c r="CX61" s="309" t="str">
        <f aca="false">VLOOKUP(CONCATENATE($AI60,"-",CX$8),'[1]liste complet essai'!$A$4:$K$1367,9,)</f>
        <v>N1-b2</v>
      </c>
      <c r="CY61" s="309" t="str">
        <f aca="false">VLOOKUP(CONCATENATE($AI60,"-",CY$8),'[1]liste complet essai'!$A$4:$K$1367,9,)</f>
        <v>N1-b2</v>
      </c>
      <c r="CZ61" s="309" t="str">
        <f aca="false">VLOOKUP(CONCATENATE($AI60,"-",CZ$8),'[1]liste complet essai'!$A$4:$K$1367,9,)</f>
        <v>N1-b2</v>
      </c>
      <c r="DA61" s="309" t="str">
        <f aca="false">VLOOKUP(CONCATENATE($AI60,"-",DA$8),'[1]liste complet essai'!$A$4:$K$1367,9,)</f>
        <v>N1-b2</v>
      </c>
      <c r="DB61" s="309" t="str">
        <f aca="false">VLOOKUP(CONCATENATE($AI60,"-",DB$8),'[1]liste complet essai'!$A$4:$K$1367,9,)</f>
        <v>N1-b2</v>
      </c>
      <c r="DC61" s="309" t="str">
        <f aca="false">VLOOKUP(CONCATENATE($AI60,"-",DC$8),'[1]liste complet essai'!$A$4:$K$1367,9,)</f>
        <v>N1-b2</v>
      </c>
      <c r="DD61" s="309" t="str">
        <f aca="false">VLOOKUP(CONCATENATE($AI60,"-",DD$8),'[1]liste complet essai'!$A$4:$K$1367,9,)</f>
        <v>N1-b2</v>
      </c>
      <c r="DE61" s="372" t="str">
        <f aca="false">VLOOKUP(CONCATENATE($AI60,"-",DE$8),'[1]liste complet essai'!$A$4:$K$1367,9,)</f>
        <v>N1-b2</v>
      </c>
      <c r="DF61" s="309" t="str">
        <f aca="false">VLOOKUP(CONCATENATE($AI60,"-",DF$8),'[1]liste complet essai'!$A$4:$K$1367,9,)</f>
        <v>N1-b2</v>
      </c>
      <c r="DG61" s="309" t="str">
        <f aca="false">VLOOKUP(CONCATENATE($AI60,"-",DG$8),'[1]liste complet essai'!$A$4:$K$1367,9,)</f>
        <v>N1-b2</v>
      </c>
      <c r="DH61" s="309" t="str">
        <f aca="false">VLOOKUP(CONCATENATE($AI60,"-",DH$8),'[1]liste complet essai'!$A$4:$K$1367,9,)</f>
        <v>N1-b2</v>
      </c>
      <c r="DI61" s="392"/>
      <c r="DJ61" s="309"/>
      <c r="DK61" s="380"/>
    </row>
    <row r="62" customFormat="false" ht="12" hidden="false" customHeight="false" outlineLevel="0" collapsed="false">
      <c r="B62" s="384"/>
      <c r="C62" s="391"/>
      <c r="D62" s="314"/>
      <c r="E62" s="392"/>
      <c r="F62" s="309" t="str">
        <f aca="false">VLOOKUP(CONCATENATE($B59,"-",F$8),'[1]liste complet essai'!$A$4:$K$1367,1,)</f>
        <v>27-65</v>
      </c>
      <c r="G62" s="309" t="str">
        <f aca="false">VLOOKUP(CONCATENATE($B59,"-",G$8),'[1]liste complet essai'!$A$4:$K$1367,1,)</f>
        <v>27-66</v>
      </c>
      <c r="H62" s="309" t="str">
        <f aca="false">VLOOKUP(CONCATENATE($B59,"-",H$8),'[1]liste complet essai'!$A$4:$K$1367,1,)</f>
        <v>27-67</v>
      </c>
      <c r="I62" s="309" t="str">
        <f aca="false">VLOOKUP(CONCATENATE($B59,"-",I$8),'[1]liste complet essai'!$A$4:$K$1367,1,)</f>
        <v>27-68</v>
      </c>
      <c r="J62" s="309" t="str">
        <f aca="false">VLOOKUP(CONCATENATE($B59,"-",J$8),'[1]liste complet essai'!$A$4:$K$1367,1,)</f>
        <v>27-69</v>
      </c>
      <c r="K62" s="309" t="str">
        <f aca="false">VLOOKUP(CONCATENATE($B59,"-",K$8),'[1]liste complet essai'!$A$4:$K$1367,1,)</f>
        <v>27-70</v>
      </c>
      <c r="L62" s="309" t="str">
        <f aca="false">VLOOKUP(CONCATENATE($B59,"-",L$8),'[1]liste complet essai'!$A$4:$K$1367,1,)</f>
        <v>27-71</v>
      </c>
      <c r="M62" s="309" t="str">
        <f aca="false">VLOOKUP(CONCATENATE($B59,"-",M$8),'[1]liste complet essai'!$A$4:$K$1367,1,)</f>
        <v>27-72</v>
      </c>
      <c r="N62" s="309" t="str">
        <f aca="false">VLOOKUP(CONCATENATE($B59,"-",N$8),'[1]liste complet essai'!$A$4:$K$1367,1,)</f>
        <v>27-73</v>
      </c>
      <c r="O62" s="309" t="str">
        <f aca="false">VLOOKUP(CONCATENATE($B59,"-",O$8),'[1]liste complet essai'!$A$4:$K$1367,1,)</f>
        <v>27-74</v>
      </c>
      <c r="P62" s="309" t="str">
        <f aca="false">VLOOKUP(CONCATENATE($B59,"-",P$8),'[1]liste complet essai'!$A$4:$K$1367,1,)</f>
        <v>27-75</v>
      </c>
      <c r="Q62" s="309" t="str">
        <f aca="false">VLOOKUP(CONCATENATE($B59,"-",Q$8),'[1]liste complet essai'!$A$4:$K$1367,1,)</f>
        <v>27-76</v>
      </c>
      <c r="R62" s="309" t="str">
        <f aca="false">VLOOKUP(CONCATENATE($B59,"-",R$8),'[1]liste complet essai'!$A$4:$K$1367,1,)</f>
        <v>27-77</v>
      </c>
      <c r="S62" s="309" t="str">
        <f aca="false">VLOOKUP(CONCATENATE($B59,"-",S$8),'[1]liste complet essai'!$A$4:$K$1367,1,)</f>
        <v>27-78</v>
      </c>
      <c r="T62" s="309" t="str">
        <f aca="false">VLOOKUP(CONCATENATE($B59,"-",T$8),'[1]liste complet essai'!$A$4:$K$1367,1,)</f>
        <v>27-79</v>
      </c>
      <c r="U62" s="309" t="str">
        <f aca="false">VLOOKUP(CONCATENATE($B59,"-",U$8),'[1]liste complet essai'!$A$4:$K$1367,1,)</f>
        <v>27-80</v>
      </c>
      <c r="V62" s="309" t="str">
        <f aca="false">VLOOKUP(CONCATENATE($B59,"-",V$8),'[1]liste complet essai'!$A$4:$K$1367,1,)</f>
        <v>27-81</v>
      </c>
      <c r="W62" s="309" t="str">
        <f aca="false">VLOOKUP(CONCATENATE($B59,"-",W$8),'[1]liste complet essai'!$A$4:$K$1367,1,)</f>
        <v>27-82</v>
      </c>
      <c r="X62" s="309" t="str">
        <f aca="false">VLOOKUP(CONCATENATE($B59,"-",X$8),'[1]liste complet essai'!$A$4:$K$1367,1,)</f>
        <v>27-83</v>
      </c>
      <c r="Y62" s="309" t="str">
        <f aca="false">VLOOKUP(CONCATENATE($B59,"-",Y$8),'[1]liste complet essai'!$A$4:$K$1367,1,)</f>
        <v>27-84</v>
      </c>
      <c r="Z62" s="309" t="str">
        <f aca="false">VLOOKUP(CONCATENATE($B59,"-",Z$8),'[1]liste complet essai'!$A$4:$K$1367,1,)</f>
        <v>27-85</v>
      </c>
      <c r="AA62" s="309" t="str">
        <f aca="false">VLOOKUP(CONCATENATE($B59,"-",AA$8),'[1]liste complet essai'!$A$4:$K$1367,1,)</f>
        <v>27-86</v>
      </c>
      <c r="AB62" s="309" t="str">
        <f aca="false">VLOOKUP(CONCATENATE($B59,"-",AB$8),'[1]liste complet essai'!$A$4:$K$1367,1,)</f>
        <v>27-87</v>
      </c>
      <c r="AC62" s="309" t="str">
        <f aca="false">VLOOKUP(CONCATENATE($B59,"-",AC$8),'[1]liste complet essai'!$A$4:$K$1367,1,)</f>
        <v>27-88</v>
      </c>
      <c r="AD62" s="309" t="str">
        <f aca="false">VLOOKUP(CONCATENATE($B59,"-",AD$8),'[1]liste complet essai'!$A$4:$K$1367,1,)</f>
        <v>27-89</v>
      </c>
      <c r="AE62" s="309" t="str">
        <f aca="false">VLOOKUP(CONCATENATE($B59,"-",AE$8),'[1]liste complet essai'!$A$4:$K$1367,1,)</f>
        <v>27-90</v>
      </c>
      <c r="AF62" s="380"/>
      <c r="AI62" s="363"/>
      <c r="AJ62" s="391"/>
      <c r="AK62" s="309"/>
      <c r="AL62" s="392"/>
      <c r="AM62" s="309" t="str">
        <f aca="false">VLOOKUP(CONCATENATE($AI60,"-",AM$8),'[1]liste complet essai'!$A$4:$K$1367,5,)</f>
        <v>G-209</v>
      </c>
      <c r="AN62" s="309" t="str">
        <f aca="false">VLOOKUP(CONCATENATE($AI60,"-",AN$8),'[1]liste complet essai'!$A$4:$K$1367,5,)</f>
        <v>G-192</v>
      </c>
      <c r="AO62" s="309" t="str">
        <f aca="false">VLOOKUP(CONCATENATE($AI60,"-",AO$8),'[1]liste complet essai'!$A$4:$K$1367,5,)</f>
        <v>G-196</v>
      </c>
      <c r="AP62" s="309" t="str">
        <f aca="false">VLOOKUP(CONCATENATE($AI60,"-",AP$8),'[1]liste complet essai'!$A$4:$K$1367,5,)</f>
        <v>G-204</v>
      </c>
      <c r="AQ62" s="375" t="str">
        <f aca="false">VLOOKUP(CONCATENATE($AI60,"-",AQ$8),'[1]liste complet essai'!$A$4:$K$1367,5,)</f>
        <v>G-125</v>
      </c>
      <c r="AR62" s="309" t="str">
        <f aca="false">VLOOKUP(CONCATENATE($AI60,"-",AR$8),'[1]liste complet essai'!$A$4:$K$1367,5,)</f>
        <v>G-138</v>
      </c>
      <c r="AS62" s="309" t="str">
        <f aca="false">VLOOKUP(CONCATENATE($AI60,"-",AS$8),'[1]liste complet essai'!$A$4:$K$1367,5,)</f>
        <v>G-148</v>
      </c>
      <c r="AT62" s="375" t="str">
        <f aca="false">VLOOKUP(CONCATENATE($AI60,"-",AT$8),'[1]liste complet essai'!$A$4:$K$1367,5,)</f>
        <v>G-125</v>
      </c>
      <c r="AU62" s="309" t="str">
        <f aca="false">VLOOKUP(CONCATENATE($AI60,"-",AU$8),'[1]liste complet essai'!$A$4:$K$1367,5,)</f>
        <v>G-181</v>
      </c>
      <c r="AV62" s="309" t="str">
        <f aca="false">VLOOKUP(CONCATENATE($AI60,"-",AV$8),'[1]liste complet essai'!$A$4:$K$1367,5,)</f>
        <v>G-207</v>
      </c>
      <c r="AW62" s="309" t="str">
        <f aca="false">VLOOKUP(CONCATENATE($AI60,"-",AW$8),'[1]liste complet essai'!$A$4:$K$1367,5,)</f>
        <v>G-210</v>
      </c>
      <c r="AX62" s="309" t="str">
        <f aca="false">VLOOKUP(CONCATENATE($AI60,"-",AX$8),'[1]liste complet essai'!$A$4:$K$1367,5,)</f>
        <v>G-133</v>
      </c>
      <c r="AY62" s="309" t="str">
        <f aca="false">VLOOKUP(CONCATENATE($AI60,"-",AY$8),'[1]liste complet essai'!$A$4:$K$1367,5,)</f>
        <v>G-197</v>
      </c>
      <c r="AZ62" s="309" t="str">
        <f aca="false">VLOOKUP(CONCATENATE($AI60,"-",AZ$8),'[1]liste complet essai'!$A$4:$K$1367,5,)</f>
        <v>G-153</v>
      </c>
      <c r="BA62" s="309" t="str">
        <f aca="false">VLOOKUP(CONCATENATE($AI60,"-",BA$8),'[1]liste complet essai'!$A$4:$K$1367,5,)</f>
        <v>G-139</v>
      </c>
      <c r="BB62" s="309" t="str">
        <f aca="false">VLOOKUP(CONCATENATE($AI60,"-",BB$8),'[1]liste complet essai'!$A$4:$K$1367,5,)</f>
        <v>G-147</v>
      </c>
      <c r="BC62" s="375" t="str">
        <f aca="false">VLOOKUP(CONCATENATE($AI60,"-",BC$8),'[1]liste complet essai'!$A$4:$K$1367,5,)</f>
        <v>G-125</v>
      </c>
      <c r="BD62" s="309" t="str">
        <f aca="false">VLOOKUP(CONCATENATE($AI60,"-",BD$8),'[1]liste complet essai'!$A$4:$K$1367,5,)</f>
        <v>G-131</v>
      </c>
      <c r="BE62" s="309" t="str">
        <f aca="false">VLOOKUP(CONCATENATE($AI60,"-",BE$8),'[1]liste complet essai'!$A$4:$K$1367,5,)</f>
        <v>G-195</v>
      </c>
      <c r="BF62" s="309" t="str">
        <f aca="false">VLOOKUP(CONCATENATE($AI60,"-",BF$8),'[1]liste complet essai'!$A$4:$K$1367,5,)</f>
        <v>G-215</v>
      </c>
      <c r="BG62" s="309" t="str">
        <f aca="false">VLOOKUP(CONCATENATE($AI60,"-",BG$8),'[1]liste complet essai'!$A$4:$K$1367,5,)</f>
        <v>G-205</v>
      </c>
      <c r="BH62" s="309" t="str">
        <f aca="false">VLOOKUP(CONCATENATE($AI60,"-",BH$8),'[1]liste complet essai'!$A$4:$K$1367,5,)</f>
        <v>G-155</v>
      </c>
      <c r="BI62" s="309" t="str">
        <f aca="false">VLOOKUP(CONCATENATE($AI60,"-",BI$8),'[1]liste complet essai'!$A$4:$K$1367,5,)</f>
        <v>G-178</v>
      </c>
      <c r="BJ62" s="309" t="str">
        <f aca="false">VLOOKUP(CONCATENATE($AI60,"-",BJ$8),'[1]liste complet essai'!$A$4:$K$1367,5,)</f>
        <v>G-208</v>
      </c>
      <c r="BK62" s="309" t="str">
        <f aca="false">VLOOKUP(CONCATENATE($AI60,"-",BK$8),'[1]liste complet essai'!$A$4:$K$1367,5,)</f>
        <v>G-175</v>
      </c>
      <c r="BL62" s="309" t="str">
        <f aca="false">VLOOKUP(CONCATENATE($AI60,"-",BL$8),'[1]liste complet essai'!$A$4:$K$1367,5,)</f>
        <v>G-157</v>
      </c>
      <c r="BM62" s="309" t="str">
        <f aca="false">VLOOKUP(CONCATENATE($AI60,"-",BM$8),'[1]liste complet essai'!$A$4:$K$1367,5,)</f>
        <v>G-176</v>
      </c>
      <c r="BN62" s="309" t="str">
        <f aca="false">VLOOKUP(CONCATENATE($AI60,"-",BN$8),'[1]liste complet essai'!$A$4:$K$1367,5,)</f>
        <v>G-128</v>
      </c>
      <c r="BO62" s="309" t="str">
        <f aca="false">VLOOKUP(CONCATENATE($AI60,"-",BO$8),'[1]liste complet essai'!$A$4:$K$1367,5,)</f>
        <v>G-203</v>
      </c>
      <c r="BP62" s="309" t="str">
        <f aca="false">VLOOKUP(CONCATENATE($AI60,"-",BP$8),'[1]liste complet essai'!$A$4:$K$1367,5,)</f>
        <v>G-156</v>
      </c>
      <c r="BQ62" s="309" t="str">
        <f aca="false">VLOOKUP(CONCATENATE($AI60,"-",BQ$8),'[1]liste complet essai'!$A$4:$K$1367,5,)</f>
        <v>G-168</v>
      </c>
      <c r="BR62" s="309" t="str">
        <f aca="false">VLOOKUP(CONCATENATE($AI60,"-",BR$8),'[1]liste complet essai'!$A$4:$K$1367,5,)</f>
        <v>G-149</v>
      </c>
      <c r="BS62" s="374"/>
      <c r="BT62" s="374"/>
      <c r="BU62" s="374"/>
      <c r="BV62" s="374"/>
      <c r="BW62" s="374"/>
      <c r="BX62" s="374"/>
      <c r="BY62" s="374"/>
      <c r="BZ62" s="374"/>
      <c r="CA62" s="374"/>
      <c r="CB62" s="374"/>
      <c r="CC62" s="309" t="str">
        <f aca="false">VLOOKUP(CONCATENATE($AI60,"-",CC$8),'[1]liste complet essai'!$A$4:$K$1367,5,)</f>
        <v>G-200</v>
      </c>
      <c r="CD62" s="376" t="str">
        <f aca="false">VLOOKUP(CONCATENATE($AI60,"-",CD$8),'[1]liste complet essai'!$A$4:$K$1367,5,)</f>
        <v>G-126</v>
      </c>
      <c r="CE62" s="309" t="str">
        <f aca="false">VLOOKUP(CONCATENATE($AI60,"-",CE$8),'[1]liste complet essai'!$A$4:$K$1367,5,)</f>
        <v>G-209</v>
      </c>
      <c r="CF62" s="309" t="str">
        <f aca="false">VLOOKUP(CONCATENATE($AI60,"-",CF$8),'[1]liste complet essai'!$A$4:$K$1367,5,)</f>
        <v>G-215</v>
      </c>
      <c r="CG62" s="309" t="str">
        <f aca="false">VLOOKUP(CONCATENATE($AI60,"-",CG$8),'[1]liste complet essai'!$A$4:$K$1367,5,)</f>
        <v>G-193</v>
      </c>
      <c r="CH62" s="309" t="str">
        <f aca="false">VLOOKUP(CONCATENATE($AI60,"-",CH$8),'[1]liste complet essai'!$A$4:$K$1367,5,)</f>
        <v>G-184</v>
      </c>
      <c r="CI62" s="309" t="str">
        <f aca="false">VLOOKUP(CONCATENATE($AI60,"-",CI$8),'[1]liste complet essai'!$A$4:$K$1367,5,)</f>
        <v>G-188</v>
      </c>
      <c r="CJ62" s="309" t="str">
        <f aca="false">VLOOKUP(CONCATENATE($AI60,"-",CJ$8),'[1]liste complet essai'!$A$4:$K$1367,5,)</f>
        <v>G-170</v>
      </c>
      <c r="CK62" s="309" t="str">
        <f aca="false">VLOOKUP(CONCATENATE($AI60,"-",CK$8),'[1]liste complet essai'!$A$4:$K$1367,5,)</f>
        <v>G-140</v>
      </c>
      <c r="CL62" s="376" t="str">
        <f aca="false">VLOOKUP(CONCATENATE($AI60,"-",CL$8),'[1]liste complet essai'!$A$4:$K$1367,5,)</f>
        <v>G-126</v>
      </c>
      <c r="CM62" s="309" t="str">
        <f aca="false">VLOOKUP(CONCATENATE($AI60,"-",CM$8),'[1]liste complet essai'!$A$4:$K$1367,5,)</f>
        <v>G-191</v>
      </c>
      <c r="CN62" s="309" t="str">
        <f aca="false">VLOOKUP(CONCATENATE($AI60,"-",CN$8),'[1]liste complet essai'!$A$4:$K$1367,5,)</f>
        <v>G-182</v>
      </c>
      <c r="CO62" s="309" t="str">
        <f aca="false">VLOOKUP(CONCATENATE($AI60,"-",CO$8),'[1]liste complet essai'!$A$4:$K$1367,5,)</f>
        <v>G-214</v>
      </c>
      <c r="CP62" s="309" t="str">
        <f aca="false">VLOOKUP(CONCATENATE($AI60,"-",CP$8),'[1]liste complet essai'!$A$4:$K$1367,5,)</f>
        <v>G-187</v>
      </c>
      <c r="CQ62" s="309" t="str">
        <f aca="false">VLOOKUP(CONCATENATE($AI60,"-",CQ$8),'[1]liste complet essai'!$A$4:$K$1367,5,)</f>
        <v>G-132</v>
      </c>
      <c r="CR62" s="309" t="str">
        <f aca="false">VLOOKUP(CONCATENATE($AI60,"-",CR$8),'[1]liste complet essai'!$A$4:$K$1367,5,)</f>
        <v>G-137</v>
      </c>
      <c r="CS62" s="309" t="str">
        <f aca="false">VLOOKUP(CONCATENATE($AI60,"-",CS$8),'[1]liste complet essai'!$A$4:$K$1367,5,)</f>
        <v>G-205</v>
      </c>
      <c r="CT62" s="309" t="str">
        <f aca="false">VLOOKUP(CONCATENATE($AI60,"-",CT$8),'[1]liste complet essai'!$A$4:$K$1367,5,)</f>
        <v>G-129</v>
      </c>
      <c r="CU62" s="309" t="str">
        <f aca="false">VLOOKUP(CONCATENATE($AI60,"-",CU$8),'[1]liste complet essai'!$A$4:$K$1367,5,)</f>
        <v>G-195</v>
      </c>
      <c r="CV62" s="309" t="str">
        <f aca="false">VLOOKUP(CONCATENATE($AI60,"-",CV$8),'[1]liste complet essai'!$A$4:$K$1367,5,)</f>
        <v>G-201</v>
      </c>
      <c r="CW62" s="309" t="str">
        <f aca="false">VLOOKUP(CONCATENATE($AI60,"-",CW$8),'[1]liste complet essai'!$A$4:$K$1367,5,)</f>
        <v>G-164</v>
      </c>
      <c r="CX62" s="309" t="str">
        <f aca="false">VLOOKUP(CONCATENATE($AI60,"-",CX$8),'[1]liste complet essai'!$A$4:$K$1367,5,)</f>
        <v>G-166</v>
      </c>
      <c r="CY62" s="309" t="str">
        <f aca="false">VLOOKUP(CONCATENATE($AI60,"-",CY$8),'[1]liste complet essai'!$A$4:$K$1367,5,)</f>
        <v>G-210</v>
      </c>
      <c r="CZ62" s="309" t="str">
        <f aca="false">VLOOKUP(CONCATENATE($AI60,"-",CZ$8),'[1]liste complet essai'!$A$4:$K$1367,5,)</f>
        <v>G-204</v>
      </c>
      <c r="DA62" s="309" t="str">
        <f aca="false">VLOOKUP(CONCATENATE($AI60,"-",DA$8),'[1]liste complet essai'!$A$4:$K$1367,5,)</f>
        <v>G-185</v>
      </c>
      <c r="DB62" s="309" t="str">
        <f aca="false">VLOOKUP(CONCATENATE($AI60,"-",DB$8),'[1]liste complet essai'!$A$4:$K$1367,5,)</f>
        <v>G-198</v>
      </c>
      <c r="DC62" s="309" t="str">
        <f aca="false">VLOOKUP(CONCATENATE($AI60,"-",DC$8),'[1]liste complet essai'!$A$4:$K$1367,5,)</f>
        <v>G-160</v>
      </c>
      <c r="DD62" s="309" t="str">
        <f aca="false">VLOOKUP(CONCATENATE($AI60,"-",DD$8),'[1]liste complet essai'!$A$4:$K$1367,5,)</f>
        <v>G-206</v>
      </c>
      <c r="DE62" s="376" t="str">
        <f aca="false">VLOOKUP(CONCATENATE($AI60,"-",DE$8),'[1]liste complet essai'!$A$4:$K$1367,5,)</f>
        <v>G-125</v>
      </c>
      <c r="DF62" s="309" t="str">
        <f aca="false">VLOOKUP(CONCATENATE($AI60,"-",DF$8),'[1]liste complet essai'!$A$4:$K$1367,5,)</f>
        <v>G-208</v>
      </c>
      <c r="DG62" s="309" t="str">
        <f aca="false">VLOOKUP(CONCATENATE($AI60,"-",DG$8),'[1]liste complet essai'!$A$4:$K$1367,5,)</f>
        <v>G-147</v>
      </c>
      <c r="DH62" s="309" t="str">
        <f aca="false">VLOOKUP(CONCATENATE($AI60,"-",DH$8),'[1]liste complet essai'!$A$4:$K$1367,5,)</f>
        <v>G-202</v>
      </c>
      <c r="DI62" s="392"/>
      <c r="DJ62" s="309"/>
      <c r="DK62" s="380"/>
    </row>
    <row r="63" customFormat="false" ht="13.5" hidden="false" customHeight="true" outlineLevel="0" collapsed="false">
      <c r="B63" s="384" t="n">
        <v>28</v>
      </c>
      <c r="C63" s="398" t="s">
        <v>8122</v>
      </c>
      <c r="D63" s="307"/>
      <c r="E63" s="399" t="s">
        <v>8122</v>
      </c>
      <c r="F63" s="322" t="str">
        <f aca="false">VLOOKUP(CONCATENATE($B63,"-",F$8),'[1]liste complet essai'!$A$4:$K$1367,4,)</f>
        <v>DK</v>
      </c>
      <c r="G63" s="322" t="str">
        <f aca="false">VLOOKUP(CONCATENATE($B63,"-",G$8),'[1]liste complet essai'!$A$4:$K$1367,4,)</f>
        <v>DK</v>
      </c>
      <c r="H63" s="322" t="str">
        <f aca="false">VLOOKUP(CONCATENATE($B63,"-",H$8),'[1]liste complet essai'!$A$4:$K$1367,4,)</f>
        <v>DK</v>
      </c>
      <c r="I63" s="322" t="str">
        <f aca="false">VLOOKUP(CONCATENATE($B63,"-",I$8),'[1]liste complet essai'!$A$4:$K$1367,4,)</f>
        <v>DK</v>
      </c>
      <c r="J63" s="322" t="str">
        <f aca="false">VLOOKUP(CONCATENATE($B63,"-",J$8),'[1]liste complet essai'!$A$4:$K$1367,4,)</f>
        <v>DK</v>
      </c>
      <c r="K63" s="322" t="str">
        <f aca="false">VLOOKUP(CONCATENATE($B63,"-",K$8),'[1]liste complet essai'!$A$4:$K$1367,4,)</f>
        <v>DK</v>
      </c>
      <c r="L63" s="322" t="str">
        <f aca="false">VLOOKUP(CONCATENATE($B63,"-",L$8),'[1]liste complet essai'!$A$4:$K$1367,4,)</f>
        <v>DK</v>
      </c>
      <c r="M63" s="322" t="str">
        <f aca="false">VLOOKUP(CONCATENATE($B63,"-",M$8),'[1]liste complet essai'!$A$4:$K$1367,4,)</f>
        <v>DK</v>
      </c>
      <c r="N63" s="322" t="str">
        <f aca="false">VLOOKUP(CONCATENATE($B63,"-",N$8),'[1]liste complet essai'!$A$4:$K$1367,4,)</f>
        <v>DK</v>
      </c>
      <c r="O63" s="322" t="str">
        <f aca="false">VLOOKUP(CONCATENATE($B63,"-",O$8),'[1]liste complet essai'!$A$4:$K$1367,4,)</f>
        <v>DK</v>
      </c>
      <c r="P63" s="322" t="str">
        <f aca="false">VLOOKUP(CONCATENATE($B63,"-",P$8),'[1]liste complet essai'!$A$4:$K$1367,4,)</f>
        <v>DK</v>
      </c>
      <c r="Q63" s="322" t="str">
        <f aca="false">VLOOKUP(CONCATENATE($B63,"-",Q$8),'[1]liste complet essai'!$A$4:$K$1367,4,)</f>
        <v>DK</v>
      </c>
      <c r="R63" s="322" t="str">
        <f aca="false">VLOOKUP(CONCATENATE($B63,"-",R$8),'[1]liste complet essai'!$A$4:$K$1367,4,)</f>
        <v>DK</v>
      </c>
      <c r="S63" s="322" t="str">
        <f aca="false">VLOOKUP(CONCATENATE($B63,"-",S$8),'[1]liste complet essai'!$A$4:$K$1367,4,)</f>
        <v>DK</v>
      </c>
      <c r="T63" s="322" t="str">
        <f aca="false">VLOOKUP(CONCATENATE($B63,"-",T$8),'[1]liste complet essai'!$A$4:$K$1367,4,)</f>
        <v>DK</v>
      </c>
      <c r="U63" s="366" t="str">
        <f aca="false">VLOOKUP(CONCATENATE($B63,"-",U$8),'[1]liste complet essai'!$A$4:$K$1367,4,)</f>
        <v>DK</v>
      </c>
      <c r="V63" s="322" t="str">
        <f aca="false">VLOOKUP(CONCATENATE($B63,"-",V$8),'[1]liste complet essai'!$A$4:$K$1367,4,)</f>
        <v>DK</v>
      </c>
      <c r="W63" s="322" t="str">
        <f aca="false">VLOOKUP(CONCATENATE($B63,"-",W$8),'[1]liste complet essai'!$A$4:$K$1367,4,)</f>
        <v>DK</v>
      </c>
      <c r="X63" s="322" t="str">
        <f aca="false">VLOOKUP(CONCATENATE($B63,"-",X$8),'[1]liste complet essai'!$A$4:$K$1367,4,)</f>
        <v>DK</v>
      </c>
      <c r="Y63" s="322" t="str">
        <f aca="false">VLOOKUP(CONCATENATE($B63,"-",Y$8),'[1]liste complet essai'!$A$4:$K$1367,4,)</f>
        <v>DK</v>
      </c>
      <c r="Z63" s="322" t="str">
        <f aca="false">VLOOKUP(CONCATENATE($B63,"-",Z$8),'[1]liste complet essai'!$A$4:$K$1367,4,)</f>
        <v>DK</v>
      </c>
      <c r="AA63" s="322" t="str">
        <f aca="false">VLOOKUP(CONCATENATE($B63,"-",AA$8),'[1]liste complet essai'!$A$4:$K$1367,4,)</f>
        <v>DK</v>
      </c>
      <c r="AB63" s="322" t="str">
        <f aca="false">VLOOKUP(CONCATENATE($B63,"-",AB$8),'[1]liste complet essai'!$A$4:$K$1367,4,)</f>
        <v>DK</v>
      </c>
      <c r="AC63" s="322" t="str">
        <f aca="false">VLOOKUP(CONCATENATE($B63,"-",AC$8),'[1]liste complet essai'!$A$4:$K$1367,4,)</f>
        <v>DK</v>
      </c>
      <c r="AD63" s="322" t="str">
        <f aca="false">VLOOKUP(CONCATENATE($B63,"-",AD$8),'[1]liste complet essai'!$A$4:$K$1367,4,)</f>
        <v>DK</v>
      </c>
      <c r="AE63" s="322" t="str">
        <f aca="false">VLOOKUP(CONCATENATE($B63,"-",AE$8),'[1]liste complet essai'!$A$4:$K$1367,4,)</f>
        <v>DK</v>
      </c>
      <c r="AF63" s="390" t="s">
        <v>8122</v>
      </c>
      <c r="AI63" s="363"/>
      <c r="AJ63" s="391"/>
      <c r="AK63" s="368"/>
      <c r="AL63" s="392"/>
      <c r="AM63" s="317" t="str">
        <f aca="false">VLOOKUP(CONCATENATE($AI60,"-",AM$8),'[1]liste complet essai'!$A$4:$K$1367,1,)</f>
        <v>13-01</v>
      </c>
      <c r="AN63" s="317" t="str">
        <f aca="false">VLOOKUP(CONCATENATE($AI60,"-",AN$8),'[1]liste complet essai'!$A$4:$K$1367,1,)</f>
        <v>13-02</v>
      </c>
      <c r="AO63" s="317" t="str">
        <f aca="false">VLOOKUP(CONCATENATE($AI60,"-",AO$8),'[1]liste complet essai'!$A$4:$K$1367,1,)</f>
        <v>13-03</v>
      </c>
      <c r="AP63" s="317" t="str">
        <f aca="false">VLOOKUP(CONCATENATE($AI60,"-",AP$8),'[1]liste complet essai'!$A$4:$K$1367,1,)</f>
        <v>13-04</v>
      </c>
      <c r="AQ63" s="366" t="str">
        <f aca="false">VLOOKUP(CONCATENATE($AI60,"-",AQ$8),'[1]liste complet essai'!$A$4:$K$1367,1,)</f>
        <v>13-05</v>
      </c>
      <c r="AR63" s="317" t="str">
        <f aca="false">VLOOKUP(CONCATENATE($AI60,"-",AR$8),'[1]liste complet essai'!$A$4:$K$1367,1,)</f>
        <v>13-06</v>
      </c>
      <c r="AS63" s="317" t="str">
        <f aca="false">VLOOKUP(CONCATENATE($AI60,"-",AS$8),'[1]liste complet essai'!$A$4:$K$1367,1,)</f>
        <v>13-07</v>
      </c>
      <c r="AT63" s="317" t="str">
        <f aca="false">VLOOKUP(CONCATENATE($AI60,"-",AT$8),'[1]liste complet essai'!$A$4:$K$1367,1,)</f>
        <v>13-08</v>
      </c>
      <c r="AU63" s="317" t="str">
        <f aca="false">VLOOKUP(CONCATENATE($AI60,"-",AU$8),'[1]liste complet essai'!$A$4:$K$1367,1,)</f>
        <v>13-09</v>
      </c>
      <c r="AV63" s="317" t="str">
        <f aca="false">VLOOKUP(CONCATENATE($AI60,"-",AV$8),'[1]liste complet essai'!$A$4:$K$1367,1,)</f>
        <v>13-10</v>
      </c>
      <c r="AW63" s="317" t="str">
        <f aca="false">VLOOKUP(CONCATENATE($AI60,"-",AW$8),'[1]liste complet essai'!$A$4:$K$1367,1,)</f>
        <v>13-11</v>
      </c>
      <c r="AX63" s="317" t="str">
        <f aca="false">VLOOKUP(CONCATENATE($AI60,"-",AX$8),'[1]liste complet essai'!$A$4:$K$1367,1,)</f>
        <v>13-12</v>
      </c>
      <c r="AY63" s="317" t="str">
        <f aca="false">VLOOKUP(CONCATENATE($AI60,"-",AY$8),'[1]liste complet essai'!$A$4:$K$1367,1,)</f>
        <v>13-13</v>
      </c>
      <c r="AZ63" s="317" t="str">
        <f aca="false">VLOOKUP(CONCATENATE($AI60,"-",AZ$8),'[1]liste complet essai'!$A$4:$K$1367,1,)</f>
        <v>13-14</v>
      </c>
      <c r="BA63" s="317" t="str">
        <f aca="false">VLOOKUP(CONCATENATE($AI60,"-",BA$8),'[1]liste complet essai'!$A$4:$K$1367,1,)</f>
        <v>13-15</v>
      </c>
      <c r="BB63" s="317" t="str">
        <f aca="false">VLOOKUP(CONCATENATE($AI60,"-",BB$8),'[1]liste complet essai'!$A$4:$K$1367,1,)</f>
        <v>13-16</v>
      </c>
      <c r="BC63" s="316" t="str">
        <f aca="false">VLOOKUP(CONCATENATE($AI60,"-",BC$8),'[1]liste complet essai'!$A$4:$K$1367,1,)</f>
        <v>13-17</v>
      </c>
      <c r="BD63" s="317" t="str">
        <f aca="false">VLOOKUP(CONCATENATE($AI60,"-",BD$8),'[1]liste complet essai'!$A$4:$K$1367,1,)</f>
        <v>13-18</v>
      </c>
      <c r="BE63" s="317" t="str">
        <f aca="false">VLOOKUP(CONCATENATE($AI60,"-",BE$8),'[1]liste complet essai'!$A$4:$K$1367,1,)</f>
        <v>13-19</v>
      </c>
      <c r="BF63" s="317" t="str">
        <f aca="false">VLOOKUP(CONCATENATE($AI60,"-",BF$8),'[1]liste complet essai'!$A$4:$K$1367,1,)</f>
        <v>13-20</v>
      </c>
      <c r="BG63" s="317" t="str">
        <f aca="false">VLOOKUP(CONCATENATE($AI60,"-",BG$8),'[1]liste complet essai'!$A$4:$K$1367,1,)</f>
        <v>13-21</v>
      </c>
      <c r="BH63" s="317" t="str">
        <f aca="false">VLOOKUP(CONCATENATE($AI60,"-",BH$8),'[1]liste complet essai'!$A$4:$K$1367,1,)</f>
        <v>13-22</v>
      </c>
      <c r="BI63" s="317" t="str">
        <f aca="false">VLOOKUP(CONCATENATE($AI60,"-",BI$8),'[1]liste complet essai'!$A$4:$K$1367,1,)</f>
        <v>13-23</v>
      </c>
      <c r="BJ63" s="317" t="str">
        <f aca="false">VLOOKUP(CONCATENATE($AI60,"-",BJ$8),'[1]liste complet essai'!$A$4:$K$1367,1,)</f>
        <v>13-24</v>
      </c>
      <c r="BK63" s="317" t="str">
        <f aca="false">VLOOKUP(CONCATENATE($AI60,"-",BK$8),'[1]liste complet essai'!$A$4:$K$1367,1,)</f>
        <v>13-25</v>
      </c>
      <c r="BL63" s="317" t="str">
        <f aca="false">VLOOKUP(CONCATENATE($AI60,"-",BL$8),'[1]liste complet essai'!$A$4:$K$1367,1,)</f>
        <v>13-26</v>
      </c>
      <c r="BM63" s="317" t="str">
        <f aca="false">VLOOKUP(CONCATENATE($AI60,"-",BM$8),'[1]liste complet essai'!$A$4:$K$1367,1,)</f>
        <v>13-27</v>
      </c>
      <c r="BN63" s="317" t="str">
        <f aca="false">VLOOKUP(CONCATENATE($AI60,"-",BN$8),'[1]liste complet essai'!$A$4:$K$1367,1,)</f>
        <v>13-28</v>
      </c>
      <c r="BO63" s="317" t="str">
        <f aca="false">VLOOKUP(CONCATENATE($AI60,"-",BO$8),'[1]liste complet essai'!$A$4:$K$1367,1,)</f>
        <v>13-29</v>
      </c>
      <c r="BP63" s="317" t="str">
        <f aca="false">VLOOKUP(CONCATENATE($AI60,"-",BP$8),'[1]liste complet essai'!$A$4:$K$1367,1,)</f>
        <v>13-30</v>
      </c>
      <c r="BQ63" s="317" t="str">
        <f aca="false">VLOOKUP(CONCATENATE($AI60,"-",BQ$8),'[1]liste complet essai'!$A$4:$K$1367,1,)</f>
        <v>13-31</v>
      </c>
      <c r="BR63" s="317" t="str">
        <f aca="false">VLOOKUP(CONCATENATE($AI60,"-",BR$8),'[1]liste complet essai'!$A$4:$K$1367,1,)</f>
        <v>13-32</v>
      </c>
      <c r="BS63" s="374"/>
      <c r="BT63" s="374"/>
      <c r="BU63" s="374"/>
      <c r="BV63" s="374"/>
      <c r="BW63" s="374"/>
      <c r="BX63" s="374"/>
      <c r="BY63" s="374"/>
      <c r="BZ63" s="374"/>
      <c r="CA63" s="374"/>
      <c r="CB63" s="374"/>
      <c r="CC63" s="317" t="str">
        <f aca="false">VLOOKUP(CONCATENATE($AI60,"-",CC$8),'[1]liste complet essai'!$A$4:$K$1367,1,)</f>
        <v>13-33</v>
      </c>
      <c r="CD63" s="328" t="str">
        <f aca="false">VLOOKUP(CONCATENATE($AI60,"-",CD$8),'[1]liste complet essai'!$A$4:$K$1367,1,)</f>
        <v>13-34</v>
      </c>
      <c r="CE63" s="317" t="str">
        <f aca="false">VLOOKUP(CONCATENATE($AI60,"-",CE$8),'[1]liste complet essai'!$A$4:$K$1367,1,)</f>
        <v>13-35</v>
      </c>
      <c r="CF63" s="317" t="str">
        <f aca="false">VLOOKUP(CONCATENATE($AI60,"-",CF$8),'[1]liste complet essai'!$A$4:$K$1367,1,)</f>
        <v>13-36</v>
      </c>
      <c r="CG63" s="317" t="str">
        <f aca="false">VLOOKUP(CONCATENATE($AI60,"-",CG$8),'[1]liste complet essai'!$A$4:$K$1367,1,)</f>
        <v>13-37</v>
      </c>
      <c r="CH63" s="317" t="str">
        <f aca="false">VLOOKUP(CONCATENATE($AI60,"-",CH$8),'[1]liste complet essai'!$A$4:$K$1367,1,)</f>
        <v>13-38</v>
      </c>
      <c r="CI63" s="317" t="str">
        <f aca="false">VLOOKUP(CONCATENATE($AI60,"-",CI$8),'[1]liste complet essai'!$A$4:$K$1367,1,)</f>
        <v>13-39</v>
      </c>
      <c r="CJ63" s="317" t="str">
        <f aca="false">VLOOKUP(CONCATENATE($AI60,"-",CJ$8),'[1]liste complet essai'!$A$4:$K$1367,1,)</f>
        <v>13-40</v>
      </c>
      <c r="CK63" s="317" t="str">
        <f aca="false">VLOOKUP(CONCATENATE($AI60,"-",CK$8),'[1]liste complet essai'!$A$4:$K$1367,1,)</f>
        <v>13-41</v>
      </c>
      <c r="CL63" s="383" t="str">
        <f aca="false">VLOOKUP(CONCATENATE($AI60,"-",CL$8),'[1]liste complet essai'!$A$4:$K$1367,1,)</f>
        <v>13-42</v>
      </c>
      <c r="CM63" s="317" t="str">
        <f aca="false">VLOOKUP(CONCATENATE($AI60,"-",CM$8),'[1]liste complet essai'!$A$4:$K$1367,1,)</f>
        <v>13-43</v>
      </c>
      <c r="CN63" s="317" t="str">
        <f aca="false">VLOOKUP(CONCATENATE($AI60,"-",CN$8),'[1]liste complet essai'!$A$4:$K$1367,1,)</f>
        <v>13-44</v>
      </c>
      <c r="CO63" s="317" t="str">
        <f aca="false">VLOOKUP(CONCATENATE($AI60,"-",CO$8),'[1]liste complet essai'!$A$4:$K$1367,1,)</f>
        <v>13-45</v>
      </c>
      <c r="CP63" s="317" t="str">
        <f aca="false">VLOOKUP(CONCATENATE($AI60,"-",CP$8),'[1]liste complet essai'!$A$4:$K$1367,1,)</f>
        <v>13-46</v>
      </c>
      <c r="CQ63" s="317" t="str">
        <f aca="false">VLOOKUP(CONCATENATE($AI60,"-",CQ$8),'[1]liste complet essai'!$A$4:$K$1367,1,)</f>
        <v>13-47</v>
      </c>
      <c r="CR63" s="317" t="str">
        <f aca="false">VLOOKUP(CONCATENATE($AI60,"-",CR$8),'[1]liste complet essai'!$A$4:$K$1367,1,)</f>
        <v>13-48</v>
      </c>
      <c r="CS63" s="317" t="str">
        <f aca="false">VLOOKUP(CONCATENATE($AI60,"-",CS$8),'[1]liste complet essai'!$A$4:$K$1367,1,)</f>
        <v>13-49</v>
      </c>
      <c r="CT63" s="317" t="str">
        <f aca="false">VLOOKUP(CONCATENATE($AI60,"-",CT$8),'[1]liste complet essai'!$A$4:$K$1367,1,)</f>
        <v>13-50</v>
      </c>
      <c r="CU63" s="317" t="str">
        <f aca="false">VLOOKUP(CONCATENATE($AI60,"-",CU$8),'[1]liste complet essai'!$A$4:$K$1367,1,)</f>
        <v>13-51</v>
      </c>
      <c r="CV63" s="317" t="str">
        <f aca="false">VLOOKUP(CONCATENATE($AI60,"-",CV$8),'[1]liste complet essai'!$A$4:$K$1367,1,)</f>
        <v>13-52</v>
      </c>
      <c r="CW63" s="317" t="str">
        <f aca="false">VLOOKUP(CONCATENATE($AI60,"-",CW$8),'[1]liste complet essai'!$A$4:$K$1367,1,)</f>
        <v>13-53</v>
      </c>
      <c r="CX63" s="317" t="str">
        <f aca="false">VLOOKUP(CONCATENATE($AI60,"-",CX$8),'[1]liste complet essai'!$A$4:$K$1367,1,)</f>
        <v>13-54</v>
      </c>
      <c r="CY63" s="317" t="str">
        <f aca="false">VLOOKUP(CONCATENATE($AI60,"-",CY$8),'[1]liste complet essai'!$A$4:$K$1367,1,)</f>
        <v>13-55</v>
      </c>
      <c r="CZ63" s="317" t="str">
        <f aca="false">VLOOKUP(CONCATENATE($AI60,"-",CZ$8),'[1]liste complet essai'!$A$4:$K$1367,1,)</f>
        <v>13-56</v>
      </c>
      <c r="DA63" s="317" t="str">
        <f aca="false">VLOOKUP(CONCATENATE($AI60,"-",DA$8),'[1]liste complet essai'!$A$4:$K$1367,1,)</f>
        <v>13-57</v>
      </c>
      <c r="DB63" s="317" t="str">
        <f aca="false">VLOOKUP(CONCATENATE($AI60,"-",DB$8),'[1]liste complet essai'!$A$4:$K$1367,1,)</f>
        <v>13-58</v>
      </c>
      <c r="DC63" s="317" t="str">
        <f aca="false">VLOOKUP(CONCATENATE($AI60,"-",DC$8),'[1]liste complet essai'!$A$4:$K$1367,1,)</f>
        <v>13-59</v>
      </c>
      <c r="DD63" s="317" t="str">
        <f aca="false">VLOOKUP(CONCATENATE($AI60,"-",DD$8),'[1]liste complet essai'!$A$4:$K$1367,1,)</f>
        <v>13-60</v>
      </c>
      <c r="DE63" s="383" t="str">
        <f aca="false">VLOOKUP(CONCATENATE($AI60,"-",DE$8),'[1]liste complet essai'!$A$4:$K$1367,1,)</f>
        <v>13-61</v>
      </c>
      <c r="DF63" s="317" t="str">
        <f aca="false">VLOOKUP(CONCATENATE($AI60,"-",DF$8),'[1]liste complet essai'!$A$4:$K$1367,1,)</f>
        <v>13-62</v>
      </c>
      <c r="DG63" s="317" t="str">
        <f aca="false">VLOOKUP(CONCATENATE($AI60,"-",DG$8),'[1]liste complet essai'!$A$4:$K$1367,1,)</f>
        <v>13-63</v>
      </c>
      <c r="DH63" s="317" t="str">
        <f aca="false">VLOOKUP(CONCATENATE($AI60,"-",DH$8),'[1]liste complet essai'!$A$4:$K$1367,1,)</f>
        <v>13-64</v>
      </c>
      <c r="DI63" s="392"/>
      <c r="DJ63" s="317"/>
      <c r="DK63" s="380"/>
    </row>
    <row r="64" customFormat="false" ht="12" hidden="false" customHeight="false" outlineLevel="0" collapsed="false">
      <c r="B64" s="384"/>
      <c r="C64" s="398"/>
      <c r="D64" s="307"/>
      <c r="E64" s="399"/>
      <c r="F64" s="309" t="str">
        <f aca="false">VLOOKUP(CONCATENATE($B63,"-",F$8),'[1]liste complet essai'!$A$4:$K$1367,9,)</f>
        <v>N1-b3</v>
      </c>
      <c r="G64" s="309" t="str">
        <f aca="false">VLOOKUP(CONCATENATE($B63,"-",G$8),'[1]liste complet essai'!$A$4:$K$1367,9,)</f>
        <v>N1-b3</v>
      </c>
      <c r="H64" s="309" t="str">
        <f aca="false">VLOOKUP(CONCATENATE($B63,"-",H$8),'[1]liste complet essai'!$A$4:$K$1367,9,)</f>
        <v>N1-b3</v>
      </c>
      <c r="I64" s="309" t="str">
        <f aca="false">VLOOKUP(CONCATENATE($B63,"-",I$8),'[1]liste complet essai'!$A$4:$K$1367,9,)</f>
        <v>N1-b3</v>
      </c>
      <c r="J64" s="309" t="str">
        <f aca="false">VLOOKUP(CONCATENATE($B63,"-",J$8),'[1]liste complet essai'!$A$4:$K$1367,9,)</f>
        <v>N1-b3</v>
      </c>
      <c r="K64" s="309" t="str">
        <f aca="false">VLOOKUP(CONCATENATE($B63,"-",K$8),'[1]liste complet essai'!$A$4:$K$1367,9,)</f>
        <v>N1-b3</v>
      </c>
      <c r="L64" s="309" t="str">
        <f aca="false">VLOOKUP(CONCATENATE($B63,"-",L$8),'[1]liste complet essai'!$A$4:$K$1367,9,)</f>
        <v>N1-b3</v>
      </c>
      <c r="M64" s="309" t="str">
        <f aca="false">VLOOKUP(CONCATENATE($B63,"-",M$8),'[1]liste complet essai'!$A$4:$K$1367,9,)</f>
        <v>N1-b3</v>
      </c>
      <c r="N64" s="309" t="str">
        <f aca="false">VLOOKUP(CONCATENATE($B63,"-",N$8),'[1]liste complet essai'!$A$4:$K$1367,9,)</f>
        <v>N1-b3</v>
      </c>
      <c r="O64" s="309" t="str">
        <f aca="false">VLOOKUP(CONCATENATE($B63,"-",O$8),'[1]liste complet essai'!$A$4:$K$1367,9,)</f>
        <v>N1-b3</v>
      </c>
      <c r="P64" s="309" t="str">
        <f aca="false">VLOOKUP(CONCATENATE($B63,"-",P$8),'[1]liste complet essai'!$A$4:$K$1367,9,)</f>
        <v>N1-b3</v>
      </c>
      <c r="Q64" s="309" t="str">
        <f aca="false">VLOOKUP(CONCATENATE($B63,"-",Q$8),'[1]liste complet essai'!$A$4:$K$1367,9,)</f>
        <v>N1-b3</v>
      </c>
      <c r="R64" s="309" t="str">
        <f aca="false">VLOOKUP(CONCATENATE($B63,"-",R$8),'[1]liste complet essai'!$A$4:$K$1367,9,)</f>
        <v>N1-b3</v>
      </c>
      <c r="S64" s="309" t="str">
        <f aca="false">VLOOKUP(CONCATENATE($B63,"-",S$8),'[1]liste complet essai'!$A$4:$K$1367,9,)</f>
        <v>N1-b3</v>
      </c>
      <c r="T64" s="309" t="str">
        <f aca="false">VLOOKUP(CONCATENATE($B63,"-",T$8),'[1]liste complet essai'!$A$4:$K$1367,9,)</f>
        <v>N1-b3</v>
      </c>
      <c r="U64" s="366" t="str">
        <f aca="false">VLOOKUP(CONCATENATE($B63,"-",U$8),'[1]liste complet essai'!$A$4:$K$1367,9,)</f>
        <v>N1-b3</v>
      </c>
      <c r="V64" s="309" t="str">
        <f aca="false">VLOOKUP(CONCATENATE($B63,"-",V$8),'[1]liste complet essai'!$A$4:$K$1367,9,)</f>
        <v>N1-b3</v>
      </c>
      <c r="W64" s="309" t="str">
        <f aca="false">VLOOKUP(CONCATENATE($B63,"-",W$8),'[1]liste complet essai'!$A$4:$K$1367,9,)</f>
        <v>N1-b3</v>
      </c>
      <c r="X64" s="309" t="str">
        <f aca="false">VLOOKUP(CONCATENATE($B63,"-",X$8),'[1]liste complet essai'!$A$4:$K$1367,9,)</f>
        <v>N1-b3</v>
      </c>
      <c r="Y64" s="309" t="str">
        <f aca="false">VLOOKUP(CONCATENATE($B63,"-",Y$8),'[1]liste complet essai'!$A$4:$K$1367,9,)</f>
        <v>N1-b3</v>
      </c>
      <c r="Z64" s="309" t="str">
        <f aca="false">VLOOKUP(CONCATENATE($B63,"-",Z$8),'[1]liste complet essai'!$A$4:$K$1367,9,)</f>
        <v>N1-b3</v>
      </c>
      <c r="AA64" s="309" t="str">
        <f aca="false">VLOOKUP(CONCATENATE($B63,"-",AA$8),'[1]liste complet essai'!$A$4:$K$1367,9,)</f>
        <v>N1-b3</v>
      </c>
      <c r="AB64" s="309" t="str">
        <f aca="false">VLOOKUP(CONCATENATE($B63,"-",AB$8),'[1]liste complet essai'!$A$4:$K$1367,9,)</f>
        <v>N1-b3</v>
      </c>
      <c r="AC64" s="309" t="str">
        <f aca="false">VLOOKUP(CONCATENATE($B63,"-",AC$8),'[1]liste complet essai'!$A$4:$K$1367,9,)</f>
        <v>N1-b3</v>
      </c>
      <c r="AD64" s="309" t="str">
        <f aca="false">VLOOKUP(CONCATENATE($B63,"-",AD$8),'[1]liste complet essai'!$A$4:$K$1367,9,)</f>
        <v>N1-b3</v>
      </c>
      <c r="AE64" s="309" t="str">
        <f aca="false">VLOOKUP(CONCATENATE($B63,"-",AE$8),'[1]liste complet essai'!$A$4:$K$1367,9,)</f>
        <v>N1-b3</v>
      </c>
      <c r="AF64" s="390"/>
      <c r="AI64" s="363" t="n">
        <v>14</v>
      </c>
      <c r="AJ64" s="400" t="s">
        <v>8122</v>
      </c>
      <c r="AK64" s="309"/>
      <c r="AL64" s="401" t="s">
        <v>8122</v>
      </c>
      <c r="AM64" s="322" t="str">
        <f aca="false">VLOOKUP(CONCATENATE($AI64,"-",AM$8),'[1]liste complet essai'!$A$4:$K$1367,4,)</f>
        <v>DK</v>
      </c>
      <c r="AN64" s="322" t="str">
        <f aca="false">VLOOKUP(CONCATENATE($AI64,"-",AN$8),'[1]liste complet essai'!$A$4:$K$1367,4,)</f>
        <v>DK</v>
      </c>
      <c r="AO64" s="322" t="str">
        <f aca="false">VLOOKUP(CONCATENATE($AI64,"-",AO$8),'[1]liste complet essai'!$A$4:$K$1367,4,)</f>
        <v>DK</v>
      </c>
      <c r="AP64" s="322" t="str">
        <f aca="false">VLOOKUP(CONCATENATE($AI64,"-",AP$8),'[1]liste complet essai'!$A$4:$K$1367,4,)</f>
        <v>DK</v>
      </c>
      <c r="AQ64" s="322" t="str">
        <f aca="false">VLOOKUP(CONCATENATE($AI64,"-",AQ$8),'[1]liste complet essai'!$A$4:$K$1367,4,)</f>
        <v>DK</v>
      </c>
      <c r="AR64" s="322" t="str">
        <f aca="false">VLOOKUP(CONCATENATE($AI64,"-",AR$8),'[1]liste complet essai'!$A$4:$K$1367,4,)</f>
        <v>DK</v>
      </c>
      <c r="AS64" s="322" t="str">
        <f aca="false">VLOOKUP(CONCATENATE($AI64,"-",AS$8),'[1]liste complet essai'!$A$4:$K$1367,4,)</f>
        <v>DK</v>
      </c>
      <c r="AT64" s="322" t="str">
        <f aca="false">VLOOKUP(CONCATENATE($AI64,"-",AT$8),'[1]liste complet essai'!$A$4:$K$1367,4,)</f>
        <v>DK</v>
      </c>
      <c r="AU64" s="322" t="str">
        <f aca="false">VLOOKUP(CONCATENATE($AI64,"-",AU$8),'[1]liste complet essai'!$A$4:$K$1367,4,)</f>
        <v>DK</v>
      </c>
      <c r="AV64" s="322" t="str">
        <f aca="false">VLOOKUP(CONCATENATE($AI64,"-",AV$8),'[1]liste complet essai'!$A$4:$K$1367,4,)</f>
        <v>DK</v>
      </c>
      <c r="AW64" s="366" t="str">
        <f aca="false">VLOOKUP(CONCATENATE($AI64,"-",AW$8),'[1]liste complet essai'!$A$4:$K$1367,4,)</f>
        <v>DK</v>
      </c>
      <c r="AX64" s="322" t="str">
        <f aca="false">VLOOKUP(CONCATENATE($AI64,"-",AX$8),'[1]liste complet essai'!$A$4:$K$1367,4,)</f>
        <v>DK</v>
      </c>
      <c r="AY64" s="322" t="str">
        <f aca="false">VLOOKUP(CONCATENATE($AI64,"-",AY$8),'[1]liste complet essai'!$A$4:$K$1367,4,)</f>
        <v>DK</v>
      </c>
      <c r="AZ64" s="322" t="str">
        <f aca="false">VLOOKUP(CONCATENATE($AI64,"-",AZ$8),'[1]liste complet essai'!$A$4:$K$1367,4,)</f>
        <v>DK</v>
      </c>
      <c r="BA64" s="322" t="str">
        <f aca="false">VLOOKUP(CONCATENATE($AI64,"-",BA$8),'[1]liste complet essai'!$A$4:$K$1367,4,)</f>
        <v>DK</v>
      </c>
      <c r="BB64" s="322" t="str">
        <f aca="false">VLOOKUP(CONCATENATE($AI64,"-",BB$8),'[1]liste complet essai'!$A$4:$K$1367,4,)</f>
        <v>DK</v>
      </c>
      <c r="BC64" s="322" t="str">
        <f aca="false">VLOOKUP(CONCATENATE($AI64,"-",BC$8),'[1]liste complet essai'!$A$4:$K$1367,4,)</f>
        <v>DK</v>
      </c>
      <c r="BD64" s="322" t="str">
        <f aca="false">VLOOKUP(CONCATENATE($AI64,"-",BD$8),'[1]liste complet essai'!$A$4:$K$1367,4,)</f>
        <v>DK</v>
      </c>
      <c r="BE64" s="322" t="str">
        <f aca="false">VLOOKUP(CONCATENATE($AI64,"-",BE$8),'[1]liste complet essai'!$A$4:$K$1367,4,)</f>
        <v>DK</v>
      </c>
      <c r="BF64" s="322" t="str">
        <f aca="false">VLOOKUP(CONCATENATE($AI64,"-",BF$8),'[1]liste complet essai'!$A$4:$K$1367,4,)</f>
        <v>DK</v>
      </c>
      <c r="BG64" s="322" t="str">
        <f aca="false">VLOOKUP(CONCATENATE($AI64,"-",BG$8),'[1]liste complet essai'!$A$4:$K$1367,4,)</f>
        <v>DK</v>
      </c>
      <c r="BH64" s="322" t="str">
        <f aca="false">VLOOKUP(CONCATENATE($AI64,"-",BH$8),'[1]liste complet essai'!$A$4:$K$1367,4,)</f>
        <v>DK</v>
      </c>
      <c r="BI64" s="322" t="str">
        <f aca="false">VLOOKUP(CONCATENATE($AI64,"-",BI$8),'[1]liste complet essai'!$A$4:$K$1367,4,)</f>
        <v>DK</v>
      </c>
      <c r="BJ64" s="322" t="str">
        <f aca="false">VLOOKUP(CONCATENATE($AI64,"-",BJ$8),'[1]liste complet essai'!$A$4:$K$1367,4,)</f>
        <v>DK</v>
      </c>
      <c r="BK64" s="322" t="str">
        <f aca="false">VLOOKUP(CONCATENATE($AI64,"-",BK$8),'[1]liste complet essai'!$A$4:$K$1367,4,)</f>
        <v>DK</v>
      </c>
      <c r="BL64" s="322" t="str">
        <f aca="false">VLOOKUP(CONCATENATE($AI64,"-",BL$8),'[1]liste complet essai'!$A$4:$K$1367,4,)</f>
        <v>DK</v>
      </c>
      <c r="BM64" s="322" t="str">
        <f aca="false">VLOOKUP(CONCATENATE($AI64,"-",BM$8),'[1]liste complet essai'!$A$4:$K$1367,4,)</f>
        <v>DK</v>
      </c>
      <c r="BN64" s="322" t="str">
        <f aca="false">VLOOKUP(CONCATENATE($AI64,"-",BN$8),'[1]liste complet essai'!$A$4:$K$1367,4,)</f>
        <v>DK</v>
      </c>
      <c r="BO64" s="322" t="str">
        <f aca="false">VLOOKUP(CONCATENATE($AI64,"-",BO$8),'[1]liste complet essai'!$A$4:$K$1367,4,)</f>
        <v>DK</v>
      </c>
      <c r="BP64" s="322" t="str">
        <f aca="false">VLOOKUP(CONCATENATE($AI64,"-",BP$8),'[1]liste complet essai'!$A$4:$K$1367,4,)</f>
        <v>DK</v>
      </c>
      <c r="BQ64" s="322" t="str">
        <f aca="false">VLOOKUP(CONCATENATE($AI64,"-",BQ$8),'[1]liste complet essai'!$A$4:$K$1367,4,)</f>
        <v>DK</v>
      </c>
      <c r="BR64" s="322" t="str">
        <f aca="false">VLOOKUP(CONCATENATE($AI64,"-",BR$8),'[1]liste complet essai'!$A$4:$K$1367,4,)</f>
        <v>DK</v>
      </c>
      <c r="BS64" s="374"/>
      <c r="BT64" s="374"/>
      <c r="BU64" s="374"/>
      <c r="BV64" s="374"/>
      <c r="BW64" s="374"/>
      <c r="BX64" s="374"/>
      <c r="BY64" s="374"/>
      <c r="BZ64" s="374"/>
      <c r="CA64" s="374"/>
      <c r="CB64" s="374"/>
      <c r="CC64" s="322" t="str">
        <f aca="false">VLOOKUP(CONCATENATE($AI64,"-",CC$8),'[1]liste complet essai'!$A$4:$K$1367,4,)</f>
        <v>DK</v>
      </c>
      <c r="CD64" s="322" t="str">
        <f aca="false">VLOOKUP(CONCATENATE($AI64,"-",CD$8),'[1]liste complet essai'!$A$4:$K$1367,4,)</f>
        <v>DK</v>
      </c>
      <c r="CE64" s="322" t="str">
        <f aca="false">VLOOKUP(CONCATENATE($AI64,"-",CE$8),'[1]liste complet essai'!$A$4:$K$1367,4,)</f>
        <v>DK</v>
      </c>
      <c r="CF64" s="322" t="str">
        <f aca="false">VLOOKUP(CONCATENATE($AI64,"-",CF$8),'[1]liste complet essai'!$A$4:$K$1367,4,)</f>
        <v>DK</v>
      </c>
      <c r="CG64" s="322" t="str">
        <f aca="false">VLOOKUP(CONCATENATE($AI64,"-",CG$8),'[1]liste complet essai'!$A$4:$K$1367,4,)</f>
        <v>DK</v>
      </c>
      <c r="CH64" s="322" t="str">
        <f aca="false">VLOOKUP(CONCATENATE($AI64,"-",CH$8),'[1]liste complet essai'!$A$4:$K$1367,4,)</f>
        <v>DK</v>
      </c>
      <c r="CI64" s="322" t="str">
        <f aca="false">VLOOKUP(CONCATENATE($AI64,"-",CI$8),'[1]liste complet essai'!$A$4:$K$1367,4,)</f>
        <v>DK</v>
      </c>
      <c r="CJ64" s="322" t="str">
        <f aca="false">VLOOKUP(CONCATENATE($AI64,"-",CJ$8),'[1]liste complet essai'!$A$4:$K$1367,4,)</f>
        <v>DK</v>
      </c>
      <c r="CK64" s="322" t="str">
        <f aca="false">VLOOKUP(CONCATENATE($AI64,"-",CK$8),'[1]liste complet essai'!$A$4:$K$1367,4,)</f>
        <v>DK</v>
      </c>
      <c r="CL64" s="322" t="str">
        <f aca="false">VLOOKUP(CONCATENATE($AI64,"-",CL$8),'[1]liste complet essai'!$A$4:$K$1367,4,)</f>
        <v>DK</v>
      </c>
      <c r="CM64" s="322" t="str">
        <f aca="false">VLOOKUP(CONCATENATE($AI64,"-",CM$8),'[1]liste complet essai'!$A$4:$K$1367,4,)</f>
        <v>DK</v>
      </c>
      <c r="CN64" s="322" t="str">
        <f aca="false">VLOOKUP(CONCATENATE($AI64,"-",CN$8),'[1]liste complet essai'!$A$4:$K$1367,4,)</f>
        <v>DK</v>
      </c>
      <c r="CO64" s="322" t="str">
        <f aca="false">VLOOKUP(CONCATENATE($AI64,"-",CO$8),'[1]liste complet essai'!$A$4:$K$1367,4,)</f>
        <v>DK</v>
      </c>
      <c r="CP64" s="368" t="str">
        <f aca="false">VLOOKUP(CONCATENATE($AI64,"-",CP$8),'[1]liste complet essai'!$A$4:$K$1367,4,)</f>
        <v>DK</v>
      </c>
      <c r="CQ64" s="322" t="str">
        <f aca="false">VLOOKUP(CONCATENATE($AI64,"-",CQ$8),'[1]liste complet essai'!$A$4:$K$1367,4,)</f>
        <v>DK</v>
      </c>
      <c r="CR64" s="322" t="str">
        <f aca="false">VLOOKUP(CONCATENATE($AI64,"-",CR$8),'[1]liste complet essai'!$A$4:$K$1367,4,)</f>
        <v>DK</v>
      </c>
      <c r="CS64" s="322" t="str">
        <f aca="false">VLOOKUP(CONCATENATE($AI64,"-",CS$8),'[1]liste complet essai'!$A$4:$K$1367,4,)</f>
        <v>DK</v>
      </c>
      <c r="CT64" s="322" t="str">
        <f aca="false">VLOOKUP(CONCATENATE($AI64,"-",CT$8),'[1]liste complet essai'!$A$4:$K$1367,4,)</f>
        <v>DK</v>
      </c>
      <c r="CU64" s="322" t="str">
        <f aca="false">VLOOKUP(CONCATENATE($AI64,"-",CU$8),'[1]liste complet essai'!$A$4:$K$1367,4,)</f>
        <v>DK</v>
      </c>
      <c r="CV64" s="322" t="str">
        <f aca="false">VLOOKUP(CONCATENATE($AI64,"-",CV$8),'[1]liste complet essai'!$A$4:$K$1367,4,)</f>
        <v>DK</v>
      </c>
      <c r="CW64" s="322" t="str">
        <f aca="false">VLOOKUP(CONCATENATE($AI64,"-",CW$8),'[1]liste complet essai'!$A$4:$K$1367,4,)</f>
        <v>DK</v>
      </c>
      <c r="CX64" s="322" t="str">
        <f aca="false">VLOOKUP(CONCATENATE($AI64,"-",CX$8),'[1]liste complet essai'!$A$4:$K$1367,4,)</f>
        <v>DK</v>
      </c>
      <c r="CY64" s="322" t="str">
        <f aca="false">VLOOKUP(CONCATENATE($AI64,"-",CY$8),'[1]liste complet essai'!$A$4:$K$1367,4,)</f>
        <v>DK</v>
      </c>
      <c r="CZ64" s="322" t="str">
        <f aca="false">VLOOKUP(CONCATENATE($AI64,"-",CZ$8),'[1]liste complet essai'!$A$4:$K$1367,4,)</f>
        <v>DK</v>
      </c>
      <c r="DA64" s="322" t="str">
        <f aca="false">VLOOKUP(CONCATENATE($AI64,"-",DA$8),'[1]liste complet essai'!$A$4:$K$1367,4,)</f>
        <v>DK</v>
      </c>
      <c r="DB64" s="322" t="str">
        <f aca="false">VLOOKUP(CONCATENATE($AI64,"-",DB$8),'[1]liste complet essai'!$A$4:$K$1367,4,)</f>
        <v>DK</v>
      </c>
      <c r="DC64" s="322" t="str">
        <f aca="false">VLOOKUP(CONCATENATE($AI64,"-",DC$8),'[1]liste complet essai'!$A$4:$K$1367,4,)</f>
        <v>DK</v>
      </c>
      <c r="DD64" s="322" t="str">
        <f aca="false">VLOOKUP(CONCATENATE($AI64,"-",DD$8),'[1]liste complet essai'!$A$4:$K$1367,4,)</f>
        <v>DK</v>
      </c>
      <c r="DE64" s="322" t="str">
        <f aca="false">VLOOKUP(CONCATENATE($AI64,"-",DE$8),'[1]liste complet essai'!$A$4:$K$1367,4,)</f>
        <v>DK</v>
      </c>
      <c r="DF64" s="322" t="str">
        <f aca="false">VLOOKUP(CONCATENATE($AI64,"-",DF$8),'[1]liste complet essai'!$A$4:$K$1367,4,)</f>
        <v>DK</v>
      </c>
      <c r="DG64" s="322" t="str">
        <f aca="false">VLOOKUP(CONCATENATE($AI64,"-",DG$8),'[1]liste complet essai'!$A$4:$K$1367,4,)</f>
        <v>DK</v>
      </c>
      <c r="DH64" s="322" t="str">
        <f aca="false">VLOOKUP(CONCATENATE($AI64,"-",DH$8),'[1]liste complet essai'!$A$4:$K$1367,4,)</f>
        <v>DK</v>
      </c>
      <c r="DI64" s="401" t="s">
        <v>8122</v>
      </c>
      <c r="DJ64" s="322"/>
      <c r="DK64" s="402" t="s">
        <v>8122</v>
      </c>
    </row>
    <row r="65" customFormat="false" ht="12" hidden="false" customHeight="false" outlineLevel="0" collapsed="false">
      <c r="B65" s="384"/>
      <c r="C65" s="398"/>
      <c r="D65" s="307"/>
      <c r="E65" s="399"/>
      <c r="F65" s="309" t="str">
        <f aca="false">VLOOKUP(CONCATENATE($B63,"-",F$8),'[1]liste complet essai'!$A$4:$K$1367,5,)</f>
        <v>G-179</v>
      </c>
      <c r="G65" s="375" t="str">
        <f aca="false">VLOOKUP(CONCATENATE($B63,"-",G$8),'[1]liste complet essai'!$A$4:$K$1367,5,)</f>
        <v>G-126</v>
      </c>
      <c r="H65" s="309" t="str">
        <f aca="false">VLOOKUP(CONCATENATE($B63,"-",H$8),'[1]liste complet essai'!$A$4:$K$1367,5,)</f>
        <v>G-148</v>
      </c>
      <c r="I65" s="309" t="str">
        <f aca="false">VLOOKUP(CONCATENATE($B63,"-",I$8),'[1]liste complet essai'!$A$4:$K$1367,5,)</f>
        <v>G-144</v>
      </c>
      <c r="J65" s="309" t="str">
        <f aca="false">VLOOKUP(CONCATENATE($B63,"-",J$8),'[1]liste complet essai'!$A$4:$K$1367,5,)</f>
        <v>G-189</v>
      </c>
      <c r="K65" s="309" t="str">
        <f aca="false">VLOOKUP(CONCATENATE($B63,"-",K$8),'[1]liste complet essai'!$A$4:$K$1367,5,)</f>
        <v>G-190</v>
      </c>
      <c r="L65" s="309" t="str">
        <f aca="false">VLOOKUP(CONCATENATE($B63,"-",L$8),'[1]liste complet essai'!$A$4:$K$1367,5,)</f>
        <v>G-199</v>
      </c>
      <c r="M65" s="309" t="str">
        <f aca="false">VLOOKUP(CONCATENATE($B63,"-",M$8),'[1]liste complet essai'!$A$4:$K$1367,5,)</f>
        <v>G-188</v>
      </c>
      <c r="N65" s="309" t="str">
        <f aca="false">VLOOKUP(CONCATENATE($B63,"-",N$8),'[1]liste complet essai'!$A$4:$K$1367,5,)</f>
        <v>G-184</v>
      </c>
      <c r="O65" s="309" t="str">
        <f aca="false">VLOOKUP(CONCATENATE($B63,"-",O$8),'[1]liste complet essai'!$A$4:$K$1367,5,)</f>
        <v>G-140</v>
      </c>
      <c r="P65" s="309" t="str">
        <f aca="false">VLOOKUP(CONCATENATE($B63,"-",P$8),'[1]liste complet essai'!$A$4:$K$1367,5,)</f>
        <v>G-205</v>
      </c>
      <c r="Q65" s="309" t="str">
        <f aca="false">VLOOKUP(CONCATENATE($B63,"-",Q$8),'[1]liste complet essai'!$A$4:$K$1367,5,)</f>
        <v>G-142</v>
      </c>
      <c r="R65" s="309" t="str">
        <f aca="false">VLOOKUP(CONCATENATE($B63,"-",R$8),'[1]liste complet essai'!$A$4:$K$1367,5,)</f>
        <v>G-127</v>
      </c>
      <c r="S65" s="309" t="str">
        <f aca="false">VLOOKUP(CONCATENATE($B63,"-",S$8),'[1]liste complet essai'!$A$4:$K$1367,5,)</f>
        <v>G-173</v>
      </c>
      <c r="T65" s="309" t="str">
        <f aca="false">VLOOKUP(CONCATENATE($B63,"-",T$8),'[1]liste complet essai'!$A$4:$K$1367,5,)</f>
        <v>G-160</v>
      </c>
      <c r="U65" s="375" t="str">
        <f aca="false">VLOOKUP(CONCATENATE($B63,"-",U$8),'[1]liste complet essai'!$A$4:$K$1367,5,)</f>
        <v>G-125</v>
      </c>
      <c r="V65" s="309" t="str">
        <f aca="false">VLOOKUP(CONCATENATE($B63,"-",V$8),'[1]liste complet essai'!$A$4:$K$1367,5,)</f>
        <v>G-217</v>
      </c>
      <c r="W65" s="309" t="str">
        <f aca="false">VLOOKUP(CONCATENATE($B63,"-",W$8),'[1]liste complet essai'!$A$4:$K$1367,5,)</f>
        <v>G-138</v>
      </c>
      <c r="X65" s="309" t="str">
        <f aca="false">VLOOKUP(CONCATENATE($B63,"-",X$8),'[1]liste complet essai'!$A$4:$K$1367,5,)</f>
        <v>G-198</v>
      </c>
      <c r="Y65" s="309" t="str">
        <f aca="false">VLOOKUP(CONCATENATE($B63,"-",Y$8),'[1]liste complet essai'!$A$4:$K$1367,5,)</f>
        <v>G-150</v>
      </c>
      <c r="Z65" s="309" t="str">
        <f aca="false">VLOOKUP(CONCATENATE($B63,"-",Z$8),'[1]liste complet essai'!$A$4:$K$1367,5,)</f>
        <v>G-215</v>
      </c>
      <c r="AA65" s="309" t="str">
        <f aca="false">VLOOKUP(CONCATENATE($B63,"-",AA$8),'[1]liste complet essai'!$A$4:$K$1367,5,)</f>
        <v>G-162</v>
      </c>
      <c r="AB65" s="309" t="str">
        <f aca="false">VLOOKUP(CONCATENATE($B63,"-",AB$8),'[1]liste complet essai'!$A$4:$K$1367,5,)</f>
        <v>G-136</v>
      </c>
      <c r="AC65" s="309" t="str">
        <f aca="false">VLOOKUP(CONCATENATE($B63,"-",AC$8),'[1]liste complet essai'!$A$4:$K$1367,5,)</f>
        <v>G-212</v>
      </c>
      <c r="AD65" s="309" t="str">
        <f aca="false">VLOOKUP(CONCATENATE($B63,"-",AD$8),'[1]liste complet essai'!$A$4:$K$1367,5,)</f>
        <v>G-171</v>
      </c>
      <c r="AE65" s="309" t="str">
        <f aca="false">VLOOKUP(CONCATENATE($B63,"-",AE$8),'[1]liste complet essai'!$A$4:$K$1367,5,)</f>
        <v>G-169</v>
      </c>
      <c r="AF65" s="390"/>
      <c r="AI65" s="363"/>
      <c r="AJ65" s="400"/>
      <c r="AK65" s="309"/>
      <c r="AL65" s="401"/>
      <c r="AM65" s="309" t="str">
        <f aca="false">VLOOKUP(CONCATENATE($AI64,"-",AM$8),'[1]liste complet essai'!$A$4:$K$1367,9,)</f>
        <v>N1-b1</v>
      </c>
      <c r="AN65" s="309" t="str">
        <f aca="false">VLOOKUP(CONCATENATE($AI64,"-",AN$8),'[1]liste complet essai'!$A$4:$K$1367,9,)</f>
        <v>N1-b1</v>
      </c>
      <c r="AO65" s="309" t="str">
        <f aca="false">VLOOKUP(CONCATENATE($AI64,"-",AO$8),'[1]liste complet essai'!$A$4:$K$1367,9,)</f>
        <v>N1-b1</v>
      </c>
      <c r="AP65" s="309" t="str">
        <f aca="false">VLOOKUP(CONCATENATE($AI64,"-",AP$8),'[1]liste complet essai'!$A$4:$K$1367,9,)</f>
        <v>N1-b1</v>
      </c>
      <c r="AQ65" s="309" t="str">
        <f aca="false">VLOOKUP(CONCATENATE($AI64,"-",AQ$8),'[1]liste complet essai'!$A$4:$K$1367,9,)</f>
        <v>N1-b1</v>
      </c>
      <c r="AR65" s="309" t="str">
        <f aca="false">VLOOKUP(CONCATENATE($AI64,"-",AR$8),'[1]liste complet essai'!$A$4:$K$1367,9,)</f>
        <v>N1-b1</v>
      </c>
      <c r="AS65" s="309" t="str">
        <f aca="false">VLOOKUP(CONCATENATE($AI64,"-",AS$8),'[1]liste complet essai'!$A$4:$K$1367,9,)</f>
        <v>N1-b1</v>
      </c>
      <c r="AT65" s="309" t="str">
        <f aca="false">VLOOKUP(CONCATENATE($AI64,"-",AT$8),'[1]liste complet essai'!$A$4:$K$1367,9,)</f>
        <v>N1-b1</v>
      </c>
      <c r="AU65" s="309" t="str">
        <f aca="false">VLOOKUP(CONCATENATE($AI64,"-",AU$8),'[1]liste complet essai'!$A$4:$K$1367,9,)</f>
        <v>N1-b1</v>
      </c>
      <c r="AV65" s="309" t="str">
        <f aca="false">VLOOKUP(CONCATENATE($AI64,"-",AV$8),'[1]liste complet essai'!$A$4:$K$1367,9,)</f>
        <v>N1-b1</v>
      </c>
      <c r="AW65" s="366" t="str">
        <f aca="false">VLOOKUP(CONCATENATE($AI64,"-",AW$8),'[1]liste complet essai'!$A$4:$K$1367,9,)</f>
        <v>N1-b1</v>
      </c>
      <c r="AX65" s="309" t="str">
        <f aca="false">VLOOKUP(CONCATENATE($AI64,"-",AX$8),'[1]liste complet essai'!$A$4:$K$1367,9,)</f>
        <v>N1-b1</v>
      </c>
      <c r="AY65" s="309" t="str">
        <f aca="false">VLOOKUP(CONCATENATE($AI64,"-",AY$8),'[1]liste complet essai'!$A$4:$K$1367,9,)</f>
        <v>N1-b1</v>
      </c>
      <c r="AZ65" s="309" t="str">
        <f aca="false">VLOOKUP(CONCATENATE($AI64,"-",AZ$8),'[1]liste complet essai'!$A$4:$K$1367,9,)</f>
        <v>N1-b1</v>
      </c>
      <c r="BA65" s="309" t="str">
        <f aca="false">VLOOKUP(CONCATENATE($AI64,"-",BA$8),'[1]liste complet essai'!$A$4:$K$1367,9,)</f>
        <v>N1-b1</v>
      </c>
      <c r="BB65" s="309" t="str">
        <f aca="false">VLOOKUP(CONCATENATE($AI64,"-",BB$8),'[1]liste complet essai'!$A$4:$K$1367,9,)</f>
        <v>N1-b1</v>
      </c>
      <c r="BC65" s="309" t="str">
        <f aca="false">VLOOKUP(CONCATENATE($AI64,"-",BC$8),'[1]liste complet essai'!$A$4:$K$1367,9,)</f>
        <v>N1-b1</v>
      </c>
      <c r="BD65" s="309" t="str">
        <f aca="false">VLOOKUP(CONCATENATE($AI64,"-",BD$8),'[1]liste complet essai'!$A$4:$K$1367,9,)</f>
        <v>N1-b1</v>
      </c>
      <c r="BE65" s="309" t="str">
        <f aca="false">VLOOKUP(CONCATENATE($AI64,"-",BE$8),'[1]liste complet essai'!$A$4:$K$1367,9,)</f>
        <v>N1-b1</v>
      </c>
      <c r="BF65" s="309" t="str">
        <f aca="false">VLOOKUP(CONCATENATE($AI64,"-",BF$8),'[1]liste complet essai'!$A$4:$K$1367,9,)</f>
        <v>N1-b1</v>
      </c>
      <c r="BG65" s="309" t="str">
        <f aca="false">VLOOKUP(CONCATENATE($AI64,"-",BG$8),'[1]liste complet essai'!$A$4:$K$1367,9,)</f>
        <v>N1-b1</v>
      </c>
      <c r="BH65" s="309" t="str">
        <f aca="false">VLOOKUP(CONCATENATE($AI64,"-",BH$8),'[1]liste complet essai'!$A$4:$K$1367,9,)</f>
        <v>N1-b1</v>
      </c>
      <c r="BI65" s="309" t="str">
        <f aca="false">VLOOKUP(CONCATENATE($AI64,"-",BI$8),'[1]liste complet essai'!$A$4:$K$1367,9,)</f>
        <v>N1-b1</v>
      </c>
      <c r="BJ65" s="309" t="str">
        <f aca="false">VLOOKUP(CONCATENATE($AI64,"-",BJ$8),'[1]liste complet essai'!$A$4:$K$1367,9,)</f>
        <v>N1-b1</v>
      </c>
      <c r="BK65" s="309" t="str">
        <f aca="false">VLOOKUP(CONCATENATE($AI64,"-",BK$8),'[1]liste complet essai'!$A$4:$K$1367,9,)</f>
        <v>N1-b1</v>
      </c>
      <c r="BL65" s="309" t="str">
        <f aca="false">VLOOKUP(CONCATENATE($AI64,"-",BL$8),'[1]liste complet essai'!$A$4:$K$1367,9,)</f>
        <v>N1-b1</v>
      </c>
      <c r="BM65" s="309" t="str">
        <f aca="false">VLOOKUP(CONCATENATE($AI64,"-",BM$8),'[1]liste complet essai'!$A$4:$K$1367,9,)</f>
        <v>N1-b1</v>
      </c>
      <c r="BN65" s="309" t="str">
        <f aca="false">VLOOKUP(CONCATENATE($AI64,"-",BN$8),'[1]liste complet essai'!$A$4:$K$1367,9,)</f>
        <v>N1-b1</v>
      </c>
      <c r="BO65" s="309" t="str">
        <f aca="false">VLOOKUP(CONCATENATE($AI64,"-",BO$8),'[1]liste complet essai'!$A$4:$K$1367,9,)</f>
        <v>N1-b1</v>
      </c>
      <c r="BP65" s="309" t="str">
        <f aca="false">VLOOKUP(CONCATENATE($AI64,"-",BP$8),'[1]liste complet essai'!$A$4:$K$1367,9,)</f>
        <v>N1-b1</v>
      </c>
      <c r="BQ65" s="309" t="str">
        <f aca="false">VLOOKUP(CONCATENATE($AI64,"-",BQ$8),'[1]liste complet essai'!$A$4:$K$1367,9,)</f>
        <v>N1-b1</v>
      </c>
      <c r="BR65" s="309" t="str">
        <f aca="false">VLOOKUP(CONCATENATE($AI64,"-",BR$8),'[1]liste complet essai'!$A$4:$K$1367,9,)</f>
        <v>N1-b1</v>
      </c>
      <c r="BS65" s="374"/>
      <c r="BT65" s="374"/>
      <c r="BU65" s="374"/>
      <c r="BV65" s="374"/>
      <c r="BW65" s="374"/>
      <c r="BX65" s="374"/>
      <c r="BY65" s="374"/>
      <c r="BZ65" s="374"/>
      <c r="CA65" s="374"/>
      <c r="CB65" s="374"/>
      <c r="CC65" s="309" t="str">
        <f aca="false">VLOOKUP(CONCATENATE($AI64,"-",CC$8),'[1]liste complet essai'!$A$4:$K$1367,9,)</f>
        <v>N1-b2</v>
      </c>
      <c r="CD65" s="309" t="str">
        <f aca="false">VLOOKUP(CONCATENATE($AI64,"-",CD$8),'[1]liste complet essai'!$A$4:$K$1367,9,)</f>
        <v>N1-b2</v>
      </c>
      <c r="CE65" s="309" t="str">
        <f aca="false">VLOOKUP(CONCATENATE($AI64,"-",CE$8),'[1]liste complet essai'!$A$4:$K$1367,9,)</f>
        <v>N1-b2</v>
      </c>
      <c r="CF65" s="309" t="str">
        <f aca="false">VLOOKUP(CONCATENATE($AI64,"-",CF$8),'[1]liste complet essai'!$A$4:$K$1367,9,)</f>
        <v>N1-b2</v>
      </c>
      <c r="CG65" s="309" t="str">
        <f aca="false">VLOOKUP(CONCATENATE($AI64,"-",CG$8),'[1]liste complet essai'!$A$4:$K$1367,9,)</f>
        <v>N1-b2</v>
      </c>
      <c r="CH65" s="309" t="str">
        <f aca="false">VLOOKUP(CONCATENATE($AI64,"-",CH$8),'[1]liste complet essai'!$A$4:$K$1367,9,)</f>
        <v>N1-b2</v>
      </c>
      <c r="CI65" s="309" t="str">
        <f aca="false">VLOOKUP(CONCATENATE($AI64,"-",CI$8),'[1]liste complet essai'!$A$4:$K$1367,9,)</f>
        <v>N1-b2</v>
      </c>
      <c r="CJ65" s="309" t="str">
        <f aca="false">VLOOKUP(CONCATENATE($AI64,"-",CJ$8),'[1]liste complet essai'!$A$4:$K$1367,9,)</f>
        <v>N1-b2</v>
      </c>
      <c r="CK65" s="309" t="str">
        <f aca="false">VLOOKUP(CONCATENATE($AI64,"-",CK$8),'[1]liste complet essai'!$A$4:$K$1367,9,)</f>
        <v>N1-b2</v>
      </c>
      <c r="CL65" s="309" t="str">
        <f aca="false">VLOOKUP(CONCATENATE($AI64,"-",CL$8),'[1]liste complet essai'!$A$4:$K$1367,9,)</f>
        <v>N1-b2</v>
      </c>
      <c r="CM65" s="309" t="str">
        <f aca="false">VLOOKUP(CONCATENATE($AI64,"-",CM$8),'[1]liste complet essai'!$A$4:$K$1367,9,)</f>
        <v>N1-b2</v>
      </c>
      <c r="CN65" s="309" t="str">
        <f aca="false">VLOOKUP(CONCATENATE($AI64,"-",CN$8),'[1]liste complet essai'!$A$4:$K$1367,9,)</f>
        <v>N1-b2</v>
      </c>
      <c r="CO65" s="309" t="str">
        <f aca="false">VLOOKUP(CONCATENATE($AI64,"-",CO$8),'[1]liste complet essai'!$A$4:$K$1367,9,)</f>
        <v>N1-b2</v>
      </c>
      <c r="CP65" s="373" t="str">
        <f aca="false">VLOOKUP(CONCATENATE($AI64,"-",CP$8),'[1]liste complet essai'!$A$4:$K$1367,9,)</f>
        <v>N1-b2</v>
      </c>
      <c r="CQ65" s="309" t="str">
        <f aca="false">VLOOKUP(CONCATENATE($AI64,"-",CQ$8),'[1]liste complet essai'!$A$4:$K$1367,9,)</f>
        <v>N1-b2</v>
      </c>
      <c r="CR65" s="309" t="str">
        <f aca="false">VLOOKUP(CONCATENATE($AI64,"-",CR$8),'[1]liste complet essai'!$A$4:$K$1367,9,)</f>
        <v>N1-b2</v>
      </c>
      <c r="CS65" s="309" t="str">
        <f aca="false">VLOOKUP(CONCATENATE($AI64,"-",CS$8),'[1]liste complet essai'!$A$4:$K$1367,9,)</f>
        <v>N1-b2</v>
      </c>
      <c r="CT65" s="309" t="str">
        <f aca="false">VLOOKUP(CONCATENATE($AI64,"-",CT$8),'[1]liste complet essai'!$A$4:$K$1367,9,)</f>
        <v>N1-b2</v>
      </c>
      <c r="CU65" s="309" t="str">
        <f aca="false">VLOOKUP(CONCATENATE($AI64,"-",CU$8),'[1]liste complet essai'!$A$4:$K$1367,9,)</f>
        <v>N1-b2</v>
      </c>
      <c r="CV65" s="309" t="str">
        <f aca="false">VLOOKUP(CONCATENATE($AI64,"-",CV$8),'[1]liste complet essai'!$A$4:$K$1367,9,)</f>
        <v>N1-b2</v>
      </c>
      <c r="CW65" s="309" t="str">
        <f aca="false">VLOOKUP(CONCATENATE($AI64,"-",CW$8),'[1]liste complet essai'!$A$4:$K$1367,9,)</f>
        <v>N1-b2</v>
      </c>
      <c r="CX65" s="309" t="str">
        <f aca="false">VLOOKUP(CONCATENATE($AI64,"-",CX$8),'[1]liste complet essai'!$A$4:$K$1367,9,)</f>
        <v>N1-b2</v>
      </c>
      <c r="CY65" s="309" t="str">
        <f aca="false">VLOOKUP(CONCATENATE($AI64,"-",CY$8),'[1]liste complet essai'!$A$4:$K$1367,9,)</f>
        <v>N1-b2</v>
      </c>
      <c r="CZ65" s="309" t="str">
        <f aca="false">VLOOKUP(CONCATENATE($AI64,"-",CZ$8),'[1]liste complet essai'!$A$4:$K$1367,9,)</f>
        <v>N1-b2</v>
      </c>
      <c r="DA65" s="309" t="str">
        <f aca="false">VLOOKUP(CONCATENATE($AI64,"-",DA$8),'[1]liste complet essai'!$A$4:$K$1367,9,)</f>
        <v>N1-b2</v>
      </c>
      <c r="DB65" s="309" t="str">
        <f aca="false">VLOOKUP(CONCATENATE($AI64,"-",DB$8),'[1]liste complet essai'!$A$4:$K$1367,9,)</f>
        <v>N1-b2</v>
      </c>
      <c r="DC65" s="309" t="str">
        <f aca="false">VLOOKUP(CONCATENATE($AI64,"-",DC$8),'[1]liste complet essai'!$A$4:$K$1367,9,)</f>
        <v>N1-b2</v>
      </c>
      <c r="DD65" s="309" t="str">
        <f aca="false">VLOOKUP(CONCATENATE($AI64,"-",DD$8),'[1]liste complet essai'!$A$4:$K$1367,9,)</f>
        <v>N1-b2</v>
      </c>
      <c r="DE65" s="309" t="str">
        <f aca="false">VLOOKUP(CONCATENATE($AI64,"-",DE$8),'[1]liste complet essai'!$A$4:$K$1367,9,)</f>
        <v>N1-b2</v>
      </c>
      <c r="DF65" s="309" t="str">
        <f aca="false">VLOOKUP(CONCATENATE($AI64,"-",DF$8),'[1]liste complet essai'!$A$4:$K$1367,9,)</f>
        <v>N1-b2</v>
      </c>
      <c r="DG65" s="309" t="str">
        <f aca="false">VLOOKUP(CONCATENATE($AI64,"-",DG$8),'[1]liste complet essai'!$A$4:$K$1367,9,)</f>
        <v>N1-b2</v>
      </c>
      <c r="DH65" s="309" t="str">
        <f aca="false">VLOOKUP(CONCATENATE($AI64,"-",DH$8),'[1]liste complet essai'!$A$4:$K$1367,9,)</f>
        <v>N1-b2</v>
      </c>
      <c r="DI65" s="401"/>
      <c r="DJ65" s="309"/>
      <c r="DK65" s="402"/>
    </row>
    <row r="66" customFormat="false" ht="12" hidden="false" customHeight="true" outlineLevel="0" collapsed="false">
      <c r="B66" s="384"/>
      <c r="C66" s="398"/>
      <c r="D66" s="314"/>
      <c r="E66" s="399"/>
      <c r="F66" s="317" t="str">
        <f aca="false">VLOOKUP(CONCATENATE($B63,"-",F$8),'[1]liste complet essai'!$A$4:$K$1367,1,)</f>
        <v>28-65</v>
      </c>
      <c r="G66" s="317" t="str">
        <f aca="false">VLOOKUP(CONCATENATE($B63,"-",G$8),'[1]liste complet essai'!$A$4:$K$1367,1,)</f>
        <v>28-66</v>
      </c>
      <c r="H66" s="317" t="str">
        <f aca="false">VLOOKUP(CONCATENATE($B63,"-",H$8),'[1]liste complet essai'!$A$4:$K$1367,1,)</f>
        <v>28-67</v>
      </c>
      <c r="I66" s="317" t="str">
        <f aca="false">VLOOKUP(CONCATENATE($B63,"-",I$8),'[1]liste complet essai'!$A$4:$K$1367,1,)</f>
        <v>28-68</v>
      </c>
      <c r="J66" s="317" t="str">
        <f aca="false">VLOOKUP(CONCATENATE($B63,"-",J$8),'[1]liste complet essai'!$A$4:$K$1367,1,)</f>
        <v>28-69</v>
      </c>
      <c r="K66" s="317" t="str">
        <f aca="false">VLOOKUP(CONCATENATE($B63,"-",K$8),'[1]liste complet essai'!$A$4:$K$1367,1,)</f>
        <v>28-70</v>
      </c>
      <c r="L66" s="317" t="str">
        <f aca="false">VLOOKUP(CONCATENATE($B63,"-",L$8),'[1]liste complet essai'!$A$4:$K$1367,1,)</f>
        <v>28-71</v>
      </c>
      <c r="M66" s="317" t="str">
        <f aca="false">VLOOKUP(CONCATENATE($B63,"-",M$8),'[1]liste complet essai'!$A$4:$K$1367,1,)</f>
        <v>28-72</v>
      </c>
      <c r="N66" s="317" t="str">
        <f aca="false">VLOOKUP(CONCATENATE($B63,"-",N$8),'[1]liste complet essai'!$A$4:$K$1367,1,)</f>
        <v>28-73</v>
      </c>
      <c r="O66" s="317" t="str">
        <f aca="false">VLOOKUP(CONCATENATE($B63,"-",O$8),'[1]liste complet essai'!$A$4:$K$1367,1,)</f>
        <v>28-74</v>
      </c>
      <c r="P66" s="317" t="str">
        <f aca="false">VLOOKUP(CONCATENATE($B63,"-",P$8),'[1]liste complet essai'!$A$4:$K$1367,1,)</f>
        <v>28-75</v>
      </c>
      <c r="Q66" s="317" t="str">
        <f aca="false">VLOOKUP(CONCATENATE($B63,"-",Q$8),'[1]liste complet essai'!$A$4:$K$1367,1,)</f>
        <v>28-76</v>
      </c>
      <c r="R66" s="317" t="str">
        <f aca="false">VLOOKUP(CONCATENATE($B63,"-",R$8),'[1]liste complet essai'!$A$4:$K$1367,1,)</f>
        <v>28-77</v>
      </c>
      <c r="S66" s="317" t="str">
        <f aca="false">VLOOKUP(CONCATENATE($B63,"-",S$8),'[1]liste complet essai'!$A$4:$K$1367,1,)</f>
        <v>28-78</v>
      </c>
      <c r="T66" s="317" t="str">
        <f aca="false">VLOOKUP(CONCATENATE($B63,"-",T$8),'[1]liste complet essai'!$A$4:$K$1367,1,)</f>
        <v>28-79</v>
      </c>
      <c r="U66" s="366" t="str">
        <f aca="false">VLOOKUP(CONCATENATE($B63,"-",U$8),'[1]liste complet essai'!$A$4:$K$1367,1,)</f>
        <v>28-80</v>
      </c>
      <c r="V66" s="317" t="str">
        <f aca="false">VLOOKUP(CONCATENATE($B63,"-",V$8),'[1]liste complet essai'!$A$4:$K$1367,1,)</f>
        <v>28-81</v>
      </c>
      <c r="W66" s="317" t="str">
        <f aca="false">VLOOKUP(CONCATENATE($B63,"-",W$8),'[1]liste complet essai'!$A$4:$K$1367,1,)</f>
        <v>28-82</v>
      </c>
      <c r="X66" s="317" t="str">
        <f aca="false">VLOOKUP(CONCATENATE($B63,"-",X$8),'[1]liste complet essai'!$A$4:$K$1367,1,)</f>
        <v>28-83</v>
      </c>
      <c r="Y66" s="317" t="str">
        <f aca="false">VLOOKUP(CONCATENATE($B63,"-",Y$8),'[1]liste complet essai'!$A$4:$K$1367,1,)</f>
        <v>28-84</v>
      </c>
      <c r="Z66" s="317" t="str">
        <f aca="false">VLOOKUP(CONCATENATE($B63,"-",Z$8),'[1]liste complet essai'!$A$4:$K$1367,1,)</f>
        <v>28-85</v>
      </c>
      <c r="AA66" s="317" t="str">
        <f aca="false">VLOOKUP(CONCATENATE($B63,"-",AA$8),'[1]liste complet essai'!$A$4:$K$1367,1,)</f>
        <v>28-86</v>
      </c>
      <c r="AB66" s="317" t="str">
        <f aca="false">VLOOKUP(CONCATENATE($B63,"-",AB$8),'[1]liste complet essai'!$A$4:$K$1367,1,)</f>
        <v>28-87</v>
      </c>
      <c r="AC66" s="317" t="str">
        <f aca="false">VLOOKUP(CONCATENATE($B63,"-",AC$8),'[1]liste complet essai'!$A$4:$K$1367,1,)</f>
        <v>28-88</v>
      </c>
      <c r="AD66" s="317" t="str">
        <f aca="false">VLOOKUP(CONCATENATE($B63,"-",AD$8),'[1]liste complet essai'!$A$4:$K$1367,1,)</f>
        <v>28-89</v>
      </c>
      <c r="AE66" s="317" t="str">
        <f aca="false">VLOOKUP(CONCATENATE($B63,"-",AE$8),'[1]liste complet essai'!$A$4:$K$1367,1,)</f>
        <v>28-90</v>
      </c>
      <c r="AF66" s="390"/>
      <c r="AI66" s="363"/>
      <c r="AJ66" s="400"/>
      <c r="AK66" s="309"/>
      <c r="AL66" s="401"/>
      <c r="AM66" s="309" t="str">
        <f aca="false">VLOOKUP(CONCATENATE($AI64,"-",AM$8),'[1]liste complet essai'!$A$4:$K$1367,5,)</f>
        <v>G-193</v>
      </c>
      <c r="AN66" s="309" t="str">
        <f aca="false">VLOOKUP(CONCATENATE($AI64,"-",AN$8),'[1]liste complet essai'!$A$4:$K$1367,5,)</f>
        <v>G-180</v>
      </c>
      <c r="AO66" s="309" t="str">
        <f aca="false">VLOOKUP(CONCATENATE($AI64,"-",AO$8),'[1]liste complet essai'!$A$4:$K$1367,5,)</f>
        <v>G-160</v>
      </c>
      <c r="AP66" s="309" t="str">
        <f aca="false">VLOOKUP(CONCATENATE($AI64,"-",AP$8),'[1]liste complet essai'!$A$4:$K$1367,5,)</f>
        <v>G-135</v>
      </c>
      <c r="AQ66" s="309" t="str">
        <f aca="false">VLOOKUP(CONCATENATE($AI64,"-",AQ$8),'[1]liste complet essai'!$A$4:$K$1367,5,)</f>
        <v>G-162</v>
      </c>
      <c r="AR66" s="309" t="str">
        <f aca="false">VLOOKUP(CONCATENATE($AI64,"-",AR$8),'[1]liste complet essai'!$A$4:$K$1367,5,)</f>
        <v>G-167</v>
      </c>
      <c r="AS66" s="309" t="str">
        <f aca="false">VLOOKUP(CONCATENATE($AI64,"-",AS$8),'[1]liste complet essai'!$A$4:$K$1367,5,)</f>
        <v>G-150</v>
      </c>
      <c r="AT66" s="309" t="str">
        <f aca="false">VLOOKUP(CONCATENATE($AI64,"-",AT$8),'[1]liste complet essai'!$A$4:$K$1367,5,)</f>
        <v>G-211</v>
      </c>
      <c r="AU66" s="309" t="str">
        <f aca="false">VLOOKUP(CONCATENATE($AI64,"-",AU$8),'[1]liste complet essai'!$A$4:$K$1367,5,)</f>
        <v>G-134</v>
      </c>
      <c r="AV66" s="309" t="str">
        <f aca="false">VLOOKUP(CONCATENATE($AI64,"-",AV$8),'[1]liste complet essai'!$A$4:$K$1367,5,)</f>
        <v>G-132</v>
      </c>
      <c r="AW66" s="375" t="str">
        <f aca="false">VLOOKUP(CONCATENATE($AI64,"-",AW$8),'[1]liste complet essai'!$A$4:$K$1367,5,)</f>
        <v>G-126</v>
      </c>
      <c r="AX66" s="309" t="str">
        <f aca="false">VLOOKUP(CONCATENATE($AI64,"-",AX$8),'[1]liste complet essai'!$A$4:$K$1367,5,)</f>
        <v>G-173</v>
      </c>
      <c r="AY66" s="376" t="str">
        <f aca="false">VLOOKUP(CONCATENATE($AI64,"-",AY$8),'[1]liste complet essai'!$A$4:$K$1367,5,)</f>
        <v>G-126</v>
      </c>
      <c r="AZ66" s="309" t="str">
        <f aca="false">VLOOKUP(CONCATENATE($AI64,"-",AZ$8),'[1]liste complet essai'!$A$4:$K$1367,5,)</f>
        <v>G-198</v>
      </c>
      <c r="BA66" s="309" t="str">
        <f aca="false">VLOOKUP(CONCATENATE($AI64,"-",BA$8),'[1]liste complet essai'!$A$4:$K$1367,5,)</f>
        <v>G-163</v>
      </c>
      <c r="BB66" s="309" t="str">
        <f aca="false">VLOOKUP(CONCATENATE($AI64,"-",BB$8),'[1]liste complet essai'!$A$4:$K$1367,5,)</f>
        <v>G-216</v>
      </c>
      <c r="BC66" s="309" t="str">
        <f aca="false">VLOOKUP(CONCATENATE($AI64,"-",BC$8),'[1]liste complet essai'!$A$4:$K$1367,5,)</f>
        <v>G-187</v>
      </c>
      <c r="BD66" s="309" t="str">
        <f aca="false">VLOOKUP(CONCATENATE($AI64,"-",BD$8),'[1]liste complet essai'!$A$4:$K$1367,5,)</f>
        <v>G-191</v>
      </c>
      <c r="BE66" s="309" t="str">
        <f aca="false">VLOOKUP(CONCATENATE($AI64,"-",BE$8),'[1]liste complet essai'!$A$4:$K$1367,5,)</f>
        <v>G-158</v>
      </c>
      <c r="BF66" s="309" t="str">
        <f aca="false">VLOOKUP(CONCATENATE($AI64,"-",BF$8),'[1]liste complet essai'!$A$4:$K$1367,5,)</f>
        <v>G-190</v>
      </c>
      <c r="BG66" s="309" t="str">
        <f aca="false">VLOOKUP(CONCATENATE($AI64,"-",BG$8),'[1]liste complet essai'!$A$4:$K$1367,5,)</f>
        <v>G-127</v>
      </c>
      <c r="BH66" s="309" t="str">
        <f aca="false">VLOOKUP(CONCATENATE($AI64,"-",BH$8),'[1]liste complet essai'!$A$4:$K$1367,5,)</f>
        <v>G-140</v>
      </c>
      <c r="BI66" s="309" t="str">
        <f aca="false">VLOOKUP(CONCATENATE($AI64,"-",BI$8),'[1]liste complet essai'!$A$4:$K$1367,5,)</f>
        <v>G-152</v>
      </c>
      <c r="BJ66" s="309" t="str">
        <f aca="false">VLOOKUP(CONCATENATE($AI64,"-",BJ$8),'[1]liste complet essai'!$A$4:$K$1367,5,)</f>
        <v>G-182</v>
      </c>
      <c r="BK66" s="309" t="str">
        <f aca="false">VLOOKUP(CONCATENATE($AI64,"-",BK$8),'[1]liste complet essai'!$A$4:$K$1367,5,)</f>
        <v>G-151</v>
      </c>
      <c r="BL66" s="309" t="str">
        <f aca="false">VLOOKUP(CONCATENATE($AI64,"-",BL$8),'[1]liste complet essai'!$A$4:$K$1367,5,)</f>
        <v>G-206</v>
      </c>
      <c r="BM66" s="309" t="str">
        <f aca="false">VLOOKUP(CONCATENATE($AI64,"-",BM$8),'[1]liste complet essai'!$A$4:$K$1367,5,)</f>
        <v>G-143</v>
      </c>
      <c r="BN66" s="309" t="str">
        <f aca="false">VLOOKUP(CONCATENATE($AI64,"-",BN$8),'[1]liste complet essai'!$A$4:$K$1367,5,)</f>
        <v>G-129</v>
      </c>
      <c r="BO66" s="309" t="str">
        <f aca="false">VLOOKUP(CONCATENATE($AI64,"-",BO$8),'[1]liste complet essai'!$A$4:$K$1367,5,)</f>
        <v>G-185</v>
      </c>
      <c r="BP66" s="309" t="str">
        <f aca="false">VLOOKUP(CONCATENATE($AI64,"-",BP$8),'[1]liste complet essai'!$A$4:$K$1367,5,)</f>
        <v>G-186</v>
      </c>
      <c r="BQ66" s="309" t="str">
        <f aca="false">VLOOKUP(CONCATENATE($AI64,"-",BQ$8),'[1]liste complet essai'!$A$4:$K$1367,5,)</f>
        <v>G-136</v>
      </c>
      <c r="BR66" s="309" t="str">
        <f aca="false">VLOOKUP(CONCATENATE($AI64,"-",BR$8),'[1]liste complet essai'!$A$4:$K$1367,5,)</f>
        <v>G-189</v>
      </c>
      <c r="BS66" s="374"/>
      <c r="BT66" s="374"/>
      <c r="BU66" s="374"/>
      <c r="BV66" s="374"/>
      <c r="BW66" s="374"/>
      <c r="BX66" s="374"/>
      <c r="BY66" s="374"/>
      <c r="BZ66" s="374"/>
      <c r="CA66" s="374"/>
      <c r="CB66" s="374"/>
      <c r="CC66" s="309" t="str">
        <f aca="false">VLOOKUP(CONCATENATE($AI64,"-",CC$8),'[1]liste complet essai'!$A$4:$K$1367,5,)</f>
        <v>G-152</v>
      </c>
      <c r="CD66" s="309" t="str">
        <f aca="false">VLOOKUP(CONCATENATE($AI64,"-",CD$8),'[1]liste complet essai'!$A$4:$K$1367,5,)</f>
        <v>G-135</v>
      </c>
      <c r="CE66" s="309" t="str">
        <f aca="false">VLOOKUP(CONCATENATE($AI64,"-",CE$8),'[1]liste complet essai'!$A$4:$K$1367,5,)</f>
        <v>G-186</v>
      </c>
      <c r="CF66" s="309" t="str">
        <f aca="false">VLOOKUP(CONCATENATE($AI64,"-",CF$8),'[1]liste complet essai'!$A$4:$K$1367,5,)</f>
        <v>G-178</v>
      </c>
      <c r="CG66" s="309" t="str">
        <f aca="false">VLOOKUP(CONCATENATE($AI64,"-",CG$8),'[1]liste complet essai'!$A$4:$K$1367,5,)</f>
        <v>G-168</v>
      </c>
      <c r="CH66" s="309" t="str">
        <f aca="false">VLOOKUP(CONCATENATE($AI64,"-",CH$8),'[1]liste complet essai'!$A$4:$K$1367,5,)</f>
        <v>G-143</v>
      </c>
      <c r="CI66" s="309" t="str">
        <f aca="false">VLOOKUP(CONCATENATE($AI64,"-",CI$8),'[1]liste complet essai'!$A$4:$K$1367,5,)</f>
        <v>G-133</v>
      </c>
      <c r="CJ66" s="309" t="str">
        <f aca="false">VLOOKUP(CONCATENATE($AI64,"-",CJ$8),'[1]liste complet essai'!$A$4:$K$1367,5,)</f>
        <v>G-128</v>
      </c>
      <c r="CK66" s="309" t="str">
        <f aca="false">VLOOKUP(CONCATENATE($AI64,"-",CK$8),'[1]liste complet essai'!$A$4:$K$1367,5,)</f>
        <v>G-130</v>
      </c>
      <c r="CL66" s="309" t="str">
        <f aca="false">VLOOKUP(CONCATENATE($AI64,"-",CL$8),'[1]liste complet essai'!$A$4:$K$1367,5,)</f>
        <v>G-162</v>
      </c>
      <c r="CM66" s="309" t="str">
        <f aca="false">VLOOKUP(CONCATENATE($AI64,"-",CM$8),'[1]liste complet essai'!$A$4:$K$1367,5,)</f>
        <v>G-144</v>
      </c>
      <c r="CN66" s="309" t="str">
        <f aca="false">VLOOKUP(CONCATENATE($AI64,"-",CN$8),'[1]liste complet essai'!$A$4:$K$1367,5,)</f>
        <v>G-134</v>
      </c>
      <c r="CO66" s="309" t="str">
        <f aca="false">VLOOKUP(CONCATENATE($AI64,"-",CO$8),'[1]liste complet essai'!$A$4:$K$1367,5,)</f>
        <v>G-172</v>
      </c>
      <c r="CP66" s="376" t="str">
        <f aca="false">VLOOKUP(CONCATENATE($AI64,"-",CP$8),'[1]liste complet essai'!$A$4:$K$1367,5,)</f>
        <v>G-125</v>
      </c>
      <c r="CQ66" s="309" t="str">
        <f aca="false">VLOOKUP(CONCATENATE($AI64,"-",CQ$8),'[1]liste complet essai'!$A$4:$K$1367,5,)</f>
        <v>G-161</v>
      </c>
      <c r="CR66" s="309" t="str">
        <f aca="false">VLOOKUP(CONCATENATE($AI64,"-",CR$8),'[1]liste complet essai'!$A$4:$K$1367,5,)</f>
        <v>G-165</v>
      </c>
      <c r="CS66" s="309" t="str">
        <f aca="false">VLOOKUP(CONCATENATE($AI64,"-",CS$8),'[1]liste complet essai'!$A$4:$K$1367,5,)</f>
        <v>G-197</v>
      </c>
      <c r="CT66" s="309" t="str">
        <f aca="false">VLOOKUP(CONCATENATE($AI64,"-",CT$8),'[1]liste complet essai'!$A$4:$K$1367,5,)</f>
        <v>G-180</v>
      </c>
      <c r="CU66" s="309" t="str">
        <f aca="false">VLOOKUP(CONCATENATE($AI64,"-",CU$8),'[1]liste complet essai'!$A$4:$K$1367,5,)</f>
        <v>G-212</v>
      </c>
      <c r="CV66" s="309" t="str">
        <f aca="false">VLOOKUP(CONCATENATE($AI64,"-",CV$8),'[1]liste complet essai'!$A$4:$K$1367,5,)</f>
        <v>G-156</v>
      </c>
      <c r="CW66" s="309" t="str">
        <f aca="false">VLOOKUP(CONCATENATE($AI64,"-",CW$8),'[1]liste complet essai'!$A$4:$K$1367,5,)</f>
        <v>G-139</v>
      </c>
      <c r="CX66" s="309" t="str">
        <f aca="false">VLOOKUP(CONCATENATE($AI64,"-",CX$8),'[1]liste complet essai'!$A$4:$K$1367,5,)</f>
        <v>G-151</v>
      </c>
      <c r="CY66" s="309" t="str">
        <f aca="false">VLOOKUP(CONCATENATE($AI64,"-",CY$8),'[1]liste complet essai'!$A$4:$K$1367,5,)</f>
        <v>G-155</v>
      </c>
      <c r="CZ66" s="309" t="str">
        <f aca="false">VLOOKUP(CONCATENATE($AI64,"-",CZ$8),'[1]liste complet essai'!$A$4:$K$1367,5,)</f>
        <v>G-183</v>
      </c>
      <c r="DA66" s="309" t="str">
        <f aca="false">VLOOKUP(CONCATENATE($AI64,"-",DA$8),'[1]liste complet essai'!$A$4:$K$1367,5,)</f>
        <v>G-153</v>
      </c>
      <c r="DB66" s="309" t="str">
        <f aca="false">VLOOKUP(CONCATENATE($AI64,"-",DB$8),'[1]liste complet essai'!$A$4:$K$1367,5,)</f>
        <v>G-199</v>
      </c>
      <c r="DC66" s="309" t="str">
        <f aca="false">VLOOKUP(CONCATENATE($AI64,"-",DC$8),'[1]liste complet essai'!$A$4:$K$1367,5,)</f>
        <v>G-138</v>
      </c>
      <c r="DD66" s="309" t="str">
        <f aca="false">VLOOKUP(CONCATENATE($AI64,"-",DD$8),'[1]liste complet essai'!$A$4:$K$1367,5,)</f>
        <v>G-145</v>
      </c>
      <c r="DE66" s="309" t="str">
        <f aca="false">VLOOKUP(CONCATENATE($AI64,"-",DE$8),'[1]liste complet essai'!$A$4:$K$1367,5,)</f>
        <v>G-149</v>
      </c>
      <c r="DF66" s="309" t="str">
        <f aca="false">VLOOKUP(CONCATENATE($AI64,"-",DF$8),'[1]liste complet essai'!$A$4:$K$1367,5,)</f>
        <v>G-146</v>
      </c>
      <c r="DG66" s="309" t="str">
        <f aca="false">VLOOKUP(CONCATENATE($AI64,"-",DG$8),'[1]liste complet essai'!$A$4:$K$1367,5,)</f>
        <v>G-131</v>
      </c>
      <c r="DH66" s="309" t="str">
        <f aca="false">VLOOKUP(CONCATENATE($AI64,"-",DH$8),'[1]liste complet essai'!$A$4:$K$1367,5,)</f>
        <v>G-196</v>
      </c>
      <c r="DI66" s="401"/>
      <c r="DJ66" s="309"/>
      <c r="DK66" s="402"/>
    </row>
    <row r="67" s="291" customFormat="true" ht="12" hidden="false" customHeight="true" outlineLevel="0" collapsed="false">
      <c r="A67" s="403"/>
      <c r="B67" s="404"/>
      <c r="C67" s="405"/>
      <c r="D67" s="343"/>
      <c r="E67" s="343"/>
      <c r="F67" s="343"/>
      <c r="G67" s="343"/>
      <c r="H67" s="343"/>
      <c r="I67" s="343"/>
      <c r="J67" s="343"/>
      <c r="K67" s="343"/>
      <c r="L67" s="343"/>
      <c r="M67" s="343"/>
      <c r="N67" s="343"/>
      <c r="O67" s="343"/>
      <c r="P67" s="343"/>
      <c r="Q67" s="343"/>
      <c r="R67" s="343"/>
      <c r="S67" s="343"/>
      <c r="T67" s="343"/>
      <c r="U67" s="343"/>
      <c r="V67" s="343"/>
      <c r="W67" s="343"/>
      <c r="X67" s="343"/>
      <c r="Y67" s="343"/>
      <c r="Z67" s="343"/>
      <c r="AA67" s="343"/>
      <c r="AB67" s="343"/>
      <c r="AC67" s="343"/>
      <c r="AD67" s="343"/>
      <c r="AE67" s="343"/>
      <c r="AF67" s="406"/>
      <c r="AG67" s="403"/>
      <c r="AI67" s="363"/>
      <c r="AJ67" s="400"/>
      <c r="AK67" s="354"/>
      <c r="AL67" s="401"/>
      <c r="AM67" s="354" t="str">
        <f aca="false">VLOOKUP(CONCATENATE($AI64,"-",AM$8),'[1]liste complet essai'!$A$4:$K$1367,1,)</f>
        <v>14-01</v>
      </c>
      <c r="AN67" s="354" t="str">
        <f aca="false">VLOOKUP(CONCATENATE($AI64,"-",AN$8),'[1]liste complet essai'!$A$4:$K$1367,1,)</f>
        <v>14-02</v>
      </c>
      <c r="AO67" s="354" t="str">
        <f aca="false">VLOOKUP(CONCATENATE($AI64,"-",AO$8),'[1]liste complet essai'!$A$4:$K$1367,1,)</f>
        <v>14-03</v>
      </c>
      <c r="AP67" s="354" t="str">
        <f aca="false">VLOOKUP(CONCATENATE($AI64,"-",AP$8),'[1]liste complet essai'!$A$4:$K$1367,1,)</f>
        <v>14-04</v>
      </c>
      <c r="AQ67" s="354" t="str">
        <f aca="false">VLOOKUP(CONCATENATE($AI64,"-",AQ$8),'[1]liste complet essai'!$A$4:$K$1367,1,)</f>
        <v>14-05</v>
      </c>
      <c r="AR67" s="354" t="str">
        <f aca="false">VLOOKUP(CONCATENATE($AI64,"-",AR$8),'[1]liste complet essai'!$A$4:$K$1367,1,)</f>
        <v>14-06</v>
      </c>
      <c r="AS67" s="354" t="str">
        <f aca="false">VLOOKUP(CONCATENATE($AI64,"-",AS$8),'[1]liste complet essai'!$A$4:$K$1367,1,)</f>
        <v>14-07</v>
      </c>
      <c r="AT67" s="354" t="str">
        <f aca="false">VLOOKUP(CONCATENATE($AI64,"-",AT$8),'[1]liste complet essai'!$A$4:$K$1367,1,)</f>
        <v>14-08</v>
      </c>
      <c r="AU67" s="354" t="str">
        <f aca="false">VLOOKUP(CONCATENATE($AI64,"-",AU$8),'[1]liste complet essai'!$A$4:$K$1367,1,)</f>
        <v>14-09</v>
      </c>
      <c r="AV67" s="354" t="str">
        <f aca="false">VLOOKUP(CONCATENATE($AI64,"-",AV$8),'[1]liste complet essai'!$A$4:$K$1367,1,)</f>
        <v>14-10</v>
      </c>
      <c r="AW67" s="366" t="str">
        <f aca="false">VLOOKUP(CONCATENATE($AI64,"-",AW$8),'[1]liste complet essai'!$A$4:$K$1367,1,)</f>
        <v>14-11</v>
      </c>
      <c r="AX67" s="354" t="str">
        <f aca="false">VLOOKUP(CONCATENATE($AI64,"-",AX$8),'[1]liste complet essai'!$A$4:$K$1367,1,)</f>
        <v>14-12</v>
      </c>
      <c r="AY67" s="354" t="str">
        <f aca="false">VLOOKUP(CONCATENATE($AI64,"-",AY$8),'[1]liste complet essai'!$A$4:$K$1367,1,)</f>
        <v>14-13</v>
      </c>
      <c r="AZ67" s="354" t="str">
        <f aca="false">VLOOKUP(CONCATENATE($AI64,"-",AZ$8),'[1]liste complet essai'!$A$4:$K$1367,1,)</f>
        <v>14-14</v>
      </c>
      <c r="BA67" s="354" t="str">
        <f aca="false">VLOOKUP(CONCATENATE($AI64,"-",BA$8),'[1]liste complet essai'!$A$4:$K$1367,1,)</f>
        <v>14-15</v>
      </c>
      <c r="BB67" s="354" t="str">
        <f aca="false">VLOOKUP(CONCATENATE($AI64,"-",BB$8),'[1]liste complet essai'!$A$4:$K$1367,1,)</f>
        <v>14-16</v>
      </c>
      <c r="BC67" s="354" t="str">
        <f aca="false">VLOOKUP(CONCATENATE($AI64,"-",BC$8),'[1]liste complet essai'!$A$4:$K$1367,1,)</f>
        <v>14-17</v>
      </c>
      <c r="BD67" s="354" t="str">
        <f aca="false">VLOOKUP(CONCATENATE($AI64,"-",BD$8),'[1]liste complet essai'!$A$4:$K$1367,1,)</f>
        <v>14-18</v>
      </c>
      <c r="BE67" s="354" t="str">
        <f aca="false">VLOOKUP(CONCATENATE($AI64,"-",BE$8),'[1]liste complet essai'!$A$4:$K$1367,1,)</f>
        <v>14-19</v>
      </c>
      <c r="BF67" s="354" t="str">
        <f aca="false">VLOOKUP(CONCATENATE($AI64,"-",BF$8),'[1]liste complet essai'!$A$4:$K$1367,1,)</f>
        <v>14-20</v>
      </c>
      <c r="BG67" s="354" t="str">
        <f aca="false">VLOOKUP(CONCATENATE($AI64,"-",BG$8),'[1]liste complet essai'!$A$4:$K$1367,1,)</f>
        <v>14-21</v>
      </c>
      <c r="BH67" s="354" t="str">
        <f aca="false">VLOOKUP(CONCATENATE($AI64,"-",BH$8),'[1]liste complet essai'!$A$4:$K$1367,1,)</f>
        <v>14-22</v>
      </c>
      <c r="BI67" s="354" t="str">
        <f aca="false">VLOOKUP(CONCATENATE($AI64,"-",BI$8),'[1]liste complet essai'!$A$4:$K$1367,1,)</f>
        <v>14-23</v>
      </c>
      <c r="BJ67" s="354" t="str">
        <f aca="false">VLOOKUP(CONCATENATE($AI64,"-",BJ$8),'[1]liste complet essai'!$A$4:$K$1367,1,)</f>
        <v>14-24</v>
      </c>
      <c r="BK67" s="354" t="str">
        <f aca="false">VLOOKUP(CONCATENATE($AI64,"-",BK$8),'[1]liste complet essai'!$A$4:$K$1367,1,)</f>
        <v>14-25</v>
      </c>
      <c r="BL67" s="354" t="str">
        <f aca="false">VLOOKUP(CONCATENATE($AI64,"-",BL$8),'[1]liste complet essai'!$A$4:$K$1367,1,)</f>
        <v>14-26</v>
      </c>
      <c r="BM67" s="354" t="str">
        <f aca="false">VLOOKUP(CONCATENATE($AI64,"-",BM$8),'[1]liste complet essai'!$A$4:$K$1367,1,)</f>
        <v>14-27</v>
      </c>
      <c r="BN67" s="354" t="str">
        <f aca="false">VLOOKUP(CONCATENATE($AI64,"-",BN$8),'[1]liste complet essai'!$A$4:$K$1367,1,)</f>
        <v>14-28</v>
      </c>
      <c r="BO67" s="354" t="str">
        <f aca="false">VLOOKUP(CONCATENATE($AI64,"-",BO$8),'[1]liste complet essai'!$A$4:$K$1367,1,)</f>
        <v>14-29</v>
      </c>
      <c r="BP67" s="354" t="str">
        <f aca="false">VLOOKUP(CONCATENATE($AI64,"-",BP$8),'[1]liste complet essai'!$A$4:$K$1367,1,)</f>
        <v>14-30</v>
      </c>
      <c r="BQ67" s="354" t="str">
        <f aca="false">VLOOKUP(CONCATENATE($AI64,"-",BQ$8),'[1]liste complet essai'!$A$4:$K$1367,1,)</f>
        <v>14-31</v>
      </c>
      <c r="BR67" s="354" t="str">
        <f aca="false">VLOOKUP(CONCATENATE($AI64,"-",BR$8),'[1]liste complet essai'!$A$4:$K$1367,1,)</f>
        <v>14-32</v>
      </c>
      <c r="BS67" s="407"/>
      <c r="BT67" s="407"/>
      <c r="BU67" s="407"/>
      <c r="BV67" s="407"/>
      <c r="BW67" s="407"/>
      <c r="BX67" s="407"/>
      <c r="BY67" s="407"/>
      <c r="BZ67" s="407"/>
      <c r="CA67" s="407"/>
      <c r="CB67" s="407"/>
      <c r="CC67" s="354" t="str">
        <f aca="false">VLOOKUP(CONCATENATE($AI64,"-",CC$8),'[1]liste complet essai'!$A$4:$K$1367,1,)</f>
        <v>14-33</v>
      </c>
      <c r="CD67" s="354" t="str">
        <f aca="false">VLOOKUP(CONCATENATE($AI64,"-",CD$8),'[1]liste complet essai'!$A$4:$K$1367,1,)</f>
        <v>14-34</v>
      </c>
      <c r="CE67" s="354" t="str">
        <f aca="false">VLOOKUP(CONCATENATE($AI64,"-",CE$8),'[1]liste complet essai'!$A$4:$K$1367,1,)</f>
        <v>14-35</v>
      </c>
      <c r="CF67" s="354" t="str">
        <f aca="false">VLOOKUP(CONCATENATE($AI64,"-",CF$8),'[1]liste complet essai'!$A$4:$K$1367,1,)</f>
        <v>14-36</v>
      </c>
      <c r="CG67" s="354" t="str">
        <f aca="false">VLOOKUP(CONCATENATE($AI64,"-",CG$8),'[1]liste complet essai'!$A$4:$K$1367,1,)</f>
        <v>14-37</v>
      </c>
      <c r="CH67" s="354" t="str">
        <f aca="false">VLOOKUP(CONCATENATE($AI64,"-",CH$8),'[1]liste complet essai'!$A$4:$K$1367,1,)</f>
        <v>14-38</v>
      </c>
      <c r="CI67" s="354" t="str">
        <f aca="false">VLOOKUP(CONCATENATE($AI64,"-",CI$8),'[1]liste complet essai'!$A$4:$K$1367,1,)</f>
        <v>14-39</v>
      </c>
      <c r="CJ67" s="354" t="str">
        <f aca="false">VLOOKUP(CONCATENATE($AI64,"-",CJ$8),'[1]liste complet essai'!$A$4:$K$1367,1,)</f>
        <v>14-40</v>
      </c>
      <c r="CK67" s="354" t="str">
        <f aca="false">VLOOKUP(CONCATENATE($AI64,"-",CK$8),'[1]liste complet essai'!$A$4:$K$1367,1,)</f>
        <v>14-41</v>
      </c>
      <c r="CL67" s="354" t="str">
        <f aca="false">VLOOKUP(CONCATENATE($AI64,"-",CL$8),'[1]liste complet essai'!$A$4:$K$1367,1,)</f>
        <v>14-42</v>
      </c>
      <c r="CM67" s="354" t="str">
        <f aca="false">VLOOKUP(CONCATENATE($AI64,"-",CM$8),'[1]liste complet essai'!$A$4:$K$1367,1,)</f>
        <v>14-43</v>
      </c>
      <c r="CN67" s="354" t="str">
        <f aca="false">VLOOKUP(CONCATENATE($AI64,"-",CN$8),'[1]liste complet essai'!$A$4:$K$1367,1,)</f>
        <v>14-44</v>
      </c>
      <c r="CO67" s="354" t="str">
        <f aca="false">VLOOKUP(CONCATENATE($AI64,"-",CO$8),'[1]liste complet essai'!$A$4:$K$1367,1,)</f>
        <v>14-45</v>
      </c>
      <c r="CP67" s="328" t="str">
        <f aca="false">VLOOKUP(CONCATENATE($AI64,"-",CP$8),'[1]liste complet essai'!$A$4:$K$1367,1,)</f>
        <v>14-46</v>
      </c>
      <c r="CQ67" s="354" t="str">
        <f aca="false">VLOOKUP(CONCATENATE($AI64,"-",CQ$8),'[1]liste complet essai'!$A$4:$K$1367,1,)</f>
        <v>14-47</v>
      </c>
      <c r="CR67" s="354" t="str">
        <f aca="false">VLOOKUP(CONCATENATE($AI64,"-",CR$8),'[1]liste complet essai'!$A$4:$K$1367,1,)</f>
        <v>14-48</v>
      </c>
      <c r="CS67" s="354" t="str">
        <f aca="false">VLOOKUP(CONCATENATE($AI64,"-",CS$8),'[1]liste complet essai'!$A$4:$K$1367,1,)</f>
        <v>14-49</v>
      </c>
      <c r="CT67" s="354" t="str">
        <f aca="false">VLOOKUP(CONCATENATE($AI64,"-",CT$8),'[1]liste complet essai'!$A$4:$K$1367,1,)</f>
        <v>14-50</v>
      </c>
      <c r="CU67" s="354" t="str">
        <f aca="false">VLOOKUP(CONCATENATE($AI64,"-",CU$8),'[1]liste complet essai'!$A$4:$K$1367,1,)</f>
        <v>14-51</v>
      </c>
      <c r="CV67" s="354" t="str">
        <f aca="false">VLOOKUP(CONCATENATE($AI64,"-",CV$8),'[1]liste complet essai'!$A$4:$K$1367,1,)</f>
        <v>14-52</v>
      </c>
      <c r="CW67" s="354" t="str">
        <f aca="false">VLOOKUP(CONCATENATE($AI64,"-",CW$8),'[1]liste complet essai'!$A$4:$K$1367,1,)</f>
        <v>14-53</v>
      </c>
      <c r="CX67" s="354" t="str">
        <f aca="false">VLOOKUP(CONCATENATE($AI64,"-",CX$8),'[1]liste complet essai'!$A$4:$K$1367,1,)</f>
        <v>14-54</v>
      </c>
      <c r="CY67" s="354" t="str">
        <f aca="false">VLOOKUP(CONCATENATE($AI64,"-",CY$8),'[1]liste complet essai'!$A$4:$K$1367,1,)</f>
        <v>14-55</v>
      </c>
      <c r="CZ67" s="354" t="str">
        <f aca="false">VLOOKUP(CONCATENATE($AI64,"-",CZ$8),'[1]liste complet essai'!$A$4:$K$1367,1,)</f>
        <v>14-56</v>
      </c>
      <c r="DA67" s="354" t="str">
        <f aca="false">VLOOKUP(CONCATENATE($AI64,"-",DA$8),'[1]liste complet essai'!$A$4:$K$1367,1,)</f>
        <v>14-57</v>
      </c>
      <c r="DB67" s="354" t="str">
        <f aca="false">VLOOKUP(CONCATENATE($AI64,"-",DB$8),'[1]liste complet essai'!$A$4:$K$1367,1,)</f>
        <v>14-58</v>
      </c>
      <c r="DC67" s="354" t="str">
        <f aca="false">VLOOKUP(CONCATENATE($AI64,"-",DC$8),'[1]liste complet essai'!$A$4:$K$1367,1,)</f>
        <v>14-59</v>
      </c>
      <c r="DD67" s="354" t="str">
        <f aca="false">VLOOKUP(CONCATENATE($AI64,"-",DD$8),'[1]liste complet essai'!$A$4:$K$1367,1,)</f>
        <v>14-60</v>
      </c>
      <c r="DE67" s="354" t="str">
        <f aca="false">VLOOKUP(CONCATENATE($AI64,"-",DE$8),'[1]liste complet essai'!$A$4:$K$1367,1,)</f>
        <v>14-61</v>
      </c>
      <c r="DF67" s="354" t="str">
        <f aca="false">VLOOKUP(CONCATENATE($AI64,"-",DF$8),'[1]liste complet essai'!$A$4:$K$1367,1,)</f>
        <v>14-62</v>
      </c>
      <c r="DG67" s="354" t="str">
        <f aca="false">VLOOKUP(CONCATENATE($AI64,"-",DG$8),'[1]liste complet essai'!$A$4:$K$1367,1,)</f>
        <v>14-63</v>
      </c>
      <c r="DH67" s="354" t="str">
        <f aca="false">VLOOKUP(CONCATENATE($AI64,"-",DH$8),'[1]liste complet essai'!$A$4:$K$1367,1,)</f>
        <v>14-64</v>
      </c>
      <c r="DI67" s="401"/>
      <c r="DJ67" s="354"/>
      <c r="DK67" s="402"/>
    </row>
    <row r="68" customFormat="false" ht="12" hidden="false" customHeight="true" outlineLevel="0" collapsed="false">
      <c r="B68" s="384" t="n">
        <v>29</v>
      </c>
      <c r="C68" s="408" t="s">
        <v>8122</v>
      </c>
      <c r="D68" s="319"/>
      <c r="E68" s="409" t="s">
        <v>8122</v>
      </c>
      <c r="F68" s="379" t="str">
        <f aca="false">VLOOKUP(CONCATENATE($B68,"-",F$8),'[1]liste complet essai'!$A$4:$K$1367,4,)</f>
        <v>DK</v>
      </c>
      <c r="G68" s="379" t="str">
        <f aca="false">VLOOKUP(CONCATENATE($B68,"-",G$8),'[1]liste complet essai'!$A$4:$K$1367,4,)</f>
        <v>DK</v>
      </c>
      <c r="H68" s="379" t="str">
        <f aca="false">VLOOKUP(CONCATENATE($B68,"-",H$8),'[1]liste complet essai'!$A$4:$K$1367,4,)</f>
        <v>DK</v>
      </c>
      <c r="I68" s="379" t="str">
        <f aca="false">VLOOKUP(CONCATENATE($B68,"-",I$8),'[1]liste complet essai'!$A$4:$K$1367,4,)</f>
        <v>DK</v>
      </c>
      <c r="J68" s="379" t="str">
        <f aca="false">VLOOKUP(CONCATENATE($B68,"-",J$8),'[1]liste complet essai'!$A$4:$K$1367,4,)</f>
        <v>DK</v>
      </c>
      <c r="K68" s="379" t="str">
        <f aca="false">VLOOKUP(CONCATENATE($B68,"-",K$8),'[1]liste complet essai'!$A$4:$K$1367,4,)</f>
        <v>DK</v>
      </c>
      <c r="L68" s="379" t="str">
        <f aca="false">VLOOKUP(CONCATENATE($B68,"-",L$8),'[1]liste complet essai'!$A$4:$K$1367,4,)</f>
        <v>DK</v>
      </c>
      <c r="M68" s="379" t="str">
        <f aca="false">VLOOKUP(CONCATENATE($B68,"-",M$8),'[1]liste complet essai'!$A$4:$K$1367,4,)</f>
        <v>DK</v>
      </c>
      <c r="N68" s="379" t="str">
        <f aca="false">VLOOKUP(CONCATENATE($B68,"-",N$8),'[1]liste complet essai'!$A$4:$K$1367,4,)</f>
        <v>DK</v>
      </c>
      <c r="O68" s="379" t="str">
        <f aca="false">VLOOKUP(CONCATENATE($B68,"-",O$8),'[1]liste complet essai'!$A$4:$K$1367,4,)</f>
        <v>DK</v>
      </c>
      <c r="P68" s="379" t="str">
        <f aca="false">VLOOKUP(CONCATENATE($B68,"-",P$8),'[1]liste complet essai'!$A$4:$K$1367,4,)</f>
        <v>DK</v>
      </c>
      <c r="Q68" s="379" t="str">
        <f aca="false">VLOOKUP(CONCATENATE($B68,"-",Q$8),'[1]liste complet essai'!$A$4:$K$1367,4,)</f>
        <v>DK</v>
      </c>
      <c r="R68" s="379" t="str">
        <f aca="false">VLOOKUP(CONCATENATE($B68,"-",R$8),'[1]liste complet essai'!$A$4:$K$1367,4,)</f>
        <v>DK</v>
      </c>
      <c r="S68" s="379" t="str">
        <f aca="false">VLOOKUP(CONCATENATE($B68,"-",S$8),'[1]liste complet essai'!$A$4:$K$1367,4,)</f>
        <v>DK</v>
      </c>
      <c r="T68" s="379" t="str">
        <f aca="false">VLOOKUP(CONCATENATE($B68,"-",T$8),'[1]liste complet essai'!$A$4:$K$1367,4,)</f>
        <v>DK</v>
      </c>
      <c r="U68" s="379" t="str">
        <f aca="false">VLOOKUP(CONCATENATE($B68,"-",U$8),'[1]liste complet essai'!$A$4:$K$1367,4,)</f>
        <v>DK</v>
      </c>
      <c r="V68" s="379" t="str">
        <f aca="false">VLOOKUP(CONCATENATE($B68,"-",V$8),'[1]liste complet essai'!$A$4:$K$1367,4,)</f>
        <v>DK</v>
      </c>
      <c r="W68" s="379" t="str">
        <f aca="false">VLOOKUP(CONCATENATE($B68,"-",W$8),'[1]liste complet essai'!$A$4:$K$1367,4,)</f>
        <v>DK</v>
      </c>
      <c r="X68" s="379" t="str">
        <f aca="false">VLOOKUP(CONCATENATE($B68,"-",X$8),'[1]liste complet essai'!$A$4:$K$1367,4,)</f>
        <v>DK</v>
      </c>
      <c r="Y68" s="379" t="str">
        <f aca="false">VLOOKUP(CONCATENATE($B68,"-",Y$8),'[1]liste complet essai'!$A$4:$K$1367,4,)</f>
        <v>DK</v>
      </c>
      <c r="Z68" s="379" t="str">
        <f aca="false">VLOOKUP(CONCATENATE($B68,"-",Z$8),'[1]liste complet essai'!$A$4:$K$1367,4,)</f>
        <v>DK</v>
      </c>
      <c r="AA68" s="379" t="str">
        <f aca="false">VLOOKUP(CONCATENATE($B68,"-",AA$8),'[1]liste complet essai'!$A$4:$K$1367,4,)</f>
        <v>DK</v>
      </c>
      <c r="AB68" s="379" t="str">
        <f aca="false">VLOOKUP(CONCATENATE($B68,"-",AB$8),'[1]liste complet essai'!$A$4:$K$1367,4,)</f>
        <v>DK</v>
      </c>
      <c r="AC68" s="379" t="str">
        <f aca="false">VLOOKUP(CONCATENATE($B68,"-",AC$8),'[1]liste complet essai'!$A$4:$K$1367,4,)</f>
        <v>DK</v>
      </c>
      <c r="AD68" s="379" t="str">
        <f aca="false">VLOOKUP(CONCATENATE($B68,"-",AD$8),'[1]liste complet essai'!$A$4:$K$1367,4,)</f>
        <v>DK</v>
      </c>
      <c r="AE68" s="379" t="str">
        <f aca="false">VLOOKUP(CONCATENATE($B68,"-",AE$8),'[1]liste complet essai'!$A$4:$K$1367,4,)</f>
        <v>DK</v>
      </c>
      <c r="AF68" s="410" t="s">
        <v>8122</v>
      </c>
      <c r="AJ68" s="284"/>
      <c r="AK68" s="284"/>
    </row>
    <row r="69" customFormat="false" ht="12" hidden="false" customHeight="true" outlineLevel="0" collapsed="false">
      <c r="B69" s="384"/>
      <c r="C69" s="408"/>
      <c r="D69" s="307"/>
      <c r="E69" s="409"/>
      <c r="F69" s="372" t="str">
        <f aca="false">VLOOKUP(CONCATENATE($B68,"-",F$8),'[1]liste complet essai'!$A$4:$K$1367,9,)</f>
        <v>N2-b3</v>
      </c>
      <c r="G69" s="372" t="str">
        <f aca="false">VLOOKUP(CONCATENATE($B68,"-",G$8),'[1]liste complet essai'!$A$4:$K$1367,9,)</f>
        <v>N2-b3</v>
      </c>
      <c r="H69" s="372" t="str">
        <f aca="false">VLOOKUP(CONCATENATE($B68,"-",H$8),'[1]liste complet essai'!$A$4:$K$1367,9,)</f>
        <v>N2-b3</v>
      </c>
      <c r="I69" s="372" t="str">
        <f aca="false">VLOOKUP(CONCATENATE($B68,"-",I$8),'[1]liste complet essai'!$A$4:$K$1367,9,)</f>
        <v>N2-b3</v>
      </c>
      <c r="J69" s="372" t="str">
        <f aca="false">VLOOKUP(CONCATENATE($B68,"-",J$8),'[1]liste complet essai'!$A$4:$K$1367,9,)</f>
        <v>N2-b3</v>
      </c>
      <c r="K69" s="372" t="str">
        <f aca="false">VLOOKUP(CONCATENATE($B68,"-",K$8),'[1]liste complet essai'!$A$4:$K$1367,9,)</f>
        <v>N2-b3</v>
      </c>
      <c r="L69" s="372" t="str">
        <f aca="false">VLOOKUP(CONCATENATE($B68,"-",L$8),'[1]liste complet essai'!$A$4:$K$1367,9,)</f>
        <v>N2-b3</v>
      </c>
      <c r="M69" s="372" t="str">
        <f aca="false">VLOOKUP(CONCATENATE($B68,"-",M$8),'[1]liste complet essai'!$A$4:$K$1367,9,)</f>
        <v>N2-b3</v>
      </c>
      <c r="N69" s="372" t="str">
        <f aca="false">VLOOKUP(CONCATENATE($B68,"-",N$8),'[1]liste complet essai'!$A$4:$K$1367,9,)</f>
        <v>N2-b3</v>
      </c>
      <c r="O69" s="372" t="str">
        <f aca="false">VLOOKUP(CONCATENATE($B68,"-",O$8),'[1]liste complet essai'!$A$4:$K$1367,9,)</f>
        <v>N2-b3</v>
      </c>
      <c r="P69" s="372" t="str">
        <f aca="false">VLOOKUP(CONCATENATE($B68,"-",P$8),'[1]liste complet essai'!$A$4:$K$1367,9,)</f>
        <v>N2-b3</v>
      </c>
      <c r="Q69" s="372" t="str">
        <f aca="false">VLOOKUP(CONCATENATE($B68,"-",Q$8),'[1]liste complet essai'!$A$4:$K$1367,9,)</f>
        <v>N2-b3</v>
      </c>
      <c r="R69" s="372" t="str">
        <f aca="false">VLOOKUP(CONCATENATE($B68,"-",R$8),'[1]liste complet essai'!$A$4:$K$1367,9,)</f>
        <v>N2-b3</v>
      </c>
      <c r="S69" s="372" t="str">
        <f aca="false">VLOOKUP(CONCATENATE($B68,"-",S$8),'[1]liste complet essai'!$A$4:$K$1367,9,)</f>
        <v>N2-b3</v>
      </c>
      <c r="T69" s="372" t="str">
        <f aca="false">VLOOKUP(CONCATENATE($B68,"-",T$8),'[1]liste complet essai'!$A$4:$K$1367,9,)</f>
        <v>N2-b3</v>
      </c>
      <c r="U69" s="372" t="str">
        <f aca="false">VLOOKUP(CONCATENATE($B68,"-",U$8),'[1]liste complet essai'!$A$4:$K$1367,9,)</f>
        <v>N2-b3</v>
      </c>
      <c r="V69" s="372" t="str">
        <f aca="false">VLOOKUP(CONCATENATE($B68,"-",V$8),'[1]liste complet essai'!$A$4:$K$1367,9,)</f>
        <v>N2-b3</v>
      </c>
      <c r="W69" s="372" t="str">
        <f aca="false">VLOOKUP(CONCATENATE($B68,"-",W$8),'[1]liste complet essai'!$A$4:$K$1367,9,)</f>
        <v>N2-b3</v>
      </c>
      <c r="X69" s="372" t="str">
        <f aca="false">VLOOKUP(CONCATENATE($B68,"-",X$8),'[1]liste complet essai'!$A$4:$K$1367,9,)</f>
        <v>N2-b3</v>
      </c>
      <c r="Y69" s="372" t="str">
        <f aca="false">VLOOKUP(CONCATENATE($B68,"-",Y$8),'[1]liste complet essai'!$A$4:$K$1367,9,)</f>
        <v>N2-b3</v>
      </c>
      <c r="Z69" s="372" t="str">
        <f aca="false">VLOOKUP(CONCATENATE($B68,"-",Z$8),'[1]liste complet essai'!$A$4:$K$1367,9,)</f>
        <v>N2-b3</v>
      </c>
      <c r="AA69" s="372" t="str">
        <f aca="false">VLOOKUP(CONCATENATE($B68,"-",AA$8),'[1]liste complet essai'!$A$4:$K$1367,9,)</f>
        <v>N2-b3</v>
      </c>
      <c r="AB69" s="372" t="str">
        <f aca="false">VLOOKUP(CONCATENATE($B68,"-",AB$8),'[1]liste complet essai'!$A$4:$K$1367,9,)</f>
        <v>N2-b3</v>
      </c>
      <c r="AC69" s="372" t="str">
        <f aca="false">VLOOKUP(CONCATENATE($B68,"-",AC$8),'[1]liste complet essai'!$A$4:$K$1367,9,)</f>
        <v>N2-b3</v>
      </c>
      <c r="AD69" s="372" t="str">
        <f aca="false">VLOOKUP(CONCATENATE($B68,"-",AD$8),'[1]liste complet essai'!$A$4:$K$1367,9,)</f>
        <v>N2-b3</v>
      </c>
      <c r="AE69" s="372" t="str">
        <f aca="false">VLOOKUP(CONCATENATE($B68,"-",AE$8),'[1]liste complet essai'!$A$4:$K$1367,9,)</f>
        <v>N2-b3</v>
      </c>
      <c r="AF69" s="410"/>
      <c r="AJ69" s="284"/>
      <c r="AK69" s="284"/>
    </row>
    <row r="70" customFormat="false" ht="12" hidden="false" customHeight="true" outlineLevel="0" collapsed="false">
      <c r="B70" s="384"/>
      <c r="C70" s="408"/>
      <c r="D70" s="307"/>
      <c r="E70" s="409"/>
      <c r="F70" s="372" t="str">
        <f aca="false">VLOOKUP(CONCATENATE($B68,"-",F$8),'[1]liste complet essai'!$A$4:$K$1367,5,)</f>
        <v>G-186</v>
      </c>
      <c r="G70" s="372" t="str">
        <f aca="false">VLOOKUP(CONCATENATE($B68,"-",G$8),'[1]liste complet essai'!$A$4:$K$1367,5,)</f>
        <v>G-160</v>
      </c>
      <c r="H70" s="372" t="str">
        <f aca="false">VLOOKUP(CONCATENATE($B68,"-",H$8),'[1]liste complet essai'!$A$4:$K$1367,5,)</f>
        <v>G-203</v>
      </c>
      <c r="I70" s="375" t="str">
        <f aca="false">VLOOKUP(CONCATENATE($B68,"-",I$8),'[1]liste complet essai'!$A$4:$K$1367,5,)</f>
        <v>G-126</v>
      </c>
      <c r="J70" s="372" t="str">
        <f aca="false">VLOOKUP(CONCATENATE($B68,"-",J$8),'[1]liste complet essai'!$A$4:$K$1367,5,)</f>
        <v>G-135</v>
      </c>
      <c r="K70" s="372" t="str">
        <f aca="false">VLOOKUP(CONCATENATE($B68,"-",K$8),'[1]liste complet essai'!$A$4:$K$1367,5,)</f>
        <v>G-204</v>
      </c>
      <c r="L70" s="372" t="str">
        <f aca="false">VLOOKUP(CONCATENATE($B68,"-",L$8),'[1]liste complet essai'!$A$4:$K$1367,5,)</f>
        <v>G-141</v>
      </c>
      <c r="M70" s="372" t="str">
        <f aca="false">VLOOKUP(CONCATENATE($B68,"-",M$8),'[1]liste complet essai'!$A$4:$K$1367,5,)</f>
        <v>G-177</v>
      </c>
      <c r="N70" s="372" t="str">
        <f aca="false">VLOOKUP(CONCATENATE($B68,"-",N$8),'[1]liste complet essai'!$A$4:$K$1367,5,)</f>
        <v>G-212</v>
      </c>
      <c r="O70" s="372" t="str">
        <f aca="false">VLOOKUP(CONCATENATE($B68,"-",O$8),'[1]liste complet essai'!$A$4:$K$1367,5,)</f>
        <v>G-197</v>
      </c>
      <c r="P70" s="372" t="str">
        <f aca="false">VLOOKUP(CONCATENATE($B68,"-",P$8),'[1]liste complet essai'!$A$4:$K$1367,5,)</f>
        <v>G-188</v>
      </c>
      <c r="Q70" s="372" t="str">
        <f aca="false">VLOOKUP(CONCATENATE($B68,"-",Q$8),'[1]liste complet essai'!$A$4:$K$1367,5,)</f>
        <v>G-180</v>
      </c>
      <c r="R70" s="372" t="str">
        <f aca="false">VLOOKUP(CONCATENATE($B68,"-",R$8),'[1]liste complet essai'!$A$4:$K$1367,5,)</f>
        <v>G-139</v>
      </c>
      <c r="S70" s="372" t="str">
        <f aca="false">VLOOKUP(CONCATENATE($B68,"-",S$8),'[1]liste complet essai'!$A$4:$K$1367,5,)</f>
        <v>G-171</v>
      </c>
      <c r="T70" s="372" t="str">
        <f aca="false">VLOOKUP(CONCATENATE($B68,"-",T$8),'[1]liste complet essai'!$A$4:$K$1367,5,)</f>
        <v>G-145</v>
      </c>
      <c r="U70" s="372" t="str">
        <f aca="false">VLOOKUP(CONCATENATE($B68,"-",U$8),'[1]liste complet essai'!$A$4:$K$1367,5,)</f>
        <v>G-140</v>
      </c>
      <c r="V70" s="372" t="str">
        <f aca="false">VLOOKUP(CONCATENATE($B68,"-",V$8),'[1]liste complet essai'!$A$4:$K$1367,5,)</f>
        <v>G-184</v>
      </c>
      <c r="W70" s="372" t="str">
        <f aca="false">VLOOKUP(CONCATENATE($B68,"-",W$8),'[1]liste complet essai'!$A$4:$K$1367,5,)</f>
        <v>G-214</v>
      </c>
      <c r="X70" s="372" t="str">
        <f aca="false">VLOOKUP(CONCATENATE($B68,"-",X$8),'[1]liste complet essai'!$A$4:$K$1367,5,)</f>
        <v>G-198</v>
      </c>
      <c r="Y70" s="372" t="str">
        <f aca="false">VLOOKUP(CONCATENATE($B68,"-",Y$8),'[1]liste complet essai'!$A$4:$K$1367,5,)</f>
        <v>G-150</v>
      </c>
      <c r="Z70" s="372" t="str">
        <f aca="false">VLOOKUP(CONCATENATE($B68,"-",Z$8),'[1]liste complet essai'!$A$4:$K$1367,5,)</f>
        <v>G-210</v>
      </c>
      <c r="AA70" s="372" t="str">
        <f aca="false">VLOOKUP(CONCATENATE($B68,"-",AA$8),'[1]liste complet essai'!$A$4:$K$1367,5,)</f>
        <v>G-147</v>
      </c>
      <c r="AB70" s="372" t="str">
        <f aca="false">VLOOKUP(CONCATENATE($B68,"-",AB$8),'[1]liste complet essai'!$A$4:$K$1367,5,)</f>
        <v>G-133</v>
      </c>
      <c r="AC70" s="375" t="str">
        <f aca="false">VLOOKUP(CONCATENATE($B68,"-",AC$8),'[1]liste complet essai'!$A$4:$K$1367,5,)</f>
        <v>G-125</v>
      </c>
      <c r="AD70" s="375" t="str">
        <f aca="false">VLOOKUP(CONCATENATE($B68,"-",AD$8),'[1]liste complet essai'!$A$4:$K$1367,5,)</f>
        <v>G-126</v>
      </c>
      <c r="AE70" s="372" t="str">
        <f aca="false">VLOOKUP(CONCATENATE($B68,"-",AE$8),'[1]liste complet essai'!$A$4:$K$1367,5,)</f>
        <v>G-132</v>
      </c>
      <c r="AF70" s="410"/>
      <c r="AJ70" s="284"/>
      <c r="AK70" s="284"/>
    </row>
    <row r="71" customFormat="false" ht="12" hidden="false" customHeight="true" outlineLevel="0" collapsed="false">
      <c r="B71" s="384"/>
      <c r="C71" s="408"/>
      <c r="D71" s="307"/>
      <c r="E71" s="409"/>
      <c r="F71" s="383" t="str">
        <f aca="false">VLOOKUP(CONCATENATE($B68,"-",F$8),'[1]liste complet essai'!$A$4:$K$1367,1,)</f>
        <v>29-65</v>
      </c>
      <c r="G71" s="383" t="str">
        <f aca="false">VLOOKUP(CONCATENATE($B68,"-",G$8),'[1]liste complet essai'!$A$4:$K$1367,1,)</f>
        <v>29-66</v>
      </c>
      <c r="H71" s="383" t="str">
        <f aca="false">VLOOKUP(CONCATENATE($B68,"-",H$8),'[1]liste complet essai'!$A$4:$K$1367,1,)</f>
        <v>29-67</v>
      </c>
      <c r="I71" s="383" t="str">
        <f aca="false">VLOOKUP(CONCATENATE($B68,"-",I$8),'[1]liste complet essai'!$A$4:$K$1367,1,)</f>
        <v>29-68</v>
      </c>
      <c r="J71" s="383" t="str">
        <f aca="false">VLOOKUP(CONCATENATE($B68,"-",J$8),'[1]liste complet essai'!$A$4:$K$1367,1,)</f>
        <v>29-69</v>
      </c>
      <c r="K71" s="383" t="str">
        <f aca="false">VLOOKUP(CONCATENATE($B68,"-",K$8),'[1]liste complet essai'!$A$4:$K$1367,1,)</f>
        <v>29-70</v>
      </c>
      <c r="L71" s="383" t="str">
        <f aca="false">VLOOKUP(CONCATENATE($B68,"-",L$8),'[1]liste complet essai'!$A$4:$K$1367,1,)</f>
        <v>29-71</v>
      </c>
      <c r="M71" s="383" t="str">
        <f aca="false">VLOOKUP(CONCATENATE($B68,"-",M$8),'[1]liste complet essai'!$A$4:$K$1367,1,)</f>
        <v>29-72</v>
      </c>
      <c r="N71" s="383" t="str">
        <f aca="false">VLOOKUP(CONCATENATE($B68,"-",N$8),'[1]liste complet essai'!$A$4:$K$1367,1,)</f>
        <v>29-73</v>
      </c>
      <c r="O71" s="383" t="str">
        <f aca="false">VLOOKUP(CONCATENATE($B68,"-",O$8),'[1]liste complet essai'!$A$4:$K$1367,1,)</f>
        <v>29-74</v>
      </c>
      <c r="P71" s="383" t="str">
        <f aca="false">VLOOKUP(CONCATENATE($B68,"-",P$8),'[1]liste complet essai'!$A$4:$K$1367,1,)</f>
        <v>29-75</v>
      </c>
      <c r="Q71" s="383" t="str">
        <f aca="false">VLOOKUP(CONCATENATE($B68,"-",Q$8),'[1]liste complet essai'!$A$4:$K$1367,1,)</f>
        <v>29-76</v>
      </c>
      <c r="R71" s="383" t="str">
        <f aca="false">VLOOKUP(CONCATENATE($B68,"-",R$8),'[1]liste complet essai'!$A$4:$K$1367,1,)</f>
        <v>29-77</v>
      </c>
      <c r="S71" s="383" t="str">
        <f aca="false">VLOOKUP(CONCATENATE($B68,"-",S$8),'[1]liste complet essai'!$A$4:$K$1367,1,)</f>
        <v>29-78</v>
      </c>
      <c r="T71" s="383" t="str">
        <f aca="false">VLOOKUP(CONCATENATE($B68,"-",T$8),'[1]liste complet essai'!$A$4:$K$1367,1,)</f>
        <v>29-79</v>
      </c>
      <c r="U71" s="383" t="str">
        <f aca="false">VLOOKUP(CONCATENATE($B68,"-",U$8),'[1]liste complet essai'!$A$4:$K$1367,1,)</f>
        <v>29-80</v>
      </c>
      <c r="V71" s="383" t="str">
        <f aca="false">VLOOKUP(CONCATENATE($B68,"-",V$8),'[1]liste complet essai'!$A$4:$K$1367,1,)</f>
        <v>29-81</v>
      </c>
      <c r="W71" s="383" t="str">
        <f aca="false">VLOOKUP(CONCATENATE($B68,"-",W$8),'[1]liste complet essai'!$A$4:$K$1367,1,)</f>
        <v>29-82</v>
      </c>
      <c r="X71" s="383" t="str">
        <f aca="false">VLOOKUP(CONCATENATE($B68,"-",X$8),'[1]liste complet essai'!$A$4:$K$1367,1,)</f>
        <v>29-83</v>
      </c>
      <c r="Y71" s="383" t="str">
        <f aca="false">VLOOKUP(CONCATENATE($B68,"-",Y$8),'[1]liste complet essai'!$A$4:$K$1367,1,)</f>
        <v>29-84</v>
      </c>
      <c r="Z71" s="383" t="str">
        <f aca="false">VLOOKUP(CONCATENATE($B68,"-",Z$8),'[1]liste complet essai'!$A$4:$K$1367,1,)</f>
        <v>29-85</v>
      </c>
      <c r="AA71" s="383" t="str">
        <f aca="false">VLOOKUP(CONCATENATE($B68,"-",AA$8),'[1]liste complet essai'!$A$4:$K$1367,1,)</f>
        <v>29-86</v>
      </c>
      <c r="AB71" s="383" t="str">
        <f aca="false">VLOOKUP(CONCATENATE($B68,"-",AB$8),'[1]liste complet essai'!$A$4:$K$1367,1,)</f>
        <v>29-87</v>
      </c>
      <c r="AC71" s="383" t="str">
        <f aca="false">VLOOKUP(CONCATENATE($B68,"-",AC$8),'[1]liste complet essai'!$A$4:$K$1367,1,)</f>
        <v>29-88</v>
      </c>
      <c r="AD71" s="383" t="str">
        <f aca="false">VLOOKUP(CONCATENATE($B68,"-",AD$8),'[1]liste complet essai'!$A$4:$K$1367,1,)</f>
        <v>29-89</v>
      </c>
      <c r="AE71" s="383" t="str">
        <f aca="false">VLOOKUP(CONCATENATE($B68,"-",AE$8),'[1]liste complet essai'!$A$4:$K$1367,1,)</f>
        <v>29-90</v>
      </c>
      <c r="AF71" s="410"/>
      <c r="AK71" s="284"/>
    </row>
    <row r="72" customFormat="false" ht="12" hidden="false" customHeight="true" outlineLevel="0" collapsed="false">
      <c r="B72" s="384" t="n">
        <v>30</v>
      </c>
      <c r="C72" s="377" t="s">
        <v>8122</v>
      </c>
      <c r="D72" s="319"/>
      <c r="E72" s="378" t="s">
        <v>8122</v>
      </c>
      <c r="F72" s="372" t="str">
        <f aca="false">VLOOKUP(CONCATENATE($B72,"-",F$8),'[1]liste complet essai'!$A$4:$K$1367,4,)</f>
        <v>DK</v>
      </c>
      <c r="G72" s="372" t="str">
        <f aca="false">VLOOKUP(CONCATENATE($B72,"-",G$8),'[1]liste complet essai'!$A$4:$K$1367,4,)</f>
        <v>DK</v>
      </c>
      <c r="H72" s="372" t="str">
        <f aca="false">VLOOKUP(CONCATENATE($B72,"-",H$8),'[1]liste complet essai'!$A$4:$K$1367,4,)</f>
        <v>DK</v>
      </c>
      <c r="I72" s="372" t="str">
        <f aca="false">VLOOKUP(CONCATENATE($B72,"-",I$8),'[1]liste complet essai'!$A$4:$K$1367,4,)</f>
        <v>DK</v>
      </c>
      <c r="J72" s="372" t="str">
        <f aca="false">VLOOKUP(CONCATENATE($B72,"-",J$8),'[1]liste complet essai'!$A$4:$K$1367,4,)</f>
        <v>DK</v>
      </c>
      <c r="K72" s="368" t="str">
        <f aca="false">VLOOKUP(CONCATENATE($B72,"-",K$8),'[1]liste complet essai'!$A$4:$K$1367,4,)</f>
        <v>DK</v>
      </c>
      <c r="L72" s="372" t="str">
        <f aca="false">VLOOKUP(CONCATENATE($B72,"-",L$8),'[1]liste complet essai'!$A$4:$K$1367,4,)</f>
        <v>DK</v>
      </c>
      <c r="M72" s="372" t="str">
        <f aca="false">VLOOKUP(CONCATENATE($B72,"-",M$8),'[1]liste complet essai'!$A$4:$K$1367,4,)</f>
        <v>DK</v>
      </c>
      <c r="N72" s="372" t="str">
        <f aca="false">VLOOKUP(CONCATENATE($B72,"-",N$8),'[1]liste complet essai'!$A$4:$K$1367,4,)</f>
        <v>DK</v>
      </c>
      <c r="O72" s="372" t="str">
        <f aca="false">VLOOKUP(CONCATENATE($B72,"-",O$8),'[1]liste complet essai'!$A$4:$K$1367,4,)</f>
        <v>DK</v>
      </c>
      <c r="P72" s="372" t="str">
        <f aca="false">VLOOKUP(CONCATENATE($B72,"-",P$8),'[1]liste complet essai'!$A$4:$K$1367,4,)</f>
        <v>DK</v>
      </c>
      <c r="Q72" s="372" t="str">
        <f aca="false">VLOOKUP(CONCATENATE($B72,"-",Q$8),'[1]liste complet essai'!$A$4:$K$1367,4,)</f>
        <v>DK</v>
      </c>
      <c r="R72" s="372" t="str">
        <f aca="false">VLOOKUP(CONCATENATE($B72,"-",R$8),'[1]liste complet essai'!$A$4:$K$1367,4,)</f>
        <v>DK</v>
      </c>
      <c r="S72" s="372" t="str">
        <f aca="false">VLOOKUP(CONCATENATE($B72,"-",S$8),'[1]liste complet essai'!$A$4:$K$1367,4,)</f>
        <v>DK</v>
      </c>
      <c r="T72" s="366" t="str">
        <f aca="false">VLOOKUP(CONCATENATE($B72,"-",T$8),'[1]liste complet essai'!$A$4:$K$1367,4,)</f>
        <v>DK</v>
      </c>
      <c r="U72" s="372" t="str">
        <f aca="false">VLOOKUP(CONCATENATE($B72,"-",U$8),'[1]liste complet essai'!$A$4:$K$1367,4,)</f>
        <v>DK</v>
      </c>
      <c r="V72" s="372" t="str">
        <f aca="false">VLOOKUP(CONCATENATE($B72,"-",V$8),'[1]liste complet essai'!$A$4:$K$1367,4,)</f>
        <v>DK</v>
      </c>
      <c r="W72" s="372" t="str">
        <f aca="false">VLOOKUP(CONCATENATE($B72,"-",W$8),'[1]liste complet essai'!$A$4:$K$1367,4,)</f>
        <v>DK</v>
      </c>
      <c r="X72" s="372" t="str">
        <f aca="false">VLOOKUP(CONCATENATE($B72,"-",X$8),'[1]liste complet essai'!$A$4:$K$1367,4,)</f>
        <v>DK</v>
      </c>
      <c r="Y72" s="372" t="str">
        <f aca="false">VLOOKUP(CONCATENATE($B72,"-",Y$8),'[1]liste complet essai'!$A$4:$K$1367,4,)</f>
        <v>DK</v>
      </c>
      <c r="Z72" s="372" t="str">
        <f aca="false">VLOOKUP(CONCATENATE($B72,"-",Z$8),'[1]liste complet essai'!$A$4:$K$1367,4,)</f>
        <v>DK</v>
      </c>
      <c r="AA72" s="372" t="str">
        <f aca="false">VLOOKUP(CONCATENATE($B72,"-",AA$8),'[1]liste complet essai'!$A$4:$K$1367,4,)</f>
        <v>DK</v>
      </c>
      <c r="AB72" s="372" t="str">
        <f aca="false">VLOOKUP(CONCATENATE($B72,"-",AB$8),'[1]liste complet essai'!$A$4:$K$1367,4,)</f>
        <v>DK</v>
      </c>
      <c r="AC72" s="372" t="str">
        <f aca="false">VLOOKUP(CONCATENATE($B72,"-",AC$8),'[1]liste complet essai'!$A$4:$K$1367,4,)</f>
        <v>DK</v>
      </c>
      <c r="AD72" s="372" t="str">
        <f aca="false">VLOOKUP(CONCATENATE($B72,"-",AD$8),'[1]liste complet essai'!$A$4:$K$1367,4,)</f>
        <v>DK</v>
      </c>
      <c r="AE72" s="372" t="str">
        <f aca="false">VLOOKUP(CONCATENATE($B72,"-",AE$8),'[1]liste complet essai'!$A$4:$K$1367,4,)</f>
        <v>DK</v>
      </c>
      <c r="AF72" s="411" t="s">
        <v>8122</v>
      </c>
      <c r="AK72" s="412" t="s">
        <v>8135</v>
      </c>
      <c r="AL72" s="412"/>
      <c r="AM72" s="412"/>
      <c r="AN72" s="413" t="s">
        <v>8136</v>
      </c>
      <c r="AO72" s="413"/>
      <c r="AP72" s="413"/>
      <c r="AQ72" s="414"/>
      <c r="AR72" s="412" t="s">
        <v>8135</v>
      </c>
      <c r="AS72" s="412"/>
      <c r="AT72" s="412"/>
      <c r="AU72" s="413" t="s">
        <v>8136</v>
      </c>
      <c r="AV72" s="413"/>
      <c r="AW72" s="413"/>
      <c r="AX72" s="414"/>
      <c r="AY72" s="412" t="s">
        <v>8135</v>
      </c>
      <c r="AZ72" s="412"/>
      <c r="BA72" s="412"/>
      <c r="BB72" s="413" t="s">
        <v>8136</v>
      </c>
      <c r="BC72" s="413"/>
      <c r="BD72" s="413"/>
      <c r="BE72" s="414"/>
      <c r="BF72" s="412" t="s">
        <v>8135</v>
      </c>
      <c r="BG72" s="412"/>
      <c r="BH72" s="412"/>
      <c r="BI72" s="413" t="s">
        <v>8136</v>
      </c>
      <c r="BJ72" s="413"/>
      <c r="BK72" s="413"/>
      <c r="BL72" s="414"/>
      <c r="BM72" s="412" t="s">
        <v>8135</v>
      </c>
      <c r="BN72" s="412"/>
      <c r="BO72" s="412"/>
      <c r="BP72" s="413" t="s">
        <v>8136</v>
      </c>
      <c r="BQ72" s="413"/>
      <c r="BR72" s="413"/>
      <c r="BS72" s="415"/>
      <c r="BT72" s="415"/>
      <c r="BU72" s="415"/>
      <c r="BV72" s="415"/>
      <c r="BW72" s="415"/>
      <c r="BX72" s="415"/>
      <c r="BY72" s="415"/>
      <c r="BZ72" s="415"/>
      <c r="CA72" s="415"/>
      <c r="CB72" s="415"/>
      <c r="CC72" s="415"/>
      <c r="CD72" s="415"/>
      <c r="CE72" s="416"/>
      <c r="CF72" s="412" t="s">
        <v>8135</v>
      </c>
      <c r="CG72" s="412"/>
      <c r="CH72" s="412"/>
      <c r="CI72" s="413" t="s">
        <v>8136</v>
      </c>
      <c r="CJ72" s="413"/>
      <c r="CK72" s="413"/>
      <c r="CL72" s="417"/>
      <c r="CM72" s="412" t="s">
        <v>8135</v>
      </c>
      <c r="CN72" s="412"/>
      <c r="CO72" s="412"/>
      <c r="CP72" s="413" t="s">
        <v>8136</v>
      </c>
      <c r="CQ72" s="413"/>
      <c r="CR72" s="413"/>
      <c r="CS72" s="418"/>
      <c r="CT72" s="412" t="s">
        <v>8135</v>
      </c>
      <c r="CU72" s="412"/>
      <c r="CV72" s="412"/>
      <c r="CW72" s="413" t="s">
        <v>8136</v>
      </c>
      <c r="CX72" s="413"/>
      <c r="CY72" s="413"/>
      <c r="CZ72" s="418"/>
      <c r="DA72" s="412" t="s">
        <v>8135</v>
      </c>
      <c r="DB72" s="412"/>
      <c r="DC72" s="412"/>
      <c r="DD72" s="413" t="s">
        <v>8136</v>
      </c>
      <c r="DE72" s="413"/>
      <c r="DF72" s="413"/>
      <c r="DN72" s="284"/>
      <c r="DO72" s="284"/>
      <c r="DP72" s="284"/>
      <c r="DQ72" s="284"/>
      <c r="DR72" s="284"/>
      <c r="DS72" s="284"/>
    </row>
    <row r="73" customFormat="false" ht="12" hidden="false" customHeight="true" outlineLevel="0" collapsed="false">
      <c r="B73" s="384"/>
      <c r="C73" s="377"/>
      <c r="D73" s="307"/>
      <c r="E73" s="378"/>
      <c r="F73" s="372" t="str">
        <f aca="false">VLOOKUP(CONCATENATE($B72,"-",F$8),'[1]liste complet essai'!$A$4:$K$1367,9,)</f>
        <v>N2-b3</v>
      </c>
      <c r="G73" s="372" t="str">
        <f aca="false">VLOOKUP(CONCATENATE($B72,"-",G$8),'[1]liste complet essai'!$A$4:$K$1367,9,)</f>
        <v>N2-b3</v>
      </c>
      <c r="H73" s="372" t="str">
        <f aca="false">VLOOKUP(CONCATENATE($B72,"-",H$8),'[1]liste complet essai'!$A$4:$K$1367,9,)</f>
        <v>N2-b3</v>
      </c>
      <c r="I73" s="372" t="str">
        <f aca="false">VLOOKUP(CONCATENATE($B72,"-",I$8),'[1]liste complet essai'!$A$4:$K$1367,9,)</f>
        <v>N2-b3</v>
      </c>
      <c r="J73" s="372" t="str">
        <f aca="false">VLOOKUP(CONCATENATE($B72,"-",J$8),'[1]liste complet essai'!$A$4:$K$1367,9,)</f>
        <v>N2-b3</v>
      </c>
      <c r="K73" s="373" t="str">
        <f aca="false">VLOOKUP(CONCATENATE($B72,"-",K$8),'[1]liste complet essai'!$A$4:$K$1367,9,)</f>
        <v>N2-b3</v>
      </c>
      <c r="L73" s="372" t="str">
        <f aca="false">VLOOKUP(CONCATENATE($B72,"-",L$8),'[1]liste complet essai'!$A$4:$K$1367,9,)</f>
        <v>N2-b3</v>
      </c>
      <c r="M73" s="372" t="str">
        <f aca="false">VLOOKUP(CONCATENATE($B72,"-",M$8),'[1]liste complet essai'!$A$4:$K$1367,9,)</f>
        <v>N2-b3</v>
      </c>
      <c r="N73" s="372" t="str">
        <f aca="false">VLOOKUP(CONCATENATE($B72,"-",N$8),'[1]liste complet essai'!$A$4:$K$1367,9,)</f>
        <v>N2-b3</v>
      </c>
      <c r="O73" s="372" t="str">
        <f aca="false">VLOOKUP(CONCATENATE($B72,"-",O$8),'[1]liste complet essai'!$A$4:$K$1367,9,)</f>
        <v>N2-b3</v>
      </c>
      <c r="P73" s="372" t="str">
        <f aca="false">VLOOKUP(CONCATENATE($B72,"-",P$8),'[1]liste complet essai'!$A$4:$K$1367,9,)</f>
        <v>N2-b3</v>
      </c>
      <c r="Q73" s="372" t="str">
        <f aca="false">VLOOKUP(CONCATENATE($B72,"-",Q$8),'[1]liste complet essai'!$A$4:$K$1367,9,)</f>
        <v>N2-b3</v>
      </c>
      <c r="R73" s="372" t="str">
        <f aca="false">VLOOKUP(CONCATENATE($B72,"-",R$8),'[1]liste complet essai'!$A$4:$K$1367,9,)</f>
        <v>N2-b3</v>
      </c>
      <c r="S73" s="372" t="str">
        <f aca="false">VLOOKUP(CONCATENATE($B72,"-",S$8),'[1]liste complet essai'!$A$4:$K$1367,9,)</f>
        <v>N2-b3</v>
      </c>
      <c r="T73" s="366" t="str">
        <f aca="false">VLOOKUP(CONCATENATE($B72,"-",T$8),'[1]liste complet essai'!$A$4:$K$1367,9,)</f>
        <v>N2-b3</v>
      </c>
      <c r="U73" s="372" t="str">
        <f aca="false">VLOOKUP(CONCATENATE($B72,"-",U$8),'[1]liste complet essai'!$A$4:$K$1367,9,)</f>
        <v>N2-b3</v>
      </c>
      <c r="V73" s="372" t="str">
        <f aca="false">VLOOKUP(CONCATENATE($B72,"-",V$8),'[1]liste complet essai'!$A$4:$K$1367,9,)</f>
        <v>N2-b3</v>
      </c>
      <c r="W73" s="372" t="str">
        <f aca="false">VLOOKUP(CONCATENATE($B72,"-",W$8),'[1]liste complet essai'!$A$4:$K$1367,9,)</f>
        <v>N2-b3</v>
      </c>
      <c r="X73" s="372" t="str">
        <f aca="false">VLOOKUP(CONCATENATE($B72,"-",X$8),'[1]liste complet essai'!$A$4:$K$1367,9,)</f>
        <v>N2-b3</v>
      </c>
      <c r="Y73" s="372" t="str">
        <f aca="false">VLOOKUP(CONCATENATE($B72,"-",Y$8),'[1]liste complet essai'!$A$4:$K$1367,9,)</f>
        <v>N2-b3</v>
      </c>
      <c r="Z73" s="372" t="str">
        <f aca="false">VLOOKUP(CONCATENATE($B72,"-",Z$8),'[1]liste complet essai'!$A$4:$K$1367,9,)</f>
        <v>N2-b3</v>
      </c>
      <c r="AA73" s="372" t="str">
        <f aca="false">VLOOKUP(CONCATENATE($B72,"-",AA$8),'[1]liste complet essai'!$A$4:$K$1367,9,)</f>
        <v>N2-b3</v>
      </c>
      <c r="AB73" s="372" t="str">
        <f aca="false">VLOOKUP(CONCATENATE($B72,"-",AB$8),'[1]liste complet essai'!$A$4:$K$1367,9,)</f>
        <v>N2-b3</v>
      </c>
      <c r="AC73" s="372" t="str">
        <f aca="false">VLOOKUP(CONCATENATE($B72,"-",AC$8),'[1]liste complet essai'!$A$4:$K$1367,9,)</f>
        <v>N2-b3</v>
      </c>
      <c r="AD73" s="372" t="str">
        <f aca="false">VLOOKUP(CONCATENATE($B72,"-",AD$8),'[1]liste complet essai'!$A$4:$K$1367,9,)</f>
        <v>N2-b3</v>
      </c>
      <c r="AE73" s="372" t="str">
        <f aca="false">VLOOKUP(CONCATENATE($B72,"-",AE$8),'[1]liste complet essai'!$A$4:$K$1367,9,)</f>
        <v>N2-b3</v>
      </c>
      <c r="AF73" s="411"/>
      <c r="AK73" s="419" t="str">
        <f aca="false">'[1]Correspondance Geno'!A4</f>
        <v>Aviso</v>
      </c>
      <c r="AL73" s="419"/>
      <c r="AM73" s="419"/>
      <c r="AN73" s="420" t="str">
        <f aca="false">'[1]Correspondance Geno'!B4</f>
        <v>G-001</v>
      </c>
      <c r="AO73" s="420"/>
      <c r="AP73" s="420"/>
      <c r="AQ73" s="421"/>
      <c r="AR73" s="419" t="str">
        <f aca="false">'[1]Correspondance Geno'!A29</f>
        <v>AM046</v>
      </c>
      <c r="AS73" s="419"/>
      <c r="AT73" s="419"/>
      <c r="AU73" s="420" t="str">
        <f aca="false">'[1]Correspondance Geno'!B29</f>
        <v>G-026</v>
      </c>
      <c r="AV73" s="420"/>
      <c r="AW73" s="420"/>
      <c r="AX73" s="421"/>
      <c r="AY73" s="419" t="str">
        <f aca="false">'[1]Correspondance Geno'!A54</f>
        <v>AM078</v>
      </c>
      <c r="AZ73" s="419"/>
      <c r="BA73" s="419"/>
      <c r="BB73" s="420" t="str">
        <f aca="false">'[1]Correspondance Geno'!B54</f>
        <v>G-051</v>
      </c>
      <c r="BC73" s="420"/>
      <c r="BD73" s="420"/>
      <c r="BE73" s="421"/>
      <c r="BF73" s="419" t="str">
        <f aca="false">'[1]Correspondance Geno'!A79</f>
        <v>AM124</v>
      </c>
      <c r="BG73" s="419"/>
      <c r="BH73" s="419"/>
      <c r="BI73" s="420" t="str">
        <f aca="false">'[1]Correspondance Geno'!B79</f>
        <v>G-076</v>
      </c>
      <c r="BJ73" s="420"/>
      <c r="BK73" s="420"/>
      <c r="BL73" s="421"/>
      <c r="BM73" s="419" t="str">
        <f aca="false">'[1]Correspondance Geno'!A104</f>
        <v>AM167</v>
      </c>
      <c r="BN73" s="419"/>
      <c r="BO73" s="419"/>
      <c r="BP73" s="420" t="str">
        <f aca="false">'[1]Correspondance Geno'!B104</f>
        <v>G-101</v>
      </c>
      <c r="BQ73" s="420"/>
      <c r="BR73" s="420"/>
      <c r="BS73" s="422"/>
      <c r="BT73" s="422"/>
      <c r="BU73" s="422"/>
      <c r="BV73" s="422"/>
      <c r="BW73" s="422"/>
      <c r="BX73" s="422"/>
      <c r="BY73" s="422"/>
      <c r="BZ73" s="422"/>
      <c r="CA73" s="422"/>
      <c r="CB73" s="422"/>
      <c r="CC73" s="422"/>
      <c r="CD73" s="422"/>
      <c r="CE73" s="423"/>
      <c r="CF73" s="419" t="str">
        <f aca="false">'[1]Correspondance Geno'!A128</f>
        <v>Tenor</v>
      </c>
      <c r="CG73" s="419"/>
      <c r="CH73" s="419"/>
      <c r="CI73" s="420" t="str">
        <f aca="false">'[1]Correspondance Geno'!B128</f>
        <v>G-125</v>
      </c>
      <c r="CJ73" s="420"/>
      <c r="CK73" s="420"/>
      <c r="CL73" s="421"/>
      <c r="CM73" s="419" t="str">
        <f aca="false">'[1]Correspondance Geno'!A153</f>
        <v>DK044</v>
      </c>
      <c r="CN73" s="419"/>
      <c r="CO73" s="419"/>
      <c r="CP73" s="420" t="str">
        <f aca="false">'[1]Correspondance Geno'!B153</f>
        <v>G-150</v>
      </c>
      <c r="CQ73" s="420"/>
      <c r="CR73" s="420"/>
      <c r="CS73" s="422"/>
      <c r="CT73" s="419" t="str">
        <f aca="false">'[1]Correspondance Geno'!A178</f>
        <v>DK091</v>
      </c>
      <c r="CU73" s="419"/>
      <c r="CV73" s="419"/>
      <c r="CW73" s="420" t="str">
        <f aca="false">'[1]Correspondance Geno'!B178</f>
        <v>G-175</v>
      </c>
      <c r="CX73" s="420"/>
      <c r="CY73" s="420"/>
      <c r="CZ73" s="422"/>
      <c r="DA73" s="424" t="str">
        <f aca="false">'[1]Correspondance Geno'!A203</f>
        <v>DK142</v>
      </c>
      <c r="DB73" s="424"/>
      <c r="DC73" s="424"/>
      <c r="DD73" s="420" t="str">
        <f aca="false">'[1]Correspondance Geno'!B203</f>
        <v>G-200</v>
      </c>
      <c r="DE73" s="420"/>
      <c r="DF73" s="420"/>
      <c r="DN73" s="284"/>
      <c r="DO73" s="284"/>
      <c r="DP73" s="284"/>
      <c r="DQ73" s="284"/>
      <c r="DR73" s="284"/>
      <c r="DS73" s="284"/>
    </row>
    <row r="74" customFormat="false" ht="12" hidden="false" customHeight="true" outlineLevel="0" collapsed="false">
      <c r="B74" s="384"/>
      <c r="C74" s="377"/>
      <c r="D74" s="307"/>
      <c r="E74" s="378"/>
      <c r="F74" s="372" t="str">
        <f aca="false">VLOOKUP(CONCATENATE($B72,"-",F$8),'[1]liste complet essai'!$A$4:$K$1367,5,)</f>
        <v>G-200</v>
      </c>
      <c r="G74" s="372" t="str">
        <f aca="false">VLOOKUP(CONCATENATE($B72,"-",G$8),'[1]liste complet essai'!$A$4:$K$1367,5,)</f>
        <v>G-162</v>
      </c>
      <c r="H74" s="372" t="str">
        <f aca="false">VLOOKUP(CONCATENATE($B72,"-",H$8),'[1]liste complet essai'!$A$4:$K$1367,5,)</f>
        <v>G-199</v>
      </c>
      <c r="I74" s="372" t="str">
        <f aca="false">VLOOKUP(CONCATENATE($B72,"-",I$8),'[1]liste complet essai'!$A$4:$K$1367,5,)</f>
        <v>G-209</v>
      </c>
      <c r="J74" s="372" t="str">
        <f aca="false">VLOOKUP(CONCATENATE($B72,"-",J$8),'[1]liste complet essai'!$A$4:$K$1367,5,)</f>
        <v>G-127</v>
      </c>
      <c r="K74" s="375" t="str">
        <f aca="false">VLOOKUP(CONCATENATE($B72,"-",K$8),'[1]liste complet essai'!$A$4:$K$1367,5,)</f>
        <v>G-126</v>
      </c>
      <c r="L74" s="372" t="str">
        <f aca="false">VLOOKUP(CONCATENATE($B72,"-",L$8),'[1]liste complet essai'!$A$4:$K$1367,5,)</f>
        <v>G-164</v>
      </c>
      <c r="M74" s="372" t="str">
        <f aca="false">VLOOKUP(CONCATENATE($B72,"-",M$8),'[1]liste complet essai'!$A$4:$K$1367,5,)</f>
        <v>G-129</v>
      </c>
      <c r="N74" s="372" t="str">
        <f aca="false">VLOOKUP(CONCATENATE($B72,"-",N$8),'[1]liste complet essai'!$A$4:$K$1367,5,)</f>
        <v>G-172</v>
      </c>
      <c r="O74" s="372" t="str">
        <f aca="false">VLOOKUP(CONCATENATE($B72,"-",O$8),'[1]liste complet essai'!$A$4:$K$1367,5,)</f>
        <v>G-163</v>
      </c>
      <c r="P74" s="372" t="str">
        <f aca="false">VLOOKUP(CONCATENATE($B72,"-",P$8),'[1]liste complet essai'!$A$4:$K$1367,5,)</f>
        <v>G-207</v>
      </c>
      <c r="Q74" s="372" t="str">
        <f aca="false">VLOOKUP(CONCATENATE($B72,"-",Q$8),'[1]liste complet essai'!$A$4:$K$1367,5,)</f>
        <v>G-211</v>
      </c>
      <c r="R74" s="372" t="str">
        <f aca="false">VLOOKUP(CONCATENATE($B72,"-",R$8),'[1]liste complet essai'!$A$4:$K$1367,5,)</f>
        <v>G-142</v>
      </c>
      <c r="S74" s="372" t="str">
        <f aca="false">VLOOKUP(CONCATENATE($B72,"-",S$8),'[1]liste complet essai'!$A$4:$K$1367,5,)</f>
        <v>G-179</v>
      </c>
      <c r="T74" s="375" t="str">
        <f aca="false">VLOOKUP(CONCATENATE($B72,"-",T$8),'[1]liste complet essai'!$A$4:$K$1367,5,)</f>
        <v>G-125</v>
      </c>
      <c r="U74" s="372" t="str">
        <f aca="false">VLOOKUP(CONCATENATE($B72,"-",U$8),'[1]liste complet essai'!$A$4:$K$1367,5,)</f>
        <v>G-131</v>
      </c>
      <c r="V74" s="372" t="str">
        <f aca="false">VLOOKUP(CONCATENATE($B72,"-",V$8),'[1]liste complet essai'!$A$4:$K$1367,5,)</f>
        <v>G-191</v>
      </c>
      <c r="W74" s="372" t="str">
        <f aca="false">VLOOKUP(CONCATENATE($B72,"-",W$8),'[1]liste complet essai'!$A$4:$K$1367,5,)</f>
        <v>G-154</v>
      </c>
      <c r="X74" s="372" t="str">
        <f aca="false">VLOOKUP(CONCATENATE($B72,"-",X$8),'[1]liste complet essai'!$A$4:$K$1367,5,)</f>
        <v>G-195</v>
      </c>
      <c r="Y74" s="375" t="str">
        <f aca="false">VLOOKUP(CONCATENATE($B72,"-",Y$8),'[1]liste complet essai'!$A$4:$K$1367,5,)</f>
        <v>G-125</v>
      </c>
      <c r="Z74" s="372" t="str">
        <f aca="false">VLOOKUP(CONCATENATE($B72,"-",Z$8),'[1]liste complet essai'!$A$4:$K$1367,5,)</f>
        <v>G-208</v>
      </c>
      <c r="AA74" s="372" t="str">
        <f aca="false">VLOOKUP(CONCATENATE($B72,"-",AA$8),'[1]liste complet essai'!$A$4:$K$1367,5,)</f>
        <v>G-153</v>
      </c>
      <c r="AB74" s="372" t="str">
        <f aca="false">VLOOKUP(CONCATENATE($B72,"-",AB$8),'[1]liste complet essai'!$A$4:$K$1367,5,)</f>
        <v>G-206</v>
      </c>
      <c r="AC74" s="372" t="str">
        <f aca="false">VLOOKUP(CONCATENATE($B72,"-",AC$8),'[1]liste complet essai'!$A$4:$K$1367,5,)</f>
        <v>G-136</v>
      </c>
      <c r="AD74" s="372" t="str">
        <f aca="false">VLOOKUP(CONCATENATE($B72,"-",AD$8),'[1]liste complet essai'!$A$4:$K$1367,5,)</f>
        <v>G-166</v>
      </c>
      <c r="AE74" s="372" t="str">
        <f aca="false">VLOOKUP(CONCATENATE($B72,"-",AE$8),'[1]liste complet essai'!$A$4:$K$1367,5,)</f>
        <v>G-157</v>
      </c>
      <c r="AF74" s="411"/>
      <c r="AK74" s="419" t="str">
        <f aca="false">'[1]Correspondance Geno'!A5</f>
        <v>Montego</v>
      </c>
      <c r="AL74" s="419"/>
      <c r="AM74" s="419"/>
      <c r="AN74" s="420" t="str">
        <f aca="false">'[1]Correspondance Geno'!B5</f>
        <v>G-002</v>
      </c>
      <c r="AO74" s="420"/>
      <c r="AP74" s="420"/>
      <c r="AQ74" s="421"/>
      <c r="AR74" s="419" t="str">
        <f aca="false">'[1]Correspondance Geno'!A30</f>
        <v>AM048</v>
      </c>
      <c r="AS74" s="419"/>
      <c r="AT74" s="419"/>
      <c r="AU74" s="420" t="str">
        <f aca="false">'[1]Correspondance Geno'!B30</f>
        <v>G-027</v>
      </c>
      <c r="AV74" s="420"/>
      <c r="AW74" s="420"/>
      <c r="AX74" s="421"/>
      <c r="AY74" s="419" t="str">
        <f aca="false">'[1]Correspondance Geno'!A55</f>
        <v>AM080</v>
      </c>
      <c r="AZ74" s="419"/>
      <c r="BA74" s="419"/>
      <c r="BB74" s="420" t="str">
        <f aca="false">'[1]Correspondance Geno'!B55</f>
        <v>G-052</v>
      </c>
      <c r="BC74" s="420"/>
      <c r="BD74" s="420"/>
      <c r="BE74" s="421"/>
      <c r="BF74" s="419" t="str">
        <f aca="false">'[1]Correspondance Geno'!A80</f>
        <v>AM125</v>
      </c>
      <c r="BG74" s="419"/>
      <c r="BH74" s="419"/>
      <c r="BI74" s="420" t="str">
        <f aca="false">'[1]Correspondance Geno'!B80</f>
        <v>G-077</v>
      </c>
      <c r="BJ74" s="420"/>
      <c r="BK74" s="420"/>
      <c r="BL74" s="421"/>
      <c r="BM74" s="419" t="str">
        <f aca="false">'[1]Correspondance Geno'!A105</f>
        <v>AM168</v>
      </c>
      <c r="BN74" s="419"/>
      <c r="BO74" s="419"/>
      <c r="BP74" s="420" t="str">
        <f aca="false">'[1]Correspondance Geno'!B105</f>
        <v>G-102</v>
      </c>
      <c r="BQ74" s="420"/>
      <c r="BR74" s="420"/>
      <c r="BS74" s="422"/>
      <c r="BT74" s="422"/>
      <c r="BU74" s="422"/>
      <c r="BV74" s="422"/>
      <c r="BW74" s="422"/>
      <c r="BX74" s="422"/>
      <c r="BY74" s="422"/>
      <c r="BZ74" s="422"/>
      <c r="CA74" s="422"/>
      <c r="CB74" s="422"/>
      <c r="CC74" s="422"/>
      <c r="CD74" s="422"/>
      <c r="CE74" s="423"/>
      <c r="CF74" s="419" t="str">
        <f aca="false">'[1]Correspondance Geno'!A129</f>
        <v>Express</v>
      </c>
      <c r="CG74" s="419"/>
      <c r="CH74" s="419"/>
      <c r="CI74" s="420" t="str">
        <f aca="false">'[1]Correspondance Geno'!B129</f>
        <v>G-126</v>
      </c>
      <c r="CJ74" s="420"/>
      <c r="CK74" s="420"/>
      <c r="CL74" s="421"/>
      <c r="CM74" s="419" t="str">
        <f aca="false">'[1]Correspondance Geno'!A154</f>
        <v>DK045</v>
      </c>
      <c r="CN74" s="419"/>
      <c r="CO74" s="419"/>
      <c r="CP74" s="420" t="str">
        <f aca="false">'[1]Correspondance Geno'!B154</f>
        <v>G-151</v>
      </c>
      <c r="CQ74" s="420"/>
      <c r="CR74" s="420"/>
      <c r="CS74" s="422"/>
      <c r="CT74" s="419" t="str">
        <f aca="false">'[1]Correspondance Geno'!A179</f>
        <v>DK093</v>
      </c>
      <c r="CU74" s="419"/>
      <c r="CV74" s="419"/>
      <c r="CW74" s="420" t="str">
        <f aca="false">'[1]Correspondance Geno'!B179</f>
        <v>G-176</v>
      </c>
      <c r="CX74" s="420"/>
      <c r="CY74" s="420"/>
      <c r="CZ74" s="422"/>
      <c r="DA74" s="424" t="str">
        <f aca="false">'[1]Correspondance Geno'!A204</f>
        <v>DK143</v>
      </c>
      <c r="DB74" s="424"/>
      <c r="DC74" s="424"/>
      <c r="DD74" s="420" t="str">
        <f aca="false">'[1]Correspondance Geno'!B204</f>
        <v>G-201</v>
      </c>
      <c r="DE74" s="420"/>
      <c r="DF74" s="420"/>
      <c r="DN74" s="284"/>
      <c r="DO74" s="284"/>
      <c r="DP74" s="284"/>
      <c r="DQ74" s="284"/>
      <c r="DR74" s="284"/>
      <c r="DS74" s="284"/>
    </row>
    <row r="75" customFormat="false" ht="12" hidden="false" customHeight="true" outlineLevel="0" collapsed="false">
      <c r="B75" s="384"/>
      <c r="C75" s="377"/>
      <c r="D75" s="314"/>
      <c r="E75" s="378"/>
      <c r="F75" s="372" t="str">
        <f aca="false">VLOOKUP(CONCATENATE($B72,"-",F$8),'[1]liste complet essai'!$A$4:$K$1367,1,)</f>
        <v>30-65</v>
      </c>
      <c r="G75" s="372" t="str">
        <f aca="false">VLOOKUP(CONCATENATE($B72,"-",G$8),'[1]liste complet essai'!$A$4:$K$1367,1,)</f>
        <v>30-66</v>
      </c>
      <c r="H75" s="372" t="str">
        <f aca="false">VLOOKUP(CONCATENATE($B72,"-",H$8),'[1]liste complet essai'!$A$4:$K$1367,1,)</f>
        <v>30-67</v>
      </c>
      <c r="I75" s="372" t="str">
        <f aca="false">VLOOKUP(CONCATENATE($B72,"-",I$8),'[1]liste complet essai'!$A$4:$K$1367,1,)</f>
        <v>30-68</v>
      </c>
      <c r="J75" s="372" t="str">
        <f aca="false">VLOOKUP(CONCATENATE($B72,"-",J$8),'[1]liste complet essai'!$A$4:$K$1367,1,)</f>
        <v>30-69</v>
      </c>
      <c r="K75" s="372" t="str">
        <f aca="false">VLOOKUP(CONCATENATE($B72,"-",K$8),'[1]liste complet essai'!$A$4:$K$1367,1,)</f>
        <v>30-70</v>
      </c>
      <c r="L75" s="372" t="str">
        <f aca="false">VLOOKUP(CONCATENATE($B72,"-",L$8),'[1]liste complet essai'!$A$4:$K$1367,1,)</f>
        <v>30-71</v>
      </c>
      <c r="M75" s="372" t="str">
        <f aca="false">VLOOKUP(CONCATENATE($B72,"-",M$8),'[1]liste complet essai'!$A$4:$K$1367,1,)</f>
        <v>30-72</v>
      </c>
      <c r="N75" s="372" t="str">
        <f aca="false">VLOOKUP(CONCATENATE($B72,"-",N$8),'[1]liste complet essai'!$A$4:$K$1367,1,)</f>
        <v>30-73</v>
      </c>
      <c r="O75" s="372" t="str">
        <f aca="false">VLOOKUP(CONCATENATE($B72,"-",O$8),'[1]liste complet essai'!$A$4:$K$1367,1,)</f>
        <v>30-74</v>
      </c>
      <c r="P75" s="372" t="str">
        <f aca="false">VLOOKUP(CONCATENATE($B72,"-",P$8),'[1]liste complet essai'!$A$4:$K$1367,1,)</f>
        <v>30-75</v>
      </c>
      <c r="Q75" s="372" t="str">
        <f aca="false">VLOOKUP(CONCATENATE($B72,"-",Q$8),'[1]liste complet essai'!$A$4:$K$1367,1,)</f>
        <v>30-76</v>
      </c>
      <c r="R75" s="372" t="str">
        <f aca="false">VLOOKUP(CONCATENATE($B72,"-",R$8),'[1]liste complet essai'!$A$4:$K$1367,1,)</f>
        <v>30-77</v>
      </c>
      <c r="S75" s="372" t="str">
        <f aca="false">VLOOKUP(CONCATENATE($B72,"-",S$8),'[1]liste complet essai'!$A$4:$K$1367,1,)</f>
        <v>30-78</v>
      </c>
      <c r="T75" s="366" t="str">
        <f aca="false">VLOOKUP(CONCATENATE($B72,"-",T$8),'[1]liste complet essai'!$A$4:$K$1367,1,)</f>
        <v>30-79</v>
      </c>
      <c r="U75" s="372" t="str">
        <f aca="false">VLOOKUP(CONCATENATE($B72,"-",U$8),'[1]liste complet essai'!$A$4:$K$1367,1,)</f>
        <v>30-80</v>
      </c>
      <c r="V75" s="372" t="str">
        <f aca="false">VLOOKUP(CONCATENATE($B72,"-",V$8),'[1]liste complet essai'!$A$4:$K$1367,1,)</f>
        <v>30-81</v>
      </c>
      <c r="W75" s="372" t="str">
        <f aca="false">VLOOKUP(CONCATENATE($B72,"-",W$8),'[1]liste complet essai'!$A$4:$K$1367,1,)</f>
        <v>30-82</v>
      </c>
      <c r="X75" s="372" t="str">
        <f aca="false">VLOOKUP(CONCATENATE($B72,"-",X$8),'[1]liste complet essai'!$A$4:$K$1367,1,)</f>
        <v>30-83</v>
      </c>
      <c r="Y75" s="328" t="str">
        <f aca="false">VLOOKUP(CONCATENATE($B72,"-",Y$8),'[1]liste complet essai'!$A$4:$K$1367,1,)</f>
        <v>30-84</v>
      </c>
      <c r="Z75" s="372" t="str">
        <f aca="false">VLOOKUP(CONCATENATE($B72,"-",Z$8),'[1]liste complet essai'!$A$4:$K$1367,1,)</f>
        <v>30-85</v>
      </c>
      <c r="AA75" s="372" t="str">
        <f aca="false">VLOOKUP(CONCATENATE($B72,"-",AA$8),'[1]liste complet essai'!$A$4:$K$1367,1,)</f>
        <v>30-86</v>
      </c>
      <c r="AB75" s="372" t="str">
        <f aca="false">VLOOKUP(CONCATENATE($B72,"-",AB$8),'[1]liste complet essai'!$A$4:$K$1367,1,)</f>
        <v>30-87</v>
      </c>
      <c r="AC75" s="372" t="str">
        <f aca="false">VLOOKUP(CONCATENATE($B72,"-",AC$8),'[1]liste complet essai'!$A$4:$K$1367,1,)</f>
        <v>30-88</v>
      </c>
      <c r="AD75" s="372" t="str">
        <f aca="false">VLOOKUP(CONCATENATE($B72,"-",AD$8),'[1]liste complet essai'!$A$4:$K$1367,1,)</f>
        <v>30-89</v>
      </c>
      <c r="AE75" s="372" t="str">
        <f aca="false">VLOOKUP(CONCATENATE($B72,"-",AE$8),'[1]liste complet essai'!$A$4:$K$1367,1,)</f>
        <v>30-90</v>
      </c>
      <c r="AF75" s="411"/>
      <c r="AK75" s="419" t="str">
        <f aca="false">'[1]Correspondance Geno'!A6</f>
        <v>AM014</v>
      </c>
      <c r="AL75" s="419"/>
      <c r="AM75" s="419"/>
      <c r="AN75" s="420" t="str">
        <f aca="false">'[1]Correspondance Geno'!B6</f>
        <v>G-003</v>
      </c>
      <c r="AO75" s="420"/>
      <c r="AP75" s="420"/>
      <c r="AQ75" s="421"/>
      <c r="AR75" s="419" t="str">
        <f aca="false">'[1]Correspondance Geno'!A31</f>
        <v>AM049</v>
      </c>
      <c r="AS75" s="419"/>
      <c r="AT75" s="419"/>
      <c r="AU75" s="420" t="str">
        <f aca="false">'[1]Correspondance Geno'!B31</f>
        <v>G-028</v>
      </c>
      <c r="AV75" s="420"/>
      <c r="AW75" s="420"/>
      <c r="AX75" s="421"/>
      <c r="AY75" s="419" t="str">
        <f aca="false">'[1]Correspondance Geno'!A56</f>
        <v>AM082</v>
      </c>
      <c r="AZ75" s="419"/>
      <c r="BA75" s="419"/>
      <c r="BB75" s="420" t="str">
        <f aca="false">'[1]Correspondance Geno'!B56</f>
        <v>G-053</v>
      </c>
      <c r="BC75" s="420"/>
      <c r="BD75" s="420"/>
      <c r="BE75" s="421"/>
      <c r="BF75" s="419" t="str">
        <f aca="false">'[1]Correspondance Geno'!A81</f>
        <v>AM127</v>
      </c>
      <c r="BG75" s="419"/>
      <c r="BH75" s="419"/>
      <c r="BI75" s="420" t="str">
        <f aca="false">'[1]Correspondance Geno'!B81</f>
        <v>G-078</v>
      </c>
      <c r="BJ75" s="420"/>
      <c r="BK75" s="420"/>
      <c r="BL75" s="421"/>
      <c r="BM75" s="419" t="str">
        <f aca="false">'[1]Correspondance Geno'!A106</f>
        <v>AM169</v>
      </c>
      <c r="BN75" s="419"/>
      <c r="BO75" s="419"/>
      <c r="BP75" s="420" t="str">
        <f aca="false">'[1]Correspondance Geno'!B106</f>
        <v>G-103</v>
      </c>
      <c r="BQ75" s="420"/>
      <c r="BR75" s="420"/>
      <c r="BS75" s="422"/>
      <c r="BT75" s="422"/>
      <c r="BU75" s="422"/>
      <c r="BV75" s="422"/>
      <c r="BW75" s="422"/>
      <c r="BX75" s="422"/>
      <c r="BY75" s="422"/>
      <c r="BZ75" s="422"/>
      <c r="CA75" s="422"/>
      <c r="CB75" s="422"/>
      <c r="CC75" s="422"/>
      <c r="CD75" s="422"/>
      <c r="CE75" s="423"/>
      <c r="CF75" s="419" t="str">
        <f aca="false">'[1]Correspondance Geno'!A130</f>
        <v>DK001</v>
      </c>
      <c r="CG75" s="419"/>
      <c r="CH75" s="419"/>
      <c r="CI75" s="420" t="str">
        <f aca="false">'[1]Correspondance Geno'!B130</f>
        <v>G-127</v>
      </c>
      <c r="CJ75" s="420"/>
      <c r="CK75" s="420"/>
      <c r="CL75" s="421"/>
      <c r="CM75" s="419" t="str">
        <f aca="false">'[1]Correspondance Geno'!A155</f>
        <v>DK046</v>
      </c>
      <c r="CN75" s="419"/>
      <c r="CO75" s="419"/>
      <c r="CP75" s="420" t="str">
        <f aca="false">'[1]Correspondance Geno'!B155</f>
        <v>G-152</v>
      </c>
      <c r="CQ75" s="420"/>
      <c r="CR75" s="420"/>
      <c r="CS75" s="422"/>
      <c r="CT75" s="419" t="str">
        <f aca="false">'[1]Correspondance Geno'!A180</f>
        <v>DK094</v>
      </c>
      <c r="CU75" s="419"/>
      <c r="CV75" s="419"/>
      <c r="CW75" s="420" t="str">
        <f aca="false">'[1]Correspondance Geno'!B180</f>
        <v>G-177</v>
      </c>
      <c r="CX75" s="420"/>
      <c r="CY75" s="420"/>
      <c r="CZ75" s="422"/>
      <c r="DA75" s="424" t="str">
        <f aca="false">'[1]Correspondance Geno'!A205</f>
        <v>DK144</v>
      </c>
      <c r="DB75" s="424"/>
      <c r="DC75" s="424"/>
      <c r="DD75" s="420" t="str">
        <f aca="false">'[1]Correspondance Geno'!B205</f>
        <v>G-202</v>
      </c>
      <c r="DE75" s="420"/>
      <c r="DF75" s="420"/>
      <c r="DN75" s="284"/>
      <c r="DO75" s="284"/>
      <c r="DP75" s="284"/>
      <c r="DQ75" s="284"/>
      <c r="DR75" s="284"/>
      <c r="DS75" s="284"/>
    </row>
    <row r="76" customFormat="false" ht="12" hidden="false" customHeight="true" outlineLevel="0" collapsed="false">
      <c r="B76" s="384" t="n">
        <v>31</v>
      </c>
      <c r="C76" s="377" t="s">
        <v>8122</v>
      </c>
      <c r="D76" s="319"/>
      <c r="E76" s="378" t="s">
        <v>8122</v>
      </c>
      <c r="F76" s="379" t="str">
        <f aca="false">VLOOKUP(CONCATENATE($B76,"-",F$8),'[1]liste complet essai'!$A$4:$K$1367,4,)</f>
        <v>DK</v>
      </c>
      <c r="G76" s="379" t="str">
        <f aca="false">VLOOKUP(CONCATENATE($B76,"-",G$8),'[1]liste complet essai'!$A$4:$K$1367,4,)</f>
        <v>DK</v>
      </c>
      <c r="H76" s="379" t="str">
        <f aca="false">VLOOKUP(CONCATENATE($B76,"-",H$8),'[1]liste complet essai'!$A$4:$K$1367,4,)</f>
        <v>DK</v>
      </c>
      <c r="I76" s="379" t="str">
        <f aca="false">VLOOKUP(CONCATENATE($B76,"-",I$8),'[1]liste complet essai'!$A$4:$K$1367,4,)</f>
        <v>DK</v>
      </c>
      <c r="J76" s="379" t="str">
        <f aca="false">VLOOKUP(CONCATENATE($B76,"-",J$8),'[1]liste complet essai'!$A$4:$K$1367,4,)</f>
        <v>DK</v>
      </c>
      <c r="K76" s="379" t="str">
        <f aca="false">VLOOKUP(CONCATENATE($B76,"-",K$8),'[1]liste complet essai'!$A$4:$K$1367,4,)</f>
        <v>DK</v>
      </c>
      <c r="L76" s="379" t="str">
        <f aca="false">VLOOKUP(CONCATENATE($B76,"-",L$8),'[1]liste complet essai'!$A$4:$K$1367,4,)</f>
        <v>DK</v>
      </c>
      <c r="M76" s="379" t="str">
        <f aca="false">VLOOKUP(CONCATENATE($B76,"-",M$8),'[1]liste complet essai'!$A$4:$K$1367,4,)</f>
        <v>DK</v>
      </c>
      <c r="N76" s="379" t="str">
        <f aca="false">VLOOKUP(CONCATENATE($B76,"-",N$8),'[1]liste complet essai'!$A$4:$K$1367,4,)</f>
        <v>DK</v>
      </c>
      <c r="O76" s="379" t="str">
        <f aca="false">VLOOKUP(CONCATENATE($B76,"-",O$8),'[1]liste complet essai'!$A$4:$K$1367,4,)</f>
        <v>DK</v>
      </c>
      <c r="P76" s="379" t="str">
        <f aca="false">VLOOKUP(CONCATENATE($B76,"-",P$8),'[1]liste complet essai'!$A$4:$K$1367,4,)</f>
        <v>DK</v>
      </c>
      <c r="Q76" s="379" t="str">
        <f aca="false">VLOOKUP(CONCATENATE($B76,"-",Q$8),'[1]liste complet essai'!$A$4:$K$1367,4,)</f>
        <v>DK</v>
      </c>
      <c r="R76" s="379" t="str">
        <f aca="false">VLOOKUP(CONCATENATE($B76,"-",R$8),'[1]liste complet essai'!$A$4:$K$1367,4,)</f>
        <v>DK</v>
      </c>
      <c r="S76" s="379" t="str">
        <f aca="false">VLOOKUP(CONCATENATE($B76,"-",S$8),'[1]liste complet essai'!$A$4:$K$1367,4,)</f>
        <v>DK</v>
      </c>
      <c r="T76" s="379" t="str">
        <f aca="false">VLOOKUP(CONCATENATE($B76,"-",T$8),'[1]liste complet essai'!$A$4:$K$1367,4,)</f>
        <v>DK</v>
      </c>
      <c r="U76" s="379" t="str">
        <f aca="false">VLOOKUP(CONCATENATE($B76,"-",U$8),'[1]liste complet essai'!$A$4:$K$1367,4,)</f>
        <v>DK</v>
      </c>
      <c r="V76" s="379" t="str">
        <f aca="false">VLOOKUP(CONCATENATE($B76,"-",V$8),'[1]liste complet essai'!$A$4:$K$1367,4,)</f>
        <v>DK</v>
      </c>
      <c r="W76" s="379" t="str">
        <f aca="false">VLOOKUP(CONCATENATE($B76,"-",W$8),'[1]liste complet essai'!$A$4:$K$1367,4,)</f>
        <v>DK</v>
      </c>
      <c r="X76" s="379" t="str">
        <f aca="false">VLOOKUP(CONCATENATE($B76,"-",X$8),'[1]liste complet essai'!$A$4:$K$1367,4,)</f>
        <v>DK</v>
      </c>
      <c r="Y76" s="379" t="str">
        <f aca="false">VLOOKUP(CONCATENATE($B76,"-",Y$8),'[1]liste complet essai'!$A$4:$K$1367,4,)</f>
        <v>DK</v>
      </c>
      <c r="Z76" s="379" t="str">
        <f aca="false">VLOOKUP(CONCATENATE($B76,"-",Z$8),'[1]liste complet essai'!$A$4:$K$1367,4,)</f>
        <v>DK</v>
      </c>
      <c r="AA76" s="379" t="str">
        <f aca="false">VLOOKUP(CONCATENATE($B76,"-",AA$8),'[1]liste complet essai'!$A$4:$K$1367,4,)</f>
        <v>DK</v>
      </c>
      <c r="AB76" s="379" t="str">
        <f aca="false">VLOOKUP(CONCATENATE($B76,"-",AB$8),'[1]liste complet essai'!$A$4:$K$1367,4,)</f>
        <v>DK</v>
      </c>
      <c r="AC76" s="366" t="str">
        <f aca="false">VLOOKUP(CONCATENATE($B76,"-",AC$8),'[1]liste complet essai'!$A$4:$K$1367,4,)</f>
        <v>DK</v>
      </c>
      <c r="AD76" s="379" t="str">
        <f aca="false">VLOOKUP(CONCATENATE($B76,"-",AD$8),'[1]liste complet essai'!$A$4:$K$1367,4,)</f>
        <v>DK</v>
      </c>
      <c r="AE76" s="379" t="str">
        <f aca="false">VLOOKUP(CONCATENATE($B76,"-",AE$8),'[1]liste complet essai'!$A$4:$K$1367,4,)</f>
        <v>DK</v>
      </c>
      <c r="AF76" s="411" t="s">
        <v>8122</v>
      </c>
      <c r="AK76" s="419" t="str">
        <f aca="false">'[1]Correspondance Geno'!A7</f>
        <v>AM015</v>
      </c>
      <c r="AL76" s="419"/>
      <c r="AM76" s="419"/>
      <c r="AN76" s="420" t="str">
        <f aca="false">'[1]Correspondance Geno'!B7</f>
        <v>G-004</v>
      </c>
      <c r="AO76" s="420"/>
      <c r="AP76" s="420"/>
      <c r="AQ76" s="421"/>
      <c r="AR76" s="419" t="str">
        <f aca="false">'[1]Correspondance Geno'!A32</f>
        <v>AM050</v>
      </c>
      <c r="AS76" s="419"/>
      <c r="AT76" s="419"/>
      <c r="AU76" s="420" t="str">
        <f aca="false">'[1]Correspondance Geno'!B32</f>
        <v>G-029</v>
      </c>
      <c r="AV76" s="420"/>
      <c r="AW76" s="420"/>
      <c r="AX76" s="421"/>
      <c r="AY76" s="419" t="str">
        <f aca="false">'[1]Correspondance Geno'!A57</f>
        <v>AM083</v>
      </c>
      <c r="AZ76" s="419"/>
      <c r="BA76" s="419"/>
      <c r="BB76" s="420" t="str">
        <f aca="false">'[1]Correspondance Geno'!B57</f>
        <v>G-054</v>
      </c>
      <c r="BC76" s="420"/>
      <c r="BD76" s="420"/>
      <c r="BE76" s="421"/>
      <c r="BF76" s="419" t="str">
        <f aca="false">'[1]Correspondance Geno'!A82</f>
        <v>AM129</v>
      </c>
      <c r="BG76" s="419"/>
      <c r="BH76" s="419"/>
      <c r="BI76" s="420" t="str">
        <f aca="false">'[1]Correspondance Geno'!B82</f>
        <v>G-079</v>
      </c>
      <c r="BJ76" s="420"/>
      <c r="BK76" s="420"/>
      <c r="BL76" s="421"/>
      <c r="BM76" s="419" t="str">
        <f aca="false">'[1]Correspondance Geno'!A107</f>
        <v>AM170</v>
      </c>
      <c r="BN76" s="419"/>
      <c r="BO76" s="419"/>
      <c r="BP76" s="420" t="str">
        <f aca="false">'[1]Correspondance Geno'!B107</f>
        <v>G-104</v>
      </c>
      <c r="BQ76" s="420"/>
      <c r="BR76" s="420"/>
      <c r="BS76" s="422"/>
      <c r="BT76" s="422"/>
      <c r="BU76" s="422"/>
      <c r="BV76" s="422"/>
      <c r="BW76" s="422"/>
      <c r="BX76" s="422"/>
      <c r="BY76" s="422"/>
      <c r="BZ76" s="422"/>
      <c r="CA76" s="422"/>
      <c r="CB76" s="422"/>
      <c r="CC76" s="422"/>
      <c r="CD76" s="422"/>
      <c r="CE76" s="423"/>
      <c r="CF76" s="419" t="str">
        <f aca="false">'[1]Correspondance Geno'!A131</f>
        <v>DK007</v>
      </c>
      <c r="CG76" s="419"/>
      <c r="CH76" s="419"/>
      <c r="CI76" s="420" t="str">
        <f aca="false">'[1]Correspondance Geno'!B131</f>
        <v>G-128</v>
      </c>
      <c r="CJ76" s="420"/>
      <c r="CK76" s="420"/>
      <c r="CL76" s="421"/>
      <c r="CM76" s="419" t="str">
        <f aca="false">'[1]Correspondance Geno'!A156</f>
        <v>DK049</v>
      </c>
      <c r="CN76" s="419"/>
      <c r="CO76" s="419"/>
      <c r="CP76" s="420" t="str">
        <f aca="false">'[1]Correspondance Geno'!B156</f>
        <v>G-153</v>
      </c>
      <c r="CQ76" s="420"/>
      <c r="CR76" s="420"/>
      <c r="CS76" s="422"/>
      <c r="CT76" s="419" t="str">
        <f aca="false">'[1]Correspondance Geno'!A181</f>
        <v>DK095</v>
      </c>
      <c r="CU76" s="419"/>
      <c r="CV76" s="419"/>
      <c r="CW76" s="420" t="str">
        <f aca="false">'[1]Correspondance Geno'!B181</f>
        <v>G-178</v>
      </c>
      <c r="CX76" s="420"/>
      <c r="CY76" s="420"/>
      <c r="CZ76" s="422"/>
      <c r="DA76" s="424" t="str">
        <f aca="false">'[1]Correspondance Geno'!A206</f>
        <v>DK145</v>
      </c>
      <c r="DB76" s="424"/>
      <c r="DC76" s="424"/>
      <c r="DD76" s="420" t="str">
        <f aca="false">'[1]Correspondance Geno'!B206</f>
        <v>G-203</v>
      </c>
      <c r="DE76" s="420"/>
      <c r="DF76" s="420"/>
      <c r="DN76" s="284"/>
      <c r="DO76" s="284"/>
      <c r="DP76" s="284"/>
      <c r="DQ76" s="284"/>
      <c r="DR76" s="284"/>
      <c r="DS76" s="284"/>
    </row>
    <row r="77" customFormat="false" ht="12" hidden="false" customHeight="true" outlineLevel="0" collapsed="false">
      <c r="B77" s="384"/>
      <c r="C77" s="377"/>
      <c r="D77" s="307"/>
      <c r="E77" s="378"/>
      <c r="F77" s="372" t="str">
        <f aca="false">VLOOKUP(CONCATENATE($B76,"-",F$8),'[1]liste complet essai'!$A$4:$K$1367,9,)</f>
        <v>N2-b3</v>
      </c>
      <c r="G77" s="372" t="str">
        <f aca="false">VLOOKUP(CONCATENATE($B76,"-",G$8),'[1]liste complet essai'!$A$4:$K$1367,9,)</f>
        <v>N2-b3</v>
      </c>
      <c r="H77" s="372" t="str">
        <f aca="false">VLOOKUP(CONCATENATE($B76,"-",H$8),'[1]liste complet essai'!$A$4:$K$1367,9,)</f>
        <v>N2-b3</v>
      </c>
      <c r="I77" s="372" t="str">
        <f aca="false">VLOOKUP(CONCATENATE($B76,"-",I$8),'[1]liste complet essai'!$A$4:$K$1367,9,)</f>
        <v>N2-b3</v>
      </c>
      <c r="J77" s="372" t="str">
        <f aca="false">VLOOKUP(CONCATENATE($B76,"-",J$8),'[1]liste complet essai'!$A$4:$K$1367,9,)</f>
        <v>N2-b3</v>
      </c>
      <c r="K77" s="372" t="str">
        <f aca="false">VLOOKUP(CONCATENATE($B76,"-",K$8),'[1]liste complet essai'!$A$4:$K$1367,9,)</f>
        <v>N2-b3</v>
      </c>
      <c r="L77" s="372" t="str">
        <f aca="false">VLOOKUP(CONCATENATE($B76,"-",L$8),'[1]liste complet essai'!$A$4:$K$1367,9,)</f>
        <v>N2-b3</v>
      </c>
      <c r="M77" s="372" t="str">
        <f aca="false">VLOOKUP(CONCATENATE($B76,"-",M$8),'[1]liste complet essai'!$A$4:$K$1367,9,)</f>
        <v>N2-b3</v>
      </c>
      <c r="N77" s="372" t="str">
        <f aca="false">VLOOKUP(CONCATENATE($B76,"-",N$8),'[1]liste complet essai'!$A$4:$K$1367,9,)</f>
        <v>N2-b3</v>
      </c>
      <c r="O77" s="372" t="str">
        <f aca="false">VLOOKUP(CONCATENATE($B76,"-",O$8),'[1]liste complet essai'!$A$4:$K$1367,9,)</f>
        <v>N2-b3</v>
      </c>
      <c r="P77" s="372" t="str">
        <f aca="false">VLOOKUP(CONCATENATE($B76,"-",P$8),'[1]liste complet essai'!$A$4:$K$1367,9,)</f>
        <v>N2-b3</v>
      </c>
      <c r="Q77" s="372" t="str">
        <f aca="false">VLOOKUP(CONCATENATE($B76,"-",Q$8),'[1]liste complet essai'!$A$4:$K$1367,9,)</f>
        <v>N2-b3</v>
      </c>
      <c r="R77" s="372" t="str">
        <f aca="false">VLOOKUP(CONCATENATE($B76,"-",R$8),'[1]liste complet essai'!$A$4:$K$1367,9,)</f>
        <v>N2-b3</v>
      </c>
      <c r="S77" s="372" t="str">
        <f aca="false">VLOOKUP(CONCATENATE($B76,"-",S$8),'[1]liste complet essai'!$A$4:$K$1367,9,)</f>
        <v>N2-b3</v>
      </c>
      <c r="T77" s="372" t="str">
        <f aca="false">VLOOKUP(CONCATENATE($B76,"-",T$8),'[1]liste complet essai'!$A$4:$K$1367,9,)</f>
        <v>N2-b3</v>
      </c>
      <c r="U77" s="372" t="str">
        <f aca="false">VLOOKUP(CONCATENATE($B76,"-",U$8),'[1]liste complet essai'!$A$4:$K$1367,9,)</f>
        <v>N2-b3</v>
      </c>
      <c r="V77" s="372" t="str">
        <f aca="false">VLOOKUP(CONCATENATE($B76,"-",V$8),'[1]liste complet essai'!$A$4:$K$1367,9,)</f>
        <v>N2-b3</v>
      </c>
      <c r="W77" s="372" t="str">
        <f aca="false">VLOOKUP(CONCATENATE($B76,"-",W$8),'[1]liste complet essai'!$A$4:$K$1367,9,)</f>
        <v>N2-b3</v>
      </c>
      <c r="X77" s="372" t="str">
        <f aca="false">VLOOKUP(CONCATENATE($B76,"-",X$8),'[1]liste complet essai'!$A$4:$K$1367,9,)</f>
        <v>N2-b3</v>
      </c>
      <c r="Y77" s="372" t="str">
        <f aca="false">VLOOKUP(CONCATENATE($B76,"-",Y$8),'[1]liste complet essai'!$A$4:$K$1367,9,)</f>
        <v>N2-b3</v>
      </c>
      <c r="Z77" s="372" t="str">
        <f aca="false">VLOOKUP(CONCATENATE($B76,"-",Z$8),'[1]liste complet essai'!$A$4:$K$1367,9,)</f>
        <v>N2-b3</v>
      </c>
      <c r="AA77" s="372" t="str">
        <f aca="false">VLOOKUP(CONCATENATE($B76,"-",AA$8),'[1]liste complet essai'!$A$4:$K$1367,9,)</f>
        <v>N2-b3</v>
      </c>
      <c r="AB77" s="372" t="str">
        <f aca="false">VLOOKUP(CONCATENATE($B76,"-",AB$8),'[1]liste complet essai'!$A$4:$K$1367,9,)</f>
        <v>N2-b3</v>
      </c>
      <c r="AC77" s="366" t="str">
        <f aca="false">VLOOKUP(CONCATENATE($B76,"-",AC$8),'[1]liste complet essai'!$A$4:$K$1367,9,)</f>
        <v>N2-b3</v>
      </c>
      <c r="AD77" s="372" t="str">
        <f aca="false">VLOOKUP(CONCATENATE($B76,"-",AD$8),'[1]liste complet essai'!$A$4:$K$1367,9,)</f>
        <v>N2-b3</v>
      </c>
      <c r="AE77" s="372" t="str">
        <f aca="false">VLOOKUP(CONCATENATE($B76,"-",AE$8),'[1]liste complet essai'!$A$4:$K$1367,9,)</f>
        <v>N2-b3</v>
      </c>
      <c r="AF77" s="411"/>
      <c r="AK77" s="419" t="str">
        <f aca="false">'[1]Correspondance Geno'!A8</f>
        <v>AM016</v>
      </c>
      <c r="AL77" s="419"/>
      <c r="AM77" s="419"/>
      <c r="AN77" s="420" t="str">
        <f aca="false">'[1]Correspondance Geno'!B8</f>
        <v>G-005</v>
      </c>
      <c r="AO77" s="420"/>
      <c r="AP77" s="420"/>
      <c r="AQ77" s="421"/>
      <c r="AR77" s="419" t="str">
        <f aca="false">'[1]Correspondance Geno'!A33</f>
        <v>AM052</v>
      </c>
      <c r="AS77" s="419"/>
      <c r="AT77" s="419"/>
      <c r="AU77" s="420" t="str">
        <f aca="false">'[1]Correspondance Geno'!B33</f>
        <v>G-030</v>
      </c>
      <c r="AV77" s="420"/>
      <c r="AW77" s="420"/>
      <c r="AX77" s="421"/>
      <c r="AY77" s="419" t="str">
        <f aca="false">'[1]Correspondance Geno'!A58</f>
        <v>AM084</v>
      </c>
      <c r="AZ77" s="419"/>
      <c r="BA77" s="419"/>
      <c r="BB77" s="420" t="str">
        <f aca="false">'[1]Correspondance Geno'!B58</f>
        <v>G-055</v>
      </c>
      <c r="BC77" s="420"/>
      <c r="BD77" s="420"/>
      <c r="BE77" s="421"/>
      <c r="BF77" s="419" t="str">
        <f aca="false">'[1]Correspondance Geno'!A83</f>
        <v>AM130</v>
      </c>
      <c r="BG77" s="419"/>
      <c r="BH77" s="419"/>
      <c r="BI77" s="420" t="str">
        <f aca="false">'[1]Correspondance Geno'!B83</f>
        <v>G-080</v>
      </c>
      <c r="BJ77" s="420"/>
      <c r="BK77" s="420"/>
      <c r="BL77" s="421"/>
      <c r="BM77" s="419" t="str">
        <f aca="false">'[1]Correspondance Geno'!A108</f>
        <v>AM171</v>
      </c>
      <c r="BN77" s="419"/>
      <c r="BO77" s="419"/>
      <c r="BP77" s="420" t="str">
        <f aca="false">'[1]Correspondance Geno'!B108</f>
        <v>G-105</v>
      </c>
      <c r="BQ77" s="420"/>
      <c r="BR77" s="420"/>
      <c r="BS77" s="422"/>
      <c r="BT77" s="422"/>
      <c r="BU77" s="422"/>
      <c r="BV77" s="422"/>
      <c r="BW77" s="422"/>
      <c r="BX77" s="422"/>
      <c r="BY77" s="422"/>
      <c r="BZ77" s="422"/>
      <c r="CA77" s="422"/>
      <c r="CB77" s="422"/>
      <c r="CC77" s="422"/>
      <c r="CD77" s="422"/>
      <c r="CE77" s="423"/>
      <c r="CF77" s="419" t="str">
        <f aca="false">'[1]Correspondance Geno'!A132</f>
        <v>DK008</v>
      </c>
      <c r="CG77" s="419"/>
      <c r="CH77" s="419"/>
      <c r="CI77" s="420" t="str">
        <f aca="false">'[1]Correspondance Geno'!B132</f>
        <v>G-129</v>
      </c>
      <c r="CJ77" s="420"/>
      <c r="CK77" s="420"/>
      <c r="CL77" s="421"/>
      <c r="CM77" s="419" t="str">
        <f aca="false">'[1]Correspondance Geno'!A157</f>
        <v>DK052</v>
      </c>
      <c r="CN77" s="419"/>
      <c r="CO77" s="419"/>
      <c r="CP77" s="420" t="str">
        <f aca="false">'[1]Correspondance Geno'!B157</f>
        <v>G-154</v>
      </c>
      <c r="CQ77" s="420"/>
      <c r="CR77" s="420"/>
      <c r="CS77" s="422"/>
      <c r="CT77" s="419" t="str">
        <f aca="false">'[1]Correspondance Geno'!A182</f>
        <v>DK096</v>
      </c>
      <c r="CU77" s="419"/>
      <c r="CV77" s="419"/>
      <c r="CW77" s="420" t="str">
        <f aca="false">'[1]Correspondance Geno'!B182</f>
        <v>G-179</v>
      </c>
      <c r="CX77" s="420"/>
      <c r="CY77" s="420"/>
      <c r="CZ77" s="422"/>
      <c r="DA77" s="424" t="str">
        <f aca="false">'[1]Correspondance Geno'!A207</f>
        <v>DK146</v>
      </c>
      <c r="DB77" s="424"/>
      <c r="DC77" s="424"/>
      <c r="DD77" s="420" t="str">
        <f aca="false">'[1]Correspondance Geno'!B207</f>
        <v>G-204</v>
      </c>
      <c r="DE77" s="420"/>
      <c r="DF77" s="420"/>
      <c r="DN77" s="284"/>
      <c r="DO77" s="284"/>
      <c r="DP77" s="284"/>
      <c r="DQ77" s="284"/>
      <c r="DR77" s="284"/>
      <c r="DS77" s="284"/>
    </row>
    <row r="78" customFormat="false" ht="12" hidden="false" customHeight="true" outlineLevel="0" collapsed="false">
      <c r="B78" s="384"/>
      <c r="C78" s="377"/>
      <c r="D78" s="307"/>
      <c r="E78" s="378"/>
      <c r="F78" s="375" t="str">
        <f aca="false">VLOOKUP(CONCATENATE($B76,"-",F$8),'[1]liste complet essai'!$A$4:$K$1367,5,)</f>
        <v>G-125</v>
      </c>
      <c r="G78" s="372" t="str">
        <f aca="false">VLOOKUP(CONCATENATE($B76,"-",G$8),'[1]liste complet essai'!$A$4:$K$1367,5,)</f>
        <v>G-148</v>
      </c>
      <c r="H78" s="372" t="str">
        <f aca="false">VLOOKUP(CONCATENATE($B76,"-",H$8),'[1]liste complet essai'!$A$4:$K$1367,5,)</f>
        <v>G-165</v>
      </c>
      <c r="I78" s="372" t="str">
        <f aca="false">VLOOKUP(CONCATENATE($B76,"-",I$8),'[1]liste complet essai'!$A$4:$K$1367,5,)</f>
        <v>G-196</v>
      </c>
      <c r="J78" s="372" t="str">
        <f aca="false">VLOOKUP(CONCATENATE($B76,"-",J$8),'[1]liste complet essai'!$A$4:$K$1367,5,)</f>
        <v>G-138</v>
      </c>
      <c r="K78" s="372" t="str">
        <f aca="false">VLOOKUP(CONCATENATE($B76,"-",K$8),'[1]liste complet essai'!$A$4:$K$1367,5,)</f>
        <v>G-193</v>
      </c>
      <c r="L78" s="372" t="str">
        <f aca="false">VLOOKUP(CONCATENATE($B76,"-",L$8),'[1]liste complet essai'!$A$4:$K$1367,5,)</f>
        <v>G-174</v>
      </c>
      <c r="M78" s="372" t="str">
        <f aca="false">VLOOKUP(CONCATENATE($B76,"-",M$8),'[1]liste complet essai'!$A$4:$K$1367,5,)</f>
        <v>G-215</v>
      </c>
      <c r="N78" s="372" t="str">
        <f aca="false">VLOOKUP(CONCATENATE($B76,"-",N$8),'[1]liste complet essai'!$A$4:$K$1367,5,)</f>
        <v>G-216</v>
      </c>
      <c r="O78" s="372" t="str">
        <f aca="false">VLOOKUP(CONCATENATE($B76,"-",O$8),'[1]liste complet essai'!$A$4:$K$1367,5,)</f>
        <v>G-161</v>
      </c>
      <c r="P78" s="372" t="str">
        <f aca="false">VLOOKUP(CONCATENATE($B76,"-",P$8),'[1]liste complet essai'!$A$4:$K$1367,5,)</f>
        <v>G-152</v>
      </c>
      <c r="Q78" s="372" t="str">
        <f aca="false">VLOOKUP(CONCATENATE($B76,"-",Q$8),'[1]liste complet essai'!$A$4:$K$1367,5,)</f>
        <v>G-182</v>
      </c>
      <c r="R78" s="372" t="str">
        <f aca="false">VLOOKUP(CONCATENATE($B76,"-",R$8),'[1]liste complet essai'!$A$4:$K$1367,5,)</f>
        <v>G-201</v>
      </c>
      <c r="S78" s="372" t="str">
        <f aca="false">VLOOKUP(CONCATENATE($B76,"-",S$8),'[1]liste complet essai'!$A$4:$K$1367,5,)</f>
        <v>G-158</v>
      </c>
      <c r="T78" s="372" t="str">
        <f aca="false">VLOOKUP(CONCATENATE($B76,"-",T$8),'[1]liste complet essai'!$A$4:$K$1367,5,)</f>
        <v>G-175</v>
      </c>
      <c r="U78" s="372" t="str">
        <f aca="false">VLOOKUP(CONCATENATE($B76,"-",U$8),'[1]liste complet essai'!$A$4:$K$1367,5,)</f>
        <v>G-137</v>
      </c>
      <c r="V78" s="372" t="str">
        <f aca="false">VLOOKUP(CONCATENATE($B76,"-",V$8),'[1]liste complet essai'!$A$4:$K$1367,5,)</f>
        <v>G-168</v>
      </c>
      <c r="W78" s="372" t="str">
        <f aca="false">VLOOKUP(CONCATENATE($B76,"-",W$8),'[1]liste complet essai'!$A$4:$K$1367,5,)</f>
        <v>G-173</v>
      </c>
      <c r="X78" s="372" t="str">
        <f aca="false">VLOOKUP(CONCATENATE($B76,"-",X$8),'[1]liste complet essai'!$A$4:$K$1367,5,)</f>
        <v>G-217</v>
      </c>
      <c r="Y78" s="372" t="str">
        <f aca="false">VLOOKUP(CONCATENATE($B76,"-",Y$8),'[1]liste complet essai'!$A$4:$K$1367,5,)</f>
        <v>G-169</v>
      </c>
      <c r="Z78" s="372" t="str">
        <f aca="false">VLOOKUP(CONCATENATE($B76,"-",Z$8),'[1]liste complet essai'!$A$4:$K$1367,5,)</f>
        <v>G-217</v>
      </c>
      <c r="AA78" s="372" t="str">
        <f aca="false">VLOOKUP(CONCATENATE($B76,"-",AA$8),'[1]liste complet essai'!$A$4:$K$1367,5,)</f>
        <v>G-155</v>
      </c>
      <c r="AB78" s="372" t="str">
        <f aca="false">VLOOKUP(CONCATENATE($B76,"-",AB$8),'[1]liste complet essai'!$A$4:$K$1367,5,)</f>
        <v>G-205</v>
      </c>
      <c r="AC78" s="375" t="str">
        <f aca="false">VLOOKUP(CONCATENATE($B76,"-",AC$8),'[1]liste complet essai'!$A$4:$K$1367,5,)</f>
        <v>G-126</v>
      </c>
      <c r="AD78" s="372" t="str">
        <f aca="false">VLOOKUP(CONCATENATE($B76,"-",AD$8),'[1]liste complet essai'!$A$4:$K$1367,5,)</f>
        <v>G-217</v>
      </c>
      <c r="AE78" s="372" t="str">
        <f aca="false">VLOOKUP(CONCATENATE($B76,"-",AE$8),'[1]liste complet essai'!$A$4:$K$1367,5,)</f>
        <v>G-130</v>
      </c>
      <c r="AF78" s="411"/>
      <c r="AK78" s="419" t="str">
        <f aca="false">'[1]Correspondance Geno'!A9</f>
        <v>AM017</v>
      </c>
      <c r="AL78" s="419"/>
      <c r="AM78" s="419"/>
      <c r="AN78" s="420" t="str">
        <f aca="false">'[1]Correspondance Geno'!B9</f>
        <v>G-006</v>
      </c>
      <c r="AO78" s="420"/>
      <c r="AP78" s="420"/>
      <c r="AQ78" s="421"/>
      <c r="AR78" s="419" t="str">
        <f aca="false">'[1]Correspondance Geno'!A34</f>
        <v>AM053</v>
      </c>
      <c r="AS78" s="419"/>
      <c r="AT78" s="419"/>
      <c r="AU78" s="420" t="str">
        <f aca="false">'[1]Correspondance Geno'!B34</f>
        <v>G-031</v>
      </c>
      <c r="AV78" s="420"/>
      <c r="AW78" s="420"/>
      <c r="AX78" s="421"/>
      <c r="AY78" s="419" t="str">
        <f aca="false">'[1]Correspondance Geno'!A59</f>
        <v>AM085</v>
      </c>
      <c r="AZ78" s="419"/>
      <c r="BA78" s="419"/>
      <c r="BB78" s="420" t="str">
        <f aca="false">'[1]Correspondance Geno'!B59</f>
        <v>G-056</v>
      </c>
      <c r="BC78" s="420"/>
      <c r="BD78" s="420"/>
      <c r="BE78" s="421"/>
      <c r="BF78" s="419" t="str">
        <f aca="false">'[1]Correspondance Geno'!A84</f>
        <v>AM131</v>
      </c>
      <c r="BG78" s="419"/>
      <c r="BH78" s="419"/>
      <c r="BI78" s="420" t="str">
        <f aca="false">'[1]Correspondance Geno'!B84</f>
        <v>G-081</v>
      </c>
      <c r="BJ78" s="420"/>
      <c r="BK78" s="420"/>
      <c r="BL78" s="421"/>
      <c r="BM78" s="419" t="str">
        <f aca="false">'[1]Correspondance Geno'!A109</f>
        <v>AM172</v>
      </c>
      <c r="BN78" s="419"/>
      <c r="BO78" s="419"/>
      <c r="BP78" s="420" t="str">
        <f aca="false">'[1]Correspondance Geno'!B109</f>
        <v>G-106</v>
      </c>
      <c r="BQ78" s="420"/>
      <c r="BR78" s="420"/>
      <c r="BS78" s="422"/>
      <c r="BT78" s="422"/>
      <c r="BU78" s="422"/>
      <c r="BV78" s="422"/>
      <c r="BW78" s="422"/>
      <c r="BX78" s="422"/>
      <c r="BY78" s="422"/>
      <c r="BZ78" s="422"/>
      <c r="CA78" s="422"/>
      <c r="CB78" s="422"/>
      <c r="CC78" s="422"/>
      <c r="CD78" s="422"/>
      <c r="CE78" s="423"/>
      <c r="CF78" s="419" t="str">
        <f aca="false">'[1]Correspondance Geno'!A133</f>
        <v>DK011</v>
      </c>
      <c r="CG78" s="419"/>
      <c r="CH78" s="419"/>
      <c r="CI78" s="420" t="str">
        <f aca="false">'[1]Correspondance Geno'!B133</f>
        <v>G-130</v>
      </c>
      <c r="CJ78" s="420"/>
      <c r="CK78" s="420"/>
      <c r="CL78" s="421"/>
      <c r="CM78" s="419" t="str">
        <f aca="false">'[1]Correspondance Geno'!A158</f>
        <v>DK053</v>
      </c>
      <c r="CN78" s="419"/>
      <c r="CO78" s="419"/>
      <c r="CP78" s="420" t="str">
        <f aca="false">'[1]Correspondance Geno'!B158</f>
        <v>G-155</v>
      </c>
      <c r="CQ78" s="420"/>
      <c r="CR78" s="420"/>
      <c r="CS78" s="422"/>
      <c r="CT78" s="419" t="str">
        <f aca="false">'[1]Correspondance Geno'!A183</f>
        <v>DK098</v>
      </c>
      <c r="CU78" s="419"/>
      <c r="CV78" s="419"/>
      <c r="CW78" s="420" t="str">
        <f aca="false">'[1]Correspondance Geno'!B183</f>
        <v>G-180</v>
      </c>
      <c r="CX78" s="420"/>
      <c r="CY78" s="420"/>
      <c r="CZ78" s="422"/>
      <c r="DA78" s="424" t="str">
        <f aca="false">'[1]Correspondance Geno'!A208</f>
        <v>DK147</v>
      </c>
      <c r="DB78" s="424"/>
      <c r="DC78" s="424"/>
      <c r="DD78" s="420" t="str">
        <f aca="false">'[1]Correspondance Geno'!B208</f>
        <v>G-205</v>
      </c>
      <c r="DE78" s="420"/>
      <c r="DF78" s="420"/>
      <c r="DN78" s="284"/>
      <c r="DO78" s="284"/>
      <c r="DP78" s="284"/>
      <c r="DQ78" s="284"/>
      <c r="DR78" s="284"/>
      <c r="DS78" s="284"/>
    </row>
    <row r="79" customFormat="false" ht="12" hidden="false" customHeight="true" outlineLevel="0" collapsed="false">
      <c r="B79" s="384"/>
      <c r="C79" s="377"/>
      <c r="D79" s="314"/>
      <c r="E79" s="378"/>
      <c r="F79" s="383" t="str">
        <f aca="false">VLOOKUP(CONCATENATE($B76,"-",F$8),'[1]liste complet essai'!$A$4:$K$1367,1,)</f>
        <v>31-65</v>
      </c>
      <c r="G79" s="383" t="str">
        <f aca="false">VLOOKUP(CONCATENATE($B76,"-",G$8),'[1]liste complet essai'!$A$4:$K$1367,1,)</f>
        <v>31-66</v>
      </c>
      <c r="H79" s="383" t="str">
        <f aca="false">VLOOKUP(CONCATENATE($B76,"-",H$8),'[1]liste complet essai'!$A$4:$K$1367,1,)</f>
        <v>31-67</v>
      </c>
      <c r="I79" s="383" t="str">
        <f aca="false">VLOOKUP(CONCATENATE($B76,"-",I$8),'[1]liste complet essai'!$A$4:$K$1367,1,)</f>
        <v>31-68</v>
      </c>
      <c r="J79" s="383" t="str">
        <f aca="false">VLOOKUP(CONCATENATE($B76,"-",J$8),'[1]liste complet essai'!$A$4:$K$1367,1,)</f>
        <v>31-69</v>
      </c>
      <c r="K79" s="383" t="str">
        <f aca="false">VLOOKUP(CONCATENATE($B76,"-",K$8),'[1]liste complet essai'!$A$4:$K$1367,1,)</f>
        <v>31-70</v>
      </c>
      <c r="L79" s="383" t="str">
        <f aca="false">VLOOKUP(CONCATENATE($B76,"-",L$8),'[1]liste complet essai'!$A$4:$K$1367,1,)</f>
        <v>31-71</v>
      </c>
      <c r="M79" s="383" t="str">
        <f aca="false">VLOOKUP(CONCATENATE($B76,"-",M$8),'[1]liste complet essai'!$A$4:$K$1367,1,)</f>
        <v>31-72</v>
      </c>
      <c r="N79" s="383" t="str">
        <f aca="false">VLOOKUP(CONCATENATE($B76,"-",N$8),'[1]liste complet essai'!$A$4:$K$1367,1,)</f>
        <v>31-73</v>
      </c>
      <c r="O79" s="383" t="str">
        <f aca="false">VLOOKUP(CONCATENATE($B76,"-",O$8),'[1]liste complet essai'!$A$4:$K$1367,1,)</f>
        <v>31-74</v>
      </c>
      <c r="P79" s="383" t="str">
        <f aca="false">VLOOKUP(CONCATENATE($B76,"-",P$8),'[1]liste complet essai'!$A$4:$K$1367,1,)</f>
        <v>31-75</v>
      </c>
      <c r="Q79" s="383" t="str">
        <f aca="false">VLOOKUP(CONCATENATE($B76,"-",Q$8),'[1]liste complet essai'!$A$4:$K$1367,1,)</f>
        <v>31-76</v>
      </c>
      <c r="R79" s="383" t="str">
        <f aca="false">VLOOKUP(CONCATENATE($B76,"-",R$8),'[1]liste complet essai'!$A$4:$K$1367,1,)</f>
        <v>31-77</v>
      </c>
      <c r="S79" s="383" t="str">
        <f aca="false">VLOOKUP(CONCATENATE($B76,"-",S$8),'[1]liste complet essai'!$A$4:$K$1367,1,)</f>
        <v>31-78</v>
      </c>
      <c r="T79" s="383" t="str">
        <f aca="false">VLOOKUP(CONCATENATE($B76,"-",T$8),'[1]liste complet essai'!$A$4:$K$1367,1,)</f>
        <v>31-79</v>
      </c>
      <c r="U79" s="383" t="str">
        <f aca="false">VLOOKUP(CONCATENATE($B76,"-",U$8),'[1]liste complet essai'!$A$4:$K$1367,1,)</f>
        <v>31-80</v>
      </c>
      <c r="V79" s="383" t="str">
        <f aca="false">VLOOKUP(CONCATENATE($B76,"-",V$8),'[1]liste complet essai'!$A$4:$K$1367,1,)</f>
        <v>31-81</v>
      </c>
      <c r="W79" s="383" t="str">
        <f aca="false">VLOOKUP(CONCATENATE($B76,"-",W$8),'[1]liste complet essai'!$A$4:$K$1367,1,)</f>
        <v>31-82</v>
      </c>
      <c r="X79" s="383" t="str">
        <f aca="false">VLOOKUP(CONCATENATE($B76,"-",X$8),'[1]liste complet essai'!$A$4:$K$1367,1,)</f>
        <v>31-83</v>
      </c>
      <c r="Y79" s="383" t="str">
        <f aca="false">VLOOKUP(CONCATENATE($B76,"-",Y$8),'[1]liste complet essai'!$A$4:$K$1367,1,)</f>
        <v>31-84</v>
      </c>
      <c r="Z79" s="383" t="str">
        <f aca="false">VLOOKUP(CONCATENATE($B76,"-",Z$8),'[1]liste complet essai'!$A$4:$K$1367,1,)</f>
        <v>31-85</v>
      </c>
      <c r="AA79" s="383" t="str">
        <f aca="false">VLOOKUP(CONCATENATE($B76,"-",AA$8),'[1]liste complet essai'!$A$4:$K$1367,1,)</f>
        <v>31-86</v>
      </c>
      <c r="AB79" s="383" t="str">
        <f aca="false">VLOOKUP(CONCATENATE($B76,"-",AB$8),'[1]liste complet essai'!$A$4:$K$1367,1,)</f>
        <v>31-87</v>
      </c>
      <c r="AC79" s="366" t="str">
        <f aca="false">VLOOKUP(CONCATENATE($B76,"-",AC$8),'[1]liste complet essai'!$A$4:$K$1367,1,)</f>
        <v>31-88</v>
      </c>
      <c r="AD79" s="383" t="str">
        <f aca="false">VLOOKUP(CONCATENATE($B76,"-",AD$8),'[1]liste complet essai'!$A$4:$K$1367,1,)</f>
        <v>31-89</v>
      </c>
      <c r="AE79" s="383" t="str">
        <f aca="false">VLOOKUP(CONCATENATE($B76,"-",AE$8),'[1]liste complet essai'!$A$4:$K$1367,1,)</f>
        <v>31-90</v>
      </c>
      <c r="AF79" s="411"/>
      <c r="AK79" s="419" t="str">
        <f aca="false">'[1]Correspondance Geno'!A10</f>
        <v>AM018</v>
      </c>
      <c r="AL79" s="419"/>
      <c r="AM79" s="419"/>
      <c r="AN79" s="420" t="str">
        <f aca="false">'[1]Correspondance Geno'!B10</f>
        <v>G-007</v>
      </c>
      <c r="AO79" s="420"/>
      <c r="AP79" s="420"/>
      <c r="AQ79" s="421"/>
      <c r="AR79" s="419" t="str">
        <f aca="false">'[1]Correspondance Geno'!A35</f>
        <v>AM055</v>
      </c>
      <c r="AS79" s="419"/>
      <c r="AT79" s="419"/>
      <c r="AU79" s="420" t="str">
        <f aca="false">'[1]Correspondance Geno'!B35</f>
        <v>G-032</v>
      </c>
      <c r="AV79" s="420"/>
      <c r="AW79" s="420"/>
      <c r="AX79" s="421"/>
      <c r="AY79" s="419" t="str">
        <f aca="false">'[1]Correspondance Geno'!A60</f>
        <v>AM086</v>
      </c>
      <c r="AZ79" s="419"/>
      <c r="BA79" s="419"/>
      <c r="BB79" s="420" t="str">
        <f aca="false">'[1]Correspondance Geno'!B60</f>
        <v>G-057</v>
      </c>
      <c r="BC79" s="420"/>
      <c r="BD79" s="420"/>
      <c r="BE79" s="421"/>
      <c r="BF79" s="419" t="str">
        <f aca="false">'[1]Correspondance Geno'!A85</f>
        <v>AM133</v>
      </c>
      <c r="BG79" s="419"/>
      <c r="BH79" s="419"/>
      <c r="BI79" s="420" t="str">
        <f aca="false">'[1]Correspondance Geno'!B85</f>
        <v>G-082</v>
      </c>
      <c r="BJ79" s="420"/>
      <c r="BK79" s="420"/>
      <c r="BL79" s="421"/>
      <c r="BM79" s="419" t="str">
        <f aca="false">'[1]Correspondance Geno'!A110</f>
        <v>AM173</v>
      </c>
      <c r="BN79" s="419"/>
      <c r="BO79" s="419"/>
      <c r="BP79" s="420" t="str">
        <f aca="false">'[1]Correspondance Geno'!B110</f>
        <v>G-107</v>
      </c>
      <c r="BQ79" s="420"/>
      <c r="BR79" s="420"/>
      <c r="BS79" s="422"/>
      <c r="BT79" s="422"/>
      <c r="BU79" s="422"/>
      <c r="BV79" s="422"/>
      <c r="BW79" s="422"/>
      <c r="BX79" s="422"/>
      <c r="BY79" s="422"/>
      <c r="BZ79" s="422"/>
      <c r="CA79" s="422"/>
      <c r="CB79" s="422"/>
      <c r="CC79" s="422"/>
      <c r="CD79" s="422"/>
      <c r="CE79" s="423"/>
      <c r="CF79" s="419" t="str">
        <f aca="false">'[1]Correspondance Geno'!A134</f>
        <v>DK012</v>
      </c>
      <c r="CG79" s="419"/>
      <c r="CH79" s="419"/>
      <c r="CI79" s="420" t="str">
        <f aca="false">'[1]Correspondance Geno'!B134</f>
        <v>G-131</v>
      </c>
      <c r="CJ79" s="420"/>
      <c r="CK79" s="420"/>
      <c r="CL79" s="421"/>
      <c r="CM79" s="419" t="str">
        <f aca="false">'[1]Correspondance Geno'!A159</f>
        <v>DK055</v>
      </c>
      <c r="CN79" s="419"/>
      <c r="CO79" s="419"/>
      <c r="CP79" s="420" t="str">
        <f aca="false">'[1]Correspondance Geno'!B159</f>
        <v>G-156</v>
      </c>
      <c r="CQ79" s="420"/>
      <c r="CR79" s="420"/>
      <c r="CS79" s="422"/>
      <c r="CT79" s="419" t="str">
        <f aca="false">'[1]Correspondance Geno'!A184</f>
        <v>DK101</v>
      </c>
      <c r="CU79" s="419"/>
      <c r="CV79" s="419"/>
      <c r="CW79" s="420" t="str">
        <f aca="false">'[1]Correspondance Geno'!B184</f>
        <v>G-181</v>
      </c>
      <c r="CX79" s="420"/>
      <c r="CY79" s="420"/>
      <c r="CZ79" s="422"/>
      <c r="DA79" s="424" t="str">
        <f aca="false">'[1]Correspondance Geno'!A209</f>
        <v>DK148</v>
      </c>
      <c r="DB79" s="424"/>
      <c r="DC79" s="424"/>
      <c r="DD79" s="420" t="str">
        <f aca="false">'[1]Correspondance Geno'!B209</f>
        <v>G-206</v>
      </c>
      <c r="DE79" s="420"/>
      <c r="DF79" s="420"/>
      <c r="DN79" s="284"/>
      <c r="DO79" s="284"/>
      <c r="DP79" s="284"/>
      <c r="DQ79" s="284"/>
      <c r="DR79" s="284"/>
      <c r="DS79" s="284"/>
    </row>
    <row r="80" customFormat="false" ht="12" hidden="false" customHeight="true" outlineLevel="0" collapsed="false">
      <c r="B80" s="384" t="n">
        <v>32</v>
      </c>
      <c r="C80" s="425" t="s">
        <v>8122</v>
      </c>
      <c r="D80" s="307"/>
      <c r="E80" s="426" t="s">
        <v>8122</v>
      </c>
      <c r="F80" s="372" t="str">
        <f aca="false">VLOOKUP(CONCATENATE($B80,"-",F$8),'[1]liste complet essai'!$A$4:$K$1367,4,)</f>
        <v>DK</v>
      </c>
      <c r="G80" s="372" t="str">
        <f aca="false">VLOOKUP(CONCATENATE($B80,"-",G$8),'[1]liste complet essai'!$A$4:$K$1367,4,)</f>
        <v>DK</v>
      </c>
      <c r="H80" s="372" t="str">
        <f aca="false">VLOOKUP(CONCATENATE($B80,"-",H$8),'[1]liste complet essai'!$A$4:$K$1367,4,)</f>
        <v>DK</v>
      </c>
      <c r="I80" s="372" t="str">
        <f aca="false">VLOOKUP(CONCATENATE($B80,"-",I$8),'[1]liste complet essai'!$A$4:$K$1367,4,)</f>
        <v>DK</v>
      </c>
      <c r="J80" s="372" t="str">
        <f aca="false">VLOOKUP(CONCATENATE($B80,"-",J$8),'[1]liste complet essai'!$A$4:$K$1367,4,)</f>
        <v>DK</v>
      </c>
      <c r="K80" s="372" t="str">
        <f aca="false">VLOOKUP(CONCATENATE($B80,"-",K$8),'[1]liste complet essai'!$A$4:$K$1367,4,)</f>
        <v>DK</v>
      </c>
      <c r="L80" s="372" t="str">
        <f aca="false">VLOOKUP(CONCATENATE($B80,"-",L$8),'[1]liste complet essai'!$A$4:$K$1367,4,)</f>
        <v>DK</v>
      </c>
      <c r="M80" s="372" t="str">
        <f aca="false">VLOOKUP(CONCATENATE($B80,"-",M$8),'[1]liste complet essai'!$A$4:$K$1367,4,)</f>
        <v>DK</v>
      </c>
      <c r="N80" s="372" t="str">
        <f aca="false">VLOOKUP(CONCATENATE($B80,"-",N$8),'[1]liste complet essai'!$A$4:$K$1367,4,)</f>
        <v>DK</v>
      </c>
      <c r="O80" s="372" t="str">
        <f aca="false">VLOOKUP(CONCATENATE($B80,"-",O$8),'[1]liste complet essai'!$A$4:$K$1367,4,)</f>
        <v>DK</v>
      </c>
      <c r="P80" s="372" t="str">
        <f aca="false">VLOOKUP(CONCATENATE($B80,"-",P$8),'[1]liste complet essai'!$A$4:$K$1367,4,)</f>
        <v>DK</v>
      </c>
      <c r="Q80" s="372" t="str">
        <f aca="false">VLOOKUP(CONCATENATE($B80,"-",Q$8),'[1]liste complet essai'!$A$4:$K$1367,4,)</f>
        <v>DK</v>
      </c>
      <c r="R80" s="372" t="str">
        <f aca="false">VLOOKUP(CONCATENATE($B80,"-",R$8),'[1]liste complet essai'!$A$4:$K$1367,4,)</f>
        <v>DK</v>
      </c>
      <c r="S80" s="372" t="str">
        <f aca="false">VLOOKUP(CONCATENATE($B80,"-",S$8),'[1]liste complet essai'!$A$4:$K$1367,4,)</f>
        <v>DK</v>
      </c>
      <c r="T80" s="372" t="str">
        <f aca="false">VLOOKUP(CONCATENATE($B80,"-",T$8),'[1]liste complet essai'!$A$4:$K$1367,4,)</f>
        <v>DK</v>
      </c>
      <c r="U80" s="372" t="str">
        <f aca="false">VLOOKUP(CONCATENATE($B80,"-",U$8),'[1]liste complet essai'!$A$4:$K$1367,4,)</f>
        <v>DK</v>
      </c>
      <c r="V80" s="372" t="str">
        <f aca="false">VLOOKUP(CONCATENATE($B80,"-",V$8),'[1]liste complet essai'!$A$4:$K$1367,4,)</f>
        <v>DK</v>
      </c>
      <c r="W80" s="372" t="str">
        <f aca="false">VLOOKUP(CONCATENATE($B80,"-",W$8),'[1]liste complet essai'!$A$4:$K$1367,4,)</f>
        <v>DK</v>
      </c>
      <c r="X80" s="372" t="str">
        <f aca="false">VLOOKUP(CONCATENATE($B80,"-",X$8),'[1]liste complet essai'!$A$4:$K$1367,4,)</f>
        <v>DK</v>
      </c>
      <c r="Y80" s="372" t="str">
        <f aca="false">VLOOKUP(CONCATENATE($B80,"-",Y$8),'[1]liste complet essai'!$A$4:$K$1367,4,)</f>
        <v>DK</v>
      </c>
      <c r="Z80" s="372" t="str">
        <f aca="false">VLOOKUP(CONCATENATE($B80,"-",Z$8),'[1]liste complet essai'!$A$4:$K$1367,4,)</f>
        <v>DK</v>
      </c>
      <c r="AA80" s="372" t="str">
        <f aca="false">VLOOKUP(CONCATENATE($B80,"-",AA$8),'[1]liste complet essai'!$A$4:$K$1367,4,)</f>
        <v>DK</v>
      </c>
      <c r="AB80" s="372" t="str">
        <f aca="false">VLOOKUP(CONCATENATE($B80,"-",AB$8),'[1]liste complet essai'!$A$4:$K$1367,4,)</f>
        <v>DK</v>
      </c>
      <c r="AC80" s="372" t="str">
        <f aca="false">VLOOKUP(CONCATENATE($B80,"-",AC$8),'[1]liste complet essai'!$A$4:$K$1367,4,)</f>
        <v>DK</v>
      </c>
      <c r="AD80" s="368" t="str">
        <f aca="false">VLOOKUP(CONCATENATE($B80,"-",AD$8),'[1]liste complet essai'!$A$4:$K$1367,4,)</f>
        <v>DK</v>
      </c>
      <c r="AE80" s="372" t="str">
        <f aca="false">VLOOKUP(CONCATENATE($B80,"-",AE$8),'[1]liste complet essai'!$A$4:$K$1367,4,)</f>
        <v>DK</v>
      </c>
      <c r="AF80" s="427" t="s">
        <v>8122</v>
      </c>
      <c r="AK80" s="419" t="str">
        <f aca="false">'[1]Correspondance Geno'!A11</f>
        <v>AM019</v>
      </c>
      <c r="AL80" s="419"/>
      <c r="AM80" s="419"/>
      <c r="AN80" s="420" t="str">
        <f aca="false">'[1]Correspondance Geno'!B11</f>
        <v>G-008</v>
      </c>
      <c r="AO80" s="420"/>
      <c r="AP80" s="420"/>
      <c r="AQ80" s="421"/>
      <c r="AR80" s="419" t="str">
        <f aca="false">'[1]Correspondance Geno'!A36</f>
        <v>AM056</v>
      </c>
      <c r="AS80" s="419"/>
      <c r="AT80" s="419"/>
      <c r="AU80" s="420" t="str">
        <f aca="false">'[1]Correspondance Geno'!B36</f>
        <v>G-033</v>
      </c>
      <c r="AV80" s="420"/>
      <c r="AW80" s="420"/>
      <c r="AX80" s="421"/>
      <c r="AY80" s="419" t="str">
        <f aca="false">'[1]Correspondance Geno'!A61</f>
        <v>AM087</v>
      </c>
      <c r="AZ80" s="419"/>
      <c r="BA80" s="419"/>
      <c r="BB80" s="420" t="str">
        <f aca="false">'[1]Correspondance Geno'!B61</f>
        <v>G-058</v>
      </c>
      <c r="BC80" s="420"/>
      <c r="BD80" s="420"/>
      <c r="BE80" s="421"/>
      <c r="BF80" s="419" t="str">
        <f aca="false">'[1]Correspondance Geno'!A86</f>
        <v>AM137</v>
      </c>
      <c r="BG80" s="419"/>
      <c r="BH80" s="419"/>
      <c r="BI80" s="420" t="str">
        <f aca="false">'[1]Correspondance Geno'!B86</f>
        <v>G-083</v>
      </c>
      <c r="BJ80" s="420"/>
      <c r="BK80" s="420"/>
      <c r="BL80" s="421"/>
      <c r="BM80" s="419" t="str">
        <f aca="false">'[1]Correspondance Geno'!A111</f>
        <v>AM174</v>
      </c>
      <c r="BN80" s="419"/>
      <c r="BO80" s="419"/>
      <c r="BP80" s="420" t="str">
        <f aca="false">'[1]Correspondance Geno'!B111</f>
        <v>G-108</v>
      </c>
      <c r="BQ80" s="420"/>
      <c r="BR80" s="420"/>
      <c r="BS80" s="422"/>
      <c r="BT80" s="422"/>
      <c r="BU80" s="422"/>
      <c r="BV80" s="422"/>
      <c r="BW80" s="422"/>
      <c r="BX80" s="422"/>
      <c r="BY80" s="422"/>
      <c r="BZ80" s="422"/>
      <c r="CA80" s="422"/>
      <c r="CB80" s="422"/>
      <c r="CC80" s="422"/>
      <c r="CD80" s="422"/>
      <c r="CE80" s="423"/>
      <c r="CF80" s="419" t="str">
        <f aca="false">'[1]Correspondance Geno'!A135</f>
        <v>DK013</v>
      </c>
      <c r="CG80" s="419"/>
      <c r="CH80" s="419"/>
      <c r="CI80" s="420" t="str">
        <f aca="false">'[1]Correspondance Geno'!B135</f>
        <v>G-132</v>
      </c>
      <c r="CJ80" s="420"/>
      <c r="CK80" s="420"/>
      <c r="CL80" s="421"/>
      <c r="CM80" s="419" t="str">
        <f aca="false">'[1]Correspondance Geno'!A160</f>
        <v>DK057</v>
      </c>
      <c r="CN80" s="419"/>
      <c r="CO80" s="419"/>
      <c r="CP80" s="420" t="str">
        <f aca="false">'[1]Correspondance Geno'!B160</f>
        <v>G-157</v>
      </c>
      <c r="CQ80" s="420"/>
      <c r="CR80" s="420"/>
      <c r="CS80" s="422"/>
      <c r="CT80" s="419" t="str">
        <f aca="false">'[1]Correspondance Geno'!A185</f>
        <v>DK103</v>
      </c>
      <c r="CU80" s="419"/>
      <c r="CV80" s="419"/>
      <c r="CW80" s="420" t="str">
        <f aca="false">'[1]Correspondance Geno'!B185</f>
        <v>G-182</v>
      </c>
      <c r="CX80" s="420"/>
      <c r="CY80" s="420"/>
      <c r="CZ80" s="422"/>
      <c r="DA80" s="424" t="str">
        <f aca="false">'[1]Correspondance Geno'!A210</f>
        <v>DK149</v>
      </c>
      <c r="DB80" s="424"/>
      <c r="DC80" s="424"/>
      <c r="DD80" s="420" t="str">
        <f aca="false">'[1]Correspondance Geno'!B210</f>
        <v>G-207</v>
      </c>
      <c r="DE80" s="420"/>
      <c r="DF80" s="420"/>
      <c r="DN80" s="284"/>
      <c r="DO80" s="284"/>
      <c r="DP80" s="284"/>
      <c r="DQ80" s="284"/>
      <c r="DR80" s="284"/>
      <c r="DS80" s="284"/>
    </row>
    <row r="81" customFormat="false" ht="12" hidden="false" customHeight="true" outlineLevel="0" collapsed="false">
      <c r="B81" s="384"/>
      <c r="C81" s="425"/>
      <c r="D81" s="307"/>
      <c r="E81" s="426"/>
      <c r="F81" s="372" t="str">
        <f aca="false">VLOOKUP(CONCATENATE($B80,"-",F$8),'[1]liste complet essai'!$A$4:$K$1367,9,)</f>
        <v>N2-b3</v>
      </c>
      <c r="G81" s="372" t="str">
        <f aca="false">VLOOKUP(CONCATENATE($B80,"-",G$8),'[1]liste complet essai'!$A$4:$K$1367,9,)</f>
        <v>N2-b3</v>
      </c>
      <c r="H81" s="372" t="str">
        <f aca="false">VLOOKUP(CONCATENATE($B80,"-",H$8),'[1]liste complet essai'!$A$4:$K$1367,9,)</f>
        <v>N2-b3</v>
      </c>
      <c r="I81" s="372" t="str">
        <f aca="false">VLOOKUP(CONCATENATE($B80,"-",I$8),'[1]liste complet essai'!$A$4:$K$1367,9,)</f>
        <v>N2-b3</v>
      </c>
      <c r="J81" s="372" t="str">
        <f aca="false">VLOOKUP(CONCATENATE($B80,"-",J$8),'[1]liste complet essai'!$A$4:$K$1367,9,)</f>
        <v>N2-b3</v>
      </c>
      <c r="K81" s="372" t="str">
        <f aca="false">VLOOKUP(CONCATENATE($B80,"-",K$8),'[1]liste complet essai'!$A$4:$K$1367,9,)</f>
        <v>N2-b3</v>
      </c>
      <c r="L81" s="372" t="str">
        <f aca="false">VLOOKUP(CONCATENATE($B80,"-",L$8),'[1]liste complet essai'!$A$4:$K$1367,9,)</f>
        <v>N2-b3</v>
      </c>
      <c r="M81" s="372" t="str">
        <f aca="false">VLOOKUP(CONCATENATE($B80,"-",M$8),'[1]liste complet essai'!$A$4:$K$1367,9,)</f>
        <v>N2-b3</v>
      </c>
      <c r="N81" s="372" t="str">
        <f aca="false">VLOOKUP(CONCATENATE($B80,"-",N$8),'[1]liste complet essai'!$A$4:$K$1367,9,)</f>
        <v>N2-b3</v>
      </c>
      <c r="O81" s="372" t="str">
        <f aca="false">VLOOKUP(CONCATENATE($B80,"-",O$8),'[1]liste complet essai'!$A$4:$K$1367,9,)</f>
        <v>N2-b3</v>
      </c>
      <c r="P81" s="372" t="str">
        <f aca="false">VLOOKUP(CONCATENATE($B80,"-",P$8),'[1]liste complet essai'!$A$4:$K$1367,9,)</f>
        <v>N2-b3</v>
      </c>
      <c r="Q81" s="372" t="str">
        <f aca="false">VLOOKUP(CONCATENATE($B80,"-",Q$8),'[1]liste complet essai'!$A$4:$K$1367,9,)</f>
        <v>N2-b3</v>
      </c>
      <c r="R81" s="372" t="str">
        <f aca="false">VLOOKUP(CONCATENATE($B80,"-",R$8),'[1]liste complet essai'!$A$4:$K$1367,9,)</f>
        <v>N2-b3</v>
      </c>
      <c r="S81" s="372" t="str">
        <f aca="false">VLOOKUP(CONCATENATE($B80,"-",S$8),'[1]liste complet essai'!$A$4:$K$1367,9,)</f>
        <v>N2-b3</v>
      </c>
      <c r="T81" s="372" t="str">
        <f aca="false">VLOOKUP(CONCATENATE($B80,"-",T$8),'[1]liste complet essai'!$A$4:$K$1367,9,)</f>
        <v>N2-b3</v>
      </c>
      <c r="U81" s="372" t="str">
        <f aca="false">VLOOKUP(CONCATENATE($B80,"-",U$8),'[1]liste complet essai'!$A$4:$K$1367,9,)</f>
        <v>N2-b3</v>
      </c>
      <c r="V81" s="372" t="str">
        <f aca="false">VLOOKUP(CONCATENATE($B80,"-",V$8),'[1]liste complet essai'!$A$4:$K$1367,9,)</f>
        <v>N2-b3</v>
      </c>
      <c r="W81" s="372" t="str">
        <f aca="false">VLOOKUP(CONCATENATE($B80,"-",W$8),'[1]liste complet essai'!$A$4:$K$1367,9,)</f>
        <v>N2-b3</v>
      </c>
      <c r="X81" s="372" t="str">
        <f aca="false">VLOOKUP(CONCATENATE($B80,"-",X$8),'[1]liste complet essai'!$A$4:$K$1367,9,)</f>
        <v>N2-b3</v>
      </c>
      <c r="Y81" s="372" t="str">
        <f aca="false">VLOOKUP(CONCATENATE($B80,"-",Y$8),'[1]liste complet essai'!$A$4:$K$1367,9,)</f>
        <v>N2-b3</v>
      </c>
      <c r="Z81" s="372" t="str">
        <f aca="false">VLOOKUP(CONCATENATE($B80,"-",Z$8),'[1]liste complet essai'!$A$4:$K$1367,9,)</f>
        <v>N2-b3</v>
      </c>
      <c r="AA81" s="372" t="str">
        <f aca="false">VLOOKUP(CONCATENATE($B80,"-",AA$8),'[1]liste complet essai'!$A$4:$K$1367,9,)</f>
        <v>N2-b3</v>
      </c>
      <c r="AB81" s="372" t="str">
        <f aca="false">VLOOKUP(CONCATENATE($B80,"-",AB$8),'[1]liste complet essai'!$A$4:$K$1367,9,)</f>
        <v>N2-b3</v>
      </c>
      <c r="AC81" s="372" t="str">
        <f aca="false">VLOOKUP(CONCATENATE($B80,"-",AC$8),'[1]liste complet essai'!$A$4:$K$1367,9,)</f>
        <v>N2-b3</v>
      </c>
      <c r="AD81" s="373" t="str">
        <f aca="false">VLOOKUP(CONCATENATE($B80,"-",AD$8),'[1]liste complet essai'!$A$4:$K$1367,9,)</f>
        <v>N2-b3</v>
      </c>
      <c r="AE81" s="372" t="str">
        <f aca="false">VLOOKUP(CONCATENATE($B80,"-",AE$8),'[1]liste complet essai'!$A$4:$K$1367,9,)</f>
        <v>N2-b3</v>
      </c>
      <c r="AF81" s="427"/>
      <c r="AK81" s="419" t="str">
        <f aca="false">'[1]Correspondance Geno'!A12</f>
        <v>AM020</v>
      </c>
      <c r="AL81" s="419"/>
      <c r="AM81" s="419"/>
      <c r="AN81" s="420" t="str">
        <f aca="false">'[1]Correspondance Geno'!B12</f>
        <v>G-009</v>
      </c>
      <c r="AO81" s="420"/>
      <c r="AP81" s="420"/>
      <c r="AQ81" s="421"/>
      <c r="AR81" s="419" t="str">
        <f aca="false">'[1]Correspondance Geno'!A37</f>
        <v>AM057</v>
      </c>
      <c r="AS81" s="419"/>
      <c r="AT81" s="419"/>
      <c r="AU81" s="420" t="str">
        <f aca="false">'[1]Correspondance Geno'!B37</f>
        <v>G-034</v>
      </c>
      <c r="AV81" s="420"/>
      <c r="AW81" s="420"/>
      <c r="AX81" s="421"/>
      <c r="AY81" s="419" t="str">
        <f aca="false">'[1]Correspondance Geno'!A62</f>
        <v>AM088</v>
      </c>
      <c r="AZ81" s="419"/>
      <c r="BA81" s="419"/>
      <c r="BB81" s="420" t="str">
        <f aca="false">'[1]Correspondance Geno'!B62</f>
        <v>G-059</v>
      </c>
      <c r="BC81" s="420"/>
      <c r="BD81" s="420"/>
      <c r="BE81" s="421"/>
      <c r="BF81" s="419" t="str">
        <f aca="false">'[1]Correspondance Geno'!A87</f>
        <v>AM138</v>
      </c>
      <c r="BG81" s="419"/>
      <c r="BH81" s="419"/>
      <c r="BI81" s="420" t="str">
        <f aca="false">'[1]Correspondance Geno'!B87</f>
        <v>G-084</v>
      </c>
      <c r="BJ81" s="420"/>
      <c r="BK81" s="420"/>
      <c r="BL81" s="421"/>
      <c r="BM81" s="419" t="str">
        <f aca="false">'[1]Correspondance Geno'!A112</f>
        <v>AM183</v>
      </c>
      <c r="BN81" s="419"/>
      <c r="BO81" s="419"/>
      <c r="BP81" s="420" t="str">
        <f aca="false">'[1]Correspondance Geno'!B112</f>
        <v>G-109</v>
      </c>
      <c r="BQ81" s="420"/>
      <c r="BR81" s="420"/>
      <c r="BS81" s="422"/>
      <c r="BT81" s="422"/>
      <c r="BU81" s="422"/>
      <c r="BV81" s="422"/>
      <c r="BW81" s="422"/>
      <c r="BX81" s="422"/>
      <c r="BY81" s="422"/>
      <c r="BZ81" s="422"/>
      <c r="CA81" s="422"/>
      <c r="CB81" s="422"/>
      <c r="CC81" s="422"/>
      <c r="CD81" s="422"/>
      <c r="CE81" s="423"/>
      <c r="CF81" s="419" t="str">
        <f aca="false">'[1]Correspondance Geno'!A136</f>
        <v>DK016</v>
      </c>
      <c r="CG81" s="419"/>
      <c r="CH81" s="419"/>
      <c r="CI81" s="420" t="str">
        <f aca="false">'[1]Correspondance Geno'!B136</f>
        <v>G-133</v>
      </c>
      <c r="CJ81" s="420"/>
      <c r="CK81" s="420"/>
      <c r="CL81" s="421"/>
      <c r="CM81" s="419" t="str">
        <f aca="false">'[1]Correspondance Geno'!A161</f>
        <v>DK058</v>
      </c>
      <c r="CN81" s="419"/>
      <c r="CO81" s="419"/>
      <c r="CP81" s="420" t="str">
        <f aca="false">'[1]Correspondance Geno'!B161</f>
        <v>G-158</v>
      </c>
      <c r="CQ81" s="420"/>
      <c r="CR81" s="420"/>
      <c r="CS81" s="422"/>
      <c r="CT81" s="419" t="str">
        <f aca="false">'[1]Correspondance Geno'!A186</f>
        <v>DK107</v>
      </c>
      <c r="CU81" s="419"/>
      <c r="CV81" s="419"/>
      <c r="CW81" s="420" t="str">
        <f aca="false">'[1]Correspondance Geno'!B186</f>
        <v>G-183</v>
      </c>
      <c r="CX81" s="420"/>
      <c r="CY81" s="420"/>
      <c r="CZ81" s="422"/>
      <c r="DA81" s="424" t="str">
        <f aca="false">'[1]Correspondance Geno'!A211</f>
        <v>DK152</v>
      </c>
      <c r="DB81" s="424"/>
      <c r="DC81" s="424"/>
      <c r="DD81" s="420" t="str">
        <f aca="false">'[1]Correspondance Geno'!B211</f>
        <v>G-208</v>
      </c>
      <c r="DE81" s="420"/>
      <c r="DF81" s="420"/>
      <c r="DN81" s="284"/>
      <c r="DO81" s="284"/>
      <c r="DP81" s="284"/>
      <c r="DQ81" s="284"/>
      <c r="DR81" s="284"/>
      <c r="DS81" s="284"/>
    </row>
    <row r="82" customFormat="false" ht="12" hidden="false" customHeight="false" outlineLevel="0" collapsed="false">
      <c r="B82" s="384"/>
      <c r="C82" s="425"/>
      <c r="D82" s="307"/>
      <c r="E82" s="426"/>
      <c r="F82" s="372" t="str">
        <f aca="false">VLOOKUP(CONCATENATE($B80,"-",F$8),'[1]liste complet essai'!$A$4:$K$1367,5,)</f>
        <v>G-159</v>
      </c>
      <c r="G82" s="372" t="str">
        <f aca="false">VLOOKUP(CONCATENATE($B80,"-",G$8),'[1]liste complet essai'!$A$4:$K$1367,5,)</f>
        <v>G-185</v>
      </c>
      <c r="H82" s="372" t="str">
        <f aca="false">VLOOKUP(CONCATENATE($B80,"-",H$8),'[1]liste complet essai'!$A$4:$K$1367,5,)</f>
        <v>G-213</v>
      </c>
      <c r="I82" s="372" t="str">
        <f aca="false">VLOOKUP(CONCATENATE($B80,"-",I$8),'[1]liste complet essai'!$A$4:$K$1367,5,)</f>
        <v>G-143</v>
      </c>
      <c r="J82" s="372" t="str">
        <f aca="false">VLOOKUP(CONCATENATE($B80,"-",J$8),'[1]liste complet essai'!$A$4:$K$1367,5,)</f>
        <v>G-176</v>
      </c>
      <c r="K82" s="372" t="str">
        <f aca="false">VLOOKUP(CONCATENATE($B80,"-",K$8),'[1]liste complet essai'!$A$4:$K$1367,5,)</f>
        <v>G-128</v>
      </c>
      <c r="L82" s="372" t="str">
        <f aca="false">VLOOKUP(CONCATENATE($B80,"-",L$8),'[1]liste complet essai'!$A$4:$K$1367,5,)</f>
        <v>G-187</v>
      </c>
      <c r="M82" s="372" t="str">
        <f aca="false">VLOOKUP(CONCATENATE($B80,"-",M$8),'[1]liste complet essai'!$A$4:$K$1367,5,)</f>
        <v>G-183</v>
      </c>
      <c r="N82" s="372" t="str">
        <f aca="false">VLOOKUP(CONCATENATE($B80,"-",N$8),'[1]liste complet essai'!$A$4:$K$1367,5,)</f>
        <v>G-189</v>
      </c>
      <c r="O82" s="372" t="str">
        <f aca="false">VLOOKUP(CONCATENATE($B80,"-",O$8),'[1]liste complet essai'!$A$4:$K$1367,5,)</f>
        <v>G-151</v>
      </c>
      <c r="P82" s="372" t="str">
        <f aca="false">VLOOKUP(CONCATENATE($B80,"-",P$8),'[1]liste complet essai'!$A$4:$K$1367,5,)</f>
        <v>G-217</v>
      </c>
      <c r="Q82" s="372" t="str">
        <f aca="false">VLOOKUP(CONCATENATE($B80,"-",Q$8),'[1]liste complet essai'!$A$4:$K$1367,5,)</f>
        <v>G-156</v>
      </c>
      <c r="R82" s="372" t="str">
        <f aca="false">VLOOKUP(CONCATENATE($B80,"-",R$8),'[1]liste complet essai'!$A$4:$K$1367,5,)</f>
        <v>G-190</v>
      </c>
      <c r="S82" s="372" t="str">
        <f aca="false">VLOOKUP(CONCATENATE($B80,"-",S$8),'[1]liste complet essai'!$A$4:$K$1367,5,)</f>
        <v>G-202</v>
      </c>
      <c r="T82" s="375" t="str">
        <f aca="false">VLOOKUP(CONCATENATE($B80,"-",T$8),'[1]liste complet essai'!$A$4:$K$1367,5,)</f>
        <v>G-126</v>
      </c>
      <c r="U82" s="372" t="str">
        <f aca="false">VLOOKUP(CONCATENATE($B80,"-",U$8),'[1]liste complet essai'!$A$4:$K$1367,5,)</f>
        <v>G-149</v>
      </c>
      <c r="V82" s="372" t="str">
        <f aca="false">VLOOKUP(CONCATENATE($B80,"-",V$8),'[1]liste complet essai'!$A$4:$K$1367,5,)</f>
        <v>G-134</v>
      </c>
      <c r="W82" s="372" t="str">
        <f aca="false">VLOOKUP(CONCATENATE($B80,"-",W$8),'[1]liste complet essai'!$A$4:$K$1367,5,)</f>
        <v>G-178</v>
      </c>
      <c r="X82" s="372" t="str">
        <f aca="false">VLOOKUP(CONCATENATE($B80,"-",X$8),'[1]liste complet essai'!$A$4:$K$1367,5,)</f>
        <v>G-167</v>
      </c>
      <c r="Y82" s="372" t="str">
        <f aca="false">VLOOKUP(CONCATENATE($B80,"-",Y$8),'[1]liste complet essai'!$A$4:$K$1367,5,)</f>
        <v>G-194</v>
      </c>
      <c r="Z82" s="372" t="str">
        <f aca="false">VLOOKUP(CONCATENATE($B80,"-",Z$8),'[1]liste complet essai'!$A$4:$K$1367,5,)</f>
        <v>G-146</v>
      </c>
      <c r="AA82" s="372" t="str">
        <f aca="false">VLOOKUP(CONCATENATE($B80,"-",AA$8),'[1]liste complet essai'!$A$4:$K$1367,5,)</f>
        <v>G-144</v>
      </c>
      <c r="AB82" s="372" t="str">
        <f aca="false">VLOOKUP(CONCATENATE($B80,"-",AB$8),'[1]liste complet essai'!$A$4:$K$1367,5,)</f>
        <v>G-192</v>
      </c>
      <c r="AC82" s="372" t="str">
        <f aca="false">VLOOKUP(CONCATENATE($B80,"-",AC$8),'[1]liste complet essai'!$A$4:$K$1367,5,)</f>
        <v>G-181</v>
      </c>
      <c r="AD82" s="375" t="str">
        <f aca="false">VLOOKUP(CONCATENATE($B80,"-",AD$8),'[1]liste complet essai'!$A$4:$K$1367,5,)</f>
        <v>G-125</v>
      </c>
      <c r="AE82" s="372" t="str">
        <f aca="false">VLOOKUP(CONCATENATE($B80,"-",AE$8),'[1]liste complet essai'!$A$4:$K$1367,5,)</f>
        <v>G-170</v>
      </c>
      <c r="AF82" s="427"/>
      <c r="AK82" s="419" t="str">
        <f aca="false">'[1]Correspondance Geno'!A13</f>
        <v>AM022</v>
      </c>
      <c r="AL82" s="419"/>
      <c r="AM82" s="419"/>
      <c r="AN82" s="420" t="str">
        <f aca="false">'[1]Correspondance Geno'!B13</f>
        <v>G-010</v>
      </c>
      <c r="AO82" s="420"/>
      <c r="AP82" s="420"/>
      <c r="AQ82" s="421"/>
      <c r="AR82" s="419" t="str">
        <f aca="false">'[1]Correspondance Geno'!A38</f>
        <v>AM058</v>
      </c>
      <c r="AS82" s="419"/>
      <c r="AT82" s="419"/>
      <c r="AU82" s="420" t="str">
        <f aca="false">'[1]Correspondance Geno'!B38</f>
        <v>G-035</v>
      </c>
      <c r="AV82" s="420"/>
      <c r="AW82" s="420"/>
      <c r="AX82" s="421"/>
      <c r="AY82" s="419" t="str">
        <f aca="false">'[1]Correspondance Geno'!A63</f>
        <v>AM089</v>
      </c>
      <c r="AZ82" s="419"/>
      <c r="BA82" s="419"/>
      <c r="BB82" s="420" t="str">
        <f aca="false">'[1]Correspondance Geno'!B63</f>
        <v>G-060</v>
      </c>
      <c r="BC82" s="420"/>
      <c r="BD82" s="420"/>
      <c r="BE82" s="421"/>
      <c r="BF82" s="419" t="str">
        <f aca="false">'[1]Correspondance Geno'!A88</f>
        <v>AM139</v>
      </c>
      <c r="BG82" s="419"/>
      <c r="BH82" s="419"/>
      <c r="BI82" s="420" t="str">
        <f aca="false">'[1]Correspondance Geno'!B88</f>
        <v>G-085</v>
      </c>
      <c r="BJ82" s="420"/>
      <c r="BK82" s="420"/>
      <c r="BL82" s="421"/>
      <c r="BM82" s="419" t="str">
        <f aca="false">'[1]Correspondance Geno'!A113</f>
        <v>AM185</v>
      </c>
      <c r="BN82" s="419"/>
      <c r="BO82" s="419"/>
      <c r="BP82" s="420" t="str">
        <f aca="false">'[1]Correspondance Geno'!B113</f>
        <v>G-110</v>
      </c>
      <c r="BQ82" s="420"/>
      <c r="BR82" s="420"/>
      <c r="BS82" s="422"/>
      <c r="BT82" s="422"/>
      <c r="BU82" s="422"/>
      <c r="BV82" s="422"/>
      <c r="BW82" s="422"/>
      <c r="BX82" s="422"/>
      <c r="BY82" s="422"/>
      <c r="BZ82" s="422"/>
      <c r="CA82" s="422"/>
      <c r="CB82" s="422"/>
      <c r="CC82" s="422"/>
      <c r="CD82" s="422"/>
      <c r="CE82" s="423"/>
      <c r="CF82" s="419" t="str">
        <f aca="false">'[1]Correspondance Geno'!A137</f>
        <v>DK017</v>
      </c>
      <c r="CG82" s="419"/>
      <c r="CH82" s="419"/>
      <c r="CI82" s="420" t="str">
        <f aca="false">'[1]Correspondance Geno'!B137</f>
        <v>G-134</v>
      </c>
      <c r="CJ82" s="420"/>
      <c r="CK82" s="420"/>
      <c r="CL82" s="421"/>
      <c r="CM82" s="419" t="str">
        <f aca="false">'[1]Correspondance Geno'!A162</f>
        <v>DK061</v>
      </c>
      <c r="CN82" s="419"/>
      <c r="CO82" s="419"/>
      <c r="CP82" s="420" t="str">
        <f aca="false">'[1]Correspondance Geno'!B162</f>
        <v>G-159</v>
      </c>
      <c r="CQ82" s="420"/>
      <c r="CR82" s="420"/>
      <c r="CS82" s="422"/>
      <c r="CT82" s="419" t="str">
        <f aca="false">'[1]Correspondance Geno'!A187</f>
        <v>DK108</v>
      </c>
      <c r="CU82" s="419"/>
      <c r="CV82" s="419"/>
      <c r="CW82" s="420" t="str">
        <f aca="false">'[1]Correspondance Geno'!B187</f>
        <v>G-184</v>
      </c>
      <c r="CX82" s="420"/>
      <c r="CY82" s="420"/>
      <c r="CZ82" s="422"/>
      <c r="DA82" s="424" t="str">
        <f aca="false">'[1]Correspondance Geno'!A212</f>
        <v>DK153</v>
      </c>
      <c r="DB82" s="424"/>
      <c r="DC82" s="424"/>
      <c r="DD82" s="420" t="str">
        <f aca="false">'[1]Correspondance Geno'!B212</f>
        <v>G-209</v>
      </c>
      <c r="DE82" s="420"/>
      <c r="DF82" s="420"/>
      <c r="DN82" s="284"/>
      <c r="DO82" s="284"/>
      <c r="DP82" s="284"/>
      <c r="DQ82" s="284"/>
      <c r="DR82" s="284"/>
      <c r="DS82" s="284"/>
    </row>
    <row r="83" customFormat="false" ht="12" hidden="false" customHeight="false" outlineLevel="0" collapsed="false">
      <c r="B83" s="384"/>
      <c r="C83" s="425"/>
      <c r="D83" s="428"/>
      <c r="E83" s="426"/>
      <c r="F83" s="429" t="str">
        <f aca="false">VLOOKUP(CONCATENATE($B80,"-",F$8),'[1]liste complet essai'!$A$4:$K$1367,1,)</f>
        <v>32-65</v>
      </c>
      <c r="G83" s="429" t="str">
        <f aca="false">VLOOKUP(CONCATENATE($B80,"-",G$8),'[1]liste complet essai'!$A$4:$K$1367,1,)</f>
        <v>32-66</v>
      </c>
      <c r="H83" s="429" t="str">
        <f aca="false">VLOOKUP(CONCATENATE($B80,"-",H$8),'[1]liste complet essai'!$A$4:$K$1367,1,)</f>
        <v>32-67</v>
      </c>
      <c r="I83" s="429" t="str">
        <f aca="false">VLOOKUP(CONCATENATE($B80,"-",I$8),'[1]liste complet essai'!$A$4:$K$1367,1,)</f>
        <v>32-68</v>
      </c>
      <c r="J83" s="429" t="str">
        <f aca="false">VLOOKUP(CONCATENATE($B80,"-",J$8),'[1]liste complet essai'!$A$4:$K$1367,1,)</f>
        <v>32-69</v>
      </c>
      <c r="K83" s="429" t="str">
        <f aca="false">VLOOKUP(CONCATENATE($B80,"-",K$8),'[1]liste complet essai'!$A$4:$K$1367,1,)</f>
        <v>32-70</v>
      </c>
      <c r="L83" s="429" t="str">
        <f aca="false">VLOOKUP(CONCATENATE($B80,"-",L$8),'[1]liste complet essai'!$A$4:$K$1367,1,)</f>
        <v>32-71</v>
      </c>
      <c r="M83" s="429" t="str">
        <f aca="false">VLOOKUP(CONCATENATE($B80,"-",M$8),'[1]liste complet essai'!$A$4:$K$1367,1,)</f>
        <v>32-72</v>
      </c>
      <c r="N83" s="429" t="str">
        <f aca="false">VLOOKUP(CONCATENATE($B80,"-",N$8),'[1]liste complet essai'!$A$4:$K$1367,1,)</f>
        <v>32-73</v>
      </c>
      <c r="O83" s="429" t="str">
        <f aca="false">VLOOKUP(CONCATENATE($B80,"-",O$8),'[1]liste complet essai'!$A$4:$K$1367,1,)</f>
        <v>32-74</v>
      </c>
      <c r="P83" s="429" t="str">
        <f aca="false">VLOOKUP(CONCATENATE($B80,"-",P$8),'[1]liste complet essai'!$A$4:$K$1367,1,)</f>
        <v>32-75</v>
      </c>
      <c r="Q83" s="429" t="str">
        <f aca="false">VLOOKUP(CONCATENATE($B80,"-",Q$8),'[1]liste complet essai'!$A$4:$K$1367,1,)</f>
        <v>32-76</v>
      </c>
      <c r="R83" s="429" t="str">
        <f aca="false">VLOOKUP(CONCATENATE($B80,"-",R$8),'[1]liste complet essai'!$A$4:$K$1367,1,)</f>
        <v>32-77</v>
      </c>
      <c r="S83" s="429" t="str">
        <f aca="false">VLOOKUP(CONCATENATE($B80,"-",S$8),'[1]liste complet essai'!$A$4:$K$1367,1,)</f>
        <v>32-78</v>
      </c>
      <c r="T83" s="328" t="str">
        <f aca="false">VLOOKUP(CONCATENATE($B80,"-",T$8),'[1]liste complet essai'!$A$4:$K$1367,1,)</f>
        <v>32-79</v>
      </c>
      <c r="U83" s="429" t="str">
        <f aca="false">VLOOKUP(CONCATENATE($B80,"-",U$8),'[1]liste complet essai'!$A$4:$K$1367,1,)</f>
        <v>32-80</v>
      </c>
      <c r="V83" s="429" t="str">
        <f aca="false">VLOOKUP(CONCATENATE($B80,"-",V$8),'[1]liste complet essai'!$A$4:$K$1367,1,)</f>
        <v>32-81</v>
      </c>
      <c r="W83" s="429" t="str">
        <f aca="false">VLOOKUP(CONCATENATE($B80,"-",W$8),'[1]liste complet essai'!$A$4:$K$1367,1,)</f>
        <v>32-82</v>
      </c>
      <c r="X83" s="429" t="str">
        <f aca="false">VLOOKUP(CONCATENATE($B80,"-",X$8),'[1]liste complet essai'!$A$4:$K$1367,1,)</f>
        <v>32-83</v>
      </c>
      <c r="Y83" s="429" t="str">
        <f aca="false">VLOOKUP(CONCATENATE($B80,"-",Y$8),'[1]liste complet essai'!$A$4:$K$1367,1,)</f>
        <v>32-84</v>
      </c>
      <c r="Z83" s="429" t="str">
        <f aca="false">VLOOKUP(CONCATENATE($B80,"-",Z$8),'[1]liste complet essai'!$A$4:$K$1367,1,)</f>
        <v>32-85</v>
      </c>
      <c r="AA83" s="429" t="str">
        <f aca="false">VLOOKUP(CONCATENATE($B80,"-",AA$8),'[1]liste complet essai'!$A$4:$K$1367,1,)</f>
        <v>32-86</v>
      </c>
      <c r="AB83" s="429" t="str">
        <f aca="false">VLOOKUP(CONCATENATE($B80,"-",AB$8),'[1]liste complet essai'!$A$4:$K$1367,1,)</f>
        <v>32-87</v>
      </c>
      <c r="AC83" s="429" t="str">
        <f aca="false">VLOOKUP(CONCATENATE($B80,"-",AC$8),'[1]liste complet essai'!$A$4:$K$1367,1,)</f>
        <v>32-88</v>
      </c>
      <c r="AD83" s="429" t="str">
        <f aca="false">VLOOKUP(CONCATENATE($B80,"-",AD$8),'[1]liste complet essai'!$A$4:$K$1367,1,)</f>
        <v>32-89</v>
      </c>
      <c r="AE83" s="429" t="str">
        <f aca="false">VLOOKUP(CONCATENATE($B80,"-",AE$8),'[1]liste complet essai'!$A$4:$K$1367,1,)</f>
        <v>32-90</v>
      </c>
      <c r="AF83" s="427"/>
      <c r="AK83" s="419" t="str">
        <f aca="false">'[1]Correspondance Geno'!A14</f>
        <v>AM027</v>
      </c>
      <c r="AL83" s="419"/>
      <c r="AM83" s="419"/>
      <c r="AN83" s="420" t="str">
        <f aca="false">'[1]Correspondance Geno'!B14</f>
        <v>G-011</v>
      </c>
      <c r="AO83" s="420"/>
      <c r="AP83" s="420"/>
      <c r="AQ83" s="421"/>
      <c r="AR83" s="419" t="str">
        <f aca="false">'[1]Correspondance Geno'!A39</f>
        <v>AM059</v>
      </c>
      <c r="AS83" s="419"/>
      <c r="AT83" s="419"/>
      <c r="AU83" s="420" t="str">
        <f aca="false">'[1]Correspondance Geno'!B39</f>
        <v>G-036</v>
      </c>
      <c r="AV83" s="420"/>
      <c r="AW83" s="420"/>
      <c r="AX83" s="421"/>
      <c r="AY83" s="419" t="str">
        <f aca="false">'[1]Correspondance Geno'!A64</f>
        <v>AM090</v>
      </c>
      <c r="AZ83" s="419"/>
      <c r="BA83" s="419"/>
      <c r="BB83" s="420" t="str">
        <f aca="false">'[1]Correspondance Geno'!B64</f>
        <v>G-061</v>
      </c>
      <c r="BC83" s="420"/>
      <c r="BD83" s="420"/>
      <c r="BE83" s="421"/>
      <c r="BF83" s="419" t="str">
        <f aca="false">'[1]Correspondance Geno'!A89</f>
        <v>AM140</v>
      </c>
      <c r="BG83" s="419"/>
      <c r="BH83" s="419"/>
      <c r="BI83" s="420" t="str">
        <f aca="false">'[1]Correspondance Geno'!B89</f>
        <v>G-086</v>
      </c>
      <c r="BJ83" s="420"/>
      <c r="BK83" s="420"/>
      <c r="BL83" s="421"/>
      <c r="BM83" s="419" t="str">
        <f aca="false">'[1]Correspondance Geno'!A114</f>
        <v>AM186</v>
      </c>
      <c r="BN83" s="419"/>
      <c r="BO83" s="419"/>
      <c r="BP83" s="420" t="str">
        <f aca="false">'[1]Correspondance Geno'!B114</f>
        <v>G-111</v>
      </c>
      <c r="BQ83" s="420"/>
      <c r="BR83" s="420"/>
      <c r="BS83" s="422"/>
      <c r="BT83" s="422"/>
      <c r="BU83" s="422"/>
      <c r="BV83" s="422"/>
      <c r="BW83" s="422"/>
      <c r="BX83" s="422"/>
      <c r="BY83" s="422"/>
      <c r="BZ83" s="422"/>
      <c r="CA83" s="422"/>
      <c r="CB83" s="422"/>
      <c r="CC83" s="422"/>
      <c r="CD83" s="422"/>
      <c r="CE83" s="423"/>
      <c r="CF83" s="419" t="str">
        <f aca="false">'[1]Correspondance Geno'!A138</f>
        <v>DK018</v>
      </c>
      <c r="CG83" s="419"/>
      <c r="CH83" s="419"/>
      <c r="CI83" s="420" t="str">
        <f aca="false">'[1]Correspondance Geno'!B138</f>
        <v>G-135</v>
      </c>
      <c r="CJ83" s="420"/>
      <c r="CK83" s="420"/>
      <c r="CL83" s="421"/>
      <c r="CM83" s="419" t="str">
        <f aca="false">'[1]Correspondance Geno'!A163</f>
        <v>DK063</v>
      </c>
      <c r="CN83" s="419"/>
      <c r="CO83" s="419"/>
      <c r="CP83" s="420" t="str">
        <f aca="false">'[1]Correspondance Geno'!B163</f>
        <v>G-160</v>
      </c>
      <c r="CQ83" s="420"/>
      <c r="CR83" s="420"/>
      <c r="CS83" s="422"/>
      <c r="CT83" s="419" t="str">
        <f aca="false">'[1]Correspondance Geno'!A188</f>
        <v>DK109</v>
      </c>
      <c r="CU83" s="419"/>
      <c r="CV83" s="419"/>
      <c r="CW83" s="420" t="str">
        <f aca="false">'[1]Correspondance Geno'!B188</f>
        <v>G-185</v>
      </c>
      <c r="CX83" s="420"/>
      <c r="CY83" s="420"/>
      <c r="CZ83" s="422"/>
      <c r="DA83" s="424" t="str">
        <f aca="false">'[1]Correspondance Geno'!A213</f>
        <v>DK154</v>
      </c>
      <c r="DB83" s="424"/>
      <c r="DC83" s="424"/>
      <c r="DD83" s="420" t="str">
        <f aca="false">'[1]Correspondance Geno'!B213</f>
        <v>G-210</v>
      </c>
      <c r="DE83" s="420"/>
      <c r="DF83" s="420"/>
      <c r="DN83" s="284"/>
      <c r="DO83" s="284"/>
      <c r="DP83" s="284"/>
      <c r="DQ83" s="284"/>
      <c r="DR83" s="284"/>
      <c r="DS83" s="284"/>
    </row>
    <row r="84" customFormat="false" ht="11.25" hidden="false" customHeight="true" outlineLevel="0" collapsed="false">
      <c r="AK84" s="419" t="str">
        <f aca="false">'[1]Correspondance Geno'!A15</f>
        <v>AM028</v>
      </c>
      <c r="AL84" s="419"/>
      <c r="AM84" s="419"/>
      <c r="AN84" s="420" t="str">
        <f aca="false">'[1]Correspondance Geno'!B15</f>
        <v>G-012</v>
      </c>
      <c r="AO84" s="420"/>
      <c r="AP84" s="420"/>
      <c r="AQ84" s="421"/>
      <c r="AR84" s="419" t="str">
        <f aca="false">'[1]Correspondance Geno'!A40</f>
        <v>AM060</v>
      </c>
      <c r="AS84" s="419"/>
      <c r="AT84" s="419"/>
      <c r="AU84" s="420" t="str">
        <f aca="false">'[1]Correspondance Geno'!B40</f>
        <v>G-037</v>
      </c>
      <c r="AV84" s="420"/>
      <c r="AW84" s="420"/>
      <c r="AX84" s="421"/>
      <c r="AY84" s="419" t="str">
        <f aca="false">'[1]Correspondance Geno'!A65</f>
        <v>AM091</v>
      </c>
      <c r="AZ84" s="419"/>
      <c r="BA84" s="419"/>
      <c r="BB84" s="420" t="str">
        <f aca="false">'[1]Correspondance Geno'!B65</f>
        <v>G-062</v>
      </c>
      <c r="BC84" s="420"/>
      <c r="BD84" s="420"/>
      <c r="BE84" s="421"/>
      <c r="BF84" s="419" t="str">
        <f aca="false">'[1]Correspondance Geno'!A90</f>
        <v>AM141</v>
      </c>
      <c r="BG84" s="419"/>
      <c r="BH84" s="419"/>
      <c r="BI84" s="420" t="str">
        <f aca="false">'[1]Correspondance Geno'!B90</f>
        <v>G-087</v>
      </c>
      <c r="BJ84" s="420"/>
      <c r="BK84" s="420"/>
      <c r="BL84" s="421"/>
      <c r="BM84" s="419" t="str">
        <f aca="false">'[1]Correspondance Geno'!A115</f>
        <v>AM188</v>
      </c>
      <c r="BN84" s="419"/>
      <c r="BO84" s="419"/>
      <c r="BP84" s="420" t="str">
        <f aca="false">'[1]Correspondance Geno'!B115</f>
        <v>G-112</v>
      </c>
      <c r="BQ84" s="420"/>
      <c r="BR84" s="420"/>
      <c r="BS84" s="422"/>
      <c r="BT84" s="422"/>
      <c r="BU84" s="422"/>
      <c r="BV84" s="422"/>
      <c r="BW84" s="422"/>
      <c r="BX84" s="422"/>
      <c r="BY84" s="422"/>
      <c r="BZ84" s="422"/>
      <c r="CA84" s="422"/>
      <c r="CB84" s="422"/>
      <c r="CC84" s="422"/>
      <c r="CD84" s="422"/>
      <c r="CE84" s="423"/>
      <c r="CF84" s="419" t="str">
        <f aca="false">'[1]Correspondance Geno'!A139</f>
        <v>DK020</v>
      </c>
      <c r="CG84" s="419"/>
      <c r="CH84" s="419"/>
      <c r="CI84" s="420" t="str">
        <f aca="false">'[1]Correspondance Geno'!B139</f>
        <v>G-136</v>
      </c>
      <c r="CJ84" s="420"/>
      <c r="CK84" s="420"/>
      <c r="CL84" s="421"/>
      <c r="CM84" s="419" t="str">
        <f aca="false">'[1]Correspondance Geno'!A164</f>
        <v>DK064</v>
      </c>
      <c r="CN84" s="419"/>
      <c r="CO84" s="419"/>
      <c r="CP84" s="420" t="str">
        <f aca="false">'[1]Correspondance Geno'!B164</f>
        <v>G-161</v>
      </c>
      <c r="CQ84" s="420"/>
      <c r="CR84" s="420"/>
      <c r="CS84" s="422"/>
      <c r="CT84" s="419" t="str">
        <f aca="false">'[1]Correspondance Geno'!A189</f>
        <v>DK110</v>
      </c>
      <c r="CU84" s="419"/>
      <c r="CV84" s="419"/>
      <c r="CW84" s="420" t="str">
        <f aca="false">'[1]Correspondance Geno'!B189</f>
        <v>G-186</v>
      </c>
      <c r="CX84" s="420"/>
      <c r="CY84" s="420"/>
      <c r="CZ84" s="422"/>
      <c r="DA84" s="424" t="str">
        <f aca="false">'[1]Correspondance Geno'!A214</f>
        <v>Colvert2</v>
      </c>
      <c r="DB84" s="424"/>
      <c r="DC84" s="424"/>
      <c r="DD84" s="420" t="str">
        <f aca="false">'[1]Correspondance Geno'!B214</f>
        <v>G-211</v>
      </c>
      <c r="DE84" s="420"/>
      <c r="DF84" s="420"/>
      <c r="DN84" s="284"/>
      <c r="DO84" s="284"/>
      <c r="DP84" s="284"/>
      <c r="DQ84" s="284"/>
      <c r="DR84" s="284"/>
      <c r="DS84" s="284"/>
    </row>
    <row r="85" customFormat="false" ht="12" hidden="false" customHeight="false" outlineLevel="0" collapsed="false">
      <c r="AK85" s="419" t="str">
        <f aca="false">'[1]Correspondance Geno'!A16</f>
        <v>AM030</v>
      </c>
      <c r="AL85" s="419"/>
      <c r="AM85" s="419"/>
      <c r="AN85" s="420" t="str">
        <f aca="false">'[1]Correspondance Geno'!B16</f>
        <v>G-013</v>
      </c>
      <c r="AO85" s="420"/>
      <c r="AP85" s="420"/>
      <c r="AQ85" s="421"/>
      <c r="AR85" s="419" t="str">
        <f aca="false">'[1]Correspondance Geno'!A41</f>
        <v>AM061</v>
      </c>
      <c r="AS85" s="419"/>
      <c r="AT85" s="419"/>
      <c r="AU85" s="420" t="str">
        <f aca="false">'[1]Correspondance Geno'!B41</f>
        <v>G-038</v>
      </c>
      <c r="AV85" s="420"/>
      <c r="AW85" s="420"/>
      <c r="AX85" s="421"/>
      <c r="AY85" s="419" t="str">
        <f aca="false">'[1]Correspondance Geno'!A66</f>
        <v>AM092</v>
      </c>
      <c r="AZ85" s="419"/>
      <c r="BA85" s="419"/>
      <c r="BB85" s="420" t="str">
        <f aca="false">'[1]Correspondance Geno'!B66</f>
        <v>G-063</v>
      </c>
      <c r="BC85" s="420"/>
      <c r="BD85" s="420"/>
      <c r="BE85" s="421"/>
      <c r="BF85" s="419" t="str">
        <f aca="false">'[1]Correspondance Geno'!A91</f>
        <v>AM143</v>
      </c>
      <c r="BG85" s="419"/>
      <c r="BH85" s="419"/>
      <c r="BI85" s="420" t="str">
        <f aca="false">'[1]Correspondance Geno'!B91</f>
        <v>G-088</v>
      </c>
      <c r="BJ85" s="420"/>
      <c r="BK85" s="420"/>
      <c r="BL85" s="421"/>
      <c r="BM85" s="419" t="str">
        <f aca="false">'[1]Correspondance Geno'!A116</f>
        <v>AM189</v>
      </c>
      <c r="BN85" s="419"/>
      <c r="BO85" s="419"/>
      <c r="BP85" s="420" t="str">
        <f aca="false">'[1]Correspondance Geno'!B116</f>
        <v>G-113</v>
      </c>
      <c r="BQ85" s="420"/>
      <c r="BR85" s="420"/>
      <c r="BS85" s="422"/>
      <c r="BT85" s="422"/>
      <c r="BU85" s="422"/>
      <c r="BV85" s="422"/>
      <c r="BW85" s="422"/>
      <c r="BX85" s="422"/>
      <c r="BY85" s="422"/>
      <c r="BZ85" s="422"/>
      <c r="CA85" s="422"/>
      <c r="CB85" s="422"/>
      <c r="CC85" s="422"/>
      <c r="CD85" s="422"/>
      <c r="CE85" s="423"/>
      <c r="CF85" s="419" t="str">
        <f aca="false">'[1]Correspondance Geno'!A140</f>
        <v>DK021</v>
      </c>
      <c r="CG85" s="419"/>
      <c r="CH85" s="419"/>
      <c r="CI85" s="420" t="str">
        <f aca="false">'[1]Correspondance Geno'!B140</f>
        <v>G-137</v>
      </c>
      <c r="CJ85" s="420"/>
      <c r="CK85" s="420"/>
      <c r="CL85" s="421"/>
      <c r="CM85" s="419" t="str">
        <f aca="false">'[1]Correspondance Geno'!A165</f>
        <v>DK066</v>
      </c>
      <c r="CN85" s="419"/>
      <c r="CO85" s="419"/>
      <c r="CP85" s="420" t="str">
        <f aca="false">'[1]Correspondance Geno'!B165</f>
        <v>G-162</v>
      </c>
      <c r="CQ85" s="420"/>
      <c r="CR85" s="420"/>
      <c r="CS85" s="422"/>
      <c r="CT85" s="419" t="str">
        <f aca="false">'[1]Correspondance Geno'!A190</f>
        <v>DK112</v>
      </c>
      <c r="CU85" s="419"/>
      <c r="CV85" s="419"/>
      <c r="CW85" s="420" t="str">
        <f aca="false">'[1]Correspondance Geno'!B190</f>
        <v>G-187</v>
      </c>
      <c r="CX85" s="420"/>
      <c r="CY85" s="420"/>
      <c r="CZ85" s="422"/>
      <c r="DA85" s="424" t="str">
        <f aca="false">'[1]Correspondance Geno'!A215</f>
        <v>Kurander2</v>
      </c>
      <c r="DB85" s="424"/>
      <c r="DC85" s="424"/>
      <c r="DD85" s="420" t="str">
        <f aca="false">'[1]Correspondance Geno'!B215</f>
        <v>G-212</v>
      </c>
      <c r="DE85" s="420"/>
      <c r="DF85" s="420"/>
      <c r="DN85" s="284"/>
      <c r="DO85" s="284"/>
      <c r="DP85" s="284"/>
      <c r="DQ85" s="284"/>
      <c r="DR85" s="284"/>
      <c r="DS85" s="284"/>
    </row>
    <row r="86" customFormat="false" ht="12" hidden="false" customHeight="false" outlineLevel="0" collapsed="false">
      <c r="AK86" s="419" t="str">
        <f aca="false">'[1]Correspondance Geno'!A17</f>
        <v>AM031</v>
      </c>
      <c r="AL86" s="419"/>
      <c r="AM86" s="419"/>
      <c r="AN86" s="420" t="str">
        <f aca="false">'[1]Correspondance Geno'!B17</f>
        <v>G-014</v>
      </c>
      <c r="AO86" s="420"/>
      <c r="AP86" s="420"/>
      <c r="AQ86" s="421"/>
      <c r="AR86" s="419" t="str">
        <f aca="false">'[1]Correspondance Geno'!A42</f>
        <v>AM062</v>
      </c>
      <c r="AS86" s="419"/>
      <c r="AT86" s="419"/>
      <c r="AU86" s="420" t="str">
        <f aca="false">'[1]Correspondance Geno'!B42</f>
        <v>G-039</v>
      </c>
      <c r="AV86" s="420"/>
      <c r="AW86" s="420"/>
      <c r="AX86" s="421"/>
      <c r="AY86" s="419" t="str">
        <f aca="false">'[1]Correspondance Geno'!A67</f>
        <v>AM093</v>
      </c>
      <c r="AZ86" s="419"/>
      <c r="BA86" s="419"/>
      <c r="BB86" s="420" t="str">
        <f aca="false">'[1]Correspondance Geno'!B67</f>
        <v>G-064</v>
      </c>
      <c r="BC86" s="420"/>
      <c r="BD86" s="420"/>
      <c r="BE86" s="421"/>
      <c r="BF86" s="419" t="str">
        <f aca="false">'[1]Correspondance Geno'!A92</f>
        <v>AM144</v>
      </c>
      <c r="BG86" s="419"/>
      <c r="BH86" s="419"/>
      <c r="BI86" s="420" t="str">
        <f aca="false">'[1]Correspondance Geno'!B92</f>
        <v>G-089</v>
      </c>
      <c r="BJ86" s="420"/>
      <c r="BK86" s="420"/>
      <c r="BL86" s="421"/>
      <c r="BM86" s="419" t="str">
        <f aca="false">'[1]Correspondance Geno'!A117</f>
        <v>AM193</v>
      </c>
      <c r="BN86" s="419"/>
      <c r="BO86" s="419"/>
      <c r="BP86" s="420" t="str">
        <f aca="false">'[1]Correspondance Geno'!B117</f>
        <v>G-114</v>
      </c>
      <c r="BQ86" s="420"/>
      <c r="BR86" s="420"/>
      <c r="BS86" s="422"/>
      <c r="BT86" s="422"/>
      <c r="BU86" s="422"/>
      <c r="BV86" s="422"/>
      <c r="BW86" s="422"/>
      <c r="BX86" s="422"/>
      <c r="BY86" s="422"/>
      <c r="BZ86" s="422"/>
      <c r="CA86" s="422"/>
      <c r="CB86" s="422"/>
      <c r="CC86" s="422"/>
      <c r="CD86" s="422"/>
      <c r="CE86" s="423"/>
      <c r="CF86" s="419" t="str">
        <f aca="false">'[1]Correspondance Geno'!A141</f>
        <v>DK023</v>
      </c>
      <c r="CG86" s="419"/>
      <c r="CH86" s="419"/>
      <c r="CI86" s="420" t="str">
        <f aca="false">'[1]Correspondance Geno'!B141</f>
        <v>G-138</v>
      </c>
      <c r="CJ86" s="420"/>
      <c r="CK86" s="420"/>
      <c r="CL86" s="421"/>
      <c r="CM86" s="419" t="str">
        <f aca="false">'[1]Correspondance Geno'!A166</f>
        <v>DK068</v>
      </c>
      <c r="CN86" s="419"/>
      <c r="CO86" s="419"/>
      <c r="CP86" s="420" t="str">
        <f aca="false">'[1]Correspondance Geno'!B166</f>
        <v>G-163</v>
      </c>
      <c r="CQ86" s="420"/>
      <c r="CR86" s="420"/>
      <c r="CS86" s="422"/>
      <c r="CT86" s="419" t="str">
        <f aca="false">'[1]Correspondance Geno'!A191</f>
        <v>DK113</v>
      </c>
      <c r="CU86" s="419"/>
      <c r="CV86" s="419"/>
      <c r="CW86" s="420" t="str">
        <f aca="false">'[1]Correspondance Geno'!B191</f>
        <v>G-188</v>
      </c>
      <c r="CX86" s="420"/>
      <c r="CY86" s="420"/>
      <c r="CZ86" s="422"/>
      <c r="DA86" s="424" t="str">
        <f aca="false">'[1]Correspondance Geno'!A216</f>
        <v>Twister2</v>
      </c>
      <c r="DB86" s="424"/>
      <c r="DC86" s="424"/>
      <c r="DD86" s="420" t="str">
        <f aca="false">'[1]Correspondance Geno'!B216</f>
        <v>G-213</v>
      </c>
      <c r="DE86" s="420"/>
      <c r="DF86" s="420"/>
      <c r="DN86" s="284"/>
      <c r="DO86" s="284"/>
      <c r="DP86" s="284"/>
      <c r="DQ86" s="284"/>
      <c r="DR86" s="284"/>
      <c r="DS86" s="284"/>
    </row>
    <row r="87" customFormat="false" ht="12" hidden="false" customHeight="false" outlineLevel="0" collapsed="false">
      <c r="AK87" s="419" t="str">
        <f aca="false">'[1]Correspondance Geno'!A18</f>
        <v>AM032</v>
      </c>
      <c r="AL87" s="419"/>
      <c r="AM87" s="419"/>
      <c r="AN87" s="420" t="str">
        <f aca="false">'[1]Correspondance Geno'!B18</f>
        <v>G-015</v>
      </c>
      <c r="AO87" s="420"/>
      <c r="AP87" s="420"/>
      <c r="AQ87" s="421"/>
      <c r="AR87" s="419" t="str">
        <f aca="false">'[1]Correspondance Geno'!A43</f>
        <v>AM063</v>
      </c>
      <c r="AS87" s="419"/>
      <c r="AT87" s="419"/>
      <c r="AU87" s="420" t="str">
        <f aca="false">'[1]Correspondance Geno'!B43</f>
        <v>G-040</v>
      </c>
      <c r="AV87" s="420"/>
      <c r="AW87" s="420"/>
      <c r="AX87" s="421"/>
      <c r="AY87" s="419" t="str">
        <f aca="false">'[1]Correspondance Geno'!A68</f>
        <v>AM094</v>
      </c>
      <c r="AZ87" s="419"/>
      <c r="BA87" s="419"/>
      <c r="BB87" s="420" t="str">
        <f aca="false">'[1]Correspondance Geno'!B68</f>
        <v>G-065</v>
      </c>
      <c r="BC87" s="420"/>
      <c r="BD87" s="420"/>
      <c r="BE87" s="421"/>
      <c r="BF87" s="419" t="str">
        <f aca="false">'[1]Correspondance Geno'!A93</f>
        <v>AM145</v>
      </c>
      <c r="BG87" s="419"/>
      <c r="BH87" s="419"/>
      <c r="BI87" s="420" t="str">
        <f aca="false">'[1]Correspondance Geno'!B93</f>
        <v>G-090</v>
      </c>
      <c r="BJ87" s="420"/>
      <c r="BK87" s="420"/>
      <c r="BL87" s="421"/>
      <c r="BM87" s="419" t="str">
        <f aca="false">'[1]Correspondance Geno'!A118</f>
        <v>AM195</v>
      </c>
      <c r="BN87" s="419"/>
      <c r="BO87" s="419"/>
      <c r="BP87" s="420" t="str">
        <f aca="false">'[1]Correspondance Geno'!B118</f>
        <v>G-115</v>
      </c>
      <c r="BQ87" s="420"/>
      <c r="BR87" s="420"/>
      <c r="BS87" s="422"/>
      <c r="BT87" s="422"/>
      <c r="BU87" s="422"/>
      <c r="BV87" s="422"/>
      <c r="BW87" s="422"/>
      <c r="BX87" s="422"/>
      <c r="BY87" s="422"/>
      <c r="BZ87" s="422"/>
      <c r="CA87" s="422"/>
      <c r="CB87" s="422"/>
      <c r="CC87" s="422"/>
      <c r="CD87" s="422"/>
      <c r="CE87" s="423"/>
      <c r="CF87" s="419" t="str">
        <f aca="false">'[1]Correspondance Geno'!A142</f>
        <v>DK024</v>
      </c>
      <c r="CG87" s="419"/>
      <c r="CH87" s="419"/>
      <c r="CI87" s="420" t="str">
        <f aca="false">'[1]Correspondance Geno'!B142</f>
        <v>G-139</v>
      </c>
      <c r="CJ87" s="420"/>
      <c r="CK87" s="420"/>
      <c r="CL87" s="421"/>
      <c r="CM87" s="419" t="str">
        <f aca="false">'[1]Correspondance Geno'!A167</f>
        <v>DK069</v>
      </c>
      <c r="CN87" s="419"/>
      <c r="CO87" s="419"/>
      <c r="CP87" s="420" t="str">
        <f aca="false">'[1]Correspondance Geno'!B167</f>
        <v>G-164</v>
      </c>
      <c r="CQ87" s="420"/>
      <c r="CR87" s="420"/>
      <c r="CS87" s="422"/>
      <c r="CT87" s="419" t="str">
        <f aca="false">'[1]Correspondance Geno'!A192</f>
        <v>DK116</v>
      </c>
      <c r="CU87" s="419"/>
      <c r="CV87" s="419"/>
      <c r="CW87" s="420" t="str">
        <f aca="false">'[1]Correspondance Geno'!B192</f>
        <v>G-189</v>
      </c>
      <c r="CX87" s="420"/>
      <c r="CY87" s="420"/>
      <c r="CZ87" s="422"/>
      <c r="DA87" s="424" t="str">
        <f aca="false">'[1]Correspondance Geno'!A217</f>
        <v>Darmor2</v>
      </c>
      <c r="DB87" s="424"/>
      <c r="DC87" s="424"/>
      <c r="DD87" s="420" t="str">
        <f aca="false">'[1]Correspondance Geno'!B217</f>
        <v>G-214</v>
      </c>
      <c r="DE87" s="420"/>
      <c r="DF87" s="420"/>
      <c r="DN87" s="284"/>
      <c r="DO87" s="284"/>
      <c r="DP87" s="284"/>
      <c r="DQ87" s="284"/>
      <c r="DR87" s="284"/>
      <c r="DS87" s="284"/>
    </row>
    <row r="88" customFormat="false" ht="13.8" hidden="false" customHeight="false" outlineLevel="0" collapsed="false">
      <c r="C88" s="430"/>
      <c r="D88" s="431"/>
      <c r="E88" s="431"/>
      <c r="F88" s="430" t="n">
        <v>1</v>
      </c>
      <c r="G88" s="430" t="n">
        <v>2</v>
      </c>
      <c r="H88" s="430" t="n">
        <v>3</v>
      </c>
      <c r="I88" s="430" t="n">
        <v>4</v>
      </c>
      <c r="J88" s="430" t="n">
        <v>5</v>
      </c>
      <c r="K88" s="430" t="n">
        <v>6</v>
      </c>
      <c r="L88" s="430" t="n">
        <v>7</v>
      </c>
      <c r="M88" s="430" t="n">
        <v>8</v>
      </c>
      <c r="N88" s="430" t="n">
        <v>9</v>
      </c>
      <c r="O88" s="430" t="n">
        <v>10</v>
      </c>
      <c r="P88" s="430"/>
      <c r="AK88" s="419" t="str">
        <f aca="false">'[1]Correspondance Geno'!A19</f>
        <v>AM033</v>
      </c>
      <c r="AL88" s="419"/>
      <c r="AM88" s="419"/>
      <c r="AN88" s="420" t="str">
        <f aca="false">'[1]Correspondance Geno'!B19</f>
        <v>G-016</v>
      </c>
      <c r="AO88" s="420"/>
      <c r="AP88" s="420"/>
      <c r="AQ88" s="421"/>
      <c r="AR88" s="419" t="str">
        <f aca="false">'[1]Correspondance Geno'!A44</f>
        <v>AM064</v>
      </c>
      <c r="AS88" s="419"/>
      <c r="AT88" s="419"/>
      <c r="AU88" s="420" t="str">
        <f aca="false">'[1]Correspondance Geno'!B44</f>
        <v>G-041</v>
      </c>
      <c r="AV88" s="420"/>
      <c r="AW88" s="420"/>
      <c r="AX88" s="421"/>
      <c r="AY88" s="419" t="str">
        <f aca="false">'[1]Correspondance Geno'!A69</f>
        <v>AM096</v>
      </c>
      <c r="AZ88" s="419"/>
      <c r="BA88" s="419"/>
      <c r="BB88" s="420" t="str">
        <f aca="false">'[1]Correspondance Geno'!B69</f>
        <v>G-066</v>
      </c>
      <c r="BC88" s="420"/>
      <c r="BD88" s="420"/>
      <c r="BE88" s="421"/>
      <c r="BF88" s="419" t="str">
        <f aca="false">'[1]Correspondance Geno'!A94</f>
        <v>AM146</v>
      </c>
      <c r="BG88" s="419"/>
      <c r="BH88" s="419"/>
      <c r="BI88" s="420" t="str">
        <f aca="false">'[1]Correspondance Geno'!B94</f>
        <v>G-091</v>
      </c>
      <c r="BJ88" s="420"/>
      <c r="BK88" s="420"/>
      <c r="BL88" s="421"/>
      <c r="BM88" s="419" t="str">
        <f aca="false">'[1]Correspondance Geno'!A119</f>
        <v>AM197</v>
      </c>
      <c r="BN88" s="419"/>
      <c r="BO88" s="419"/>
      <c r="BP88" s="420" t="str">
        <f aca="false">'[1]Correspondance Geno'!B119</f>
        <v>G-116</v>
      </c>
      <c r="BQ88" s="420"/>
      <c r="BR88" s="420"/>
      <c r="BS88" s="422"/>
      <c r="BT88" s="422"/>
      <c r="BU88" s="422"/>
      <c r="BV88" s="422"/>
      <c r="BW88" s="422"/>
      <c r="BX88" s="422"/>
      <c r="BY88" s="422"/>
      <c r="BZ88" s="422"/>
      <c r="CA88" s="422"/>
      <c r="CB88" s="422"/>
      <c r="CC88" s="422"/>
      <c r="CD88" s="422"/>
      <c r="CE88" s="423"/>
      <c r="CF88" s="419" t="str">
        <f aca="false">'[1]Correspondance Geno'!A143</f>
        <v>DK029</v>
      </c>
      <c r="CG88" s="419"/>
      <c r="CH88" s="419"/>
      <c r="CI88" s="420" t="str">
        <f aca="false">'[1]Correspondance Geno'!B143</f>
        <v>G-140</v>
      </c>
      <c r="CJ88" s="420"/>
      <c r="CK88" s="420"/>
      <c r="CL88" s="421"/>
      <c r="CM88" s="419" t="str">
        <f aca="false">'[1]Correspondance Geno'!A168</f>
        <v>DK071</v>
      </c>
      <c r="CN88" s="419"/>
      <c r="CO88" s="419"/>
      <c r="CP88" s="420" t="str">
        <f aca="false">'[1]Correspondance Geno'!B168</f>
        <v>G-165</v>
      </c>
      <c r="CQ88" s="420"/>
      <c r="CR88" s="420"/>
      <c r="CS88" s="422"/>
      <c r="CT88" s="419" t="str">
        <f aca="false">'[1]Correspondance Geno'!A193</f>
        <v>DK117</v>
      </c>
      <c r="CU88" s="419"/>
      <c r="CV88" s="419"/>
      <c r="CW88" s="420" t="str">
        <f aca="false">'[1]Correspondance Geno'!B193</f>
        <v>G-190</v>
      </c>
      <c r="CX88" s="420"/>
      <c r="CY88" s="420"/>
      <c r="CZ88" s="422"/>
      <c r="DA88" s="424" t="str">
        <f aca="false">'[1]Correspondance Geno'!A218</f>
        <v>L-Liones2</v>
      </c>
      <c r="DB88" s="424"/>
      <c r="DC88" s="424"/>
      <c r="DD88" s="420" t="str">
        <f aca="false">'[1]Correspondance Geno'!B218</f>
        <v>G-215</v>
      </c>
      <c r="DE88" s="420"/>
      <c r="DF88" s="420"/>
      <c r="DN88" s="284"/>
      <c r="DO88" s="284"/>
      <c r="DP88" s="284"/>
      <c r="DQ88" s="284"/>
      <c r="DR88" s="284"/>
      <c r="DS88" s="284"/>
    </row>
    <row r="89" customFormat="false" ht="13.8" hidden="false" customHeight="false" outlineLevel="0" collapsed="false">
      <c r="C89" s="430"/>
      <c r="D89" s="430" t="s">
        <v>8137</v>
      </c>
      <c r="E89" s="430"/>
      <c r="F89" s="430"/>
      <c r="G89" s="430"/>
      <c r="H89" s="430"/>
      <c r="I89" s="430"/>
      <c r="J89" s="430"/>
      <c r="K89" s="430"/>
      <c r="L89" s="430"/>
      <c r="M89" s="430"/>
      <c r="N89" s="430"/>
      <c r="O89" s="430"/>
      <c r="P89" s="430"/>
      <c r="AK89" s="419" t="str">
        <f aca="false">'[1]Correspondance Geno'!A20</f>
        <v>AM034</v>
      </c>
      <c r="AL89" s="419"/>
      <c r="AM89" s="419"/>
      <c r="AN89" s="420" t="str">
        <f aca="false">'[1]Correspondance Geno'!B20</f>
        <v>G-017</v>
      </c>
      <c r="AO89" s="420"/>
      <c r="AP89" s="420"/>
      <c r="AQ89" s="421"/>
      <c r="AR89" s="419" t="str">
        <f aca="false">'[1]Correspondance Geno'!A45</f>
        <v>AM066</v>
      </c>
      <c r="AS89" s="419"/>
      <c r="AT89" s="419"/>
      <c r="AU89" s="420" t="str">
        <f aca="false">'[1]Correspondance Geno'!B45</f>
        <v>G-042</v>
      </c>
      <c r="AV89" s="420"/>
      <c r="AW89" s="420"/>
      <c r="AX89" s="421"/>
      <c r="AY89" s="419" t="str">
        <f aca="false">'[1]Correspondance Geno'!A70</f>
        <v>AM098</v>
      </c>
      <c r="AZ89" s="419"/>
      <c r="BA89" s="419"/>
      <c r="BB89" s="420" t="str">
        <f aca="false">'[1]Correspondance Geno'!B70</f>
        <v>G-067</v>
      </c>
      <c r="BC89" s="420"/>
      <c r="BD89" s="420"/>
      <c r="BE89" s="421"/>
      <c r="BF89" s="419" t="str">
        <f aca="false">'[1]Correspondance Geno'!A95</f>
        <v>AM147</v>
      </c>
      <c r="BG89" s="419"/>
      <c r="BH89" s="419"/>
      <c r="BI89" s="420" t="str">
        <f aca="false">'[1]Correspondance Geno'!B95</f>
        <v>G-092</v>
      </c>
      <c r="BJ89" s="420"/>
      <c r="BK89" s="420"/>
      <c r="BL89" s="421"/>
      <c r="BM89" s="419" t="str">
        <f aca="false">'[1]Correspondance Geno'!A120</f>
        <v>AM198</v>
      </c>
      <c r="BN89" s="419"/>
      <c r="BO89" s="419"/>
      <c r="BP89" s="420" t="str">
        <f aca="false">'[1]Correspondance Geno'!B120</f>
        <v>G-117</v>
      </c>
      <c r="BQ89" s="420"/>
      <c r="BR89" s="420"/>
      <c r="BS89" s="422"/>
      <c r="BT89" s="422"/>
      <c r="BU89" s="422"/>
      <c r="BV89" s="422"/>
      <c r="BW89" s="422"/>
      <c r="BX89" s="422"/>
      <c r="BY89" s="422"/>
      <c r="BZ89" s="422"/>
      <c r="CA89" s="422"/>
      <c r="CB89" s="422"/>
      <c r="CC89" s="422"/>
      <c r="CD89" s="422"/>
      <c r="CE89" s="423"/>
      <c r="CF89" s="419" t="str">
        <f aca="false">'[1]Correspondance Geno'!A144</f>
        <v>DK030</v>
      </c>
      <c r="CG89" s="419"/>
      <c r="CH89" s="419"/>
      <c r="CI89" s="420" t="str">
        <f aca="false">'[1]Correspondance Geno'!B144</f>
        <v>G-141</v>
      </c>
      <c r="CJ89" s="420"/>
      <c r="CK89" s="420"/>
      <c r="CL89" s="421"/>
      <c r="CM89" s="419" t="str">
        <f aca="false">'[1]Correspondance Geno'!A169</f>
        <v>DK074</v>
      </c>
      <c r="CN89" s="419"/>
      <c r="CO89" s="419"/>
      <c r="CP89" s="420" t="str">
        <f aca="false">'[1]Correspondance Geno'!B169</f>
        <v>G-166</v>
      </c>
      <c r="CQ89" s="420"/>
      <c r="CR89" s="420"/>
      <c r="CS89" s="422"/>
      <c r="CT89" s="419" t="str">
        <f aca="false">'[1]Correspondance Geno'!A194</f>
        <v>DK119</v>
      </c>
      <c r="CU89" s="419"/>
      <c r="CV89" s="419"/>
      <c r="CW89" s="420" t="str">
        <f aca="false">'[1]Correspondance Geno'!B194</f>
        <v>G-191</v>
      </c>
      <c r="CX89" s="420"/>
      <c r="CY89" s="420"/>
      <c r="CZ89" s="422"/>
      <c r="DA89" s="424" t="str">
        <f aca="false">'[1]Correspondance Geno'!A219</f>
        <v>C-California2</v>
      </c>
      <c r="DB89" s="424"/>
      <c r="DC89" s="424"/>
      <c r="DD89" s="420" t="str">
        <f aca="false">'[1]Correspondance Geno'!B219</f>
        <v>G-216</v>
      </c>
      <c r="DE89" s="420"/>
      <c r="DF89" s="420"/>
      <c r="DN89" s="284"/>
      <c r="DO89" s="284"/>
      <c r="DP89" s="284"/>
      <c r="DQ89" s="284"/>
      <c r="DR89" s="284"/>
      <c r="DS89" s="284"/>
    </row>
    <row r="90" customFormat="false" ht="12" hidden="false" customHeight="false" outlineLevel="0" collapsed="false">
      <c r="B90" s="432" t="n">
        <v>41</v>
      </c>
      <c r="C90" s="433" t="s">
        <v>8122</v>
      </c>
      <c r="D90" s="434"/>
      <c r="E90" s="433" t="s">
        <v>8122</v>
      </c>
      <c r="F90" s="435" t="s">
        <v>8138</v>
      </c>
      <c r="G90" s="298" t="s">
        <v>8138</v>
      </c>
      <c r="H90" s="435" t="s">
        <v>8138</v>
      </c>
      <c r="I90" s="435" t="s">
        <v>8139</v>
      </c>
      <c r="J90" s="435" t="s">
        <v>8139</v>
      </c>
      <c r="K90" s="435" t="s">
        <v>8138</v>
      </c>
      <c r="L90" s="300" t="s">
        <v>8139</v>
      </c>
      <c r="M90" s="435" t="s">
        <v>8138</v>
      </c>
      <c r="N90" s="435" t="s">
        <v>8138</v>
      </c>
      <c r="O90" s="435" t="s">
        <v>8139</v>
      </c>
      <c r="P90" s="436" t="s">
        <v>8122</v>
      </c>
      <c r="AK90" s="419" t="str">
        <f aca="false">'[1]Correspondance Geno'!A21</f>
        <v>AM035</v>
      </c>
      <c r="AL90" s="419"/>
      <c r="AM90" s="419"/>
      <c r="AN90" s="420" t="str">
        <f aca="false">'[1]Correspondance Geno'!B21</f>
        <v>G-018</v>
      </c>
      <c r="AO90" s="420"/>
      <c r="AP90" s="420"/>
      <c r="AQ90" s="421"/>
      <c r="AR90" s="419" t="str">
        <f aca="false">'[1]Correspondance Geno'!A46</f>
        <v>AM067</v>
      </c>
      <c r="AS90" s="419"/>
      <c r="AT90" s="419"/>
      <c r="AU90" s="420" t="str">
        <f aca="false">'[1]Correspondance Geno'!B46</f>
        <v>G-043</v>
      </c>
      <c r="AV90" s="420"/>
      <c r="AW90" s="420"/>
      <c r="AX90" s="421"/>
      <c r="AY90" s="419" t="str">
        <f aca="false">'[1]Correspondance Geno'!A71</f>
        <v>AM100</v>
      </c>
      <c r="AZ90" s="419"/>
      <c r="BA90" s="419"/>
      <c r="BB90" s="420" t="str">
        <f aca="false">'[1]Correspondance Geno'!B71</f>
        <v>G-068</v>
      </c>
      <c r="BC90" s="420"/>
      <c r="BD90" s="420"/>
      <c r="BE90" s="421"/>
      <c r="BF90" s="419" t="str">
        <f aca="false">'[1]Correspondance Geno'!A96</f>
        <v>AM148</v>
      </c>
      <c r="BG90" s="419"/>
      <c r="BH90" s="419"/>
      <c r="BI90" s="420" t="str">
        <f aca="false">'[1]Correspondance Geno'!B96</f>
        <v>G-093</v>
      </c>
      <c r="BJ90" s="420"/>
      <c r="BK90" s="420"/>
      <c r="BL90" s="421"/>
      <c r="BM90" s="419" t="str">
        <f aca="false">'[1]Correspondance Geno'!A121</f>
        <v>Colvert</v>
      </c>
      <c r="BN90" s="419"/>
      <c r="BO90" s="419"/>
      <c r="BP90" s="420" t="str">
        <f aca="false">'[1]Correspondance Geno'!B121</f>
        <v>G-118</v>
      </c>
      <c r="BQ90" s="420"/>
      <c r="BR90" s="420"/>
      <c r="BS90" s="422"/>
      <c r="BT90" s="422"/>
      <c r="BU90" s="422"/>
      <c r="BV90" s="422"/>
      <c r="BW90" s="422"/>
      <c r="BX90" s="422"/>
      <c r="BY90" s="422"/>
      <c r="BZ90" s="422"/>
      <c r="CA90" s="422"/>
      <c r="CB90" s="422"/>
      <c r="CC90" s="422"/>
      <c r="CD90" s="422"/>
      <c r="CE90" s="423"/>
      <c r="CF90" s="419" t="str">
        <f aca="false">'[1]Correspondance Geno'!A145</f>
        <v>DK031</v>
      </c>
      <c r="CG90" s="419"/>
      <c r="CH90" s="419"/>
      <c r="CI90" s="420" t="str">
        <f aca="false">'[1]Correspondance Geno'!B145</f>
        <v>G-142</v>
      </c>
      <c r="CJ90" s="420"/>
      <c r="CK90" s="420"/>
      <c r="CL90" s="421"/>
      <c r="CM90" s="419" t="str">
        <f aca="false">'[1]Correspondance Geno'!A170</f>
        <v>DK075</v>
      </c>
      <c r="CN90" s="419"/>
      <c r="CO90" s="419"/>
      <c r="CP90" s="420" t="str">
        <f aca="false">'[1]Correspondance Geno'!B170</f>
        <v>G-167</v>
      </c>
      <c r="CQ90" s="420"/>
      <c r="CR90" s="420"/>
      <c r="CS90" s="422"/>
      <c r="CT90" s="419" t="str">
        <f aca="false">'[1]Correspondance Geno'!A195</f>
        <v>DK121</v>
      </c>
      <c r="CU90" s="419"/>
      <c r="CV90" s="419"/>
      <c r="CW90" s="420" t="str">
        <f aca="false">'[1]Correspondance Geno'!B195</f>
        <v>G-192</v>
      </c>
      <c r="CX90" s="420"/>
      <c r="CY90" s="420"/>
      <c r="CZ90" s="422"/>
      <c r="DA90" s="424" t="str">
        <f aca="false">'[1]Correspondance Geno'!A220</f>
        <v>S-Oase2</v>
      </c>
      <c r="DB90" s="424"/>
      <c r="DC90" s="424"/>
      <c r="DD90" s="420" t="str">
        <f aca="false">'[1]Correspondance Geno'!B220</f>
        <v>G-217</v>
      </c>
      <c r="DE90" s="420"/>
      <c r="DF90" s="420"/>
      <c r="DN90" s="284"/>
      <c r="DO90" s="284"/>
      <c r="DP90" s="284"/>
      <c r="DQ90" s="284"/>
      <c r="DR90" s="284"/>
      <c r="DS90" s="284"/>
    </row>
    <row r="91" customFormat="false" ht="12" hidden="false" customHeight="false" outlineLevel="0" collapsed="false">
      <c r="B91" s="432"/>
      <c r="C91" s="433"/>
      <c r="D91" s="437"/>
      <c r="E91" s="433"/>
      <c r="F91" s="438" t="s">
        <v>172</v>
      </c>
      <c r="G91" s="298" t="s">
        <v>172</v>
      </c>
      <c r="H91" s="438" t="s">
        <v>172</v>
      </c>
      <c r="I91" s="438" t="s">
        <v>172</v>
      </c>
      <c r="J91" s="438" t="s">
        <v>172</v>
      </c>
      <c r="K91" s="438" t="s">
        <v>172</v>
      </c>
      <c r="L91" s="285" t="s">
        <v>172</v>
      </c>
      <c r="M91" s="438" t="s">
        <v>172</v>
      </c>
      <c r="N91" s="438" t="s">
        <v>172</v>
      </c>
      <c r="O91" s="438" t="s">
        <v>172</v>
      </c>
      <c r="P91" s="436"/>
      <c r="AK91" s="419" t="str">
        <f aca="false">'[1]Correspondance Geno'!A22</f>
        <v>AM036</v>
      </c>
      <c r="AL91" s="419"/>
      <c r="AM91" s="419"/>
      <c r="AN91" s="420" t="str">
        <f aca="false">'[1]Correspondance Geno'!B22</f>
        <v>G-019</v>
      </c>
      <c r="AO91" s="420"/>
      <c r="AP91" s="420"/>
      <c r="AQ91" s="421"/>
      <c r="AR91" s="419" t="str">
        <f aca="false">'[1]Correspondance Geno'!A47</f>
        <v>AM068</v>
      </c>
      <c r="AS91" s="419"/>
      <c r="AT91" s="419"/>
      <c r="AU91" s="420" t="str">
        <f aca="false">'[1]Correspondance Geno'!B47</f>
        <v>G-044</v>
      </c>
      <c r="AV91" s="420"/>
      <c r="AW91" s="420"/>
      <c r="AX91" s="421"/>
      <c r="AY91" s="419" t="str">
        <f aca="false">'[1]Correspondance Geno'!A72</f>
        <v>AM101</v>
      </c>
      <c r="AZ91" s="419"/>
      <c r="BA91" s="419"/>
      <c r="BB91" s="420" t="str">
        <f aca="false">'[1]Correspondance Geno'!B72</f>
        <v>G-069</v>
      </c>
      <c r="BC91" s="420"/>
      <c r="BD91" s="420"/>
      <c r="BE91" s="421"/>
      <c r="BF91" s="419" t="str">
        <f aca="false">'[1]Correspondance Geno'!A97</f>
        <v>AM149</v>
      </c>
      <c r="BG91" s="419"/>
      <c r="BH91" s="419"/>
      <c r="BI91" s="420" t="str">
        <f aca="false">'[1]Correspondance Geno'!B97</f>
        <v>G-094</v>
      </c>
      <c r="BJ91" s="420"/>
      <c r="BK91" s="420"/>
      <c r="BL91" s="421"/>
      <c r="BM91" s="419" t="str">
        <f aca="false">'[1]Correspondance Geno'!A122</f>
        <v>Kurander</v>
      </c>
      <c r="BN91" s="419"/>
      <c r="BO91" s="419"/>
      <c r="BP91" s="420" t="str">
        <f aca="false">'[1]Correspondance Geno'!B122</f>
        <v>G-119</v>
      </c>
      <c r="BQ91" s="420"/>
      <c r="BR91" s="420"/>
      <c r="BS91" s="422"/>
      <c r="BT91" s="422"/>
      <c r="BU91" s="422"/>
      <c r="BV91" s="422"/>
      <c r="BW91" s="422"/>
      <c r="BX91" s="422"/>
      <c r="BY91" s="422"/>
      <c r="BZ91" s="422"/>
      <c r="CA91" s="422"/>
      <c r="CB91" s="422"/>
      <c r="CC91" s="422"/>
      <c r="CD91" s="422"/>
      <c r="CE91" s="423"/>
      <c r="CF91" s="419" t="str">
        <f aca="false">'[1]Correspondance Geno'!A146</f>
        <v>DK035</v>
      </c>
      <c r="CG91" s="419"/>
      <c r="CH91" s="419"/>
      <c r="CI91" s="420" t="str">
        <f aca="false">'[1]Correspondance Geno'!B146</f>
        <v>G-143</v>
      </c>
      <c r="CJ91" s="420"/>
      <c r="CK91" s="420"/>
      <c r="CL91" s="421"/>
      <c r="CM91" s="419" t="str">
        <f aca="false">'[1]Correspondance Geno'!A171</f>
        <v>DK079</v>
      </c>
      <c r="CN91" s="419"/>
      <c r="CO91" s="419"/>
      <c r="CP91" s="420" t="str">
        <f aca="false">'[1]Correspondance Geno'!B171</f>
        <v>G-168</v>
      </c>
      <c r="CQ91" s="420"/>
      <c r="CR91" s="420"/>
      <c r="CS91" s="422"/>
      <c r="CT91" s="419" t="str">
        <f aca="false">'[1]Correspondance Geno'!A196</f>
        <v>DK124</v>
      </c>
      <c r="CU91" s="419"/>
      <c r="CV91" s="419"/>
      <c r="CW91" s="420" t="str">
        <f aca="false">'[1]Correspondance Geno'!B196</f>
        <v>G-193</v>
      </c>
      <c r="CX91" s="420"/>
      <c r="CY91" s="420"/>
      <c r="CZ91" s="422"/>
      <c r="DA91" s="424"/>
      <c r="DB91" s="424"/>
      <c r="DC91" s="424"/>
      <c r="DD91" s="420"/>
      <c r="DE91" s="420"/>
      <c r="DF91" s="420"/>
      <c r="DN91" s="284"/>
      <c r="DO91" s="284"/>
      <c r="DP91" s="284"/>
      <c r="DQ91" s="284"/>
      <c r="DR91" s="284"/>
      <c r="DS91" s="284"/>
    </row>
    <row r="92" customFormat="false" ht="17.35" hidden="false" customHeight="false" outlineLevel="0" collapsed="false">
      <c r="B92" s="432"/>
      <c r="C92" s="433"/>
      <c r="D92" s="437"/>
      <c r="E92" s="433"/>
      <c r="F92" s="438" t="s">
        <v>8140</v>
      </c>
      <c r="G92" s="312" t="s">
        <v>8141</v>
      </c>
      <c r="H92" s="438" t="s">
        <v>8142</v>
      </c>
      <c r="I92" s="438" t="s">
        <v>619</v>
      </c>
      <c r="J92" s="438" t="s">
        <v>628</v>
      </c>
      <c r="K92" s="438" t="s">
        <v>8143</v>
      </c>
      <c r="L92" s="312" t="s">
        <v>778</v>
      </c>
      <c r="M92" s="438" t="s">
        <v>8144</v>
      </c>
      <c r="N92" s="438" t="s">
        <v>8145</v>
      </c>
      <c r="O92" s="438" t="s">
        <v>439</v>
      </c>
      <c r="P92" s="436"/>
      <c r="R92" s="439"/>
      <c r="S92" s="440" t="s">
        <v>8091</v>
      </c>
      <c r="AK92" s="419" t="str">
        <f aca="false">'[1]Correspondance Geno'!A23</f>
        <v>AM037</v>
      </c>
      <c r="AL92" s="419"/>
      <c r="AM92" s="419"/>
      <c r="AN92" s="420" t="str">
        <f aca="false">'[1]Correspondance Geno'!B23</f>
        <v>G-020</v>
      </c>
      <c r="AO92" s="420"/>
      <c r="AP92" s="420"/>
      <c r="AQ92" s="421"/>
      <c r="AR92" s="419" t="str">
        <f aca="false">'[1]Correspondance Geno'!A48</f>
        <v>AM069</v>
      </c>
      <c r="AS92" s="419"/>
      <c r="AT92" s="419"/>
      <c r="AU92" s="420" t="str">
        <f aca="false">'[1]Correspondance Geno'!B48</f>
        <v>G-045</v>
      </c>
      <c r="AV92" s="420"/>
      <c r="AW92" s="420"/>
      <c r="AX92" s="421"/>
      <c r="AY92" s="419" t="str">
        <f aca="false">'[1]Correspondance Geno'!A73</f>
        <v>AM106</v>
      </c>
      <c r="AZ92" s="419"/>
      <c r="BA92" s="419"/>
      <c r="BB92" s="420" t="str">
        <f aca="false">'[1]Correspondance Geno'!B73</f>
        <v>G-070</v>
      </c>
      <c r="BC92" s="420"/>
      <c r="BD92" s="420"/>
      <c r="BE92" s="421"/>
      <c r="BF92" s="419" t="str">
        <f aca="false">'[1]Correspondance Geno'!A98</f>
        <v>AM156</v>
      </c>
      <c r="BG92" s="419"/>
      <c r="BH92" s="419"/>
      <c r="BI92" s="420" t="str">
        <f aca="false">'[1]Correspondance Geno'!B98</f>
        <v>G-095</v>
      </c>
      <c r="BJ92" s="420"/>
      <c r="BK92" s="420"/>
      <c r="BL92" s="421"/>
      <c r="BM92" s="419" t="str">
        <f aca="false">'[1]Correspondance Geno'!A123</f>
        <v>Twister</v>
      </c>
      <c r="BN92" s="419"/>
      <c r="BO92" s="419"/>
      <c r="BP92" s="420" t="str">
        <f aca="false">'[1]Correspondance Geno'!B123</f>
        <v>G-120</v>
      </c>
      <c r="BQ92" s="420"/>
      <c r="BR92" s="420"/>
      <c r="BS92" s="422"/>
      <c r="BT92" s="422"/>
      <c r="BU92" s="422"/>
      <c r="BV92" s="422"/>
      <c r="BW92" s="422"/>
      <c r="BX92" s="422"/>
      <c r="BY92" s="422"/>
      <c r="BZ92" s="422"/>
      <c r="CA92" s="422"/>
      <c r="CB92" s="422"/>
      <c r="CC92" s="422"/>
      <c r="CD92" s="422"/>
      <c r="CE92" s="423"/>
      <c r="CF92" s="419" t="str">
        <f aca="false">'[1]Correspondance Geno'!A147</f>
        <v>DK036</v>
      </c>
      <c r="CG92" s="419"/>
      <c r="CH92" s="419"/>
      <c r="CI92" s="420" t="str">
        <f aca="false">'[1]Correspondance Geno'!B147</f>
        <v>G-144</v>
      </c>
      <c r="CJ92" s="420"/>
      <c r="CK92" s="420"/>
      <c r="CL92" s="421"/>
      <c r="CM92" s="419" t="str">
        <f aca="false">'[1]Correspondance Geno'!A172</f>
        <v>DK080</v>
      </c>
      <c r="CN92" s="419"/>
      <c r="CO92" s="419"/>
      <c r="CP92" s="420" t="str">
        <f aca="false">'[1]Correspondance Geno'!B172</f>
        <v>G-169</v>
      </c>
      <c r="CQ92" s="420"/>
      <c r="CR92" s="420"/>
      <c r="CS92" s="422"/>
      <c r="CT92" s="419" t="str">
        <f aca="false">'[1]Correspondance Geno'!A197</f>
        <v>DK128</v>
      </c>
      <c r="CU92" s="419"/>
      <c r="CV92" s="419"/>
      <c r="CW92" s="420" t="str">
        <f aca="false">'[1]Correspondance Geno'!B197</f>
        <v>G-194</v>
      </c>
      <c r="CX92" s="420"/>
      <c r="CY92" s="420"/>
      <c r="CZ92" s="422"/>
      <c r="DA92" s="424"/>
      <c r="DB92" s="424"/>
      <c r="DC92" s="424"/>
      <c r="DD92" s="420"/>
      <c r="DE92" s="420"/>
      <c r="DF92" s="420"/>
      <c r="DN92" s="284"/>
      <c r="DO92" s="284"/>
      <c r="DP92" s="284"/>
      <c r="DQ92" s="284"/>
      <c r="DR92" s="284"/>
      <c r="DS92" s="284"/>
    </row>
    <row r="93" customFormat="false" ht="17.35" hidden="false" customHeight="false" outlineLevel="0" collapsed="false">
      <c r="B93" s="432"/>
      <c r="C93" s="433"/>
      <c r="D93" s="441"/>
      <c r="E93" s="433"/>
      <c r="F93" s="442" t="s">
        <v>8146</v>
      </c>
      <c r="G93" s="298" t="s">
        <v>8147</v>
      </c>
      <c r="H93" s="442" t="s">
        <v>8148</v>
      </c>
      <c r="I93" s="442" t="s">
        <v>8149</v>
      </c>
      <c r="J93" s="442" t="s">
        <v>8150</v>
      </c>
      <c r="K93" s="442" t="s">
        <v>8151</v>
      </c>
      <c r="L93" s="316" t="s">
        <v>8152</v>
      </c>
      <c r="M93" s="442" t="s">
        <v>8153</v>
      </c>
      <c r="N93" s="442" t="s">
        <v>8154</v>
      </c>
      <c r="O93" s="442" t="s">
        <v>8155</v>
      </c>
      <c r="P93" s="436"/>
      <c r="R93" s="443"/>
      <c r="S93" s="440" t="s">
        <v>8096</v>
      </c>
      <c r="AK93" s="419" t="str">
        <f aca="false">'[1]Correspondance Geno'!A24</f>
        <v>AM038</v>
      </c>
      <c r="AL93" s="419"/>
      <c r="AM93" s="419"/>
      <c r="AN93" s="420" t="str">
        <f aca="false">'[1]Correspondance Geno'!B24</f>
        <v>G-021</v>
      </c>
      <c r="AO93" s="420"/>
      <c r="AP93" s="420"/>
      <c r="AQ93" s="421"/>
      <c r="AR93" s="419" t="str">
        <f aca="false">'[1]Correspondance Geno'!A49</f>
        <v>AM070</v>
      </c>
      <c r="AS93" s="419"/>
      <c r="AT93" s="419"/>
      <c r="AU93" s="420" t="str">
        <f aca="false">'[1]Correspondance Geno'!B49</f>
        <v>G-046</v>
      </c>
      <c r="AV93" s="420"/>
      <c r="AW93" s="420"/>
      <c r="AX93" s="421"/>
      <c r="AY93" s="419" t="str">
        <f aca="false">'[1]Correspondance Geno'!A74</f>
        <v>AM107</v>
      </c>
      <c r="AZ93" s="419"/>
      <c r="BA93" s="419"/>
      <c r="BB93" s="420" t="str">
        <f aca="false">'[1]Correspondance Geno'!B74</f>
        <v>G-071</v>
      </c>
      <c r="BC93" s="420"/>
      <c r="BD93" s="420"/>
      <c r="BE93" s="421"/>
      <c r="BF93" s="419" t="str">
        <f aca="false">'[1]Correspondance Geno'!A99</f>
        <v>AM158</v>
      </c>
      <c r="BG93" s="419"/>
      <c r="BH93" s="419"/>
      <c r="BI93" s="420" t="str">
        <f aca="false">'[1]Correspondance Geno'!B99</f>
        <v>G-096</v>
      </c>
      <c r="BJ93" s="420"/>
      <c r="BK93" s="420"/>
      <c r="BL93" s="421"/>
      <c r="BM93" s="419" t="str">
        <f aca="false">'[1]Correspondance Geno'!A124</f>
        <v>Darmor</v>
      </c>
      <c r="BN93" s="419"/>
      <c r="BO93" s="419"/>
      <c r="BP93" s="420" t="str">
        <f aca="false">'[1]Correspondance Geno'!B124</f>
        <v>G-121</v>
      </c>
      <c r="BQ93" s="420"/>
      <c r="BR93" s="420"/>
      <c r="BS93" s="422"/>
      <c r="BT93" s="422"/>
      <c r="BU93" s="422"/>
      <c r="BV93" s="422"/>
      <c r="BW93" s="422"/>
      <c r="BX93" s="422"/>
      <c r="BY93" s="422"/>
      <c r="BZ93" s="422"/>
      <c r="CA93" s="422"/>
      <c r="CB93" s="422"/>
      <c r="CC93" s="422"/>
      <c r="CD93" s="422"/>
      <c r="CE93" s="423"/>
      <c r="CF93" s="419" t="str">
        <f aca="false">'[1]Correspondance Geno'!A148</f>
        <v>DK037</v>
      </c>
      <c r="CG93" s="419"/>
      <c r="CH93" s="419"/>
      <c r="CI93" s="420" t="str">
        <f aca="false">'[1]Correspondance Geno'!B148</f>
        <v>G-145</v>
      </c>
      <c r="CJ93" s="420"/>
      <c r="CK93" s="420"/>
      <c r="CL93" s="421"/>
      <c r="CM93" s="419" t="str">
        <f aca="false">'[1]Correspondance Geno'!A173</f>
        <v>DK081</v>
      </c>
      <c r="CN93" s="419"/>
      <c r="CO93" s="419"/>
      <c r="CP93" s="420" t="str">
        <f aca="false">'[1]Correspondance Geno'!B173</f>
        <v>G-170</v>
      </c>
      <c r="CQ93" s="420"/>
      <c r="CR93" s="420"/>
      <c r="CS93" s="422"/>
      <c r="CT93" s="419" t="str">
        <f aca="false">'[1]Correspondance Geno'!A198</f>
        <v>DK133</v>
      </c>
      <c r="CU93" s="419"/>
      <c r="CV93" s="419"/>
      <c r="CW93" s="420" t="str">
        <f aca="false">'[1]Correspondance Geno'!B198</f>
        <v>G-195</v>
      </c>
      <c r="CX93" s="420"/>
      <c r="CY93" s="420"/>
      <c r="CZ93" s="422"/>
      <c r="DA93" s="424"/>
      <c r="DB93" s="424"/>
      <c r="DC93" s="424"/>
      <c r="DD93" s="420"/>
      <c r="DE93" s="420"/>
      <c r="DF93" s="420"/>
      <c r="DN93" s="284"/>
      <c r="DO93" s="284"/>
      <c r="DP93" s="284"/>
      <c r="DQ93" s="284"/>
      <c r="DR93" s="284"/>
      <c r="DS93" s="284"/>
    </row>
    <row r="94" customFormat="false" ht="12.75" hidden="false" customHeight="true" outlineLevel="0" collapsed="false">
      <c r="B94" s="432" t="n">
        <v>42</v>
      </c>
      <c r="C94" s="444" t="s">
        <v>8122</v>
      </c>
      <c r="D94" s="445"/>
      <c r="E94" s="444" t="s">
        <v>8122</v>
      </c>
      <c r="F94" s="446" t="s">
        <v>8139</v>
      </c>
      <c r="G94" s="446" t="s">
        <v>8138</v>
      </c>
      <c r="H94" s="446" t="s">
        <v>8138</v>
      </c>
      <c r="I94" s="446" t="s">
        <v>8139</v>
      </c>
      <c r="J94" s="298" t="s">
        <v>8138</v>
      </c>
      <c r="K94" s="446" t="s">
        <v>8139</v>
      </c>
      <c r="L94" s="298" t="s">
        <v>8139</v>
      </c>
      <c r="M94" s="300" t="s">
        <v>8138</v>
      </c>
      <c r="N94" s="446" t="s">
        <v>8138</v>
      </c>
      <c r="O94" s="446" t="s">
        <v>8139</v>
      </c>
      <c r="P94" s="447" t="s">
        <v>8122</v>
      </c>
      <c r="R94" s="448"/>
      <c r="S94" s="440" t="s">
        <v>8101</v>
      </c>
      <c r="AK94" s="419" t="str">
        <f aca="false">'[1]Correspondance Geno'!A25</f>
        <v>AM039</v>
      </c>
      <c r="AL94" s="419"/>
      <c r="AM94" s="419"/>
      <c r="AN94" s="420" t="str">
        <f aca="false">'[1]Correspondance Geno'!B25</f>
        <v>G-022</v>
      </c>
      <c r="AO94" s="420"/>
      <c r="AP94" s="420"/>
      <c r="AQ94" s="421"/>
      <c r="AR94" s="419" t="str">
        <f aca="false">'[1]Correspondance Geno'!A50</f>
        <v>AM071</v>
      </c>
      <c r="AS94" s="419"/>
      <c r="AT94" s="419"/>
      <c r="AU94" s="420" t="str">
        <f aca="false">'[1]Correspondance Geno'!B50</f>
        <v>G-047</v>
      </c>
      <c r="AV94" s="420"/>
      <c r="AW94" s="420"/>
      <c r="AX94" s="421"/>
      <c r="AY94" s="419" t="str">
        <f aca="false">'[1]Correspondance Geno'!A75</f>
        <v>AM109</v>
      </c>
      <c r="AZ94" s="419"/>
      <c r="BA94" s="419"/>
      <c r="BB94" s="420" t="str">
        <f aca="false">'[1]Correspondance Geno'!B75</f>
        <v>G-072</v>
      </c>
      <c r="BC94" s="420"/>
      <c r="BD94" s="420"/>
      <c r="BE94" s="421"/>
      <c r="BF94" s="419" t="str">
        <f aca="false">'[1]Correspondance Geno'!A100</f>
        <v>AM161</v>
      </c>
      <c r="BG94" s="419"/>
      <c r="BH94" s="419"/>
      <c r="BI94" s="420" t="str">
        <f aca="false">'[1]Correspondance Geno'!B100</f>
        <v>G-097</v>
      </c>
      <c r="BJ94" s="420"/>
      <c r="BK94" s="420"/>
      <c r="BL94" s="421"/>
      <c r="BM94" s="419" t="str">
        <f aca="false">'[1]Correspondance Geno'!A125</f>
        <v>L-Liones</v>
      </c>
      <c r="BN94" s="419"/>
      <c r="BO94" s="419"/>
      <c r="BP94" s="420" t="str">
        <f aca="false">'[1]Correspondance Geno'!B125</f>
        <v>G-122</v>
      </c>
      <c r="BQ94" s="420"/>
      <c r="BR94" s="420"/>
      <c r="BS94" s="422"/>
      <c r="BT94" s="422"/>
      <c r="BU94" s="422"/>
      <c r="BV94" s="422"/>
      <c r="BW94" s="422"/>
      <c r="BX94" s="422"/>
      <c r="BY94" s="422"/>
      <c r="BZ94" s="422"/>
      <c r="CA94" s="422"/>
      <c r="CB94" s="422"/>
      <c r="CC94" s="422"/>
      <c r="CD94" s="422"/>
      <c r="CE94" s="423"/>
      <c r="CF94" s="419" t="str">
        <f aca="false">'[1]Correspondance Geno'!A149</f>
        <v>DK038</v>
      </c>
      <c r="CG94" s="419"/>
      <c r="CH94" s="419"/>
      <c r="CI94" s="420" t="str">
        <f aca="false">'[1]Correspondance Geno'!B149</f>
        <v>G-146</v>
      </c>
      <c r="CJ94" s="420"/>
      <c r="CK94" s="420"/>
      <c r="CL94" s="421"/>
      <c r="CM94" s="419" t="str">
        <f aca="false">'[1]Correspondance Geno'!A174</f>
        <v>DK082</v>
      </c>
      <c r="CN94" s="419"/>
      <c r="CO94" s="419"/>
      <c r="CP94" s="420" t="str">
        <f aca="false">'[1]Correspondance Geno'!B174</f>
        <v>G-171</v>
      </c>
      <c r="CQ94" s="420"/>
      <c r="CR94" s="420"/>
      <c r="CS94" s="422"/>
      <c r="CT94" s="419" t="str">
        <f aca="false">'[1]Correspondance Geno'!A199</f>
        <v>DK135</v>
      </c>
      <c r="CU94" s="419"/>
      <c r="CV94" s="419"/>
      <c r="CW94" s="420" t="str">
        <f aca="false">'[1]Correspondance Geno'!B199</f>
        <v>G-196</v>
      </c>
      <c r="CX94" s="420"/>
      <c r="CY94" s="420"/>
      <c r="CZ94" s="422"/>
      <c r="DA94" s="424"/>
      <c r="DB94" s="424"/>
      <c r="DC94" s="424"/>
      <c r="DD94" s="420"/>
      <c r="DE94" s="420"/>
      <c r="DF94" s="420"/>
      <c r="DN94" s="284"/>
      <c r="DO94" s="284"/>
      <c r="DP94" s="284"/>
      <c r="DQ94" s="284"/>
      <c r="DR94" s="284"/>
      <c r="DS94" s="284"/>
    </row>
    <row r="95" customFormat="false" ht="12.75" hidden="false" customHeight="true" outlineLevel="0" collapsed="false">
      <c r="B95" s="432"/>
      <c r="C95" s="444"/>
      <c r="D95" s="437"/>
      <c r="E95" s="444"/>
      <c r="F95" s="438" t="s">
        <v>172</v>
      </c>
      <c r="G95" s="438" t="s">
        <v>172</v>
      </c>
      <c r="H95" s="438" t="s">
        <v>172</v>
      </c>
      <c r="I95" s="438" t="s">
        <v>172</v>
      </c>
      <c r="J95" s="298" t="s">
        <v>172</v>
      </c>
      <c r="K95" s="438" t="s">
        <v>172</v>
      </c>
      <c r="L95" s="298" t="s">
        <v>172</v>
      </c>
      <c r="M95" s="285" t="s">
        <v>172</v>
      </c>
      <c r="N95" s="438" t="s">
        <v>172</v>
      </c>
      <c r="O95" s="438" t="s">
        <v>172</v>
      </c>
      <c r="P95" s="447"/>
      <c r="AK95" s="419" t="str">
        <f aca="false">'[1]Correspondance Geno'!A26</f>
        <v>AM040</v>
      </c>
      <c r="AL95" s="419"/>
      <c r="AM95" s="419"/>
      <c r="AN95" s="420" t="str">
        <f aca="false">'[1]Correspondance Geno'!B26</f>
        <v>G-023</v>
      </c>
      <c r="AO95" s="420"/>
      <c r="AP95" s="420"/>
      <c r="AQ95" s="421"/>
      <c r="AR95" s="419" t="str">
        <f aca="false">'[1]Correspondance Geno'!A51</f>
        <v>AM073</v>
      </c>
      <c r="AS95" s="419"/>
      <c r="AT95" s="419"/>
      <c r="AU95" s="420" t="str">
        <f aca="false">'[1]Correspondance Geno'!B51</f>
        <v>G-048</v>
      </c>
      <c r="AV95" s="420"/>
      <c r="AW95" s="420"/>
      <c r="AX95" s="421"/>
      <c r="AY95" s="419" t="str">
        <f aca="false">'[1]Correspondance Geno'!A76</f>
        <v>AM111</v>
      </c>
      <c r="AZ95" s="419"/>
      <c r="BA95" s="419"/>
      <c r="BB95" s="420" t="str">
        <f aca="false">'[1]Correspondance Geno'!B76</f>
        <v>G-073</v>
      </c>
      <c r="BC95" s="420"/>
      <c r="BD95" s="420"/>
      <c r="BE95" s="421"/>
      <c r="BF95" s="419" t="str">
        <f aca="false">'[1]Correspondance Geno'!A101</f>
        <v>AM164</v>
      </c>
      <c r="BG95" s="419"/>
      <c r="BH95" s="419"/>
      <c r="BI95" s="420" t="str">
        <f aca="false">'[1]Correspondance Geno'!B101</f>
        <v>G-098</v>
      </c>
      <c r="BJ95" s="420"/>
      <c r="BK95" s="420"/>
      <c r="BL95" s="421"/>
      <c r="BM95" s="419" t="str">
        <f aca="false">'[1]Correspondance Geno'!A126</f>
        <v>C-California</v>
      </c>
      <c r="BN95" s="419"/>
      <c r="BO95" s="419"/>
      <c r="BP95" s="420" t="str">
        <f aca="false">'[1]Correspondance Geno'!B126</f>
        <v>G-123</v>
      </c>
      <c r="BQ95" s="420"/>
      <c r="BR95" s="420"/>
      <c r="BS95" s="422"/>
      <c r="BT95" s="422"/>
      <c r="BU95" s="422"/>
      <c r="BV95" s="422"/>
      <c r="BW95" s="422"/>
      <c r="BX95" s="422"/>
      <c r="BY95" s="422"/>
      <c r="BZ95" s="422"/>
      <c r="CA95" s="422"/>
      <c r="CB95" s="422"/>
      <c r="CC95" s="422"/>
      <c r="CD95" s="422"/>
      <c r="CE95" s="423"/>
      <c r="CF95" s="419" t="str">
        <f aca="false">'[1]Correspondance Geno'!A150</f>
        <v>DK039</v>
      </c>
      <c r="CG95" s="419"/>
      <c r="CH95" s="419"/>
      <c r="CI95" s="420" t="str">
        <f aca="false">'[1]Correspondance Geno'!B150</f>
        <v>G-147</v>
      </c>
      <c r="CJ95" s="420"/>
      <c r="CK95" s="420"/>
      <c r="CL95" s="421"/>
      <c r="CM95" s="419" t="str">
        <f aca="false">'[1]Correspondance Geno'!A175</f>
        <v>DK084</v>
      </c>
      <c r="CN95" s="419"/>
      <c r="CO95" s="419"/>
      <c r="CP95" s="420" t="str">
        <f aca="false">'[1]Correspondance Geno'!B175</f>
        <v>G-172</v>
      </c>
      <c r="CQ95" s="420"/>
      <c r="CR95" s="420"/>
      <c r="CS95" s="422"/>
      <c r="CT95" s="419" t="str">
        <f aca="false">'[1]Correspondance Geno'!A200</f>
        <v>DK137</v>
      </c>
      <c r="CU95" s="419"/>
      <c r="CV95" s="419"/>
      <c r="CW95" s="420" t="str">
        <f aca="false">'[1]Correspondance Geno'!B200</f>
        <v>G-197</v>
      </c>
      <c r="CX95" s="420"/>
      <c r="CY95" s="420"/>
      <c r="CZ95" s="422"/>
      <c r="DA95" s="424"/>
      <c r="DB95" s="424"/>
      <c r="DC95" s="424"/>
      <c r="DD95" s="420"/>
      <c r="DE95" s="420"/>
      <c r="DF95" s="420"/>
      <c r="DN95" s="284"/>
      <c r="DO95" s="284"/>
      <c r="DP95" s="284"/>
      <c r="DQ95" s="284"/>
      <c r="DR95" s="284"/>
      <c r="DS95" s="284"/>
    </row>
    <row r="96" customFormat="false" ht="12.75" hidden="false" customHeight="true" outlineLevel="0" collapsed="false">
      <c r="B96" s="432"/>
      <c r="C96" s="444"/>
      <c r="D96" s="437"/>
      <c r="E96" s="444"/>
      <c r="F96" s="438" t="s">
        <v>709</v>
      </c>
      <c r="G96" s="438" t="s">
        <v>8156</v>
      </c>
      <c r="H96" s="438" t="s">
        <v>8157</v>
      </c>
      <c r="I96" s="438" t="s">
        <v>673</v>
      </c>
      <c r="J96" s="312" t="s">
        <v>8158</v>
      </c>
      <c r="K96" s="438" t="s">
        <v>448</v>
      </c>
      <c r="L96" s="312" t="s">
        <v>778</v>
      </c>
      <c r="M96" s="312" t="s">
        <v>8158</v>
      </c>
      <c r="N96" s="438" t="s">
        <v>8159</v>
      </c>
      <c r="O96" s="438" t="s">
        <v>745</v>
      </c>
      <c r="P96" s="447"/>
      <c r="AK96" s="419" t="str">
        <f aca="false">'[1]Correspondance Geno'!A27</f>
        <v>AM042</v>
      </c>
      <c r="AL96" s="419"/>
      <c r="AM96" s="419"/>
      <c r="AN96" s="420" t="str">
        <f aca="false">'[1]Correspondance Geno'!B27</f>
        <v>G-024</v>
      </c>
      <c r="AO96" s="420"/>
      <c r="AP96" s="420"/>
      <c r="AQ96" s="421"/>
      <c r="AR96" s="419" t="str">
        <f aca="false">'[1]Correspondance Geno'!A52</f>
        <v>AM074</v>
      </c>
      <c r="AS96" s="419"/>
      <c r="AT96" s="419"/>
      <c r="AU96" s="420" t="str">
        <f aca="false">'[1]Correspondance Geno'!B52</f>
        <v>G-049</v>
      </c>
      <c r="AV96" s="420"/>
      <c r="AW96" s="420"/>
      <c r="AX96" s="421"/>
      <c r="AY96" s="419" t="str">
        <f aca="false">'[1]Correspondance Geno'!A77</f>
        <v>AM120</v>
      </c>
      <c r="AZ96" s="419"/>
      <c r="BA96" s="419"/>
      <c r="BB96" s="420" t="str">
        <f aca="false">'[1]Correspondance Geno'!B77</f>
        <v>G-074</v>
      </c>
      <c r="BC96" s="420"/>
      <c r="BD96" s="420"/>
      <c r="BE96" s="421"/>
      <c r="BF96" s="419" t="str">
        <f aca="false">'[1]Correspondance Geno'!A102</f>
        <v>AM165</v>
      </c>
      <c r="BG96" s="419"/>
      <c r="BH96" s="419"/>
      <c r="BI96" s="420" t="str">
        <f aca="false">'[1]Correspondance Geno'!B102</f>
        <v>G-099</v>
      </c>
      <c r="BJ96" s="420"/>
      <c r="BK96" s="420"/>
      <c r="BL96" s="421"/>
      <c r="BM96" s="419" t="str">
        <f aca="false">'[1]Correspondance Geno'!A127</f>
        <v>S-Oase</v>
      </c>
      <c r="BN96" s="419"/>
      <c r="BO96" s="419"/>
      <c r="BP96" s="420" t="str">
        <f aca="false">'[1]Correspondance Geno'!B127</f>
        <v>G-124</v>
      </c>
      <c r="BQ96" s="420"/>
      <c r="BR96" s="420"/>
      <c r="BS96" s="422"/>
      <c r="BT96" s="422"/>
      <c r="BU96" s="422"/>
      <c r="BV96" s="422"/>
      <c r="BW96" s="422"/>
      <c r="BX96" s="422"/>
      <c r="BY96" s="422"/>
      <c r="BZ96" s="422"/>
      <c r="CA96" s="422"/>
      <c r="CB96" s="422"/>
      <c r="CC96" s="422"/>
      <c r="CD96" s="422"/>
      <c r="CE96" s="423"/>
      <c r="CF96" s="419" t="str">
        <f aca="false">'[1]Correspondance Geno'!A151</f>
        <v>DK041</v>
      </c>
      <c r="CG96" s="419"/>
      <c r="CH96" s="419"/>
      <c r="CI96" s="420" t="str">
        <f aca="false">'[1]Correspondance Geno'!B151</f>
        <v>G-148</v>
      </c>
      <c r="CJ96" s="420"/>
      <c r="CK96" s="420"/>
      <c r="CL96" s="421"/>
      <c r="CM96" s="419" t="str">
        <f aca="false">'[1]Correspondance Geno'!A176</f>
        <v>DK085</v>
      </c>
      <c r="CN96" s="419"/>
      <c r="CO96" s="419"/>
      <c r="CP96" s="420" t="str">
        <f aca="false">'[1]Correspondance Geno'!B176</f>
        <v>G-173</v>
      </c>
      <c r="CQ96" s="420"/>
      <c r="CR96" s="420"/>
      <c r="CS96" s="422"/>
      <c r="CT96" s="419" t="str">
        <f aca="false">'[1]Correspondance Geno'!A201</f>
        <v>DK138</v>
      </c>
      <c r="CU96" s="419"/>
      <c r="CV96" s="419"/>
      <c r="CW96" s="420" t="str">
        <f aca="false">'[1]Correspondance Geno'!B201</f>
        <v>G-198</v>
      </c>
      <c r="CX96" s="420"/>
      <c r="CY96" s="420"/>
      <c r="CZ96" s="422"/>
      <c r="DA96" s="424"/>
      <c r="DB96" s="424"/>
      <c r="DC96" s="424"/>
      <c r="DD96" s="420"/>
      <c r="DE96" s="420"/>
      <c r="DF96" s="420"/>
      <c r="DN96" s="284"/>
      <c r="DO96" s="284"/>
      <c r="DP96" s="284"/>
      <c r="DQ96" s="284"/>
      <c r="DR96" s="284"/>
      <c r="DS96" s="284"/>
    </row>
    <row r="97" customFormat="false" ht="13.5" hidden="false" customHeight="true" outlineLevel="0" collapsed="false">
      <c r="B97" s="432"/>
      <c r="C97" s="444"/>
      <c r="D97" s="300"/>
      <c r="E97" s="444"/>
      <c r="F97" s="442" t="s">
        <v>8160</v>
      </c>
      <c r="G97" s="442" t="s">
        <v>8161</v>
      </c>
      <c r="H97" s="442" t="s">
        <v>8162</v>
      </c>
      <c r="I97" s="442" t="s">
        <v>8163</v>
      </c>
      <c r="J97" s="298" t="s">
        <v>8164</v>
      </c>
      <c r="K97" s="442" t="s">
        <v>8165</v>
      </c>
      <c r="L97" s="298" t="s">
        <v>8166</v>
      </c>
      <c r="M97" s="328" t="s">
        <v>8167</v>
      </c>
      <c r="N97" s="442" t="s">
        <v>8168</v>
      </c>
      <c r="O97" s="442" t="s">
        <v>8169</v>
      </c>
      <c r="P97" s="447"/>
      <c r="AK97" s="449" t="str">
        <f aca="false">'[1]Correspondance Geno'!A28</f>
        <v>AM045</v>
      </c>
      <c r="AL97" s="449"/>
      <c r="AM97" s="449"/>
      <c r="AN97" s="450" t="str">
        <f aca="false">'[1]Correspondance Geno'!B28</f>
        <v>G-025</v>
      </c>
      <c r="AO97" s="450"/>
      <c r="AP97" s="450"/>
      <c r="AQ97" s="421"/>
      <c r="AR97" s="449" t="str">
        <f aca="false">'[1]Correspondance Geno'!A53</f>
        <v>AM076</v>
      </c>
      <c r="AS97" s="449"/>
      <c r="AT97" s="449"/>
      <c r="AU97" s="450" t="str">
        <f aca="false">'[1]Correspondance Geno'!B53</f>
        <v>G-050</v>
      </c>
      <c r="AV97" s="450"/>
      <c r="AW97" s="450"/>
      <c r="AX97" s="421"/>
      <c r="AY97" s="449" t="str">
        <f aca="false">'[1]Correspondance Geno'!A78</f>
        <v>AM123</v>
      </c>
      <c r="AZ97" s="449"/>
      <c r="BA97" s="449"/>
      <c r="BB97" s="450" t="str">
        <f aca="false">'[1]Correspondance Geno'!B78</f>
        <v>G-075</v>
      </c>
      <c r="BC97" s="450"/>
      <c r="BD97" s="450"/>
      <c r="BE97" s="421"/>
      <c r="BF97" s="449" t="str">
        <f aca="false">'[1]Correspondance Geno'!A103</f>
        <v>AM166</v>
      </c>
      <c r="BG97" s="449"/>
      <c r="BH97" s="449"/>
      <c r="BI97" s="450" t="str">
        <f aca="false">'[1]Correspondance Geno'!B103</f>
        <v>G-100</v>
      </c>
      <c r="BJ97" s="450"/>
      <c r="BK97" s="450"/>
      <c r="BL97" s="421"/>
      <c r="BM97" s="449"/>
      <c r="BN97" s="449"/>
      <c r="BO97" s="449"/>
      <c r="BP97" s="450"/>
      <c r="BQ97" s="450"/>
      <c r="BR97" s="450"/>
      <c r="BS97" s="422"/>
      <c r="BT97" s="422"/>
      <c r="BU97" s="422"/>
      <c r="BV97" s="422"/>
      <c r="BW97" s="422"/>
      <c r="BX97" s="422"/>
      <c r="BY97" s="422"/>
      <c r="BZ97" s="422"/>
      <c r="CA97" s="422"/>
      <c r="CB97" s="422"/>
      <c r="CC97" s="422"/>
      <c r="CD97" s="422"/>
      <c r="CE97" s="423"/>
      <c r="CF97" s="451" t="str">
        <f aca="false">'[1]Correspondance Geno'!A152</f>
        <v>DK042</v>
      </c>
      <c r="CG97" s="451"/>
      <c r="CH97" s="451"/>
      <c r="CI97" s="450" t="str">
        <f aca="false">'[1]Correspondance Geno'!B152</f>
        <v>G-149</v>
      </c>
      <c r="CJ97" s="450"/>
      <c r="CK97" s="450"/>
      <c r="CL97" s="421"/>
      <c r="CM97" s="451" t="str">
        <f aca="false">'[1]Correspondance Geno'!A177</f>
        <v>DK086</v>
      </c>
      <c r="CN97" s="451"/>
      <c r="CO97" s="451"/>
      <c r="CP97" s="450" t="str">
        <f aca="false">'[1]Correspondance Geno'!B177</f>
        <v>G-174</v>
      </c>
      <c r="CQ97" s="450"/>
      <c r="CR97" s="450"/>
      <c r="CS97" s="422"/>
      <c r="CT97" s="451" t="str">
        <f aca="false">'[1]Correspondance Geno'!A202</f>
        <v>DK140</v>
      </c>
      <c r="CU97" s="451"/>
      <c r="CV97" s="451"/>
      <c r="CW97" s="450" t="str">
        <f aca="false">'[1]Correspondance Geno'!B202</f>
        <v>G-199</v>
      </c>
      <c r="CX97" s="450"/>
      <c r="CY97" s="450"/>
      <c r="CZ97" s="422"/>
      <c r="DA97" s="451"/>
      <c r="DB97" s="451"/>
      <c r="DC97" s="451"/>
      <c r="DD97" s="450"/>
      <c r="DE97" s="450"/>
      <c r="DF97" s="450"/>
      <c r="DN97" s="284"/>
      <c r="DO97" s="284"/>
      <c r="DP97" s="284"/>
      <c r="DQ97" s="284"/>
      <c r="DR97" s="284"/>
      <c r="DS97" s="284"/>
    </row>
    <row r="98" customFormat="false" ht="12.75" hidden="false" customHeight="true" outlineLevel="0" collapsed="false">
      <c r="B98" s="432" t="n">
        <v>43</v>
      </c>
      <c r="C98" s="444" t="s">
        <v>8122</v>
      </c>
      <c r="D98" s="445"/>
      <c r="E98" s="444" t="s">
        <v>8122</v>
      </c>
      <c r="F98" s="446" t="s">
        <v>8138</v>
      </c>
      <c r="G98" s="446" t="s">
        <v>8138</v>
      </c>
      <c r="H98" s="446" t="s">
        <v>8139</v>
      </c>
      <c r="I98" s="446" t="s">
        <v>8139</v>
      </c>
      <c r="J98" s="446" t="s">
        <v>8138</v>
      </c>
      <c r="K98" s="300" t="s">
        <v>8138</v>
      </c>
      <c r="L98" s="298" t="s">
        <v>8139</v>
      </c>
      <c r="M98" s="446" t="s">
        <v>8139</v>
      </c>
      <c r="N98" s="446" t="s">
        <v>8138</v>
      </c>
      <c r="O98" s="446" t="s">
        <v>8139</v>
      </c>
      <c r="P98" s="447" t="s">
        <v>8122</v>
      </c>
      <c r="AM98" s="452"/>
      <c r="AQ98" s="422"/>
      <c r="AR98" s="422"/>
      <c r="AS98" s="422"/>
      <c r="AT98" s="423"/>
      <c r="AU98" s="423"/>
      <c r="AV98" s="423"/>
      <c r="AW98" s="423"/>
      <c r="AX98" s="423"/>
      <c r="AY98" s="423"/>
      <c r="AZ98" s="423"/>
      <c r="BA98" s="423"/>
      <c r="BB98" s="423"/>
      <c r="BC98" s="423"/>
      <c r="BD98" s="423"/>
      <c r="BE98" s="423"/>
      <c r="BF98" s="423"/>
      <c r="BG98" s="423"/>
      <c r="BH98" s="423"/>
      <c r="BI98" s="423"/>
      <c r="BJ98" s="423"/>
      <c r="BK98" s="423"/>
      <c r="BL98" s="423"/>
      <c r="BM98" s="423"/>
      <c r="BN98" s="423"/>
      <c r="BO98" s="423"/>
      <c r="BP98" s="423"/>
      <c r="BQ98" s="423"/>
      <c r="BR98" s="423"/>
      <c r="BS98" s="423"/>
      <c r="BT98" s="423"/>
      <c r="BU98" s="423"/>
      <c r="BV98" s="423"/>
      <c r="BW98" s="423"/>
      <c r="BX98" s="423"/>
      <c r="BY98" s="423"/>
      <c r="BZ98" s="423"/>
      <c r="CA98" s="423"/>
      <c r="CB98" s="423"/>
      <c r="CC98" s="423"/>
      <c r="CD98" s="423"/>
      <c r="CE98" s="423"/>
      <c r="CF98" s="423"/>
      <c r="CG98" s="423"/>
      <c r="CH98" s="423"/>
      <c r="CI98" s="423"/>
      <c r="CJ98" s="423"/>
      <c r="CK98" s="422"/>
      <c r="CL98" s="422"/>
      <c r="CM98" s="422"/>
      <c r="CN98" s="422"/>
      <c r="CO98" s="422"/>
      <c r="CP98" s="422"/>
      <c r="CQ98" s="422"/>
      <c r="CR98" s="422"/>
      <c r="CS98" s="422"/>
      <c r="CT98" s="422"/>
      <c r="CU98" s="422"/>
      <c r="CV98" s="422"/>
      <c r="CW98" s="422"/>
      <c r="CX98" s="422"/>
      <c r="CY98" s="422"/>
      <c r="CZ98" s="422"/>
    </row>
    <row r="99" customFormat="false" ht="12.75" hidden="false" customHeight="true" outlineLevel="0" collapsed="false">
      <c r="B99" s="432"/>
      <c r="C99" s="444"/>
      <c r="D99" s="437"/>
      <c r="E99" s="444"/>
      <c r="F99" s="438" t="s">
        <v>172</v>
      </c>
      <c r="G99" s="438" t="s">
        <v>172</v>
      </c>
      <c r="H99" s="438" t="s">
        <v>172</v>
      </c>
      <c r="I99" s="438" t="s">
        <v>172</v>
      </c>
      <c r="J99" s="438" t="s">
        <v>172</v>
      </c>
      <c r="K99" s="285" t="s">
        <v>172</v>
      </c>
      <c r="L99" s="298" t="s">
        <v>172</v>
      </c>
      <c r="M99" s="438" t="s">
        <v>172</v>
      </c>
      <c r="N99" s="438" t="s">
        <v>172</v>
      </c>
      <c r="O99" s="438" t="s">
        <v>172</v>
      </c>
      <c r="P99" s="447"/>
      <c r="AM99" s="452"/>
    </row>
    <row r="100" customFormat="false" ht="12.75" hidden="false" customHeight="true" outlineLevel="0" collapsed="false">
      <c r="B100" s="432"/>
      <c r="C100" s="444"/>
      <c r="D100" s="437"/>
      <c r="E100" s="444"/>
      <c r="F100" s="438" t="s">
        <v>8170</v>
      </c>
      <c r="G100" s="438" t="s">
        <v>8171</v>
      </c>
      <c r="H100" s="438" t="s">
        <v>601</v>
      </c>
      <c r="I100" s="438" t="s">
        <v>610</v>
      </c>
      <c r="J100" s="438" t="s">
        <v>8172</v>
      </c>
      <c r="K100" s="312" t="s">
        <v>8158</v>
      </c>
      <c r="L100" s="312" t="s">
        <v>775</v>
      </c>
      <c r="M100" s="438" t="s">
        <v>574</v>
      </c>
      <c r="N100" s="438" t="s">
        <v>8173</v>
      </c>
      <c r="O100" s="438" t="s">
        <v>583</v>
      </c>
      <c r="P100" s="447"/>
      <c r="AM100" s="452"/>
    </row>
    <row r="101" customFormat="false" ht="13.5" hidden="false" customHeight="true" outlineLevel="0" collapsed="false">
      <c r="B101" s="432"/>
      <c r="C101" s="444"/>
      <c r="D101" s="441"/>
      <c r="E101" s="444"/>
      <c r="F101" s="442" t="s">
        <v>8174</v>
      </c>
      <c r="G101" s="442" t="s">
        <v>8175</v>
      </c>
      <c r="H101" s="442" t="s">
        <v>8176</v>
      </c>
      <c r="I101" s="442" t="s">
        <v>8177</v>
      </c>
      <c r="J101" s="442" t="s">
        <v>8178</v>
      </c>
      <c r="K101" s="316" t="s">
        <v>8179</v>
      </c>
      <c r="L101" s="298" t="s">
        <v>8180</v>
      </c>
      <c r="M101" s="442" t="s">
        <v>8181</v>
      </c>
      <c r="N101" s="442" t="s">
        <v>8182</v>
      </c>
      <c r="O101" s="442" t="s">
        <v>8183</v>
      </c>
      <c r="P101" s="447"/>
      <c r="AM101" s="452"/>
    </row>
    <row r="102" customFormat="false" ht="12.75" hidden="false" customHeight="true" outlineLevel="0" collapsed="false">
      <c r="B102" s="432" t="n">
        <v>44</v>
      </c>
      <c r="C102" s="444" t="s">
        <v>8122</v>
      </c>
      <c r="D102" s="445"/>
      <c r="E102" s="444" t="s">
        <v>8122</v>
      </c>
      <c r="F102" s="446" t="s">
        <v>8139</v>
      </c>
      <c r="G102" s="300" t="s">
        <v>8138</v>
      </c>
      <c r="H102" s="446" t="s">
        <v>8138</v>
      </c>
      <c r="I102" s="446" t="s">
        <v>8139</v>
      </c>
      <c r="J102" s="446" t="s">
        <v>8139</v>
      </c>
      <c r="K102" s="446" t="s">
        <v>8139</v>
      </c>
      <c r="L102" s="446" t="s">
        <v>8139</v>
      </c>
      <c r="M102" s="446" t="s">
        <v>8138</v>
      </c>
      <c r="N102" s="446" t="s">
        <v>8139</v>
      </c>
      <c r="O102" s="446" t="s">
        <v>8138</v>
      </c>
      <c r="P102" s="447" t="s">
        <v>8122</v>
      </c>
      <c r="AM102" s="452"/>
    </row>
    <row r="103" customFormat="false" ht="12.75" hidden="false" customHeight="true" outlineLevel="0" collapsed="false">
      <c r="B103" s="432"/>
      <c r="C103" s="444"/>
      <c r="D103" s="437"/>
      <c r="E103" s="444"/>
      <c r="F103" s="438" t="s">
        <v>172</v>
      </c>
      <c r="G103" s="285" t="s">
        <v>172</v>
      </c>
      <c r="H103" s="438" t="s">
        <v>172</v>
      </c>
      <c r="I103" s="438" t="s">
        <v>172</v>
      </c>
      <c r="J103" s="438" t="s">
        <v>172</v>
      </c>
      <c r="K103" s="438" t="s">
        <v>172</v>
      </c>
      <c r="L103" s="438" t="s">
        <v>172</v>
      </c>
      <c r="M103" s="438" t="s">
        <v>172</v>
      </c>
      <c r="N103" s="438" t="s">
        <v>172</v>
      </c>
      <c r="O103" s="438" t="s">
        <v>172</v>
      </c>
      <c r="P103" s="447"/>
      <c r="AM103" s="452"/>
    </row>
    <row r="104" customFormat="false" ht="12.75" hidden="false" customHeight="true" outlineLevel="0" collapsed="false">
      <c r="B104" s="432"/>
      <c r="C104" s="444"/>
      <c r="D104" s="437"/>
      <c r="E104" s="444"/>
      <c r="F104" s="438" t="s">
        <v>484</v>
      </c>
      <c r="G104" s="312" t="s">
        <v>8141</v>
      </c>
      <c r="H104" s="438" t="s">
        <v>8184</v>
      </c>
      <c r="I104" s="438" t="s">
        <v>682</v>
      </c>
      <c r="J104" s="438" t="s">
        <v>700</v>
      </c>
      <c r="K104" s="438" t="s">
        <v>520</v>
      </c>
      <c r="L104" s="438" t="s">
        <v>529</v>
      </c>
      <c r="M104" s="438" t="s">
        <v>8185</v>
      </c>
      <c r="N104" s="438" t="s">
        <v>646</v>
      </c>
      <c r="O104" s="438" t="s">
        <v>8186</v>
      </c>
      <c r="P104" s="447"/>
      <c r="AM104" s="452"/>
    </row>
    <row r="105" customFormat="false" ht="17.35" hidden="false" customHeight="false" outlineLevel="0" collapsed="false">
      <c r="B105" s="432"/>
      <c r="C105" s="444"/>
      <c r="D105" s="441"/>
      <c r="E105" s="444"/>
      <c r="F105" s="442" t="s">
        <v>8187</v>
      </c>
      <c r="G105" s="316" t="s">
        <v>8188</v>
      </c>
      <c r="H105" s="442" t="s">
        <v>8189</v>
      </c>
      <c r="I105" s="442" t="s">
        <v>8190</v>
      </c>
      <c r="J105" s="442" t="s">
        <v>8191</v>
      </c>
      <c r="K105" s="442" t="s">
        <v>8192</v>
      </c>
      <c r="L105" s="442" t="s">
        <v>8193</v>
      </c>
      <c r="M105" s="442" t="s">
        <v>8194</v>
      </c>
      <c r="N105" s="442" t="s">
        <v>8195</v>
      </c>
      <c r="O105" s="442" t="s">
        <v>8196</v>
      </c>
      <c r="P105" s="447"/>
      <c r="R105" s="453" t="s">
        <v>8197</v>
      </c>
      <c r="S105" s="0" t="s">
        <v>8198</v>
      </c>
      <c r="AK105" s="440" t="s">
        <v>8199</v>
      </c>
      <c r="AL105" s="440"/>
      <c r="AM105" s="440" t="s">
        <v>8200</v>
      </c>
      <c r="AN105" s="440"/>
      <c r="AO105" s="440"/>
      <c r="AP105" s="440"/>
      <c r="AQ105" s="454" t="s">
        <v>8201</v>
      </c>
      <c r="AR105" s="193"/>
      <c r="AS105" s="440"/>
    </row>
    <row r="106" customFormat="false" ht="17.35" hidden="false" customHeight="false" outlineLevel="0" collapsed="false">
      <c r="A106" s="360"/>
      <c r="B106" s="432" t="n">
        <v>45</v>
      </c>
      <c r="C106" s="444" t="s">
        <v>8122</v>
      </c>
      <c r="D106" s="445"/>
      <c r="E106" s="444" t="s">
        <v>8122</v>
      </c>
      <c r="F106" s="446" t="s">
        <v>8139</v>
      </c>
      <c r="G106" s="446" t="s">
        <v>8139</v>
      </c>
      <c r="H106" s="446" t="s">
        <v>8139</v>
      </c>
      <c r="I106" s="446" t="s">
        <v>8139</v>
      </c>
      <c r="J106" s="446" t="s">
        <v>8139</v>
      </c>
      <c r="K106" s="446" t="s">
        <v>8138</v>
      </c>
      <c r="L106" s="300" t="s">
        <v>8139</v>
      </c>
      <c r="M106" s="446" t="s">
        <v>8139</v>
      </c>
      <c r="N106" s="446" t="s">
        <v>8139</v>
      </c>
      <c r="O106" s="446" t="s">
        <v>8138</v>
      </c>
      <c r="P106" s="447" t="s">
        <v>8122</v>
      </c>
      <c r="Q106" s="360"/>
      <c r="R106" s="360"/>
      <c r="S106" s="360"/>
      <c r="T106" s="360"/>
      <c r="U106" s="360"/>
      <c r="V106" s="360"/>
      <c r="W106" s="360"/>
      <c r="X106" s="360"/>
      <c r="Y106" s="360"/>
      <c r="Z106" s="360"/>
      <c r="AA106" s="360"/>
      <c r="AB106" s="360"/>
      <c r="AC106" s="360"/>
      <c r="AD106" s="360"/>
      <c r="AE106" s="360"/>
      <c r="AF106" s="360"/>
      <c r="AG106" s="360"/>
      <c r="AH106" s="360"/>
      <c r="AK106" s="440" t="s">
        <v>172</v>
      </c>
      <c r="AL106" s="440"/>
      <c r="AM106" s="440" t="s">
        <v>8202</v>
      </c>
      <c r="AN106" s="440"/>
      <c r="AO106" s="440"/>
      <c r="AP106" s="440"/>
      <c r="AQ106" s="440"/>
      <c r="AR106" s="193"/>
      <c r="AS106" s="440"/>
    </row>
    <row r="107" customFormat="false" ht="17.35" hidden="false" customHeight="false" outlineLevel="0" collapsed="false">
      <c r="A107" s="360"/>
      <c r="B107" s="432"/>
      <c r="C107" s="444"/>
      <c r="D107" s="437"/>
      <c r="E107" s="444"/>
      <c r="F107" s="438" t="s">
        <v>172</v>
      </c>
      <c r="G107" s="438" t="s">
        <v>172</v>
      </c>
      <c r="H107" s="438" t="s">
        <v>172</v>
      </c>
      <c r="I107" s="438" t="s">
        <v>172</v>
      </c>
      <c r="J107" s="438" t="s">
        <v>172</v>
      </c>
      <c r="K107" s="438" t="s">
        <v>172</v>
      </c>
      <c r="L107" s="285" t="s">
        <v>172</v>
      </c>
      <c r="M107" s="438" t="s">
        <v>172</v>
      </c>
      <c r="N107" s="438" t="s">
        <v>172</v>
      </c>
      <c r="O107" s="438" t="s">
        <v>172</v>
      </c>
      <c r="P107" s="447"/>
      <c r="Q107" s="360"/>
      <c r="R107" s="360"/>
      <c r="S107" s="360"/>
      <c r="T107" s="360"/>
      <c r="U107" s="360"/>
      <c r="V107" s="360"/>
      <c r="W107" s="360"/>
      <c r="X107" s="360"/>
      <c r="Y107" s="360"/>
      <c r="Z107" s="360"/>
      <c r="AA107" s="360"/>
      <c r="AB107" s="360"/>
      <c r="AC107" s="360"/>
      <c r="AD107" s="360"/>
      <c r="AE107" s="360"/>
      <c r="AF107" s="360"/>
      <c r="AG107" s="360"/>
      <c r="AH107" s="360"/>
      <c r="AK107" s="440" t="s">
        <v>782</v>
      </c>
      <c r="AL107" s="440"/>
      <c r="AM107" s="440" t="s">
        <v>8203</v>
      </c>
      <c r="AN107" s="440"/>
      <c r="AO107" s="440"/>
      <c r="AP107" s="440"/>
      <c r="AQ107" s="193"/>
      <c r="AR107" s="440"/>
    </row>
    <row r="108" customFormat="false" ht="17.35" hidden="false" customHeight="false" outlineLevel="0" collapsed="false">
      <c r="B108" s="432"/>
      <c r="C108" s="444"/>
      <c r="D108" s="437"/>
      <c r="E108" s="444"/>
      <c r="F108" s="438" t="s">
        <v>556</v>
      </c>
      <c r="G108" s="438" t="s">
        <v>538</v>
      </c>
      <c r="H108" s="438" t="s">
        <v>466</v>
      </c>
      <c r="I108" s="438" t="s">
        <v>736</v>
      </c>
      <c r="J108" s="438" t="s">
        <v>592</v>
      </c>
      <c r="K108" s="438" t="s">
        <v>8204</v>
      </c>
      <c r="L108" s="312" t="s">
        <v>778</v>
      </c>
      <c r="M108" s="438" t="s">
        <v>718</v>
      </c>
      <c r="N108" s="438" t="s">
        <v>475</v>
      </c>
      <c r="O108" s="438" t="s">
        <v>8205</v>
      </c>
      <c r="P108" s="447"/>
      <c r="AK108" s="440" t="s">
        <v>785</v>
      </c>
      <c r="AL108" s="440"/>
      <c r="AM108" s="440" t="s">
        <v>8206</v>
      </c>
      <c r="AN108" s="440"/>
      <c r="AO108" s="455"/>
      <c r="AP108" s="440" t="s">
        <v>8207</v>
      </c>
    </row>
    <row r="109" customFormat="false" ht="17.35" hidden="false" customHeight="false" outlineLevel="0" collapsed="false">
      <c r="B109" s="432"/>
      <c r="C109" s="444"/>
      <c r="D109" s="441"/>
      <c r="E109" s="444"/>
      <c r="F109" s="442" t="s">
        <v>8208</v>
      </c>
      <c r="G109" s="442" t="s">
        <v>8209</v>
      </c>
      <c r="H109" s="442" t="s">
        <v>8210</v>
      </c>
      <c r="I109" s="442" t="s">
        <v>8211</v>
      </c>
      <c r="J109" s="442" t="s">
        <v>8212</v>
      </c>
      <c r="K109" s="442" t="s">
        <v>8213</v>
      </c>
      <c r="L109" s="328" t="s">
        <v>8214</v>
      </c>
      <c r="M109" s="442" t="s">
        <v>8215</v>
      </c>
      <c r="N109" s="442" t="s">
        <v>8216</v>
      </c>
      <c r="O109" s="442" t="s">
        <v>8217</v>
      </c>
      <c r="P109" s="447"/>
      <c r="AK109" s="440" t="s">
        <v>8218</v>
      </c>
      <c r="AL109" s="440"/>
      <c r="AM109" s="440" t="s">
        <v>8219</v>
      </c>
      <c r="AN109" s="440"/>
      <c r="AO109" s="456"/>
      <c r="AP109" s="440" t="s">
        <v>8220</v>
      </c>
      <c r="AQ109" s="193"/>
      <c r="AR109" s="440"/>
    </row>
    <row r="110" customFormat="false" ht="17.35" hidden="false" customHeight="false" outlineLevel="0" collapsed="false">
      <c r="B110" s="432" t="n">
        <v>46</v>
      </c>
      <c r="C110" s="457" t="s">
        <v>8122</v>
      </c>
      <c r="D110" s="445"/>
      <c r="E110" s="457" t="s">
        <v>8122</v>
      </c>
      <c r="F110" s="446" t="s">
        <v>8138</v>
      </c>
      <c r="G110" s="446" t="s">
        <v>8139</v>
      </c>
      <c r="H110" s="446" t="s">
        <v>8139</v>
      </c>
      <c r="I110" s="446" t="s">
        <v>8139</v>
      </c>
      <c r="J110" s="446" t="s">
        <v>8139</v>
      </c>
      <c r="K110" s="446" t="s">
        <v>8138</v>
      </c>
      <c r="L110" s="446" t="s">
        <v>8139</v>
      </c>
      <c r="M110" s="446" t="s">
        <v>8139</v>
      </c>
      <c r="N110" s="300" t="s">
        <v>8139</v>
      </c>
      <c r="O110" s="446" t="s">
        <v>8139</v>
      </c>
      <c r="P110" s="458" t="s">
        <v>8122</v>
      </c>
      <c r="AK110" s="440"/>
      <c r="AL110" s="440"/>
      <c r="AM110" s="440"/>
      <c r="AN110" s="440"/>
      <c r="AO110" s="459"/>
      <c r="AP110" s="440" t="s">
        <v>8090</v>
      </c>
      <c r="AQ110" s="193"/>
      <c r="AR110" s="440" t="s">
        <v>8221</v>
      </c>
    </row>
    <row r="111" customFormat="false" ht="17.35" hidden="false" customHeight="false" outlineLevel="0" collapsed="false">
      <c r="B111" s="432"/>
      <c r="C111" s="457"/>
      <c r="D111" s="437"/>
      <c r="E111" s="457"/>
      <c r="F111" s="438" t="s">
        <v>172</v>
      </c>
      <c r="G111" s="438" t="s">
        <v>172</v>
      </c>
      <c r="H111" s="438" t="s">
        <v>172</v>
      </c>
      <c r="I111" s="438" t="s">
        <v>172</v>
      </c>
      <c r="J111" s="438" t="s">
        <v>172</v>
      </c>
      <c r="K111" s="438" t="s">
        <v>172</v>
      </c>
      <c r="L111" s="438" t="s">
        <v>172</v>
      </c>
      <c r="M111" s="438" t="s">
        <v>172</v>
      </c>
      <c r="N111" s="285" t="s">
        <v>172</v>
      </c>
      <c r="O111" s="438" t="s">
        <v>172</v>
      </c>
      <c r="P111" s="458"/>
      <c r="AM111" s="440"/>
      <c r="AN111" s="440"/>
      <c r="AO111" s="439"/>
      <c r="AP111" s="440" t="s">
        <v>8091</v>
      </c>
      <c r="AQ111" s="440"/>
      <c r="AR111" s="193"/>
      <c r="AS111" s="440"/>
    </row>
    <row r="112" customFormat="false" ht="17.35" hidden="false" customHeight="false" outlineLevel="0" collapsed="false">
      <c r="B112" s="432"/>
      <c r="C112" s="457"/>
      <c r="D112" s="437"/>
      <c r="E112" s="457"/>
      <c r="F112" s="438" t="s">
        <v>8222</v>
      </c>
      <c r="G112" s="438" t="s">
        <v>772</v>
      </c>
      <c r="H112" s="438" t="s">
        <v>664</v>
      </c>
      <c r="I112" s="438" t="s">
        <v>691</v>
      </c>
      <c r="J112" s="438" t="s">
        <v>763</v>
      </c>
      <c r="K112" s="438" t="s">
        <v>8223</v>
      </c>
      <c r="L112" s="438" t="s">
        <v>457</v>
      </c>
      <c r="M112" s="438" t="s">
        <v>502</v>
      </c>
      <c r="N112" s="312" t="s">
        <v>775</v>
      </c>
      <c r="O112" s="438" t="s">
        <v>547</v>
      </c>
      <c r="P112" s="458"/>
      <c r="AM112" s="440"/>
      <c r="AN112" s="440"/>
      <c r="AO112" s="443"/>
      <c r="AP112" s="440" t="s">
        <v>8096</v>
      </c>
      <c r="AQ112" s="440"/>
      <c r="AR112" s="193"/>
      <c r="AS112" s="440"/>
    </row>
    <row r="113" customFormat="false" ht="17.35" hidden="false" customHeight="false" outlineLevel="0" collapsed="false">
      <c r="B113" s="432"/>
      <c r="C113" s="457"/>
      <c r="D113" s="300"/>
      <c r="E113" s="457"/>
      <c r="F113" s="460" t="s">
        <v>8224</v>
      </c>
      <c r="G113" s="460" t="s">
        <v>8225</v>
      </c>
      <c r="H113" s="460" t="s">
        <v>8226</v>
      </c>
      <c r="I113" s="460" t="s">
        <v>8227</v>
      </c>
      <c r="J113" s="460" t="s">
        <v>8228</v>
      </c>
      <c r="K113" s="460" t="s">
        <v>8229</v>
      </c>
      <c r="L113" s="460" t="s">
        <v>8230</v>
      </c>
      <c r="M113" s="460" t="s">
        <v>8231</v>
      </c>
      <c r="N113" s="316" t="s">
        <v>8232</v>
      </c>
      <c r="O113" s="460" t="s">
        <v>8233</v>
      </c>
      <c r="P113" s="458"/>
      <c r="AM113" s="440"/>
      <c r="AN113" s="440"/>
      <c r="AO113" s="448"/>
      <c r="AP113" s="440" t="s">
        <v>8101</v>
      </c>
      <c r="AQ113" s="440"/>
      <c r="AR113" s="193"/>
      <c r="AS113" s="440"/>
    </row>
    <row r="114" customFormat="false" ht="18" hidden="false" customHeight="true" outlineLevel="0" collapsed="false">
      <c r="B114" s="432" t="n">
        <v>47</v>
      </c>
      <c r="C114" s="461" t="s">
        <v>8122</v>
      </c>
      <c r="D114" s="437"/>
      <c r="E114" s="461" t="s">
        <v>8122</v>
      </c>
      <c r="F114" s="446" t="s">
        <v>8139</v>
      </c>
      <c r="G114" s="300" t="s">
        <v>8139</v>
      </c>
      <c r="H114" s="446" t="s">
        <v>8139</v>
      </c>
      <c r="I114" s="446" t="s">
        <v>8138</v>
      </c>
      <c r="J114" s="446" t="s">
        <v>8139</v>
      </c>
      <c r="K114" s="446" t="s">
        <v>8139</v>
      </c>
      <c r="L114" s="446" t="s">
        <v>8139</v>
      </c>
      <c r="M114" s="446" t="s">
        <v>8139</v>
      </c>
      <c r="N114" s="446" t="s">
        <v>8139</v>
      </c>
      <c r="O114" s="446" t="s">
        <v>8139</v>
      </c>
      <c r="P114" s="462" t="s">
        <v>8122</v>
      </c>
      <c r="AK114" s="440"/>
      <c r="AL114" s="440"/>
      <c r="AM114" s="440"/>
      <c r="AN114" s="440"/>
      <c r="AO114" s="463"/>
      <c r="AP114" s="440" t="s">
        <v>8234</v>
      </c>
      <c r="AQ114" s="440"/>
      <c r="AR114" s="440"/>
      <c r="AS114" s="440"/>
    </row>
    <row r="115" customFormat="false" ht="13.5" hidden="false" customHeight="true" outlineLevel="0" collapsed="false">
      <c r="B115" s="432"/>
      <c r="C115" s="461"/>
      <c r="D115" s="437"/>
      <c r="E115" s="461"/>
      <c r="F115" s="438" t="s">
        <v>172</v>
      </c>
      <c r="G115" s="285" t="s">
        <v>172</v>
      </c>
      <c r="H115" s="438" t="s">
        <v>172</v>
      </c>
      <c r="I115" s="438" t="s">
        <v>172</v>
      </c>
      <c r="J115" s="438" t="s">
        <v>172</v>
      </c>
      <c r="K115" s="438" t="s">
        <v>172</v>
      </c>
      <c r="L115" s="438" t="s">
        <v>172</v>
      </c>
      <c r="M115" s="438" t="s">
        <v>172</v>
      </c>
      <c r="N115" s="438" t="s">
        <v>172</v>
      </c>
      <c r="O115" s="438" t="s">
        <v>172</v>
      </c>
      <c r="P115" s="462"/>
      <c r="AM115" s="440"/>
      <c r="AN115" s="440"/>
      <c r="AO115" s="440"/>
      <c r="AP115" s="440"/>
      <c r="AQ115" s="440"/>
      <c r="AR115" s="440"/>
      <c r="AS115" s="440"/>
    </row>
    <row r="116" customFormat="false" ht="12.75" hidden="false" customHeight="true" outlineLevel="0" collapsed="false">
      <c r="B116" s="432"/>
      <c r="C116" s="461"/>
      <c r="D116" s="437"/>
      <c r="E116" s="461"/>
      <c r="F116" s="438" t="s">
        <v>511</v>
      </c>
      <c r="G116" s="312" t="s">
        <v>775</v>
      </c>
      <c r="H116" s="438" t="s">
        <v>727</v>
      </c>
      <c r="I116" s="438" t="s">
        <v>8235</v>
      </c>
      <c r="J116" s="438" t="s">
        <v>430</v>
      </c>
      <c r="K116" s="438" t="s">
        <v>637</v>
      </c>
      <c r="L116" s="438" t="s">
        <v>754</v>
      </c>
      <c r="M116" s="438" t="s">
        <v>655</v>
      </c>
      <c r="N116" s="438" t="s">
        <v>493</v>
      </c>
      <c r="O116" s="438" t="s">
        <v>565</v>
      </c>
      <c r="P116" s="462"/>
      <c r="AM116" s="452"/>
    </row>
    <row r="117" customFormat="false" ht="13.5" hidden="false" customHeight="true" outlineLevel="0" collapsed="false">
      <c r="B117" s="432"/>
      <c r="C117" s="461"/>
      <c r="D117" s="464"/>
      <c r="E117" s="461"/>
      <c r="F117" s="460" t="s">
        <v>8236</v>
      </c>
      <c r="G117" s="328" t="s">
        <v>8237</v>
      </c>
      <c r="H117" s="460" t="s">
        <v>8238</v>
      </c>
      <c r="I117" s="460" t="s">
        <v>8239</v>
      </c>
      <c r="J117" s="460" t="s">
        <v>8240</v>
      </c>
      <c r="K117" s="460" t="s">
        <v>8241</v>
      </c>
      <c r="L117" s="460" t="s">
        <v>8242</v>
      </c>
      <c r="M117" s="460" t="s">
        <v>8243</v>
      </c>
      <c r="N117" s="460" t="s">
        <v>8244</v>
      </c>
      <c r="O117" s="460" t="s">
        <v>8245</v>
      </c>
      <c r="P117" s="462"/>
      <c r="AM117" s="452"/>
    </row>
    <row r="118" customFormat="false" ht="12.75" hidden="false" customHeight="true" outlineLevel="0" collapsed="false">
      <c r="B118" s="432" t="n">
        <v>48</v>
      </c>
      <c r="C118" s="461" t="s">
        <v>8122</v>
      </c>
      <c r="D118" s="437"/>
      <c r="E118" s="461" t="s">
        <v>8122</v>
      </c>
      <c r="F118" s="446" t="s">
        <v>8138</v>
      </c>
      <c r="G118" s="446" t="s">
        <v>8138</v>
      </c>
      <c r="H118" s="446" t="s">
        <v>8138</v>
      </c>
      <c r="I118" s="446" t="s">
        <v>8138</v>
      </c>
      <c r="J118" s="446" t="s">
        <v>8138</v>
      </c>
      <c r="K118" s="300" t="s">
        <v>8138</v>
      </c>
      <c r="L118" s="446" t="s">
        <v>8138</v>
      </c>
      <c r="M118" s="446" t="s">
        <v>8138</v>
      </c>
      <c r="N118" s="446" t="s">
        <v>8138</v>
      </c>
      <c r="O118" s="446" t="s">
        <v>8138</v>
      </c>
      <c r="P118" s="462" t="s">
        <v>8122</v>
      </c>
      <c r="AM118" s="452"/>
    </row>
    <row r="119" customFormat="false" ht="12.75" hidden="false" customHeight="true" outlineLevel="0" collapsed="false">
      <c r="B119" s="432"/>
      <c r="C119" s="461"/>
      <c r="D119" s="437"/>
      <c r="E119" s="461"/>
      <c r="F119" s="438" t="s">
        <v>172</v>
      </c>
      <c r="G119" s="438" t="s">
        <v>172</v>
      </c>
      <c r="H119" s="438" t="s">
        <v>172</v>
      </c>
      <c r="I119" s="438" t="s">
        <v>172</v>
      </c>
      <c r="J119" s="438" t="s">
        <v>172</v>
      </c>
      <c r="K119" s="285" t="s">
        <v>172</v>
      </c>
      <c r="L119" s="438" t="s">
        <v>172</v>
      </c>
      <c r="M119" s="438" t="s">
        <v>172</v>
      </c>
      <c r="N119" s="438" t="s">
        <v>172</v>
      </c>
      <c r="O119" s="438" t="s">
        <v>172</v>
      </c>
      <c r="P119" s="462"/>
      <c r="AM119" s="452"/>
    </row>
    <row r="120" customFormat="false" ht="12.75" hidden="false" customHeight="true" outlineLevel="0" collapsed="false">
      <c r="B120" s="432"/>
      <c r="C120" s="461"/>
      <c r="D120" s="437"/>
      <c r="E120" s="461"/>
      <c r="F120" s="438" t="s">
        <v>8246</v>
      </c>
      <c r="G120" s="438" t="s">
        <v>8247</v>
      </c>
      <c r="H120" s="438" t="s">
        <v>8248</v>
      </c>
      <c r="I120" s="438" t="s">
        <v>8249</v>
      </c>
      <c r="J120" s="438" t="s">
        <v>8250</v>
      </c>
      <c r="K120" s="312" t="s">
        <v>8141</v>
      </c>
      <c r="L120" s="438" t="s">
        <v>8251</v>
      </c>
      <c r="M120" s="438" t="s">
        <v>8252</v>
      </c>
      <c r="N120" s="438" t="s">
        <v>8253</v>
      </c>
      <c r="O120" s="438" t="s">
        <v>8254</v>
      </c>
      <c r="P120" s="462"/>
      <c r="AM120" s="452"/>
    </row>
    <row r="121" customFormat="false" ht="13.5" hidden="false" customHeight="true" outlineLevel="0" collapsed="false">
      <c r="B121" s="432"/>
      <c r="C121" s="461"/>
      <c r="D121" s="464"/>
      <c r="E121" s="461"/>
      <c r="F121" s="460" t="s">
        <v>8255</v>
      </c>
      <c r="G121" s="460" t="s">
        <v>8256</v>
      </c>
      <c r="H121" s="460" t="s">
        <v>8257</v>
      </c>
      <c r="I121" s="460" t="s">
        <v>8258</v>
      </c>
      <c r="J121" s="460" t="s">
        <v>8259</v>
      </c>
      <c r="K121" s="328" t="s">
        <v>8260</v>
      </c>
      <c r="L121" s="460" t="s">
        <v>8261</v>
      </c>
      <c r="M121" s="460" t="s">
        <v>8262</v>
      </c>
      <c r="N121" s="460" t="s">
        <v>8263</v>
      </c>
      <c r="O121" s="460" t="s">
        <v>8264</v>
      </c>
      <c r="P121" s="462"/>
      <c r="AM121" s="452"/>
    </row>
    <row r="122" customFormat="false" ht="12.75" hidden="false" customHeight="false" outlineLevel="0" collapsed="false">
      <c r="AM122" s="452"/>
    </row>
    <row r="123" customFormat="false" ht="12.75" hidden="false" customHeight="false" outlineLevel="0" collapsed="false">
      <c r="AM123" s="452"/>
    </row>
    <row r="124" customFormat="false" ht="12.75" hidden="false" customHeight="false" outlineLevel="0" collapsed="false">
      <c r="AM124" s="452"/>
    </row>
    <row r="125" customFormat="false" ht="12.75" hidden="false" customHeight="false" outlineLevel="0" collapsed="false">
      <c r="AM125" s="452"/>
    </row>
    <row r="126" customFormat="false" ht="12.75" hidden="false" customHeight="false" outlineLevel="0" collapsed="false">
      <c r="AM126" s="452"/>
    </row>
    <row r="127" customFormat="false" ht="12.75" hidden="false" customHeight="false" outlineLevel="0" collapsed="false">
      <c r="AM127" s="452"/>
    </row>
    <row r="128" customFormat="false" ht="12.75" hidden="false" customHeight="false" outlineLevel="0" collapsed="false">
      <c r="AM128" s="452"/>
    </row>
    <row r="129" customFormat="false" ht="12.75" hidden="false" customHeight="false" outlineLevel="0" collapsed="false">
      <c r="AM129" s="452"/>
    </row>
    <row r="130" customFormat="false" ht="12.75" hidden="false" customHeight="false" outlineLevel="0" collapsed="false">
      <c r="AM130" s="452"/>
    </row>
    <row r="131" customFormat="false" ht="12.75" hidden="false" customHeight="false" outlineLevel="0" collapsed="false">
      <c r="AM131" s="452"/>
      <c r="DN131" s="284"/>
      <c r="DO131" s="284"/>
      <c r="DP131" s="284"/>
    </row>
    <row r="132" customFormat="false" ht="12.75" hidden="false" customHeight="false" outlineLevel="0" collapsed="false">
      <c r="AM132" s="452"/>
      <c r="DN132" s="284"/>
      <c r="DO132" s="284"/>
      <c r="DP132" s="284"/>
    </row>
    <row r="133" customFormat="false" ht="12.75" hidden="false" customHeight="false" outlineLevel="0" collapsed="false">
      <c r="AM133" s="452"/>
      <c r="DN133" s="284"/>
      <c r="DO133" s="284"/>
      <c r="DP133" s="284"/>
    </row>
    <row r="134" customFormat="false" ht="12.75" hidden="false" customHeight="false" outlineLevel="0" collapsed="false">
      <c r="AM134" s="452"/>
      <c r="DN134" s="284"/>
      <c r="DO134" s="284"/>
      <c r="DP134" s="284"/>
    </row>
    <row r="135" customFormat="false" ht="12.75" hidden="false" customHeight="false" outlineLevel="0" collapsed="false">
      <c r="AM135" s="452"/>
      <c r="DN135" s="284"/>
      <c r="DO135" s="284"/>
      <c r="DP135" s="284"/>
    </row>
    <row r="136" customFormat="false" ht="12.75" hidden="false" customHeight="false" outlineLevel="0" collapsed="false">
      <c r="AM136" s="452"/>
      <c r="DN136" s="284"/>
      <c r="DO136" s="284"/>
      <c r="DP136" s="284"/>
    </row>
    <row r="137" customFormat="false" ht="12.75" hidden="false" customHeight="false" outlineLevel="0" collapsed="false">
      <c r="AM137" s="452"/>
      <c r="DN137" s="284"/>
      <c r="DO137" s="284"/>
      <c r="DP137" s="284"/>
    </row>
    <row r="138" customFormat="false" ht="12.75" hidden="false" customHeight="false" outlineLevel="0" collapsed="false">
      <c r="AM138" s="452"/>
      <c r="DN138" s="284"/>
      <c r="DO138" s="284"/>
      <c r="DP138" s="284"/>
      <c r="DQ138" s="284"/>
    </row>
    <row r="139" customFormat="false" ht="12.75" hidden="false" customHeight="false" outlineLevel="0" collapsed="false">
      <c r="AM139" s="452"/>
      <c r="DN139" s="284"/>
      <c r="DO139" s="284"/>
      <c r="DP139" s="284"/>
      <c r="DQ139" s="284"/>
    </row>
    <row r="140" customFormat="false" ht="12.75" hidden="false" customHeight="true" outlineLevel="0" collapsed="false">
      <c r="AM140" s="452"/>
      <c r="DN140" s="284"/>
      <c r="DO140" s="284"/>
      <c r="DP140" s="284"/>
      <c r="DQ140" s="284"/>
    </row>
    <row r="141" customFormat="false" ht="12.75" hidden="false" customHeight="true" outlineLevel="0" collapsed="false">
      <c r="AM141" s="452"/>
      <c r="DN141" s="284"/>
      <c r="DO141" s="284"/>
      <c r="DP141" s="284"/>
      <c r="DQ141" s="284"/>
    </row>
    <row r="142" customFormat="false" ht="12.75" hidden="false" customHeight="true" outlineLevel="0" collapsed="false">
      <c r="AM142" s="452"/>
      <c r="DN142" s="284"/>
      <c r="DO142" s="284"/>
      <c r="DP142" s="284"/>
      <c r="DQ142" s="284"/>
    </row>
    <row r="143" customFormat="false" ht="12.75" hidden="false" customHeight="true" outlineLevel="0" collapsed="false">
      <c r="AM143" s="452"/>
      <c r="DN143" s="284"/>
      <c r="DO143" s="284"/>
      <c r="DP143" s="284"/>
      <c r="DQ143" s="284"/>
    </row>
    <row r="144" customFormat="false" ht="12.75" hidden="false" customHeight="true" outlineLevel="0" collapsed="false">
      <c r="AM144" s="452"/>
      <c r="DN144" s="284"/>
      <c r="DO144" s="284"/>
      <c r="DP144" s="284"/>
      <c r="DQ144" s="284"/>
    </row>
    <row r="145" customFormat="false" ht="12.75" hidden="false" customHeight="true" outlineLevel="0" collapsed="false">
      <c r="AM145" s="452"/>
      <c r="DN145" s="284"/>
      <c r="DO145" s="284"/>
      <c r="DP145" s="284"/>
      <c r="DQ145" s="284"/>
    </row>
    <row r="146" customFormat="false" ht="12.75" hidden="false" customHeight="true" outlineLevel="0" collapsed="false">
      <c r="AM146" s="452"/>
      <c r="DN146" s="284"/>
      <c r="DO146" s="284"/>
      <c r="DP146" s="284"/>
      <c r="DQ146" s="284"/>
    </row>
    <row r="147" customFormat="false" ht="12.75" hidden="false" customHeight="true" outlineLevel="0" collapsed="false">
      <c r="AM147" s="452"/>
      <c r="DN147" s="284"/>
      <c r="DO147" s="284"/>
      <c r="DP147" s="284"/>
      <c r="DQ147" s="284"/>
    </row>
    <row r="148" customFormat="false" ht="12.75" hidden="false" customHeight="true" outlineLevel="0" collapsed="false">
      <c r="AM148" s="452"/>
      <c r="DN148" s="284"/>
      <c r="DO148" s="284"/>
      <c r="DP148" s="284"/>
      <c r="DQ148" s="284"/>
    </row>
    <row r="149" customFormat="false" ht="12.75" hidden="false" customHeight="true" outlineLevel="0" collapsed="false">
      <c r="AM149" s="452"/>
      <c r="DN149" s="284"/>
      <c r="DO149" s="284"/>
      <c r="DP149" s="284"/>
      <c r="DQ149" s="284"/>
    </row>
    <row r="150" customFormat="false" ht="12.75" hidden="false" customHeight="true" outlineLevel="0" collapsed="false">
      <c r="AM150" s="452"/>
      <c r="DN150" s="284"/>
      <c r="DO150" s="284"/>
      <c r="DP150" s="284"/>
      <c r="DQ150" s="284"/>
    </row>
    <row r="151" customFormat="false" ht="13.5" hidden="false" customHeight="true" outlineLevel="0" collapsed="false">
      <c r="AM151" s="452"/>
      <c r="DN151" s="284"/>
      <c r="DO151" s="284"/>
      <c r="DP151" s="284"/>
      <c r="DQ151" s="284"/>
    </row>
    <row r="152" customFormat="false" ht="12.75" hidden="false" customHeight="false" outlineLevel="0" collapsed="false">
      <c r="AM152" s="452"/>
      <c r="DN152" s="284"/>
      <c r="DO152" s="284"/>
      <c r="DP152" s="284"/>
      <c r="DQ152" s="284"/>
    </row>
    <row r="153" customFormat="false" ht="12.75" hidden="false" customHeight="false" outlineLevel="0" collapsed="false">
      <c r="AM153" s="452"/>
      <c r="DN153" s="284"/>
      <c r="DO153" s="284"/>
      <c r="DP153" s="284"/>
      <c r="DQ153" s="284"/>
    </row>
    <row r="154" customFormat="false" ht="12.75" hidden="false" customHeight="false" outlineLevel="0" collapsed="false">
      <c r="AM154" s="452"/>
      <c r="DN154" s="284"/>
      <c r="DO154" s="284"/>
      <c r="DP154" s="284"/>
      <c r="DQ154" s="284"/>
    </row>
    <row r="155" customFormat="false" ht="12.75" hidden="false" customHeight="false" outlineLevel="0" collapsed="false">
      <c r="AM155" s="452"/>
      <c r="DN155" s="284"/>
      <c r="DO155" s="284"/>
      <c r="DP155" s="284"/>
      <c r="DQ155" s="284"/>
    </row>
    <row r="156" customFormat="false" ht="12.75" hidden="false" customHeight="false" outlineLevel="0" collapsed="false">
      <c r="AM156" s="452"/>
      <c r="DN156" s="284"/>
      <c r="DO156" s="284"/>
      <c r="DP156" s="284"/>
      <c r="DQ156" s="284"/>
    </row>
    <row r="157" customFormat="false" ht="12.75" hidden="false" customHeight="false" outlineLevel="0" collapsed="false">
      <c r="AM157" s="452"/>
    </row>
    <row r="158" customFormat="false" ht="12.75" hidden="false" customHeight="false" outlineLevel="0" collapsed="false">
      <c r="AM158" s="452"/>
    </row>
    <row r="159" customFormat="false" ht="12.75" hidden="false" customHeight="false" outlineLevel="0" collapsed="false">
      <c r="AM159" s="452"/>
    </row>
    <row r="160" customFormat="false" ht="12.75" hidden="false" customHeight="false" outlineLevel="0" collapsed="false">
      <c r="AM160" s="452"/>
    </row>
    <row r="161" customFormat="false" ht="12.75" hidden="false" customHeight="false" outlineLevel="0" collapsed="false">
      <c r="AM161" s="452"/>
    </row>
    <row r="162" customFormat="false" ht="12.75" hidden="false" customHeight="false" outlineLevel="0" collapsed="false">
      <c r="AM162" s="452"/>
    </row>
    <row r="163" customFormat="false" ht="12.75" hidden="false" customHeight="false" outlineLevel="0" collapsed="false">
      <c r="AM163" s="452"/>
    </row>
    <row r="164" customFormat="false" ht="12.75" hidden="false" customHeight="false" outlineLevel="0" collapsed="false">
      <c r="AM164" s="452"/>
    </row>
    <row r="165" customFormat="false" ht="12.75" hidden="false" customHeight="false" outlineLevel="0" collapsed="false">
      <c r="AM165" s="452"/>
    </row>
    <row r="166" customFormat="false" ht="12.75" hidden="false" customHeight="false" outlineLevel="0" collapsed="false">
      <c r="AM166" s="452"/>
    </row>
    <row r="167" customFormat="false" ht="12.75" hidden="false" customHeight="false" outlineLevel="0" collapsed="false">
      <c r="AM167" s="452"/>
    </row>
    <row r="168" customFormat="false" ht="12.75" hidden="false" customHeight="false" outlineLevel="0" collapsed="false">
      <c r="AM168" s="452"/>
    </row>
    <row r="169" customFormat="false" ht="12.75" hidden="false" customHeight="false" outlineLevel="0" collapsed="false">
      <c r="AM169" s="452"/>
    </row>
    <row r="170" customFormat="false" ht="12.75" hidden="false" customHeight="false" outlineLevel="0" collapsed="false">
      <c r="AM170" s="452"/>
    </row>
    <row r="171" customFormat="false" ht="12.75" hidden="false" customHeight="false" outlineLevel="0" collapsed="false">
      <c r="AM171" s="452"/>
    </row>
    <row r="172" customFormat="false" ht="12.75" hidden="false" customHeight="false" outlineLevel="0" collapsed="false">
      <c r="AM172" s="452"/>
    </row>
    <row r="173" customFormat="false" ht="12.75" hidden="false" customHeight="false" outlineLevel="0" collapsed="false">
      <c r="AM173" s="452"/>
    </row>
    <row r="174" customFormat="false" ht="12.75" hidden="false" customHeight="false" outlineLevel="0" collapsed="false">
      <c r="AM174" s="452"/>
    </row>
    <row r="175" customFormat="false" ht="12.75" hidden="false" customHeight="false" outlineLevel="0" collapsed="false">
      <c r="AM175" s="452"/>
    </row>
    <row r="176" customFormat="false" ht="12.75" hidden="false" customHeight="false" outlineLevel="0" collapsed="false">
      <c r="AM176" s="452"/>
    </row>
    <row r="177" customFormat="false" ht="12.75" hidden="false" customHeight="false" outlineLevel="0" collapsed="false">
      <c r="AM177" s="452"/>
    </row>
    <row r="178" customFormat="false" ht="12.75" hidden="false" customHeight="false" outlineLevel="0" collapsed="false">
      <c r="AM178" s="452"/>
    </row>
    <row r="179" customFormat="false" ht="12.75" hidden="false" customHeight="false" outlineLevel="0" collapsed="false">
      <c r="AM179" s="452"/>
    </row>
    <row r="180" customFormat="false" ht="12.75" hidden="false" customHeight="false" outlineLevel="0" collapsed="false">
      <c r="AM180" s="452"/>
    </row>
    <row r="181" customFormat="false" ht="12.75" hidden="false" customHeight="false" outlineLevel="0" collapsed="false">
      <c r="AM181" s="452"/>
    </row>
    <row r="182" customFormat="false" ht="12.75" hidden="false" customHeight="false" outlineLevel="0" collapsed="false">
      <c r="AM182" s="452"/>
    </row>
    <row r="183" customFormat="false" ht="12.75" hidden="false" customHeight="false" outlineLevel="0" collapsed="false">
      <c r="AM183" s="452"/>
    </row>
    <row r="184" customFormat="false" ht="12.75" hidden="false" customHeight="false" outlineLevel="0" collapsed="false">
      <c r="AM184" s="452"/>
    </row>
    <row r="185" customFormat="false" ht="12.75" hidden="false" customHeight="false" outlineLevel="0" collapsed="false">
      <c r="AM185" s="452"/>
    </row>
    <row r="186" customFormat="false" ht="12.75" hidden="false" customHeight="false" outlineLevel="0" collapsed="false">
      <c r="AM186" s="452"/>
    </row>
    <row r="187" customFormat="false" ht="12.75" hidden="false" customHeight="false" outlineLevel="0" collapsed="false">
      <c r="AM187" s="452"/>
    </row>
    <row r="188" customFormat="false" ht="12.75" hidden="false" customHeight="false" outlineLevel="0" collapsed="false">
      <c r="AM188" s="452"/>
    </row>
    <row r="189" customFormat="false" ht="12.75" hidden="false" customHeight="false" outlineLevel="0" collapsed="false">
      <c r="AM189" s="452"/>
    </row>
    <row r="190" customFormat="false" ht="12.75" hidden="false" customHeight="false" outlineLevel="0" collapsed="false">
      <c r="AM190" s="452"/>
    </row>
    <row r="191" customFormat="false" ht="12.75" hidden="false" customHeight="false" outlineLevel="0" collapsed="false">
      <c r="AM191" s="452"/>
    </row>
    <row r="192" customFormat="false" ht="12.75" hidden="false" customHeight="false" outlineLevel="0" collapsed="false">
      <c r="AM192" s="452"/>
    </row>
    <row r="193" customFormat="false" ht="12.75" hidden="false" customHeight="false" outlineLevel="0" collapsed="false">
      <c r="AM193" s="452"/>
    </row>
    <row r="194" customFormat="false" ht="12.75" hidden="false" customHeight="false" outlineLevel="0" collapsed="false">
      <c r="AM194" s="452"/>
    </row>
    <row r="202" customFormat="false" ht="12.75" hidden="false" customHeight="false" outlineLevel="0" collapsed="false">
      <c r="AM202" s="45"/>
    </row>
    <row r="203" customFormat="false" ht="12.75" hidden="false" customHeight="false" outlineLevel="0" collapsed="false">
      <c r="AM203" s="45"/>
    </row>
    <row r="204" customFormat="false" ht="12.75" hidden="false" customHeight="false" outlineLevel="0" collapsed="false">
      <c r="AM204" s="45"/>
    </row>
    <row r="205" customFormat="false" ht="12.75" hidden="false" customHeight="false" outlineLevel="0" collapsed="false">
      <c r="AM205" s="45"/>
    </row>
    <row r="206" customFormat="false" ht="12.75" hidden="false" customHeight="false" outlineLevel="0" collapsed="false">
      <c r="AM206" s="45"/>
    </row>
    <row r="207" customFormat="false" ht="12.75" hidden="false" customHeight="false" outlineLevel="0" collapsed="false">
      <c r="AM207" s="45"/>
    </row>
    <row r="208" customFormat="false" ht="12.75" hidden="false" customHeight="false" outlineLevel="0" collapsed="false">
      <c r="AM208" s="45"/>
    </row>
    <row r="209" customFormat="false" ht="12.75" hidden="false" customHeight="false" outlineLevel="0" collapsed="false">
      <c r="AM209" s="45"/>
    </row>
    <row r="210" customFormat="false" ht="12.75" hidden="false" customHeight="false" outlineLevel="0" collapsed="false">
      <c r="AM210" s="45"/>
    </row>
    <row r="211" customFormat="false" ht="12.75" hidden="false" customHeight="false" outlineLevel="0" collapsed="false">
      <c r="AM211" s="45"/>
    </row>
    <row r="212" customFormat="false" ht="12.75" hidden="false" customHeight="false" outlineLevel="0" collapsed="false">
      <c r="AM212" s="45"/>
    </row>
    <row r="213" customFormat="false" ht="12.75" hidden="false" customHeight="false" outlineLevel="0" collapsed="false">
      <c r="AM213" s="45"/>
    </row>
    <row r="214" customFormat="false" ht="12.75" hidden="false" customHeight="false" outlineLevel="0" collapsed="false">
      <c r="AM214" s="45"/>
    </row>
    <row r="215" customFormat="false" ht="12.75" hidden="false" customHeight="false" outlineLevel="0" collapsed="false">
      <c r="AM215" s="45"/>
    </row>
    <row r="216" customFormat="false" ht="12.75" hidden="false" customHeight="false" outlineLevel="0" collapsed="false">
      <c r="AM216" s="45"/>
    </row>
    <row r="217" customFormat="false" ht="12.75" hidden="false" customHeight="false" outlineLevel="0" collapsed="false">
      <c r="AM217" s="45"/>
    </row>
    <row r="218" customFormat="false" ht="12.75" hidden="false" customHeight="false" outlineLevel="0" collapsed="false">
      <c r="AM218" s="45"/>
    </row>
    <row r="219" customFormat="false" ht="12.75" hidden="false" customHeight="false" outlineLevel="0" collapsed="false">
      <c r="AM219" s="45"/>
    </row>
    <row r="220" customFormat="false" ht="12.75" hidden="false" customHeight="false" outlineLevel="0" collapsed="false">
      <c r="AM220" s="45"/>
    </row>
    <row r="221" customFormat="false" ht="12.75" hidden="false" customHeight="false" outlineLevel="0" collapsed="false">
      <c r="AM221" s="45"/>
    </row>
    <row r="222" customFormat="false" ht="12.75" hidden="false" customHeight="false" outlineLevel="0" collapsed="false">
      <c r="AM222" s="45"/>
    </row>
    <row r="223" customFormat="false" ht="12.75" hidden="false" customHeight="false" outlineLevel="0" collapsed="false">
      <c r="AM223" s="45"/>
    </row>
    <row r="224" customFormat="false" ht="12.75" hidden="false" customHeight="false" outlineLevel="0" collapsed="false">
      <c r="AM224" s="45"/>
    </row>
    <row r="225" customFormat="false" ht="12.75" hidden="false" customHeight="false" outlineLevel="0" collapsed="false">
      <c r="AM225" s="45"/>
    </row>
    <row r="226" customFormat="false" ht="12.75" hidden="false" customHeight="false" outlineLevel="0" collapsed="false">
      <c r="AM226" s="45"/>
    </row>
    <row r="227" customFormat="false" ht="12.75" hidden="false" customHeight="false" outlineLevel="0" collapsed="false">
      <c r="AM227" s="45"/>
    </row>
    <row r="228" customFormat="false" ht="12.75" hidden="false" customHeight="false" outlineLevel="0" collapsed="false">
      <c r="AM228" s="45"/>
    </row>
    <row r="229" customFormat="false" ht="12.75" hidden="false" customHeight="false" outlineLevel="0" collapsed="false">
      <c r="AM229" s="45"/>
    </row>
    <row r="230" customFormat="false" ht="12.75" hidden="false" customHeight="false" outlineLevel="0" collapsed="false">
      <c r="AM230" s="45"/>
    </row>
    <row r="231" customFormat="false" ht="12.75" hidden="false" customHeight="false" outlineLevel="0" collapsed="false">
      <c r="AM231" s="45"/>
    </row>
    <row r="232" customFormat="false" ht="12.75" hidden="false" customHeight="false" outlineLevel="0" collapsed="false">
      <c r="AM232" s="45"/>
    </row>
    <row r="233" customFormat="false" ht="12.75" hidden="false" customHeight="false" outlineLevel="0" collapsed="false">
      <c r="AM233" s="45"/>
    </row>
    <row r="234" customFormat="false" ht="12.75" hidden="false" customHeight="false" outlineLevel="0" collapsed="false">
      <c r="AM234" s="45"/>
    </row>
    <row r="235" customFormat="false" ht="12.75" hidden="false" customHeight="false" outlineLevel="0" collapsed="false">
      <c r="AM235" s="45"/>
    </row>
    <row r="236" customFormat="false" ht="12.75" hidden="false" customHeight="false" outlineLevel="0" collapsed="false">
      <c r="AM236" s="45"/>
    </row>
    <row r="237" customFormat="false" ht="12.75" hidden="false" customHeight="false" outlineLevel="0" collapsed="false">
      <c r="AM237" s="45"/>
    </row>
    <row r="238" customFormat="false" ht="12.75" hidden="false" customHeight="false" outlineLevel="0" collapsed="false">
      <c r="AM238" s="45"/>
    </row>
    <row r="239" customFormat="false" ht="12.75" hidden="false" customHeight="false" outlineLevel="0" collapsed="false">
      <c r="AM239" s="45"/>
    </row>
    <row r="240" customFormat="false" ht="12.75" hidden="false" customHeight="false" outlineLevel="0" collapsed="false">
      <c r="AM240" s="45"/>
    </row>
    <row r="241" customFormat="false" ht="12.75" hidden="false" customHeight="false" outlineLevel="0" collapsed="false">
      <c r="AM241" s="45"/>
    </row>
    <row r="242" customFormat="false" ht="12.75" hidden="false" customHeight="false" outlineLevel="0" collapsed="false">
      <c r="AM242" s="45"/>
    </row>
    <row r="243" customFormat="false" ht="12.75" hidden="false" customHeight="false" outlineLevel="0" collapsed="false">
      <c r="AM243" s="45"/>
    </row>
    <row r="244" customFormat="false" ht="12.75" hidden="false" customHeight="false" outlineLevel="0" collapsed="false">
      <c r="AM244" s="45"/>
    </row>
    <row r="245" customFormat="false" ht="12.75" hidden="false" customHeight="false" outlineLevel="0" collapsed="false">
      <c r="AM245" s="45"/>
    </row>
    <row r="246" customFormat="false" ht="12.75" hidden="false" customHeight="false" outlineLevel="0" collapsed="false">
      <c r="AM246" s="45"/>
    </row>
    <row r="247" customFormat="false" ht="12.75" hidden="false" customHeight="false" outlineLevel="0" collapsed="false">
      <c r="AM247" s="45"/>
    </row>
    <row r="248" customFormat="false" ht="12.75" hidden="false" customHeight="false" outlineLevel="0" collapsed="false">
      <c r="AM248" s="45"/>
    </row>
    <row r="249" customFormat="false" ht="12.75" hidden="false" customHeight="false" outlineLevel="0" collapsed="false">
      <c r="AM249" s="45"/>
    </row>
    <row r="250" customFormat="false" ht="12.75" hidden="false" customHeight="false" outlineLevel="0" collapsed="false">
      <c r="AM250" s="45"/>
    </row>
    <row r="251" customFormat="false" ht="12.75" hidden="false" customHeight="false" outlineLevel="0" collapsed="false">
      <c r="AM251" s="45"/>
    </row>
    <row r="252" customFormat="false" ht="12.75" hidden="false" customHeight="false" outlineLevel="0" collapsed="false">
      <c r="AM252" s="45"/>
    </row>
    <row r="253" customFormat="false" ht="12.75" hidden="false" customHeight="false" outlineLevel="0" collapsed="false">
      <c r="AM253" s="45"/>
    </row>
    <row r="254" customFormat="false" ht="12.75" hidden="false" customHeight="false" outlineLevel="0" collapsed="false">
      <c r="AM254" s="45"/>
    </row>
    <row r="255" customFormat="false" ht="12.75" hidden="false" customHeight="false" outlineLevel="0" collapsed="false">
      <c r="AM255" s="45"/>
    </row>
    <row r="256" customFormat="false" ht="12.75" hidden="false" customHeight="false" outlineLevel="0" collapsed="false">
      <c r="AM256" s="45"/>
    </row>
    <row r="257" customFormat="false" ht="12.75" hidden="false" customHeight="false" outlineLevel="0" collapsed="false">
      <c r="AM257" s="45"/>
    </row>
    <row r="258" customFormat="false" ht="12.75" hidden="false" customHeight="false" outlineLevel="0" collapsed="false">
      <c r="AM258" s="45"/>
    </row>
    <row r="259" customFormat="false" ht="12.75" hidden="false" customHeight="false" outlineLevel="0" collapsed="false">
      <c r="AM259" s="45"/>
    </row>
    <row r="260" customFormat="false" ht="12.75" hidden="false" customHeight="false" outlineLevel="0" collapsed="false">
      <c r="AM260" s="45"/>
    </row>
    <row r="261" customFormat="false" ht="12.75" hidden="false" customHeight="false" outlineLevel="0" collapsed="false">
      <c r="AM261" s="45"/>
    </row>
    <row r="262" customFormat="false" ht="12.75" hidden="false" customHeight="false" outlineLevel="0" collapsed="false">
      <c r="AM262" s="45"/>
    </row>
    <row r="263" customFormat="false" ht="12.75" hidden="false" customHeight="false" outlineLevel="0" collapsed="false">
      <c r="AM263" s="45"/>
    </row>
    <row r="264" customFormat="false" ht="12.75" hidden="false" customHeight="false" outlineLevel="0" collapsed="false">
      <c r="AM264" s="45"/>
    </row>
    <row r="265" customFormat="false" ht="12.75" hidden="false" customHeight="false" outlineLevel="0" collapsed="false">
      <c r="AM265" s="45"/>
    </row>
    <row r="266" customFormat="false" ht="12.75" hidden="false" customHeight="false" outlineLevel="0" collapsed="false">
      <c r="AM266" s="45"/>
    </row>
    <row r="267" customFormat="false" ht="12.75" hidden="false" customHeight="false" outlineLevel="0" collapsed="false">
      <c r="AM267" s="45"/>
    </row>
    <row r="268" customFormat="false" ht="12.75" hidden="false" customHeight="false" outlineLevel="0" collapsed="false">
      <c r="AM268" s="45"/>
    </row>
    <row r="269" customFormat="false" ht="12.75" hidden="false" customHeight="false" outlineLevel="0" collapsed="false">
      <c r="AM269" s="45"/>
    </row>
    <row r="270" customFormat="false" ht="12.75" hidden="false" customHeight="false" outlineLevel="0" collapsed="false">
      <c r="AM270" s="45"/>
    </row>
    <row r="271" customFormat="false" ht="12.75" hidden="false" customHeight="false" outlineLevel="0" collapsed="false">
      <c r="AM271" s="45"/>
    </row>
    <row r="272" customFormat="false" ht="12.75" hidden="false" customHeight="false" outlineLevel="0" collapsed="false">
      <c r="AM272" s="45"/>
    </row>
    <row r="273" customFormat="false" ht="12.75" hidden="false" customHeight="false" outlineLevel="0" collapsed="false">
      <c r="AM273" s="45"/>
    </row>
    <row r="274" customFormat="false" ht="12.75" hidden="false" customHeight="false" outlineLevel="0" collapsed="false">
      <c r="AM274" s="45"/>
    </row>
    <row r="275" customFormat="false" ht="12.75" hidden="false" customHeight="false" outlineLevel="0" collapsed="false">
      <c r="AM275" s="45"/>
    </row>
    <row r="276" customFormat="false" ht="12.75" hidden="false" customHeight="false" outlineLevel="0" collapsed="false">
      <c r="AM276" s="45"/>
    </row>
    <row r="277" customFormat="false" ht="12.75" hidden="false" customHeight="false" outlineLevel="0" collapsed="false">
      <c r="AM277" s="45"/>
    </row>
    <row r="278" customFormat="false" ht="12.75" hidden="false" customHeight="false" outlineLevel="0" collapsed="false">
      <c r="AM278" s="45"/>
    </row>
    <row r="279" customFormat="false" ht="12.75" hidden="false" customHeight="false" outlineLevel="0" collapsed="false">
      <c r="AM279" s="45"/>
    </row>
    <row r="280" customFormat="false" ht="12.75" hidden="false" customHeight="false" outlineLevel="0" collapsed="false">
      <c r="AM280" s="45"/>
    </row>
    <row r="281" customFormat="false" ht="12.75" hidden="false" customHeight="false" outlineLevel="0" collapsed="false">
      <c r="AM281" s="45"/>
    </row>
    <row r="282" customFormat="false" ht="12.75" hidden="false" customHeight="false" outlineLevel="0" collapsed="false">
      <c r="AM282" s="45"/>
    </row>
    <row r="283" customFormat="false" ht="12.75" hidden="false" customHeight="false" outlineLevel="0" collapsed="false">
      <c r="AM283" s="45"/>
    </row>
    <row r="284" customFormat="false" ht="12.75" hidden="false" customHeight="false" outlineLevel="0" collapsed="false">
      <c r="AM284" s="45"/>
    </row>
    <row r="285" customFormat="false" ht="12.75" hidden="false" customHeight="false" outlineLevel="0" collapsed="false">
      <c r="AM285" s="45"/>
    </row>
    <row r="286" customFormat="false" ht="12.75" hidden="false" customHeight="false" outlineLevel="0" collapsed="false">
      <c r="AM286" s="45"/>
    </row>
    <row r="287" customFormat="false" ht="12.75" hidden="false" customHeight="false" outlineLevel="0" collapsed="false">
      <c r="AM287" s="45"/>
    </row>
    <row r="288" customFormat="false" ht="12.75" hidden="false" customHeight="false" outlineLevel="0" collapsed="false">
      <c r="AM288" s="45"/>
    </row>
    <row r="289" customFormat="false" ht="12.75" hidden="false" customHeight="false" outlineLevel="0" collapsed="false">
      <c r="AM289" s="45"/>
    </row>
    <row r="290" customFormat="false" ht="12.75" hidden="false" customHeight="false" outlineLevel="0" collapsed="false">
      <c r="AM290" s="45"/>
    </row>
    <row r="291" customFormat="false" ht="12.75" hidden="false" customHeight="false" outlineLevel="0" collapsed="false">
      <c r="AM291" s="45"/>
    </row>
    <row r="292" customFormat="false" ht="12.75" hidden="false" customHeight="false" outlineLevel="0" collapsed="false">
      <c r="AM292" s="45"/>
    </row>
    <row r="293" customFormat="false" ht="12.75" hidden="false" customHeight="false" outlineLevel="0" collapsed="false">
      <c r="AM293" s="95"/>
    </row>
    <row r="294" customFormat="false" ht="12.75" hidden="false" customHeight="false" outlineLevel="0" collapsed="false">
      <c r="AM294" s="95"/>
    </row>
    <row r="295" customFormat="false" ht="12.75" hidden="false" customHeight="false" outlineLevel="0" collapsed="false">
      <c r="AM295" s="95"/>
    </row>
    <row r="296" customFormat="false" ht="12.75" hidden="false" customHeight="false" outlineLevel="0" collapsed="false">
      <c r="AM296" s="95"/>
    </row>
    <row r="297" customFormat="false" ht="12.75" hidden="false" customHeight="false" outlineLevel="0" collapsed="false">
      <c r="AM297" s="95"/>
    </row>
    <row r="298" customFormat="false" ht="12.75" hidden="false" customHeight="false" outlineLevel="0" collapsed="false">
      <c r="AM298" s="95"/>
    </row>
    <row r="299" customFormat="false" ht="12.75" hidden="false" customHeight="false" outlineLevel="0" collapsed="false">
      <c r="AM299" s="95"/>
    </row>
    <row r="300" customFormat="false" ht="12.75" hidden="false" customHeight="false" outlineLevel="0" collapsed="false">
      <c r="AM300" s="95"/>
    </row>
    <row r="301" customFormat="false" ht="12.75" hidden="false" customHeight="false" outlineLevel="0" collapsed="false">
      <c r="AM301" s="95"/>
    </row>
    <row r="302" customFormat="false" ht="12.75" hidden="false" customHeight="false" outlineLevel="0" collapsed="false">
      <c r="AM302" s="95"/>
    </row>
    <row r="303" customFormat="false" ht="12.75" hidden="false" customHeight="false" outlineLevel="0" collapsed="false">
      <c r="AM303" s="95"/>
    </row>
    <row r="304" customFormat="false" ht="12.75" hidden="false" customHeight="false" outlineLevel="0" collapsed="false">
      <c r="AM304" s="95"/>
    </row>
    <row r="305" customFormat="false" ht="12.75" hidden="false" customHeight="false" outlineLevel="0" collapsed="false">
      <c r="AM305" s="95"/>
    </row>
  </sheetData>
  <mergeCells count="655">
    <mergeCell ref="B9:B12"/>
    <mergeCell ref="C9:C12"/>
    <mergeCell ref="E9:E12"/>
    <mergeCell ref="AF9:AF12"/>
    <mergeCell ref="AI9:AI12"/>
    <mergeCell ref="AJ9:AJ12"/>
    <mergeCell ref="AL9:AL12"/>
    <mergeCell ref="DI9:DI12"/>
    <mergeCell ref="DK9:DK12"/>
    <mergeCell ref="B13:B16"/>
    <mergeCell ref="C13:C16"/>
    <mergeCell ref="E13:E16"/>
    <mergeCell ref="AF13:AF16"/>
    <mergeCell ref="AI13:AI16"/>
    <mergeCell ref="AJ13:AJ16"/>
    <mergeCell ref="AL13:AL16"/>
    <mergeCell ref="DI13:DI16"/>
    <mergeCell ref="DK13:DK16"/>
    <mergeCell ref="B17:B20"/>
    <mergeCell ref="C17:C20"/>
    <mergeCell ref="E17:E20"/>
    <mergeCell ref="AF17:AF20"/>
    <mergeCell ref="AI17:AI20"/>
    <mergeCell ref="AJ17:AJ20"/>
    <mergeCell ref="AL17:AL20"/>
    <mergeCell ref="DI17:DI20"/>
    <mergeCell ref="DK17:DK20"/>
    <mergeCell ref="B21:B24"/>
    <mergeCell ref="C21:C24"/>
    <mergeCell ref="E21:E24"/>
    <mergeCell ref="AF21:AF24"/>
    <mergeCell ref="AI21:AI24"/>
    <mergeCell ref="AJ21:AJ24"/>
    <mergeCell ref="AL21:AL24"/>
    <mergeCell ref="DI21:DI24"/>
    <mergeCell ref="DK21:DK24"/>
    <mergeCell ref="B25:B28"/>
    <mergeCell ref="C25:C28"/>
    <mergeCell ref="E25:E28"/>
    <mergeCell ref="AF25:AF28"/>
    <mergeCell ref="AI26:AI29"/>
    <mergeCell ref="AJ26:AJ29"/>
    <mergeCell ref="AL26:AL29"/>
    <mergeCell ref="DI26:DI29"/>
    <mergeCell ref="DK26:DK29"/>
    <mergeCell ref="B30:B33"/>
    <mergeCell ref="C30:C33"/>
    <mergeCell ref="E30:E33"/>
    <mergeCell ref="AF30:AF33"/>
    <mergeCell ref="AI30:AI33"/>
    <mergeCell ref="AJ30:AJ33"/>
    <mergeCell ref="AL30:AL33"/>
    <mergeCell ref="DI30:DI33"/>
    <mergeCell ref="DK30:DK33"/>
    <mergeCell ref="B34:B37"/>
    <mergeCell ref="C34:C37"/>
    <mergeCell ref="E34:E37"/>
    <mergeCell ref="AF34:AF37"/>
    <mergeCell ref="AI34:AI37"/>
    <mergeCell ref="AJ34:AJ37"/>
    <mergeCell ref="AL34:AL37"/>
    <mergeCell ref="DI34:DI37"/>
    <mergeCell ref="DK34:DK37"/>
    <mergeCell ref="B38:B41"/>
    <mergeCell ref="C38:C41"/>
    <mergeCell ref="E38:E41"/>
    <mergeCell ref="AF38:AF41"/>
    <mergeCell ref="AI38:AI41"/>
    <mergeCell ref="AJ38:AJ41"/>
    <mergeCell ref="AL38:AL41"/>
    <mergeCell ref="DI38:DI41"/>
    <mergeCell ref="DK38:DK41"/>
    <mergeCell ref="B42:B45"/>
    <mergeCell ref="C42:C45"/>
    <mergeCell ref="E42:E45"/>
    <mergeCell ref="AF42:AF45"/>
    <mergeCell ref="AI43:AI46"/>
    <mergeCell ref="AJ43:AJ46"/>
    <mergeCell ref="AL43:AL46"/>
    <mergeCell ref="DI43:DI46"/>
    <mergeCell ref="DK43:DK46"/>
    <mergeCell ref="B46:B49"/>
    <mergeCell ref="C46:C49"/>
    <mergeCell ref="E46:E49"/>
    <mergeCell ref="AF46:AF49"/>
    <mergeCell ref="AI47:AI50"/>
    <mergeCell ref="AJ47:AJ50"/>
    <mergeCell ref="AL47:AL50"/>
    <mergeCell ref="DI47:DI50"/>
    <mergeCell ref="DK47:DK50"/>
    <mergeCell ref="B51:B54"/>
    <mergeCell ref="C51:C54"/>
    <mergeCell ref="E51:E54"/>
    <mergeCell ref="AF51:AF54"/>
    <mergeCell ref="AI51:AI54"/>
    <mergeCell ref="AJ51:AJ54"/>
    <mergeCell ref="AL51:AL54"/>
    <mergeCell ref="DI51:DI54"/>
    <mergeCell ref="DK51:DK54"/>
    <mergeCell ref="B55:B58"/>
    <mergeCell ref="C55:C58"/>
    <mergeCell ref="E55:E58"/>
    <mergeCell ref="AF55:AF58"/>
    <mergeCell ref="AI56:AI59"/>
    <mergeCell ref="AJ56:AJ59"/>
    <mergeCell ref="AL56:AL59"/>
    <mergeCell ref="DI56:DI59"/>
    <mergeCell ref="DK56:DK59"/>
    <mergeCell ref="B59:B62"/>
    <mergeCell ref="C59:C62"/>
    <mergeCell ref="E59:E62"/>
    <mergeCell ref="AF59:AF62"/>
    <mergeCell ref="AI60:AI63"/>
    <mergeCell ref="AJ60:AJ63"/>
    <mergeCell ref="AL60:AL63"/>
    <mergeCell ref="DI60:DI63"/>
    <mergeCell ref="DK60:DK63"/>
    <mergeCell ref="B63:B66"/>
    <mergeCell ref="C63:C66"/>
    <mergeCell ref="E63:E66"/>
    <mergeCell ref="AF63:AF66"/>
    <mergeCell ref="AI64:AI67"/>
    <mergeCell ref="AJ64:AJ67"/>
    <mergeCell ref="AL64:AL67"/>
    <mergeCell ref="DI64:DI67"/>
    <mergeCell ref="DK64:DK67"/>
    <mergeCell ref="B68:B71"/>
    <mergeCell ref="C68:C71"/>
    <mergeCell ref="E68:E71"/>
    <mergeCell ref="AF68:AF71"/>
    <mergeCell ref="B72:B75"/>
    <mergeCell ref="C72:C75"/>
    <mergeCell ref="E72:E75"/>
    <mergeCell ref="AF72:AF75"/>
    <mergeCell ref="AK72:AM72"/>
    <mergeCell ref="AN72:AP72"/>
    <mergeCell ref="AR72:AT72"/>
    <mergeCell ref="AU72:AW72"/>
    <mergeCell ref="AY72:BA72"/>
    <mergeCell ref="BB72:BD72"/>
    <mergeCell ref="BF72:BH72"/>
    <mergeCell ref="BI72:BK72"/>
    <mergeCell ref="BM72:BO72"/>
    <mergeCell ref="BP72:BR72"/>
    <mergeCell ref="CF72:CH72"/>
    <mergeCell ref="CI72:CK72"/>
    <mergeCell ref="CM72:CO72"/>
    <mergeCell ref="CP72:CR72"/>
    <mergeCell ref="CT72:CV72"/>
    <mergeCell ref="CW72:CY72"/>
    <mergeCell ref="DA72:DC72"/>
    <mergeCell ref="DD72:DF72"/>
    <mergeCell ref="AK73:AM73"/>
    <mergeCell ref="AN73:AP73"/>
    <mergeCell ref="AR73:AT73"/>
    <mergeCell ref="AU73:AW73"/>
    <mergeCell ref="AY73:BA73"/>
    <mergeCell ref="BB73:BD73"/>
    <mergeCell ref="BF73:BH73"/>
    <mergeCell ref="BI73:BK73"/>
    <mergeCell ref="BM73:BO73"/>
    <mergeCell ref="BP73:BR73"/>
    <mergeCell ref="CF73:CH73"/>
    <mergeCell ref="CI73:CK73"/>
    <mergeCell ref="CM73:CO73"/>
    <mergeCell ref="CP73:CR73"/>
    <mergeCell ref="CT73:CV73"/>
    <mergeCell ref="CW73:CY73"/>
    <mergeCell ref="DA73:DC73"/>
    <mergeCell ref="DD73:DF73"/>
    <mergeCell ref="AK74:AM74"/>
    <mergeCell ref="AN74:AP74"/>
    <mergeCell ref="AR74:AT74"/>
    <mergeCell ref="AU74:AW74"/>
    <mergeCell ref="AY74:BA74"/>
    <mergeCell ref="BB74:BD74"/>
    <mergeCell ref="BF74:BH74"/>
    <mergeCell ref="BI74:BK74"/>
    <mergeCell ref="BM74:BO74"/>
    <mergeCell ref="BP74:BR74"/>
    <mergeCell ref="CF74:CH74"/>
    <mergeCell ref="CI74:CK74"/>
    <mergeCell ref="CM74:CO74"/>
    <mergeCell ref="CP74:CR74"/>
    <mergeCell ref="CT74:CV74"/>
    <mergeCell ref="CW74:CY74"/>
    <mergeCell ref="DA74:DC74"/>
    <mergeCell ref="DD74:DF74"/>
    <mergeCell ref="AK75:AM75"/>
    <mergeCell ref="AN75:AP75"/>
    <mergeCell ref="AR75:AT75"/>
    <mergeCell ref="AU75:AW75"/>
    <mergeCell ref="AY75:BA75"/>
    <mergeCell ref="BB75:BD75"/>
    <mergeCell ref="BF75:BH75"/>
    <mergeCell ref="BI75:BK75"/>
    <mergeCell ref="BM75:BO75"/>
    <mergeCell ref="BP75:BR75"/>
    <mergeCell ref="CF75:CH75"/>
    <mergeCell ref="CI75:CK75"/>
    <mergeCell ref="CM75:CO75"/>
    <mergeCell ref="CP75:CR75"/>
    <mergeCell ref="CT75:CV75"/>
    <mergeCell ref="CW75:CY75"/>
    <mergeCell ref="DA75:DC75"/>
    <mergeCell ref="DD75:DF75"/>
    <mergeCell ref="B76:B79"/>
    <mergeCell ref="C76:C79"/>
    <mergeCell ref="E76:E79"/>
    <mergeCell ref="AF76:AF79"/>
    <mergeCell ref="AK76:AM76"/>
    <mergeCell ref="AN76:AP76"/>
    <mergeCell ref="AR76:AT76"/>
    <mergeCell ref="AU76:AW76"/>
    <mergeCell ref="AY76:BA76"/>
    <mergeCell ref="BB76:BD76"/>
    <mergeCell ref="BF76:BH76"/>
    <mergeCell ref="BI76:BK76"/>
    <mergeCell ref="BM76:BO76"/>
    <mergeCell ref="BP76:BR76"/>
    <mergeCell ref="CF76:CH76"/>
    <mergeCell ref="CI76:CK76"/>
    <mergeCell ref="CM76:CO76"/>
    <mergeCell ref="CP76:CR76"/>
    <mergeCell ref="CT76:CV76"/>
    <mergeCell ref="CW76:CY76"/>
    <mergeCell ref="DA76:DC76"/>
    <mergeCell ref="DD76:DF76"/>
    <mergeCell ref="AK77:AM77"/>
    <mergeCell ref="AN77:AP77"/>
    <mergeCell ref="AR77:AT77"/>
    <mergeCell ref="AU77:AW77"/>
    <mergeCell ref="AY77:BA77"/>
    <mergeCell ref="BB77:BD77"/>
    <mergeCell ref="BF77:BH77"/>
    <mergeCell ref="BI77:BK77"/>
    <mergeCell ref="BM77:BO77"/>
    <mergeCell ref="BP77:BR77"/>
    <mergeCell ref="CF77:CH77"/>
    <mergeCell ref="CI77:CK77"/>
    <mergeCell ref="CM77:CO77"/>
    <mergeCell ref="CP77:CR77"/>
    <mergeCell ref="CT77:CV77"/>
    <mergeCell ref="CW77:CY77"/>
    <mergeCell ref="DA77:DC77"/>
    <mergeCell ref="DD77:DF77"/>
    <mergeCell ref="AK78:AM78"/>
    <mergeCell ref="AN78:AP78"/>
    <mergeCell ref="AR78:AT78"/>
    <mergeCell ref="AU78:AW78"/>
    <mergeCell ref="AY78:BA78"/>
    <mergeCell ref="BB78:BD78"/>
    <mergeCell ref="BF78:BH78"/>
    <mergeCell ref="BI78:BK78"/>
    <mergeCell ref="BM78:BO78"/>
    <mergeCell ref="BP78:BR78"/>
    <mergeCell ref="CF78:CH78"/>
    <mergeCell ref="CI78:CK78"/>
    <mergeCell ref="CM78:CO78"/>
    <mergeCell ref="CP78:CR78"/>
    <mergeCell ref="CT78:CV78"/>
    <mergeCell ref="CW78:CY78"/>
    <mergeCell ref="DA78:DC78"/>
    <mergeCell ref="DD78:DF78"/>
    <mergeCell ref="AK79:AM79"/>
    <mergeCell ref="AN79:AP79"/>
    <mergeCell ref="AR79:AT79"/>
    <mergeCell ref="AU79:AW79"/>
    <mergeCell ref="AY79:BA79"/>
    <mergeCell ref="BB79:BD79"/>
    <mergeCell ref="BF79:BH79"/>
    <mergeCell ref="BI79:BK79"/>
    <mergeCell ref="BM79:BO79"/>
    <mergeCell ref="BP79:BR79"/>
    <mergeCell ref="CF79:CH79"/>
    <mergeCell ref="CI79:CK79"/>
    <mergeCell ref="CM79:CO79"/>
    <mergeCell ref="CP79:CR79"/>
    <mergeCell ref="CT79:CV79"/>
    <mergeCell ref="CW79:CY79"/>
    <mergeCell ref="DA79:DC79"/>
    <mergeCell ref="DD79:DF79"/>
    <mergeCell ref="B80:B83"/>
    <mergeCell ref="C80:C83"/>
    <mergeCell ref="E80:E83"/>
    <mergeCell ref="AF80:AF83"/>
    <mergeCell ref="AK80:AM80"/>
    <mergeCell ref="AN80:AP80"/>
    <mergeCell ref="AR80:AT80"/>
    <mergeCell ref="AU80:AW80"/>
    <mergeCell ref="AY80:BA80"/>
    <mergeCell ref="BB80:BD80"/>
    <mergeCell ref="BF80:BH80"/>
    <mergeCell ref="BI80:BK80"/>
    <mergeCell ref="BM80:BO80"/>
    <mergeCell ref="BP80:BR80"/>
    <mergeCell ref="CF80:CH80"/>
    <mergeCell ref="CI80:CK80"/>
    <mergeCell ref="CM80:CO80"/>
    <mergeCell ref="CP80:CR80"/>
    <mergeCell ref="CT80:CV80"/>
    <mergeCell ref="CW80:CY80"/>
    <mergeCell ref="DA80:DC80"/>
    <mergeCell ref="DD80:DF80"/>
    <mergeCell ref="AK81:AM81"/>
    <mergeCell ref="AN81:AP81"/>
    <mergeCell ref="AR81:AT81"/>
    <mergeCell ref="AU81:AW81"/>
    <mergeCell ref="AY81:BA81"/>
    <mergeCell ref="BB81:BD81"/>
    <mergeCell ref="BF81:BH81"/>
    <mergeCell ref="BI81:BK81"/>
    <mergeCell ref="BM81:BO81"/>
    <mergeCell ref="BP81:BR81"/>
    <mergeCell ref="CF81:CH81"/>
    <mergeCell ref="CI81:CK81"/>
    <mergeCell ref="CM81:CO81"/>
    <mergeCell ref="CP81:CR81"/>
    <mergeCell ref="CT81:CV81"/>
    <mergeCell ref="CW81:CY81"/>
    <mergeCell ref="DA81:DC81"/>
    <mergeCell ref="DD81:DF81"/>
    <mergeCell ref="AK82:AM82"/>
    <mergeCell ref="AN82:AP82"/>
    <mergeCell ref="AR82:AT82"/>
    <mergeCell ref="AU82:AW82"/>
    <mergeCell ref="AY82:BA82"/>
    <mergeCell ref="BB82:BD82"/>
    <mergeCell ref="BF82:BH82"/>
    <mergeCell ref="BI82:BK82"/>
    <mergeCell ref="BM82:BO82"/>
    <mergeCell ref="BP82:BR82"/>
    <mergeCell ref="CF82:CH82"/>
    <mergeCell ref="CI82:CK82"/>
    <mergeCell ref="CM82:CO82"/>
    <mergeCell ref="CP82:CR82"/>
    <mergeCell ref="CT82:CV82"/>
    <mergeCell ref="CW82:CY82"/>
    <mergeCell ref="DA82:DC82"/>
    <mergeCell ref="DD82:DF82"/>
    <mergeCell ref="AK83:AM83"/>
    <mergeCell ref="AN83:AP83"/>
    <mergeCell ref="AR83:AT83"/>
    <mergeCell ref="AU83:AW83"/>
    <mergeCell ref="AY83:BA83"/>
    <mergeCell ref="BB83:BD83"/>
    <mergeCell ref="BF83:BH83"/>
    <mergeCell ref="BI83:BK83"/>
    <mergeCell ref="BM83:BO83"/>
    <mergeCell ref="BP83:BR83"/>
    <mergeCell ref="CF83:CH83"/>
    <mergeCell ref="CI83:CK83"/>
    <mergeCell ref="CM83:CO83"/>
    <mergeCell ref="CP83:CR83"/>
    <mergeCell ref="CT83:CV83"/>
    <mergeCell ref="CW83:CY83"/>
    <mergeCell ref="DA83:DC83"/>
    <mergeCell ref="DD83:DF83"/>
    <mergeCell ref="AK84:AM84"/>
    <mergeCell ref="AN84:AP84"/>
    <mergeCell ref="AR84:AT84"/>
    <mergeCell ref="AU84:AW84"/>
    <mergeCell ref="AY84:BA84"/>
    <mergeCell ref="BB84:BD84"/>
    <mergeCell ref="BF84:BH84"/>
    <mergeCell ref="BI84:BK84"/>
    <mergeCell ref="BM84:BO84"/>
    <mergeCell ref="BP84:BR84"/>
    <mergeCell ref="CF84:CH84"/>
    <mergeCell ref="CI84:CK84"/>
    <mergeCell ref="CM84:CO84"/>
    <mergeCell ref="CP84:CR84"/>
    <mergeCell ref="CT84:CV84"/>
    <mergeCell ref="CW84:CY84"/>
    <mergeCell ref="DA84:DC84"/>
    <mergeCell ref="DD84:DF84"/>
    <mergeCell ref="AK85:AM85"/>
    <mergeCell ref="AN85:AP85"/>
    <mergeCell ref="AR85:AT85"/>
    <mergeCell ref="AU85:AW85"/>
    <mergeCell ref="AY85:BA85"/>
    <mergeCell ref="BB85:BD85"/>
    <mergeCell ref="BF85:BH85"/>
    <mergeCell ref="BI85:BK85"/>
    <mergeCell ref="BM85:BO85"/>
    <mergeCell ref="BP85:BR85"/>
    <mergeCell ref="CF85:CH85"/>
    <mergeCell ref="CI85:CK85"/>
    <mergeCell ref="CM85:CO85"/>
    <mergeCell ref="CP85:CR85"/>
    <mergeCell ref="CT85:CV85"/>
    <mergeCell ref="CW85:CY85"/>
    <mergeCell ref="DA85:DC85"/>
    <mergeCell ref="DD85:DF85"/>
    <mergeCell ref="AK86:AM86"/>
    <mergeCell ref="AN86:AP86"/>
    <mergeCell ref="AR86:AT86"/>
    <mergeCell ref="AU86:AW86"/>
    <mergeCell ref="AY86:BA86"/>
    <mergeCell ref="BB86:BD86"/>
    <mergeCell ref="BF86:BH86"/>
    <mergeCell ref="BI86:BK86"/>
    <mergeCell ref="BM86:BO86"/>
    <mergeCell ref="BP86:BR86"/>
    <mergeCell ref="CF86:CH86"/>
    <mergeCell ref="CI86:CK86"/>
    <mergeCell ref="CM86:CO86"/>
    <mergeCell ref="CP86:CR86"/>
    <mergeCell ref="CT86:CV86"/>
    <mergeCell ref="CW86:CY86"/>
    <mergeCell ref="DA86:DC86"/>
    <mergeCell ref="DD86:DF86"/>
    <mergeCell ref="AK87:AM87"/>
    <mergeCell ref="AN87:AP87"/>
    <mergeCell ref="AR87:AT87"/>
    <mergeCell ref="AU87:AW87"/>
    <mergeCell ref="AY87:BA87"/>
    <mergeCell ref="BB87:BD87"/>
    <mergeCell ref="BF87:BH87"/>
    <mergeCell ref="BI87:BK87"/>
    <mergeCell ref="BM87:BO87"/>
    <mergeCell ref="BP87:BR87"/>
    <mergeCell ref="CF87:CH87"/>
    <mergeCell ref="CI87:CK87"/>
    <mergeCell ref="CM87:CO87"/>
    <mergeCell ref="CP87:CR87"/>
    <mergeCell ref="CT87:CV87"/>
    <mergeCell ref="CW87:CY87"/>
    <mergeCell ref="DA87:DC87"/>
    <mergeCell ref="DD87:DF87"/>
    <mergeCell ref="C88:C89"/>
    <mergeCell ref="F88:F89"/>
    <mergeCell ref="G88:G89"/>
    <mergeCell ref="H88:H89"/>
    <mergeCell ref="I88:I89"/>
    <mergeCell ref="J88:J89"/>
    <mergeCell ref="K88:K89"/>
    <mergeCell ref="L88:L89"/>
    <mergeCell ref="M88:M89"/>
    <mergeCell ref="N88:N89"/>
    <mergeCell ref="O88:O89"/>
    <mergeCell ref="P88:P89"/>
    <mergeCell ref="AK88:AM88"/>
    <mergeCell ref="AN88:AP88"/>
    <mergeCell ref="AR88:AT88"/>
    <mergeCell ref="AU88:AW88"/>
    <mergeCell ref="AY88:BA88"/>
    <mergeCell ref="BB88:BD88"/>
    <mergeCell ref="BF88:BH88"/>
    <mergeCell ref="BI88:BK88"/>
    <mergeCell ref="BM88:BO88"/>
    <mergeCell ref="BP88:BR88"/>
    <mergeCell ref="CF88:CH88"/>
    <mergeCell ref="CI88:CK88"/>
    <mergeCell ref="CM88:CO88"/>
    <mergeCell ref="CP88:CR88"/>
    <mergeCell ref="CT88:CV88"/>
    <mergeCell ref="CW88:CY88"/>
    <mergeCell ref="DA88:DC88"/>
    <mergeCell ref="DD88:DF88"/>
    <mergeCell ref="AK89:AM89"/>
    <mergeCell ref="AN89:AP89"/>
    <mergeCell ref="AR89:AT89"/>
    <mergeCell ref="AU89:AW89"/>
    <mergeCell ref="AY89:BA89"/>
    <mergeCell ref="BB89:BD89"/>
    <mergeCell ref="BF89:BH89"/>
    <mergeCell ref="BI89:BK89"/>
    <mergeCell ref="BM89:BO89"/>
    <mergeCell ref="BP89:BR89"/>
    <mergeCell ref="CF89:CH89"/>
    <mergeCell ref="CI89:CK89"/>
    <mergeCell ref="CM89:CO89"/>
    <mergeCell ref="CP89:CR89"/>
    <mergeCell ref="CT89:CV89"/>
    <mergeCell ref="CW89:CY89"/>
    <mergeCell ref="DA89:DC89"/>
    <mergeCell ref="DD89:DF89"/>
    <mergeCell ref="B90:B93"/>
    <mergeCell ref="C90:C93"/>
    <mergeCell ref="E90:E93"/>
    <mergeCell ref="P90:P93"/>
    <mergeCell ref="AK90:AM90"/>
    <mergeCell ref="AN90:AP90"/>
    <mergeCell ref="AR90:AT90"/>
    <mergeCell ref="AU90:AW90"/>
    <mergeCell ref="AY90:BA90"/>
    <mergeCell ref="BB90:BD90"/>
    <mergeCell ref="BF90:BH90"/>
    <mergeCell ref="BI90:BK90"/>
    <mergeCell ref="BM90:BO90"/>
    <mergeCell ref="BP90:BR90"/>
    <mergeCell ref="CF90:CH90"/>
    <mergeCell ref="CI90:CK90"/>
    <mergeCell ref="CM90:CO90"/>
    <mergeCell ref="CP90:CR90"/>
    <mergeCell ref="CT90:CV90"/>
    <mergeCell ref="CW90:CY90"/>
    <mergeCell ref="DA90:DC90"/>
    <mergeCell ref="DD90:DF90"/>
    <mergeCell ref="AK91:AM91"/>
    <mergeCell ref="AN91:AP91"/>
    <mergeCell ref="AR91:AT91"/>
    <mergeCell ref="AU91:AW91"/>
    <mergeCell ref="AY91:BA91"/>
    <mergeCell ref="BB91:BD91"/>
    <mergeCell ref="BF91:BH91"/>
    <mergeCell ref="BI91:BK91"/>
    <mergeCell ref="BM91:BO91"/>
    <mergeCell ref="BP91:BR91"/>
    <mergeCell ref="CF91:CH91"/>
    <mergeCell ref="CI91:CK91"/>
    <mergeCell ref="CM91:CO91"/>
    <mergeCell ref="CP91:CR91"/>
    <mergeCell ref="CT91:CV91"/>
    <mergeCell ref="CW91:CY91"/>
    <mergeCell ref="DA91:DC91"/>
    <mergeCell ref="DD91:DF91"/>
    <mergeCell ref="AK92:AM92"/>
    <mergeCell ref="AN92:AP92"/>
    <mergeCell ref="AR92:AT92"/>
    <mergeCell ref="AU92:AW92"/>
    <mergeCell ref="AY92:BA92"/>
    <mergeCell ref="BB92:BD92"/>
    <mergeCell ref="BF92:BH92"/>
    <mergeCell ref="BI92:BK92"/>
    <mergeCell ref="BM92:BO92"/>
    <mergeCell ref="BP92:BR92"/>
    <mergeCell ref="CF92:CH92"/>
    <mergeCell ref="CI92:CK92"/>
    <mergeCell ref="CM92:CO92"/>
    <mergeCell ref="CP92:CR92"/>
    <mergeCell ref="CT92:CV92"/>
    <mergeCell ref="CW92:CY92"/>
    <mergeCell ref="DA92:DC92"/>
    <mergeCell ref="DD92:DF92"/>
    <mergeCell ref="AK93:AM93"/>
    <mergeCell ref="AN93:AP93"/>
    <mergeCell ref="AR93:AT93"/>
    <mergeCell ref="AU93:AW93"/>
    <mergeCell ref="AY93:BA93"/>
    <mergeCell ref="BB93:BD93"/>
    <mergeCell ref="BF93:BH93"/>
    <mergeCell ref="BI93:BK93"/>
    <mergeCell ref="BM93:BO93"/>
    <mergeCell ref="BP93:BR93"/>
    <mergeCell ref="CF93:CH93"/>
    <mergeCell ref="CI93:CK93"/>
    <mergeCell ref="CM93:CO93"/>
    <mergeCell ref="CP93:CR93"/>
    <mergeCell ref="CT93:CV93"/>
    <mergeCell ref="CW93:CY93"/>
    <mergeCell ref="DA93:DC93"/>
    <mergeCell ref="DD93:DF93"/>
    <mergeCell ref="B94:B97"/>
    <mergeCell ref="C94:C97"/>
    <mergeCell ref="E94:E97"/>
    <mergeCell ref="P94:P97"/>
    <mergeCell ref="AK94:AM94"/>
    <mergeCell ref="AN94:AP94"/>
    <mergeCell ref="AR94:AT94"/>
    <mergeCell ref="AU94:AW94"/>
    <mergeCell ref="AY94:BA94"/>
    <mergeCell ref="BB94:BD94"/>
    <mergeCell ref="BF94:BH94"/>
    <mergeCell ref="BI94:BK94"/>
    <mergeCell ref="BM94:BO94"/>
    <mergeCell ref="BP94:BR94"/>
    <mergeCell ref="CF94:CH94"/>
    <mergeCell ref="CI94:CK94"/>
    <mergeCell ref="CM94:CO94"/>
    <mergeCell ref="CP94:CR94"/>
    <mergeCell ref="CT94:CV94"/>
    <mergeCell ref="CW94:CY94"/>
    <mergeCell ref="DA94:DC94"/>
    <mergeCell ref="DD94:DF94"/>
    <mergeCell ref="AK95:AM95"/>
    <mergeCell ref="AN95:AP95"/>
    <mergeCell ref="AR95:AT95"/>
    <mergeCell ref="AU95:AW95"/>
    <mergeCell ref="AY95:BA95"/>
    <mergeCell ref="BB95:BD95"/>
    <mergeCell ref="BF95:BH95"/>
    <mergeCell ref="BI95:BK95"/>
    <mergeCell ref="BM95:BO95"/>
    <mergeCell ref="BP95:BR95"/>
    <mergeCell ref="CF95:CH95"/>
    <mergeCell ref="CI95:CK95"/>
    <mergeCell ref="CM95:CO95"/>
    <mergeCell ref="CP95:CR95"/>
    <mergeCell ref="CT95:CV95"/>
    <mergeCell ref="CW95:CY95"/>
    <mergeCell ref="DA95:DC95"/>
    <mergeCell ref="DD95:DF95"/>
    <mergeCell ref="AK96:AM96"/>
    <mergeCell ref="AN96:AP96"/>
    <mergeCell ref="AR96:AT96"/>
    <mergeCell ref="AU96:AW96"/>
    <mergeCell ref="AY96:BA96"/>
    <mergeCell ref="BB96:BD96"/>
    <mergeCell ref="BF96:BH96"/>
    <mergeCell ref="BI96:BK96"/>
    <mergeCell ref="BM96:BO96"/>
    <mergeCell ref="BP96:BR96"/>
    <mergeCell ref="CF96:CH96"/>
    <mergeCell ref="CI96:CK96"/>
    <mergeCell ref="CM96:CO96"/>
    <mergeCell ref="CP96:CR96"/>
    <mergeCell ref="CT96:CV96"/>
    <mergeCell ref="CW96:CY96"/>
    <mergeCell ref="DA96:DC96"/>
    <mergeCell ref="DD96:DF96"/>
    <mergeCell ref="AK97:AM97"/>
    <mergeCell ref="AN97:AP97"/>
    <mergeCell ref="AR97:AT97"/>
    <mergeCell ref="AU97:AW97"/>
    <mergeCell ref="AY97:BA97"/>
    <mergeCell ref="BB97:BD97"/>
    <mergeCell ref="BF97:BH97"/>
    <mergeCell ref="BI97:BK97"/>
    <mergeCell ref="BM97:BO97"/>
    <mergeCell ref="BP97:BR97"/>
    <mergeCell ref="CF97:CH97"/>
    <mergeCell ref="CI97:CK97"/>
    <mergeCell ref="CM97:CO97"/>
    <mergeCell ref="CP97:CR97"/>
    <mergeCell ref="CT97:CV97"/>
    <mergeCell ref="CW97:CY97"/>
    <mergeCell ref="DA97:DC97"/>
    <mergeCell ref="DD97:DF97"/>
    <mergeCell ref="B98:B101"/>
    <mergeCell ref="C98:C101"/>
    <mergeCell ref="E98:E101"/>
    <mergeCell ref="P98:P101"/>
    <mergeCell ref="AR98:AS98"/>
    <mergeCell ref="B102:B105"/>
    <mergeCell ref="C102:C105"/>
    <mergeCell ref="E102:E105"/>
    <mergeCell ref="P102:P105"/>
    <mergeCell ref="B106:B109"/>
    <mergeCell ref="C106:C109"/>
    <mergeCell ref="E106:E109"/>
    <mergeCell ref="P106:P109"/>
    <mergeCell ref="B110:B113"/>
    <mergeCell ref="C110:C113"/>
    <mergeCell ref="E110:E113"/>
    <mergeCell ref="P110:P113"/>
    <mergeCell ref="B114:B117"/>
    <mergeCell ref="C114:C117"/>
    <mergeCell ref="E114:E117"/>
    <mergeCell ref="P114:P117"/>
    <mergeCell ref="B118:B121"/>
    <mergeCell ref="C118:C121"/>
    <mergeCell ref="E118:E121"/>
    <mergeCell ref="P118:P12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31" activeCellId="1" sqref="A2:A8 A31"/>
    </sheetView>
  </sheetViews>
  <sheetFormatPr defaultColWidth="11.43359375" defaultRowHeight="12" customHeight="true" zeroHeight="false" outlineLevelRow="0" outlineLevelCol="0"/>
  <cols>
    <col collapsed="false" customWidth="true" hidden="false" outlineLevel="0" max="1" min="1" style="240" width="21.57"/>
    <col collapsed="false" customWidth="true" hidden="false" outlineLevel="0" max="2" min="2" style="240" width="14.86"/>
    <col collapsed="false" customWidth="true" hidden="false" outlineLevel="0" max="3" min="3" style="240" width="24.57"/>
    <col collapsed="false" customWidth="true" hidden="false" outlineLevel="0" max="4" min="4" style="240" width="13.71"/>
    <col collapsed="false" customWidth="true" hidden="false" outlineLevel="0" max="5" min="5" style="240" width="88.14"/>
    <col collapsed="false" customWidth="false" hidden="false" outlineLevel="0" max="16384" min="6" style="465" width="11.43"/>
  </cols>
  <sheetData>
    <row r="1" customFormat="false" ht="15" hidden="false" customHeight="false" outlineLevel="0" collapsed="false">
      <c r="A1" s="466" t="s">
        <v>8265</v>
      </c>
      <c r="B1" s="466" t="s">
        <v>213</v>
      </c>
      <c r="C1" s="466" t="s">
        <v>8266</v>
      </c>
      <c r="D1" s="466" t="s">
        <v>8267</v>
      </c>
      <c r="E1" s="466" t="s">
        <v>8268</v>
      </c>
    </row>
    <row r="2" customFormat="false" ht="15" hidden="false" customHeight="false" outlineLevel="0" collapsed="false">
      <c r="A2" s="467" t="s">
        <v>8269</v>
      </c>
      <c r="B2" s="468" t="n">
        <v>39650</v>
      </c>
      <c r="C2" s="469"/>
      <c r="D2" s="239"/>
      <c r="E2" s="469"/>
    </row>
    <row r="3" customFormat="false" ht="15" hidden="false" customHeight="false" outlineLevel="0" collapsed="false">
      <c r="A3" s="467" t="s">
        <v>8270</v>
      </c>
      <c r="B3" s="468" t="n">
        <v>40381</v>
      </c>
      <c r="C3" s="469"/>
      <c r="D3" s="239"/>
      <c r="E3" s="469"/>
    </row>
    <row r="4" customFormat="false" ht="15" hidden="false" customHeight="false" outlineLevel="0" collapsed="false">
      <c r="A4" s="467" t="s">
        <v>8271</v>
      </c>
      <c r="B4" s="468" t="n">
        <v>40055</v>
      </c>
      <c r="C4" s="469" t="s">
        <v>8272</v>
      </c>
      <c r="D4" s="239"/>
      <c r="E4" s="469" t="s">
        <v>8273</v>
      </c>
    </row>
    <row r="5" customFormat="false" ht="15" hidden="false" customHeight="false" outlineLevel="0" collapsed="false">
      <c r="A5" s="467" t="s">
        <v>8274</v>
      </c>
      <c r="B5" s="468" t="n">
        <v>40422</v>
      </c>
      <c r="C5" s="469" t="s">
        <v>8275</v>
      </c>
      <c r="D5" s="239"/>
      <c r="E5" s="469"/>
    </row>
    <row r="6" customFormat="false" ht="15" hidden="false" customHeight="false" outlineLevel="0" collapsed="false">
      <c r="A6" s="467" t="s">
        <v>8274</v>
      </c>
      <c r="B6" s="468" t="n">
        <v>40434</v>
      </c>
      <c r="C6" s="469" t="s">
        <v>8275</v>
      </c>
      <c r="D6" s="239"/>
      <c r="E6" s="469"/>
    </row>
    <row r="7" customFormat="false" ht="15" hidden="false" customHeight="false" outlineLevel="0" collapsed="false">
      <c r="A7" s="467" t="s">
        <v>8276</v>
      </c>
      <c r="B7" s="468" t="s">
        <v>8277</v>
      </c>
      <c r="C7" s="470" t="s">
        <v>8278</v>
      </c>
      <c r="D7" s="239"/>
      <c r="E7" s="469" t="s">
        <v>8279</v>
      </c>
    </row>
    <row r="8" customFormat="false" ht="15" hidden="false" customHeight="false" outlineLevel="0" collapsed="false">
      <c r="A8" s="467" t="s">
        <v>8280</v>
      </c>
      <c r="B8" s="471" t="n">
        <v>40437</v>
      </c>
      <c r="C8" s="469" t="s">
        <v>8281</v>
      </c>
      <c r="D8" s="239"/>
      <c r="E8" s="469"/>
    </row>
    <row r="9" customFormat="false" ht="15" hidden="false" customHeight="false" outlineLevel="0" collapsed="false">
      <c r="A9" s="467" t="s">
        <v>8282</v>
      </c>
      <c r="B9" s="471" t="n">
        <v>40438</v>
      </c>
      <c r="C9" s="469" t="s">
        <v>8283</v>
      </c>
      <c r="D9" s="239"/>
      <c r="E9" s="469" t="s">
        <v>8284</v>
      </c>
    </row>
    <row r="10" customFormat="false" ht="15" hidden="false" customHeight="false" outlineLevel="0" collapsed="false">
      <c r="A10" s="467" t="s">
        <v>8285</v>
      </c>
      <c r="B10" s="468" t="n">
        <v>40441</v>
      </c>
      <c r="C10" s="469" t="s">
        <v>8286</v>
      </c>
      <c r="D10" s="239"/>
      <c r="E10" s="469" t="s">
        <v>8287</v>
      </c>
    </row>
    <row r="11" customFormat="false" ht="15" hidden="false" customHeight="false" outlineLevel="0" collapsed="false">
      <c r="A11" s="467" t="s">
        <v>8288</v>
      </c>
      <c r="B11" s="468" t="n">
        <v>40484</v>
      </c>
      <c r="C11" s="469" t="s">
        <v>8289</v>
      </c>
      <c r="D11" s="239"/>
      <c r="E11" s="469" t="s">
        <v>8290</v>
      </c>
    </row>
    <row r="12" customFormat="false" ht="15" hidden="false" customHeight="false" outlineLevel="0" collapsed="false">
      <c r="A12" s="467" t="s">
        <v>8291</v>
      </c>
      <c r="B12" s="468" t="n">
        <v>40505</v>
      </c>
      <c r="C12" s="472" t="s">
        <v>8292</v>
      </c>
      <c r="D12" s="239"/>
      <c r="E12" s="473" t="s">
        <v>8293</v>
      </c>
    </row>
    <row r="13" customFormat="false" ht="15" hidden="false" customHeight="false" outlineLevel="0" collapsed="false">
      <c r="A13" s="467" t="s">
        <v>8294</v>
      </c>
      <c r="B13" s="468" t="n">
        <v>40581</v>
      </c>
      <c r="C13" s="469" t="s">
        <v>8295</v>
      </c>
      <c r="D13" s="239"/>
      <c r="E13" s="469" t="s">
        <v>8296</v>
      </c>
    </row>
    <row r="14" customFormat="false" ht="15" hidden="false" customHeight="false" outlineLevel="0" collapsed="false">
      <c r="A14" s="467" t="s">
        <v>8297</v>
      </c>
      <c r="B14" s="468" t="n">
        <v>40604</v>
      </c>
      <c r="C14" s="469" t="s">
        <v>8298</v>
      </c>
      <c r="D14" s="239"/>
      <c r="E14" s="469" t="s">
        <v>8299</v>
      </c>
    </row>
    <row r="15" customFormat="false" ht="15" hidden="false" customHeight="false" outlineLevel="0" collapsed="false">
      <c r="A15" s="467" t="s">
        <v>8300</v>
      </c>
      <c r="B15" s="468" t="s">
        <v>8301</v>
      </c>
      <c r="C15" s="469"/>
      <c r="D15" s="239"/>
      <c r="E15" s="469"/>
    </row>
    <row r="16" customFormat="false" ht="15" hidden="false" customHeight="false" outlineLevel="0" collapsed="false">
      <c r="A16" s="467" t="s">
        <v>8294</v>
      </c>
      <c r="B16" s="468" t="n">
        <v>40612</v>
      </c>
      <c r="C16" s="469" t="s">
        <v>8295</v>
      </c>
      <c r="D16" s="239"/>
      <c r="E16" s="469" t="s">
        <v>8302</v>
      </c>
    </row>
    <row r="17" customFormat="false" ht="15" hidden="false" customHeight="false" outlineLevel="0" collapsed="false">
      <c r="A17" s="467" t="s">
        <v>8303</v>
      </c>
      <c r="B17" s="468" t="n">
        <v>40619</v>
      </c>
      <c r="C17" s="469" t="s">
        <v>8304</v>
      </c>
      <c r="D17" s="239"/>
      <c r="E17" s="469" t="s">
        <v>8305</v>
      </c>
    </row>
    <row r="18" customFormat="false" ht="15" hidden="false" customHeight="false" outlineLevel="0" collapsed="false">
      <c r="A18" s="467" t="s">
        <v>8303</v>
      </c>
      <c r="B18" s="468" t="n">
        <v>40634</v>
      </c>
      <c r="C18" s="469" t="s">
        <v>8306</v>
      </c>
      <c r="D18" s="239"/>
      <c r="E18" s="469" t="s">
        <v>8307</v>
      </c>
    </row>
    <row r="19" customFormat="false" ht="15" hidden="false" customHeight="false" outlineLevel="0" collapsed="false">
      <c r="A19" s="467" t="s">
        <v>8288</v>
      </c>
      <c r="B19" s="468" t="n">
        <v>40645</v>
      </c>
      <c r="C19" s="469" t="s">
        <v>8289</v>
      </c>
      <c r="D19" s="239"/>
      <c r="E19" s="469" t="s">
        <v>8290</v>
      </c>
    </row>
    <row r="20" customFormat="false" ht="15" hidden="false" customHeight="false" outlineLevel="0" collapsed="false">
      <c r="A20" s="467" t="s">
        <v>8288</v>
      </c>
      <c r="B20" s="468" t="n">
        <v>40661</v>
      </c>
      <c r="C20" s="469" t="s">
        <v>8308</v>
      </c>
      <c r="D20" s="239"/>
      <c r="E20" s="469" t="s">
        <v>8309</v>
      </c>
    </row>
    <row r="21" customFormat="false" ht="15" hidden="false" customHeight="false" outlineLevel="0" collapsed="false">
      <c r="A21" s="467" t="s">
        <v>8303</v>
      </c>
      <c r="B21" s="468" t="n">
        <v>40662</v>
      </c>
      <c r="C21" s="469" t="s">
        <v>8310</v>
      </c>
      <c r="D21" s="239"/>
      <c r="E21" s="469" t="s">
        <v>8290</v>
      </c>
    </row>
    <row r="22" customFormat="false" ht="15" hidden="false" customHeight="false" outlineLevel="0" collapsed="false">
      <c r="A22" s="467" t="s">
        <v>8300</v>
      </c>
      <c r="B22" s="468" t="n">
        <v>40661</v>
      </c>
      <c r="C22" s="469"/>
      <c r="D22" s="239"/>
      <c r="E22" s="469"/>
    </row>
    <row r="23" customFormat="false" ht="15" hidden="false" customHeight="false" outlineLevel="0" collapsed="false">
      <c r="A23" s="467" t="s">
        <v>8311</v>
      </c>
      <c r="B23" s="468" t="n">
        <v>40710</v>
      </c>
      <c r="C23" s="469" t="s">
        <v>8312</v>
      </c>
      <c r="D23" s="239"/>
      <c r="E23" s="469"/>
    </row>
    <row r="24" customFormat="false" ht="15" hidden="false" customHeight="false" outlineLevel="0" collapsed="false">
      <c r="A24" s="467" t="s">
        <v>8313</v>
      </c>
      <c r="B24" s="468" t="s">
        <v>8314</v>
      </c>
      <c r="C24" s="469" t="s">
        <v>8312</v>
      </c>
      <c r="D24" s="239"/>
      <c r="E24" s="469"/>
    </row>
    <row r="25" customFormat="false" ht="15" hidden="false" customHeight="false" outlineLevel="0" collapsed="false">
      <c r="A25" s="467" t="s">
        <v>8315</v>
      </c>
      <c r="B25" s="468" t="s">
        <v>8316</v>
      </c>
      <c r="C25" s="470" t="s">
        <v>8317</v>
      </c>
      <c r="D25" s="239"/>
      <c r="E25" s="469"/>
    </row>
    <row r="26" customFormat="false" ht="15" hidden="false" customHeight="false" outlineLevel="0" collapsed="false">
      <c r="A26" s="467" t="s">
        <v>8318</v>
      </c>
      <c r="B26" s="468" t="s">
        <v>8319</v>
      </c>
      <c r="C26" s="470" t="s">
        <v>8320</v>
      </c>
      <c r="D26" s="239"/>
      <c r="E26" s="469"/>
    </row>
    <row r="27" customFormat="false" ht="15" hidden="false" customHeight="false" outlineLevel="0" collapsed="false">
      <c r="A27" s="467" t="s">
        <v>8321</v>
      </c>
      <c r="B27" s="468" t="n">
        <v>40773</v>
      </c>
      <c r="C27" s="469" t="s">
        <v>8322</v>
      </c>
      <c r="D27" s="474"/>
      <c r="E27" s="474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159</TotalTime>
  <Application>LibreOffice/25.2.7.2$Windows_X86_64 LibreOffice_project/5cbfd1ab6520636bb5f7b99185aa69bd7456825d</Application>
  <AppVersion>15.0000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2013-10-04T13:51:10Z</dcterms:created>
  <dc:creator>cmichotey</dc:creator>
  <dc:description/>
  <dc:language>fr-FR</dc:language>
  <cp:lastModifiedBy/>
  <cp:lastPrinted>1601-01-01T00:00:00Z</cp:lastPrinted>
  <dcterms:modified xsi:type="dcterms:W3CDTF">2025-12-10T10:23:49Z</dcterms:modified>
  <cp:revision>12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0</vt:bool>
  </property>
  <property fmtid="{D5CDD505-2E9C-101B-9397-08002B2CF9AE}" pid="3" name="LinksUpToDate">
    <vt:bool>0</vt:bool>
  </property>
  <property fmtid="{D5CDD505-2E9C-101B-9397-08002B2CF9AE}" pid="4" name="ScaleCrop">
    <vt:bool>0</vt:bool>
  </property>
  <property fmtid="{D5CDD505-2E9C-101B-9397-08002B2CF9AE}" pid="5" name="ShareDoc">
    <vt:bool>0</vt:bool>
  </property>
</Properties>
</file>